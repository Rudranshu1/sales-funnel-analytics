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MyGitHubProject\Project2-Rebuild\excel\"/>
    </mc:Choice>
  </mc:AlternateContent>
  <xr:revisionPtr revIDLastSave="0" documentId="11_AF139E80923CF3C43B64FFF2BD209786E029B30E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view" sheetId="1" r:id="rId1"/>
    <sheet name="Data" sheetId="2" r:id="rId2"/>
    <sheet name="Stage Order" sheetId="3" r:id="rId3"/>
    <sheet name="Funnel" sheetId="4" r:id="rId4"/>
    <sheet name="Win Rate by Source" sheetId="5" r:id="rId5"/>
    <sheet name="Speed to Lead" sheetId="6" r:id="rId6"/>
    <sheet name="Lost Value by Reason" sheetId="7" r:id="rId7"/>
    <sheet name="Rep Leaderboard" sheetId="8" r:id="rId8"/>
    <sheet name="Monthly Tren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C16" i="9" s="1"/>
  <c r="E16" i="8"/>
  <c r="D16" i="8"/>
  <c r="C16" i="8"/>
  <c r="B16" i="8"/>
  <c r="E15" i="8"/>
  <c r="C15" i="8"/>
  <c r="D15" i="8" s="1"/>
  <c r="B15" i="8"/>
  <c r="E14" i="8"/>
  <c r="C14" i="8"/>
  <c r="D14" i="8" s="1"/>
  <c r="B14" i="8"/>
  <c r="E13" i="8"/>
  <c r="D13" i="8"/>
  <c r="C13" i="8"/>
  <c r="B13" i="8"/>
  <c r="E12" i="8"/>
  <c r="C12" i="8"/>
  <c r="D12" i="8" s="1"/>
  <c r="B12" i="8"/>
  <c r="E11" i="8"/>
  <c r="C11" i="8"/>
  <c r="D11" i="8" s="1"/>
  <c r="B11" i="8"/>
  <c r="E10" i="8"/>
  <c r="D10" i="8"/>
  <c r="C10" i="8"/>
  <c r="B10" i="8"/>
  <c r="E9" i="8"/>
  <c r="C9" i="8"/>
  <c r="D9" i="8" s="1"/>
  <c r="B9" i="8"/>
  <c r="E8" i="8"/>
  <c r="C8" i="8"/>
  <c r="D8" i="8" s="1"/>
  <c r="B8" i="8"/>
  <c r="E7" i="8"/>
  <c r="D7" i="8"/>
  <c r="C7" i="8"/>
  <c r="B7" i="8"/>
  <c r="E6" i="8"/>
  <c r="C6" i="8"/>
  <c r="D6" i="8" s="1"/>
  <c r="B6" i="8"/>
  <c r="E5" i="8"/>
  <c r="C5" i="8"/>
  <c r="D5" i="8" s="1"/>
  <c r="B5" i="8"/>
  <c r="E4" i="8"/>
  <c r="D4" i="8"/>
  <c r="C4" i="8"/>
  <c r="B4" i="8"/>
  <c r="E3" i="8"/>
  <c r="C3" i="8"/>
  <c r="D3" i="8" s="1"/>
  <c r="B3" i="8"/>
  <c r="E2" i="8"/>
  <c r="C2" i="8"/>
  <c r="D2" i="8" s="1"/>
  <c r="B2" i="8"/>
  <c r="D6" i="7"/>
  <c r="C6" i="7"/>
  <c r="B6" i="7"/>
  <c r="D5" i="7"/>
  <c r="C5" i="7"/>
  <c r="B5" i="7"/>
  <c r="D4" i="7"/>
  <c r="C4" i="7"/>
  <c r="B4" i="7"/>
  <c r="D3" i="7"/>
  <c r="C3" i="7"/>
  <c r="B3" i="7"/>
  <c r="D2" i="7"/>
  <c r="C2" i="7"/>
  <c r="C8" i="1" s="1"/>
  <c r="B2" i="7"/>
  <c r="C2" i="6"/>
  <c r="C8" i="5"/>
  <c r="D8" i="5" s="1"/>
  <c r="B8" i="5"/>
  <c r="C7" i="5"/>
  <c r="D7" i="5" s="1"/>
  <c r="B7" i="5"/>
  <c r="C6" i="5"/>
  <c r="D6" i="5" s="1"/>
  <c r="B6" i="5"/>
  <c r="C5" i="5"/>
  <c r="D5" i="5" s="1"/>
  <c r="B5" i="5"/>
  <c r="C4" i="5"/>
  <c r="D4" i="5" s="1"/>
  <c r="B4" i="5"/>
  <c r="C3" i="5"/>
  <c r="D3" i="5" s="1"/>
  <c r="B3" i="5"/>
  <c r="C2" i="5"/>
  <c r="D2" i="5" s="1"/>
  <c r="B2" i="5"/>
  <c r="O7001" i="2"/>
  <c r="N7001" i="2"/>
  <c r="M7001" i="2"/>
  <c r="O7000" i="2"/>
  <c r="N7000" i="2"/>
  <c r="M7000" i="2"/>
  <c r="O6999" i="2"/>
  <c r="N6999" i="2"/>
  <c r="M6999" i="2"/>
  <c r="O6998" i="2"/>
  <c r="N6998" i="2"/>
  <c r="M6998" i="2"/>
  <c r="O6997" i="2"/>
  <c r="N6997" i="2"/>
  <c r="M6997" i="2"/>
  <c r="O6996" i="2"/>
  <c r="N6996" i="2"/>
  <c r="M6996" i="2"/>
  <c r="O6995" i="2"/>
  <c r="N6995" i="2"/>
  <c r="M6995" i="2"/>
  <c r="O6994" i="2"/>
  <c r="N6994" i="2"/>
  <c r="M6994" i="2"/>
  <c r="O6993" i="2"/>
  <c r="N6993" i="2"/>
  <c r="M6993" i="2"/>
  <c r="O6992" i="2"/>
  <c r="N6992" i="2"/>
  <c r="M6992" i="2"/>
  <c r="O6991" i="2"/>
  <c r="N6991" i="2"/>
  <c r="M6991" i="2"/>
  <c r="O6990" i="2"/>
  <c r="N6990" i="2"/>
  <c r="M6990" i="2"/>
  <c r="O6989" i="2"/>
  <c r="N6989" i="2"/>
  <c r="M6989" i="2"/>
  <c r="O6988" i="2"/>
  <c r="N6988" i="2"/>
  <c r="M6988" i="2"/>
  <c r="O6987" i="2"/>
  <c r="N6987" i="2"/>
  <c r="M6987" i="2"/>
  <c r="O6986" i="2"/>
  <c r="N6986" i="2"/>
  <c r="M6986" i="2"/>
  <c r="O6985" i="2"/>
  <c r="N6985" i="2"/>
  <c r="M6985" i="2"/>
  <c r="O6984" i="2"/>
  <c r="N6984" i="2"/>
  <c r="M6984" i="2"/>
  <c r="O6983" i="2"/>
  <c r="N6983" i="2"/>
  <c r="M6983" i="2"/>
  <c r="O6982" i="2"/>
  <c r="N6982" i="2"/>
  <c r="M6982" i="2"/>
  <c r="O6981" i="2"/>
  <c r="N6981" i="2"/>
  <c r="M6981" i="2"/>
  <c r="O6980" i="2"/>
  <c r="N6980" i="2"/>
  <c r="M6980" i="2"/>
  <c r="O6979" i="2"/>
  <c r="N6979" i="2"/>
  <c r="M6979" i="2"/>
  <c r="O6978" i="2"/>
  <c r="N6978" i="2"/>
  <c r="M6978" i="2"/>
  <c r="O6977" i="2"/>
  <c r="N6977" i="2"/>
  <c r="M6977" i="2"/>
  <c r="O6976" i="2"/>
  <c r="N6976" i="2"/>
  <c r="M6976" i="2"/>
  <c r="O6975" i="2"/>
  <c r="N6975" i="2"/>
  <c r="M6975" i="2"/>
  <c r="O6974" i="2"/>
  <c r="N6974" i="2"/>
  <c r="M6974" i="2"/>
  <c r="O6973" i="2"/>
  <c r="N6973" i="2"/>
  <c r="M6973" i="2"/>
  <c r="O6972" i="2"/>
  <c r="N6972" i="2"/>
  <c r="M6972" i="2"/>
  <c r="O6971" i="2"/>
  <c r="N6971" i="2"/>
  <c r="M6971" i="2"/>
  <c r="O6970" i="2"/>
  <c r="N6970" i="2"/>
  <c r="M6970" i="2"/>
  <c r="O6969" i="2"/>
  <c r="N6969" i="2"/>
  <c r="M6969" i="2"/>
  <c r="O6968" i="2"/>
  <c r="N6968" i="2"/>
  <c r="M6968" i="2"/>
  <c r="O6967" i="2"/>
  <c r="N6967" i="2"/>
  <c r="M6967" i="2"/>
  <c r="O6966" i="2"/>
  <c r="N6966" i="2"/>
  <c r="M6966" i="2"/>
  <c r="O6965" i="2"/>
  <c r="N6965" i="2"/>
  <c r="M6965" i="2"/>
  <c r="O6964" i="2"/>
  <c r="N6964" i="2"/>
  <c r="M6964" i="2"/>
  <c r="O6963" i="2"/>
  <c r="N6963" i="2"/>
  <c r="M6963" i="2"/>
  <c r="O6962" i="2"/>
  <c r="N6962" i="2"/>
  <c r="M6962" i="2"/>
  <c r="O6961" i="2"/>
  <c r="N6961" i="2"/>
  <c r="M6961" i="2"/>
  <c r="O6960" i="2"/>
  <c r="N6960" i="2"/>
  <c r="M6960" i="2"/>
  <c r="O6959" i="2"/>
  <c r="N6959" i="2"/>
  <c r="M6959" i="2"/>
  <c r="O6958" i="2"/>
  <c r="N6958" i="2"/>
  <c r="M6958" i="2"/>
  <c r="O6957" i="2"/>
  <c r="N6957" i="2"/>
  <c r="M6957" i="2"/>
  <c r="O6956" i="2"/>
  <c r="N6956" i="2"/>
  <c r="M6956" i="2"/>
  <c r="O6955" i="2"/>
  <c r="N6955" i="2"/>
  <c r="M6955" i="2"/>
  <c r="O6954" i="2"/>
  <c r="N6954" i="2"/>
  <c r="M6954" i="2"/>
  <c r="O6953" i="2"/>
  <c r="N6953" i="2"/>
  <c r="M6953" i="2"/>
  <c r="O6952" i="2"/>
  <c r="N6952" i="2"/>
  <c r="M6952" i="2"/>
  <c r="O6951" i="2"/>
  <c r="N6951" i="2"/>
  <c r="M6951" i="2"/>
  <c r="O6950" i="2"/>
  <c r="N6950" i="2"/>
  <c r="M6950" i="2"/>
  <c r="O6949" i="2"/>
  <c r="N6949" i="2"/>
  <c r="M6949" i="2"/>
  <c r="O6948" i="2"/>
  <c r="N6948" i="2"/>
  <c r="M6948" i="2"/>
  <c r="O6947" i="2"/>
  <c r="N6947" i="2"/>
  <c r="M6947" i="2"/>
  <c r="O6946" i="2"/>
  <c r="N6946" i="2"/>
  <c r="M6946" i="2"/>
  <c r="O6945" i="2"/>
  <c r="N6945" i="2"/>
  <c r="M6945" i="2"/>
  <c r="O6944" i="2"/>
  <c r="N6944" i="2"/>
  <c r="M6944" i="2"/>
  <c r="O6943" i="2"/>
  <c r="N6943" i="2"/>
  <c r="M6943" i="2"/>
  <c r="O6942" i="2"/>
  <c r="N6942" i="2"/>
  <c r="M6942" i="2"/>
  <c r="O6941" i="2"/>
  <c r="N6941" i="2"/>
  <c r="M6941" i="2"/>
  <c r="O6940" i="2"/>
  <c r="N6940" i="2"/>
  <c r="M6940" i="2"/>
  <c r="O6939" i="2"/>
  <c r="N6939" i="2"/>
  <c r="M6939" i="2"/>
  <c r="O6938" i="2"/>
  <c r="N6938" i="2"/>
  <c r="M6938" i="2"/>
  <c r="O6937" i="2"/>
  <c r="N6937" i="2"/>
  <c r="M6937" i="2"/>
  <c r="O6936" i="2"/>
  <c r="N6936" i="2"/>
  <c r="M6936" i="2"/>
  <c r="O6935" i="2"/>
  <c r="N6935" i="2"/>
  <c r="M6935" i="2"/>
  <c r="O6934" i="2"/>
  <c r="N6934" i="2"/>
  <c r="M6934" i="2"/>
  <c r="O6933" i="2"/>
  <c r="N6933" i="2"/>
  <c r="M6933" i="2"/>
  <c r="O6932" i="2"/>
  <c r="N6932" i="2"/>
  <c r="M6932" i="2"/>
  <c r="O6931" i="2"/>
  <c r="N6931" i="2"/>
  <c r="M6931" i="2"/>
  <c r="O6930" i="2"/>
  <c r="N6930" i="2"/>
  <c r="M6930" i="2"/>
  <c r="O6929" i="2"/>
  <c r="N6929" i="2"/>
  <c r="M6929" i="2"/>
  <c r="O6928" i="2"/>
  <c r="N6928" i="2"/>
  <c r="M6928" i="2"/>
  <c r="O6927" i="2"/>
  <c r="N6927" i="2"/>
  <c r="M6927" i="2"/>
  <c r="O6926" i="2"/>
  <c r="N6926" i="2"/>
  <c r="M6926" i="2"/>
  <c r="O6925" i="2"/>
  <c r="N6925" i="2"/>
  <c r="M6925" i="2"/>
  <c r="O6924" i="2"/>
  <c r="N6924" i="2"/>
  <c r="M6924" i="2"/>
  <c r="O6923" i="2"/>
  <c r="N6923" i="2"/>
  <c r="M6923" i="2"/>
  <c r="O6922" i="2"/>
  <c r="N6922" i="2"/>
  <c r="M6922" i="2"/>
  <c r="O6921" i="2"/>
  <c r="N6921" i="2"/>
  <c r="M6921" i="2"/>
  <c r="O6920" i="2"/>
  <c r="N6920" i="2"/>
  <c r="M6920" i="2"/>
  <c r="O6919" i="2"/>
  <c r="N6919" i="2"/>
  <c r="M6919" i="2"/>
  <c r="O6918" i="2"/>
  <c r="N6918" i="2"/>
  <c r="M6918" i="2"/>
  <c r="O6917" i="2"/>
  <c r="N6917" i="2"/>
  <c r="M6917" i="2"/>
  <c r="O6916" i="2"/>
  <c r="N6916" i="2"/>
  <c r="M6916" i="2"/>
  <c r="O6915" i="2"/>
  <c r="N6915" i="2"/>
  <c r="M6915" i="2"/>
  <c r="O6914" i="2"/>
  <c r="N6914" i="2"/>
  <c r="M6914" i="2"/>
  <c r="O6913" i="2"/>
  <c r="N6913" i="2"/>
  <c r="M6913" i="2"/>
  <c r="O6912" i="2"/>
  <c r="N6912" i="2"/>
  <c r="M6912" i="2"/>
  <c r="O6911" i="2"/>
  <c r="N6911" i="2"/>
  <c r="M6911" i="2"/>
  <c r="O6910" i="2"/>
  <c r="N6910" i="2"/>
  <c r="M6910" i="2"/>
  <c r="O6909" i="2"/>
  <c r="N6909" i="2"/>
  <c r="M6909" i="2"/>
  <c r="O6908" i="2"/>
  <c r="N6908" i="2"/>
  <c r="M6908" i="2"/>
  <c r="O6907" i="2"/>
  <c r="N6907" i="2"/>
  <c r="M6907" i="2"/>
  <c r="O6906" i="2"/>
  <c r="N6906" i="2"/>
  <c r="M6906" i="2"/>
  <c r="O6905" i="2"/>
  <c r="N6905" i="2"/>
  <c r="M6905" i="2"/>
  <c r="O6904" i="2"/>
  <c r="N6904" i="2"/>
  <c r="M6904" i="2"/>
  <c r="O6903" i="2"/>
  <c r="N6903" i="2"/>
  <c r="M6903" i="2"/>
  <c r="O6902" i="2"/>
  <c r="N6902" i="2"/>
  <c r="M6902" i="2"/>
  <c r="O6901" i="2"/>
  <c r="N6901" i="2"/>
  <c r="M6901" i="2"/>
  <c r="O6900" i="2"/>
  <c r="N6900" i="2"/>
  <c r="M6900" i="2"/>
  <c r="O6899" i="2"/>
  <c r="N6899" i="2"/>
  <c r="M6899" i="2"/>
  <c r="O6898" i="2"/>
  <c r="N6898" i="2"/>
  <c r="M6898" i="2"/>
  <c r="O6897" i="2"/>
  <c r="N6897" i="2"/>
  <c r="M6897" i="2"/>
  <c r="O6896" i="2"/>
  <c r="N6896" i="2"/>
  <c r="M6896" i="2"/>
  <c r="O6895" i="2"/>
  <c r="N6895" i="2"/>
  <c r="M6895" i="2"/>
  <c r="O6894" i="2"/>
  <c r="N6894" i="2"/>
  <c r="M6894" i="2"/>
  <c r="O6893" i="2"/>
  <c r="N6893" i="2"/>
  <c r="M6893" i="2"/>
  <c r="O6892" i="2"/>
  <c r="N6892" i="2"/>
  <c r="M6892" i="2"/>
  <c r="O6891" i="2"/>
  <c r="N6891" i="2"/>
  <c r="M6891" i="2"/>
  <c r="O6890" i="2"/>
  <c r="N6890" i="2"/>
  <c r="M6890" i="2"/>
  <c r="O6889" i="2"/>
  <c r="N6889" i="2"/>
  <c r="M6889" i="2"/>
  <c r="O6888" i="2"/>
  <c r="N6888" i="2"/>
  <c r="M6888" i="2"/>
  <c r="O6887" i="2"/>
  <c r="N6887" i="2"/>
  <c r="M6887" i="2"/>
  <c r="O6886" i="2"/>
  <c r="N6886" i="2"/>
  <c r="M6886" i="2"/>
  <c r="O6885" i="2"/>
  <c r="N6885" i="2"/>
  <c r="M6885" i="2"/>
  <c r="O6884" i="2"/>
  <c r="N6884" i="2"/>
  <c r="M6884" i="2"/>
  <c r="O6883" i="2"/>
  <c r="N6883" i="2"/>
  <c r="M6883" i="2"/>
  <c r="O6882" i="2"/>
  <c r="N6882" i="2"/>
  <c r="M6882" i="2"/>
  <c r="O6881" i="2"/>
  <c r="N6881" i="2"/>
  <c r="M6881" i="2"/>
  <c r="O6880" i="2"/>
  <c r="N6880" i="2"/>
  <c r="M6880" i="2"/>
  <c r="O6879" i="2"/>
  <c r="N6879" i="2"/>
  <c r="M6879" i="2"/>
  <c r="O6878" i="2"/>
  <c r="N6878" i="2"/>
  <c r="M6878" i="2"/>
  <c r="O6877" i="2"/>
  <c r="N6877" i="2"/>
  <c r="M6877" i="2"/>
  <c r="O6876" i="2"/>
  <c r="N6876" i="2"/>
  <c r="M6876" i="2"/>
  <c r="O6875" i="2"/>
  <c r="N6875" i="2"/>
  <c r="M6875" i="2"/>
  <c r="O6874" i="2"/>
  <c r="N6874" i="2"/>
  <c r="M6874" i="2"/>
  <c r="O6873" i="2"/>
  <c r="N6873" i="2"/>
  <c r="M6873" i="2"/>
  <c r="O6872" i="2"/>
  <c r="N6872" i="2"/>
  <c r="M6872" i="2"/>
  <c r="O6871" i="2"/>
  <c r="N6871" i="2"/>
  <c r="M6871" i="2"/>
  <c r="O6870" i="2"/>
  <c r="N6870" i="2"/>
  <c r="M6870" i="2"/>
  <c r="O6869" i="2"/>
  <c r="N6869" i="2"/>
  <c r="M6869" i="2"/>
  <c r="O6868" i="2"/>
  <c r="N6868" i="2"/>
  <c r="M6868" i="2"/>
  <c r="O6867" i="2"/>
  <c r="N6867" i="2"/>
  <c r="M6867" i="2"/>
  <c r="O6866" i="2"/>
  <c r="N6866" i="2"/>
  <c r="M6866" i="2"/>
  <c r="O6865" i="2"/>
  <c r="N6865" i="2"/>
  <c r="M6865" i="2"/>
  <c r="O6864" i="2"/>
  <c r="N6864" i="2"/>
  <c r="M6864" i="2"/>
  <c r="O6863" i="2"/>
  <c r="N6863" i="2"/>
  <c r="M6863" i="2"/>
  <c r="O6862" i="2"/>
  <c r="N6862" i="2"/>
  <c r="M6862" i="2"/>
  <c r="O6861" i="2"/>
  <c r="N6861" i="2"/>
  <c r="M6861" i="2"/>
  <c r="O6860" i="2"/>
  <c r="N6860" i="2"/>
  <c r="M6860" i="2"/>
  <c r="O6859" i="2"/>
  <c r="N6859" i="2"/>
  <c r="M6859" i="2"/>
  <c r="O6858" i="2"/>
  <c r="N6858" i="2"/>
  <c r="M6858" i="2"/>
  <c r="O6857" i="2"/>
  <c r="N6857" i="2"/>
  <c r="M6857" i="2"/>
  <c r="O6856" i="2"/>
  <c r="N6856" i="2"/>
  <c r="M6856" i="2"/>
  <c r="O6855" i="2"/>
  <c r="N6855" i="2"/>
  <c r="M6855" i="2"/>
  <c r="O6854" i="2"/>
  <c r="N6854" i="2"/>
  <c r="M6854" i="2"/>
  <c r="O6853" i="2"/>
  <c r="N6853" i="2"/>
  <c r="M6853" i="2"/>
  <c r="O6852" i="2"/>
  <c r="N6852" i="2"/>
  <c r="M6852" i="2"/>
  <c r="O6851" i="2"/>
  <c r="N6851" i="2"/>
  <c r="M6851" i="2"/>
  <c r="O6850" i="2"/>
  <c r="N6850" i="2"/>
  <c r="M6850" i="2"/>
  <c r="O6849" i="2"/>
  <c r="N6849" i="2"/>
  <c r="M6849" i="2"/>
  <c r="O6848" i="2"/>
  <c r="N6848" i="2"/>
  <c r="M6848" i="2"/>
  <c r="O6847" i="2"/>
  <c r="N6847" i="2"/>
  <c r="M6847" i="2"/>
  <c r="O6846" i="2"/>
  <c r="N6846" i="2"/>
  <c r="M6846" i="2"/>
  <c r="O6845" i="2"/>
  <c r="N6845" i="2"/>
  <c r="M6845" i="2"/>
  <c r="O6844" i="2"/>
  <c r="N6844" i="2"/>
  <c r="M6844" i="2"/>
  <c r="O6843" i="2"/>
  <c r="N6843" i="2"/>
  <c r="M6843" i="2"/>
  <c r="O6842" i="2"/>
  <c r="N6842" i="2"/>
  <c r="M6842" i="2"/>
  <c r="O6841" i="2"/>
  <c r="N6841" i="2"/>
  <c r="M6841" i="2"/>
  <c r="O6840" i="2"/>
  <c r="N6840" i="2"/>
  <c r="M6840" i="2"/>
  <c r="O6839" i="2"/>
  <c r="N6839" i="2"/>
  <c r="M6839" i="2"/>
  <c r="O6838" i="2"/>
  <c r="N6838" i="2"/>
  <c r="M6838" i="2"/>
  <c r="O6837" i="2"/>
  <c r="N6837" i="2"/>
  <c r="M6837" i="2"/>
  <c r="O6836" i="2"/>
  <c r="N6836" i="2"/>
  <c r="M6836" i="2"/>
  <c r="O6835" i="2"/>
  <c r="N6835" i="2"/>
  <c r="M6835" i="2"/>
  <c r="O6834" i="2"/>
  <c r="N6834" i="2"/>
  <c r="M6834" i="2"/>
  <c r="O6833" i="2"/>
  <c r="N6833" i="2"/>
  <c r="M6833" i="2"/>
  <c r="O6832" i="2"/>
  <c r="N6832" i="2"/>
  <c r="M6832" i="2"/>
  <c r="O6831" i="2"/>
  <c r="N6831" i="2"/>
  <c r="M6831" i="2"/>
  <c r="O6830" i="2"/>
  <c r="N6830" i="2"/>
  <c r="M6830" i="2"/>
  <c r="O6829" i="2"/>
  <c r="N6829" i="2"/>
  <c r="M6829" i="2"/>
  <c r="O6828" i="2"/>
  <c r="N6828" i="2"/>
  <c r="M6828" i="2"/>
  <c r="O6827" i="2"/>
  <c r="N6827" i="2"/>
  <c r="M6827" i="2"/>
  <c r="O6826" i="2"/>
  <c r="N6826" i="2"/>
  <c r="M6826" i="2"/>
  <c r="O6825" i="2"/>
  <c r="N6825" i="2"/>
  <c r="M6825" i="2"/>
  <c r="O6824" i="2"/>
  <c r="N6824" i="2"/>
  <c r="M6824" i="2"/>
  <c r="O6823" i="2"/>
  <c r="N6823" i="2"/>
  <c r="M6823" i="2"/>
  <c r="O6822" i="2"/>
  <c r="N6822" i="2"/>
  <c r="M6822" i="2"/>
  <c r="O6821" i="2"/>
  <c r="N6821" i="2"/>
  <c r="M6821" i="2"/>
  <c r="O6820" i="2"/>
  <c r="N6820" i="2"/>
  <c r="M6820" i="2"/>
  <c r="O6819" i="2"/>
  <c r="N6819" i="2"/>
  <c r="M6819" i="2"/>
  <c r="O6818" i="2"/>
  <c r="N6818" i="2"/>
  <c r="M6818" i="2"/>
  <c r="O6817" i="2"/>
  <c r="N6817" i="2"/>
  <c r="M6817" i="2"/>
  <c r="O6816" i="2"/>
  <c r="N6816" i="2"/>
  <c r="M6816" i="2"/>
  <c r="O6815" i="2"/>
  <c r="N6815" i="2"/>
  <c r="M6815" i="2"/>
  <c r="O6814" i="2"/>
  <c r="N6814" i="2"/>
  <c r="M6814" i="2"/>
  <c r="O6813" i="2"/>
  <c r="N6813" i="2"/>
  <c r="M6813" i="2"/>
  <c r="O6812" i="2"/>
  <c r="N6812" i="2"/>
  <c r="M6812" i="2"/>
  <c r="O6811" i="2"/>
  <c r="N6811" i="2"/>
  <c r="M6811" i="2"/>
  <c r="O6810" i="2"/>
  <c r="N6810" i="2"/>
  <c r="M6810" i="2"/>
  <c r="O6809" i="2"/>
  <c r="N6809" i="2"/>
  <c r="M6809" i="2"/>
  <c r="O6808" i="2"/>
  <c r="N6808" i="2"/>
  <c r="M6808" i="2"/>
  <c r="O6807" i="2"/>
  <c r="N6807" i="2"/>
  <c r="M6807" i="2"/>
  <c r="O6806" i="2"/>
  <c r="N6806" i="2"/>
  <c r="M6806" i="2"/>
  <c r="O6805" i="2"/>
  <c r="N6805" i="2"/>
  <c r="M6805" i="2"/>
  <c r="O6804" i="2"/>
  <c r="N6804" i="2"/>
  <c r="M6804" i="2"/>
  <c r="O6803" i="2"/>
  <c r="N6803" i="2"/>
  <c r="M6803" i="2"/>
  <c r="O6802" i="2"/>
  <c r="N6802" i="2"/>
  <c r="M6802" i="2"/>
  <c r="O6801" i="2"/>
  <c r="N6801" i="2"/>
  <c r="M6801" i="2"/>
  <c r="O6800" i="2"/>
  <c r="N6800" i="2"/>
  <c r="M6800" i="2"/>
  <c r="O6799" i="2"/>
  <c r="N6799" i="2"/>
  <c r="M6799" i="2"/>
  <c r="O6798" i="2"/>
  <c r="N6798" i="2"/>
  <c r="M6798" i="2"/>
  <c r="O6797" i="2"/>
  <c r="N6797" i="2"/>
  <c r="M6797" i="2"/>
  <c r="O6796" i="2"/>
  <c r="N6796" i="2"/>
  <c r="M6796" i="2"/>
  <c r="O6795" i="2"/>
  <c r="N6795" i="2"/>
  <c r="M6795" i="2"/>
  <c r="O6794" i="2"/>
  <c r="N6794" i="2"/>
  <c r="M6794" i="2"/>
  <c r="O6793" i="2"/>
  <c r="N6793" i="2"/>
  <c r="M6793" i="2"/>
  <c r="O6792" i="2"/>
  <c r="N6792" i="2"/>
  <c r="M6792" i="2"/>
  <c r="O6791" i="2"/>
  <c r="N6791" i="2"/>
  <c r="M6791" i="2"/>
  <c r="O6790" i="2"/>
  <c r="N6790" i="2"/>
  <c r="M6790" i="2"/>
  <c r="O6789" i="2"/>
  <c r="N6789" i="2"/>
  <c r="M6789" i="2"/>
  <c r="O6788" i="2"/>
  <c r="N6788" i="2"/>
  <c r="M6788" i="2"/>
  <c r="O6787" i="2"/>
  <c r="N6787" i="2"/>
  <c r="M6787" i="2"/>
  <c r="O6786" i="2"/>
  <c r="N6786" i="2"/>
  <c r="M6786" i="2"/>
  <c r="O6785" i="2"/>
  <c r="N6785" i="2"/>
  <c r="M6785" i="2"/>
  <c r="O6784" i="2"/>
  <c r="N6784" i="2"/>
  <c r="M6784" i="2"/>
  <c r="O6783" i="2"/>
  <c r="N6783" i="2"/>
  <c r="M6783" i="2"/>
  <c r="O6782" i="2"/>
  <c r="N6782" i="2"/>
  <c r="M6782" i="2"/>
  <c r="O6781" i="2"/>
  <c r="N6781" i="2"/>
  <c r="M6781" i="2"/>
  <c r="O6780" i="2"/>
  <c r="N6780" i="2"/>
  <c r="M6780" i="2"/>
  <c r="O6779" i="2"/>
  <c r="N6779" i="2"/>
  <c r="M6779" i="2"/>
  <c r="O6778" i="2"/>
  <c r="N6778" i="2"/>
  <c r="M6778" i="2"/>
  <c r="O6777" i="2"/>
  <c r="N6777" i="2"/>
  <c r="M6777" i="2"/>
  <c r="O6776" i="2"/>
  <c r="N6776" i="2"/>
  <c r="M6776" i="2"/>
  <c r="O6775" i="2"/>
  <c r="N6775" i="2"/>
  <c r="M6775" i="2"/>
  <c r="O6774" i="2"/>
  <c r="N6774" i="2"/>
  <c r="M6774" i="2"/>
  <c r="O6773" i="2"/>
  <c r="N6773" i="2"/>
  <c r="M6773" i="2"/>
  <c r="O6772" i="2"/>
  <c r="N6772" i="2"/>
  <c r="M6772" i="2"/>
  <c r="O6771" i="2"/>
  <c r="N6771" i="2"/>
  <c r="M6771" i="2"/>
  <c r="O6770" i="2"/>
  <c r="N6770" i="2"/>
  <c r="M6770" i="2"/>
  <c r="O6769" i="2"/>
  <c r="N6769" i="2"/>
  <c r="M6769" i="2"/>
  <c r="O6768" i="2"/>
  <c r="N6768" i="2"/>
  <c r="M6768" i="2"/>
  <c r="O6767" i="2"/>
  <c r="N6767" i="2"/>
  <c r="M6767" i="2"/>
  <c r="O6766" i="2"/>
  <c r="N6766" i="2"/>
  <c r="M6766" i="2"/>
  <c r="O6765" i="2"/>
  <c r="N6765" i="2"/>
  <c r="M6765" i="2"/>
  <c r="O6764" i="2"/>
  <c r="N6764" i="2"/>
  <c r="M6764" i="2"/>
  <c r="O6763" i="2"/>
  <c r="N6763" i="2"/>
  <c r="M6763" i="2"/>
  <c r="O6762" i="2"/>
  <c r="N6762" i="2"/>
  <c r="M6762" i="2"/>
  <c r="O6761" i="2"/>
  <c r="N6761" i="2"/>
  <c r="M6761" i="2"/>
  <c r="O6760" i="2"/>
  <c r="N6760" i="2"/>
  <c r="M6760" i="2"/>
  <c r="O6759" i="2"/>
  <c r="N6759" i="2"/>
  <c r="M6759" i="2"/>
  <c r="O6758" i="2"/>
  <c r="N6758" i="2"/>
  <c r="M6758" i="2"/>
  <c r="O6757" i="2"/>
  <c r="N6757" i="2"/>
  <c r="M6757" i="2"/>
  <c r="O6756" i="2"/>
  <c r="N6756" i="2"/>
  <c r="M6756" i="2"/>
  <c r="O6755" i="2"/>
  <c r="N6755" i="2"/>
  <c r="M6755" i="2"/>
  <c r="O6754" i="2"/>
  <c r="N6754" i="2"/>
  <c r="M6754" i="2"/>
  <c r="O6753" i="2"/>
  <c r="N6753" i="2"/>
  <c r="M6753" i="2"/>
  <c r="O6752" i="2"/>
  <c r="N6752" i="2"/>
  <c r="M6752" i="2"/>
  <c r="O6751" i="2"/>
  <c r="N6751" i="2"/>
  <c r="M6751" i="2"/>
  <c r="O6750" i="2"/>
  <c r="N6750" i="2"/>
  <c r="M6750" i="2"/>
  <c r="O6749" i="2"/>
  <c r="N6749" i="2"/>
  <c r="M6749" i="2"/>
  <c r="O6748" i="2"/>
  <c r="N6748" i="2"/>
  <c r="M6748" i="2"/>
  <c r="O6747" i="2"/>
  <c r="N6747" i="2"/>
  <c r="M6747" i="2"/>
  <c r="O6746" i="2"/>
  <c r="N6746" i="2"/>
  <c r="M6746" i="2"/>
  <c r="O6745" i="2"/>
  <c r="N6745" i="2"/>
  <c r="M6745" i="2"/>
  <c r="O6744" i="2"/>
  <c r="N6744" i="2"/>
  <c r="M6744" i="2"/>
  <c r="O6743" i="2"/>
  <c r="N6743" i="2"/>
  <c r="M6743" i="2"/>
  <c r="O6742" i="2"/>
  <c r="N6742" i="2"/>
  <c r="M6742" i="2"/>
  <c r="O6741" i="2"/>
  <c r="N6741" i="2"/>
  <c r="M6741" i="2"/>
  <c r="O6740" i="2"/>
  <c r="N6740" i="2"/>
  <c r="M6740" i="2"/>
  <c r="O6739" i="2"/>
  <c r="N6739" i="2"/>
  <c r="M6739" i="2"/>
  <c r="O6738" i="2"/>
  <c r="N6738" i="2"/>
  <c r="M6738" i="2"/>
  <c r="O6737" i="2"/>
  <c r="N6737" i="2"/>
  <c r="M6737" i="2"/>
  <c r="O6736" i="2"/>
  <c r="N6736" i="2"/>
  <c r="M6736" i="2"/>
  <c r="O6735" i="2"/>
  <c r="N6735" i="2"/>
  <c r="M6735" i="2"/>
  <c r="O6734" i="2"/>
  <c r="N6734" i="2"/>
  <c r="M6734" i="2"/>
  <c r="O6733" i="2"/>
  <c r="N6733" i="2"/>
  <c r="M6733" i="2"/>
  <c r="O6732" i="2"/>
  <c r="N6732" i="2"/>
  <c r="M6732" i="2"/>
  <c r="O6731" i="2"/>
  <c r="N6731" i="2"/>
  <c r="M6731" i="2"/>
  <c r="O6730" i="2"/>
  <c r="N6730" i="2"/>
  <c r="M6730" i="2"/>
  <c r="O6729" i="2"/>
  <c r="N6729" i="2"/>
  <c r="M6729" i="2"/>
  <c r="O6728" i="2"/>
  <c r="N6728" i="2"/>
  <c r="M6728" i="2"/>
  <c r="O6727" i="2"/>
  <c r="N6727" i="2"/>
  <c r="M6727" i="2"/>
  <c r="O6726" i="2"/>
  <c r="N6726" i="2"/>
  <c r="M6726" i="2"/>
  <c r="O6725" i="2"/>
  <c r="N6725" i="2"/>
  <c r="M6725" i="2"/>
  <c r="O6724" i="2"/>
  <c r="N6724" i="2"/>
  <c r="M6724" i="2"/>
  <c r="O6723" i="2"/>
  <c r="N6723" i="2"/>
  <c r="M6723" i="2"/>
  <c r="O6722" i="2"/>
  <c r="N6722" i="2"/>
  <c r="M6722" i="2"/>
  <c r="O6721" i="2"/>
  <c r="N6721" i="2"/>
  <c r="M6721" i="2"/>
  <c r="O6720" i="2"/>
  <c r="N6720" i="2"/>
  <c r="M6720" i="2"/>
  <c r="O6719" i="2"/>
  <c r="N6719" i="2"/>
  <c r="M6719" i="2"/>
  <c r="O6718" i="2"/>
  <c r="N6718" i="2"/>
  <c r="M6718" i="2"/>
  <c r="O6717" i="2"/>
  <c r="N6717" i="2"/>
  <c r="M6717" i="2"/>
  <c r="O6716" i="2"/>
  <c r="N6716" i="2"/>
  <c r="M6716" i="2"/>
  <c r="O6715" i="2"/>
  <c r="N6715" i="2"/>
  <c r="M6715" i="2"/>
  <c r="O6714" i="2"/>
  <c r="N6714" i="2"/>
  <c r="M6714" i="2"/>
  <c r="O6713" i="2"/>
  <c r="N6713" i="2"/>
  <c r="M6713" i="2"/>
  <c r="O6712" i="2"/>
  <c r="N6712" i="2"/>
  <c r="M6712" i="2"/>
  <c r="O6711" i="2"/>
  <c r="N6711" i="2"/>
  <c r="M6711" i="2"/>
  <c r="O6710" i="2"/>
  <c r="N6710" i="2"/>
  <c r="M6710" i="2"/>
  <c r="O6709" i="2"/>
  <c r="N6709" i="2"/>
  <c r="M6709" i="2"/>
  <c r="O6708" i="2"/>
  <c r="N6708" i="2"/>
  <c r="M6708" i="2"/>
  <c r="O6707" i="2"/>
  <c r="N6707" i="2"/>
  <c r="M6707" i="2"/>
  <c r="O6706" i="2"/>
  <c r="N6706" i="2"/>
  <c r="M6706" i="2"/>
  <c r="O6705" i="2"/>
  <c r="N6705" i="2"/>
  <c r="M6705" i="2"/>
  <c r="O6704" i="2"/>
  <c r="N6704" i="2"/>
  <c r="M6704" i="2"/>
  <c r="O6703" i="2"/>
  <c r="N6703" i="2"/>
  <c r="M6703" i="2"/>
  <c r="O6702" i="2"/>
  <c r="N6702" i="2"/>
  <c r="M6702" i="2"/>
  <c r="O6701" i="2"/>
  <c r="N6701" i="2"/>
  <c r="M6701" i="2"/>
  <c r="O6700" i="2"/>
  <c r="N6700" i="2"/>
  <c r="M6700" i="2"/>
  <c r="O6699" i="2"/>
  <c r="N6699" i="2"/>
  <c r="M6699" i="2"/>
  <c r="O6698" i="2"/>
  <c r="N6698" i="2"/>
  <c r="M6698" i="2"/>
  <c r="O6697" i="2"/>
  <c r="N6697" i="2"/>
  <c r="M6697" i="2"/>
  <c r="O6696" i="2"/>
  <c r="N6696" i="2"/>
  <c r="M6696" i="2"/>
  <c r="O6695" i="2"/>
  <c r="N6695" i="2"/>
  <c r="M6695" i="2"/>
  <c r="O6694" i="2"/>
  <c r="N6694" i="2"/>
  <c r="M6694" i="2"/>
  <c r="O6693" i="2"/>
  <c r="N6693" i="2"/>
  <c r="M6693" i="2"/>
  <c r="O6692" i="2"/>
  <c r="N6692" i="2"/>
  <c r="M6692" i="2"/>
  <c r="O6691" i="2"/>
  <c r="N6691" i="2"/>
  <c r="M6691" i="2"/>
  <c r="O6690" i="2"/>
  <c r="N6690" i="2"/>
  <c r="M6690" i="2"/>
  <c r="O6689" i="2"/>
  <c r="N6689" i="2"/>
  <c r="M6689" i="2"/>
  <c r="O6688" i="2"/>
  <c r="N6688" i="2"/>
  <c r="M6688" i="2"/>
  <c r="O6687" i="2"/>
  <c r="N6687" i="2"/>
  <c r="M6687" i="2"/>
  <c r="O6686" i="2"/>
  <c r="N6686" i="2"/>
  <c r="M6686" i="2"/>
  <c r="O6685" i="2"/>
  <c r="N6685" i="2"/>
  <c r="M6685" i="2"/>
  <c r="O6684" i="2"/>
  <c r="N6684" i="2"/>
  <c r="M6684" i="2"/>
  <c r="O6683" i="2"/>
  <c r="N6683" i="2"/>
  <c r="M6683" i="2"/>
  <c r="O6682" i="2"/>
  <c r="N6682" i="2"/>
  <c r="M6682" i="2"/>
  <c r="O6681" i="2"/>
  <c r="N6681" i="2"/>
  <c r="M6681" i="2"/>
  <c r="O6680" i="2"/>
  <c r="N6680" i="2"/>
  <c r="M6680" i="2"/>
  <c r="O6679" i="2"/>
  <c r="N6679" i="2"/>
  <c r="M6679" i="2"/>
  <c r="O6678" i="2"/>
  <c r="N6678" i="2"/>
  <c r="M6678" i="2"/>
  <c r="O6677" i="2"/>
  <c r="N6677" i="2"/>
  <c r="M6677" i="2"/>
  <c r="O6676" i="2"/>
  <c r="N6676" i="2"/>
  <c r="M6676" i="2"/>
  <c r="O6675" i="2"/>
  <c r="N6675" i="2"/>
  <c r="M6675" i="2"/>
  <c r="O6674" i="2"/>
  <c r="N6674" i="2"/>
  <c r="M6674" i="2"/>
  <c r="O6673" i="2"/>
  <c r="N6673" i="2"/>
  <c r="M6673" i="2"/>
  <c r="O6672" i="2"/>
  <c r="N6672" i="2"/>
  <c r="M6672" i="2"/>
  <c r="O6671" i="2"/>
  <c r="N6671" i="2"/>
  <c r="M6671" i="2"/>
  <c r="O6670" i="2"/>
  <c r="N6670" i="2"/>
  <c r="M6670" i="2"/>
  <c r="O6669" i="2"/>
  <c r="N6669" i="2"/>
  <c r="M6669" i="2"/>
  <c r="O6668" i="2"/>
  <c r="N6668" i="2"/>
  <c r="M6668" i="2"/>
  <c r="O6667" i="2"/>
  <c r="N6667" i="2"/>
  <c r="M6667" i="2"/>
  <c r="O6666" i="2"/>
  <c r="N6666" i="2"/>
  <c r="M6666" i="2"/>
  <c r="O6665" i="2"/>
  <c r="N6665" i="2"/>
  <c r="M6665" i="2"/>
  <c r="O6664" i="2"/>
  <c r="N6664" i="2"/>
  <c r="M6664" i="2"/>
  <c r="O6663" i="2"/>
  <c r="N6663" i="2"/>
  <c r="M6663" i="2"/>
  <c r="O6662" i="2"/>
  <c r="N6662" i="2"/>
  <c r="M6662" i="2"/>
  <c r="O6661" i="2"/>
  <c r="N6661" i="2"/>
  <c r="M6661" i="2"/>
  <c r="O6660" i="2"/>
  <c r="N6660" i="2"/>
  <c r="M6660" i="2"/>
  <c r="O6659" i="2"/>
  <c r="N6659" i="2"/>
  <c r="M6659" i="2"/>
  <c r="O6658" i="2"/>
  <c r="N6658" i="2"/>
  <c r="M6658" i="2"/>
  <c r="O6657" i="2"/>
  <c r="N6657" i="2"/>
  <c r="M6657" i="2"/>
  <c r="O6656" i="2"/>
  <c r="N6656" i="2"/>
  <c r="M6656" i="2"/>
  <c r="O6655" i="2"/>
  <c r="N6655" i="2"/>
  <c r="M6655" i="2"/>
  <c r="O6654" i="2"/>
  <c r="N6654" i="2"/>
  <c r="M6654" i="2"/>
  <c r="O6653" i="2"/>
  <c r="N6653" i="2"/>
  <c r="M6653" i="2"/>
  <c r="O6652" i="2"/>
  <c r="N6652" i="2"/>
  <c r="M6652" i="2"/>
  <c r="O6651" i="2"/>
  <c r="N6651" i="2"/>
  <c r="M6651" i="2"/>
  <c r="O6650" i="2"/>
  <c r="N6650" i="2"/>
  <c r="M6650" i="2"/>
  <c r="O6649" i="2"/>
  <c r="N6649" i="2"/>
  <c r="M6649" i="2"/>
  <c r="O6648" i="2"/>
  <c r="N6648" i="2"/>
  <c r="M6648" i="2"/>
  <c r="O6647" i="2"/>
  <c r="N6647" i="2"/>
  <c r="M6647" i="2"/>
  <c r="O6646" i="2"/>
  <c r="N6646" i="2"/>
  <c r="M6646" i="2"/>
  <c r="O6645" i="2"/>
  <c r="N6645" i="2"/>
  <c r="M6645" i="2"/>
  <c r="O6644" i="2"/>
  <c r="N6644" i="2"/>
  <c r="M6644" i="2"/>
  <c r="O6643" i="2"/>
  <c r="N6643" i="2"/>
  <c r="M6643" i="2"/>
  <c r="O6642" i="2"/>
  <c r="N6642" i="2"/>
  <c r="M6642" i="2"/>
  <c r="O6641" i="2"/>
  <c r="N6641" i="2"/>
  <c r="M6641" i="2"/>
  <c r="O6640" i="2"/>
  <c r="N6640" i="2"/>
  <c r="M6640" i="2"/>
  <c r="O6639" i="2"/>
  <c r="N6639" i="2"/>
  <c r="M6639" i="2"/>
  <c r="O6638" i="2"/>
  <c r="N6638" i="2"/>
  <c r="M6638" i="2"/>
  <c r="O6637" i="2"/>
  <c r="N6637" i="2"/>
  <c r="M6637" i="2"/>
  <c r="O6636" i="2"/>
  <c r="N6636" i="2"/>
  <c r="M6636" i="2"/>
  <c r="O6635" i="2"/>
  <c r="N6635" i="2"/>
  <c r="M6635" i="2"/>
  <c r="O6634" i="2"/>
  <c r="N6634" i="2"/>
  <c r="M6634" i="2"/>
  <c r="O6633" i="2"/>
  <c r="N6633" i="2"/>
  <c r="M6633" i="2"/>
  <c r="O6632" i="2"/>
  <c r="N6632" i="2"/>
  <c r="M6632" i="2"/>
  <c r="O6631" i="2"/>
  <c r="N6631" i="2"/>
  <c r="M6631" i="2"/>
  <c r="O6630" i="2"/>
  <c r="N6630" i="2"/>
  <c r="M6630" i="2"/>
  <c r="O6629" i="2"/>
  <c r="N6629" i="2"/>
  <c r="M6629" i="2"/>
  <c r="O6628" i="2"/>
  <c r="N6628" i="2"/>
  <c r="M6628" i="2"/>
  <c r="O6627" i="2"/>
  <c r="N6627" i="2"/>
  <c r="M6627" i="2"/>
  <c r="O6626" i="2"/>
  <c r="N6626" i="2"/>
  <c r="M6626" i="2"/>
  <c r="O6625" i="2"/>
  <c r="N6625" i="2"/>
  <c r="M6625" i="2"/>
  <c r="O6624" i="2"/>
  <c r="N6624" i="2"/>
  <c r="M6624" i="2"/>
  <c r="O6623" i="2"/>
  <c r="N6623" i="2"/>
  <c r="M6623" i="2"/>
  <c r="O6622" i="2"/>
  <c r="N6622" i="2"/>
  <c r="M6622" i="2"/>
  <c r="O6621" i="2"/>
  <c r="N6621" i="2"/>
  <c r="M6621" i="2"/>
  <c r="O6620" i="2"/>
  <c r="N6620" i="2"/>
  <c r="M6620" i="2"/>
  <c r="O6619" i="2"/>
  <c r="N6619" i="2"/>
  <c r="M6619" i="2"/>
  <c r="O6618" i="2"/>
  <c r="N6618" i="2"/>
  <c r="M6618" i="2"/>
  <c r="O6617" i="2"/>
  <c r="N6617" i="2"/>
  <c r="M6617" i="2"/>
  <c r="O6616" i="2"/>
  <c r="N6616" i="2"/>
  <c r="M6616" i="2"/>
  <c r="O6615" i="2"/>
  <c r="N6615" i="2"/>
  <c r="M6615" i="2"/>
  <c r="O6614" i="2"/>
  <c r="N6614" i="2"/>
  <c r="M6614" i="2"/>
  <c r="O6613" i="2"/>
  <c r="N6613" i="2"/>
  <c r="M6613" i="2"/>
  <c r="O6612" i="2"/>
  <c r="N6612" i="2"/>
  <c r="M6612" i="2"/>
  <c r="O6611" i="2"/>
  <c r="N6611" i="2"/>
  <c r="M6611" i="2"/>
  <c r="O6610" i="2"/>
  <c r="N6610" i="2"/>
  <c r="M6610" i="2"/>
  <c r="O6609" i="2"/>
  <c r="N6609" i="2"/>
  <c r="M6609" i="2"/>
  <c r="O6608" i="2"/>
  <c r="N6608" i="2"/>
  <c r="M6608" i="2"/>
  <c r="O6607" i="2"/>
  <c r="N6607" i="2"/>
  <c r="M6607" i="2"/>
  <c r="O6606" i="2"/>
  <c r="N6606" i="2"/>
  <c r="M6606" i="2"/>
  <c r="O6605" i="2"/>
  <c r="N6605" i="2"/>
  <c r="M6605" i="2"/>
  <c r="O6604" i="2"/>
  <c r="N6604" i="2"/>
  <c r="M6604" i="2"/>
  <c r="O6603" i="2"/>
  <c r="N6603" i="2"/>
  <c r="M6603" i="2"/>
  <c r="O6602" i="2"/>
  <c r="N6602" i="2"/>
  <c r="M6602" i="2"/>
  <c r="O6601" i="2"/>
  <c r="N6601" i="2"/>
  <c r="M6601" i="2"/>
  <c r="O6600" i="2"/>
  <c r="N6600" i="2"/>
  <c r="M6600" i="2"/>
  <c r="O6599" i="2"/>
  <c r="N6599" i="2"/>
  <c r="M6599" i="2"/>
  <c r="O6598" i="2"/>
  <c r="N6598" i="2"/>
  <c r="M6598" i="2"/>
  <c r="O6597" i="2"/>
  <c r="N6597" i="2"/>
  <c r="M6597" i="2"/>
  <c r="O6596" i="2"/>
  <c r="N6596" i="2"/>
  <c r="M6596" i="2"/>
  <c r="O6595" i="2"/>
  <c r="N6595" i="2"/>
  <c r="M6595" i="2"/>
  <c r="O6594" i="2"/>
  <c r="N6594" i="2"/>
  <c r="M6594" i="2"/>
  <c r="O6593" i="2"/>
  <c r="N6593" i="2"/>
  <c r="M6593" i="2"/>
  <c r="O6592" i="2"/>
  <c r="N6592" i="2"/>
  <c r="M6592" i="2"/>
  <c r="O6591" i="2"/>
  <c r="N6591" i="2"/>
  <c r="M6591" i="2"/>
  <c r="O6590" i="2"/>
  <c r="N6590" i="2"/>
  <c r="M6590" i="2"/>
  <c r="O6589" i="2"/>
  <c r="N6589" i="2"/>
  <c r="M6589" i="2"/>
  <c r="O6588" i="2"/>
  <c r="N6588" i="2"/>
  <c r="M6588" i="2"/>
  <c r="O6587" i="2"/>
  <c r="N6587" i="2"/>
  <c r="M6587" i="2"/>
  <c r="O6586" i="2"/>
  <c r="N6586" i="2"/>
  <c r="M6586" i="2"/>
  <c r="O6585" i="2"/>
  <c r="N6585" i="2"/>
  <c r="M6585" i="2"/>
  <c r="O6584" i="2"/>
  <c r="N6584" i="2"/>
  <c r="M6584" i="2"/>
  <c r="O6583" i="2"/>
  <c r="N6583" i="2"/>
  <c r="M6583" i="2"/>
  <c r="O6582" i="2"/>
  <c r="N6582" i="2"/>
  <c r="M6582" i="2"/>
  <c r="O6581" i="2"/>
  <c r="N6581" i="2"/>
  <c r="M6581" i="2"/>
  <c r="O6580" i="2"/>
  <c r="N6580" i="2"/>
  <c r="M6580" i="2"/>
  <c r="O6579" i="2"/>
  <c r="N6579" i="2"/>
  <c r="M6579" i="2"/>
  <c r="O6578" i="2"/>
  <c r="N6578" i="2"/>
  <c r="M6578" i="2"/>
  <c r="O6577" i="2"/>
  <c r="N6577" i="2"/>
  <c r="M6577" i="2"/>
  <c r="O6576" i="2"/>
  <c r="N6576" i="2"/>
  <c r="M6576" i="2"/>
  <c r="O6575" i="2"/>
  <c r="N6575" i="2"/>
  <c r="M6575" i="2"/>
  <c r="O6574" i="2"/>
  <c r="N6574" i="2"/>
  <c r="M6574" i="2"/>
  <c r="O6573" i="2"/>
  <c r="N6573" i="2"/>
  <c r="M6573" i="2"/>
  <c r="O6572" i="2"/>
  <c r="N6572" i="2"/>
  <c r="M6572" i="2"/>
  <c r="O6571" i="2"/>
  <c r="N6571" i="2"/>
  <c r="M6571" i="2"/>
  <c r="O6570" i="2"/>
  <c r="N6570" i="2"/>
  <c r="M6570" i="2"/>
  <c r="O6569" i="2"/>
  <c r="N6569" i="2"/>
  <c r="M6569" i="2"/>
  <c r="O6568" i="2"/>
  <c r="N6568" i="2"/>
  <c r="M6568" i="2"/>
  <c r="O6567" i="2"/>
  <c r="N6567" i="2"/>
  <c r="M6567" i="2"/>
  <c r="O6566" i="2"/>
  <c r="N6566" i="2"/>
  <c r="M6566" i="2"/>
  <c r="O6565" i="2"/>
  <c r="N6565" i="2"/>
  <c r="M6565" i="2"/>
  <c r="O6564" i="2"/>
  <c r="N6564" i="2"/>
  <c r="M6564" i="2"/>
  <c r="O6563" i="2"/>
  <c r="N6563" i="2"/>
  <c r="M6563" i="2"/>
  <c r="O6562" i="2"/>
  <c r="N6562" i="2"/>
  <c r="M6562" i="2"/>
  <c r="O6561" i="2"/>
  <c r="N6561" i="2"/>
  <c r="M6561" i="2"/>
  <c r="O6560" i="2"/>
  <c r="N6560" i="2"/>
  <c r="M6560" i="2"/>
  <c r="O6559" i="2"/>
  <c r="N6559" i="2"/>
  <c r="M6559" i="2"/>
  <c r="O6558" i="2"/>
  <c r="N6558" i="2"/>
  <c r="M6558" i="2"/>
  <c r="O6557" i="2"/>
  <c r="N6557" i="2"/>
  <c r="M6557" i="2"/>
  <c r="O6556" i="2"/>
  <c r="N6556" i="2"/>
  <c r="M6556" i="2"/>
  <c r="O6555" i="2"/>
  <c r="N6555" i="2"/>
  <c r="M6555" i="2"/>
  <c r="O6554" i="2"/>
  <c r="N6554" i="2"/>
  <c r="M6554" i="2"/>
  <c r="O6553" i="2"/>
  <c r="N6553" i="2"/>
  <c r="M6553" i="2"/>
  <c r="O6552" i="2"/>
  <c r="N6552" i="2"/>
  <c r="M6552" i="2"/>
  <c r="O6551" i="2"/>
  <c r="N6551" i="2"/>
  <c r="M6551" i="2"/>
  <c r="O6550" i="2"/>
  <c r="N6550" i="2"/>
  <c r="M6550" i="2"/>
  <c r="O6549" i="2"/>
  <c r="N6549" i="2"/>
  <c r="M6549" i="2"/>
  <c r="O6548" i="2"/>
  <c r="N6548" i="2"/>
  <c r="M6548" i="2"/>
  <c r="O6547" i="2"/>
  <c r="N6547" i="2"/>
  <c r="M6547" i="2"/>
  <c r="O6546" i="2"/>
  <c r="N6546" i="2"/>
  <c r="M6546" i="2"/>
  <c r="O6545" i="2"/>
  <c r="N6545" i="2"/>
  <c r="M6545" i="2"/>
  <c r="O6544" i="2"/>
  <c r="N6544" i="2"/>
  <c r="M6544" i="2"/>
  <c r="O6543" i="2"/>
  <c r="N6543" i="2"/>
  <c r="M6543" i="2"/>
  <c r="O6542" i="2"/>
  <c r="N6542" i="2"/>
  <c r="M6542" i="2"/>
  <c r="O6541" i="2"/>
  <c r="N6541" i="2"/>
  <c r="M6541" i="2"/>
  <c r="O6540" i="2"/>
  <c r="N6540" i="2"/>
  <c r="M6540" i="2"/>
  <c r="O6539" i="2"/>
  <c r="N6539" i="2"/>
  <c r="M6539" i="2"/>
  <c r="O6538" i="2"/>
  <c r="N6538" i="2"/>
  <c r="M6538" i="2"/>
  <c r="O6537" i="2"/>
  <c r="N6537" i="2"/>
  <c r="M6537" i="2"/>
  <c r="O6536" i="2"/>
  <c r="N6536" i="2"/>
  <c r="M6536" i="2"/>
  <c r="O6535" i="2"/>
  <c r="N6535" i="2"/>
  <c r="M6535" i="2"/>
  <c r="O6534" i="2"/>
  <c r="N6534" i="2"/>
  <c r="M6534" i="2"/>
  <c r="O6533" i="2"/>
  <c r="N6533" i="2"/>
  <c r="M6533" i="2"/>
  <c r="O6532" i="2"/>
  <c r="N6532" i="2"/>
  <c r="M6532" i="2"/>
  <c r="O6531" i="2"/>
  <c r="N6531" i="2"/>
  <c r="M6531" i="2"/>
  <c r="O6530" i="2"/>
  <c r="N6530" i="2"/>
  <c r="M6530" i="2"/>
  <c r="O6529" i="2"/>
  <c r="N6529" i="2"/>
  <c r="M6529" i="2"/>
  <c r="O6528" i="2"/>
  <c r="N6528" i="2"/>
  <c r="M6528" i="2"/>
  <c r="O6527" i="2"/>
  <c r="N6527" i="2"/>
  <c r="M6527" i="2"/>
  <c r="O6526" i="2"/>
  <c r="N6526" i="2"/>
  <c r="M6526" i="2"/>
  <c r="O6525" i="2"/>
  <c r="N6525" i="2"/>
  <c r="M6525" i="2"/>
  <c r="O6524" i="2"/>
  <c r="N6524" i="2"/>
  <c r="M6524" i="2"/>
  <c r="O6523" i="2"/>
  <c r="N6523" i="2"/>
  <c r="M6523" i="2"/>
  <c r="O6522" i="2"/>
  <c r="N6522" i="2"/>
  <c r="M6522" i="2"/>
  <c r="O6521" i="2"/>
  <c r="N6521" i="2"/>
  <c r="M6521" i="2"/>
  <c r="O6520" i="2"/>
  <c r="N6520" i="2"/>
  <c r="M6520" i="2"/>
  <c r="O6519" i="2"/>
  <c r="N6519" i="2"/>
  <c r="M6519" i="2"/>
  <c r="O6518" i="2"/>
  <c r="N6518" i="2"/>
  <c r="M6518" i="2"/>
  <c r="O6517" i="2"/>
  <c r="N6517" i="2"/>
  <c r="M6517" i="2"/>
  <c r="O6516" i="2"/>
  <c r="N6516" i="2"/>
  <c r="M6516" i="2"/>
  <c r="O6515" i="2"/>
  <c r="N6515" i="2"/>
  <c r="M6515" i="2"/>
  <c r="O6514" i="2"/>
  <c r="N6514" i="2"/>
  <c r="M6514" i="2"/>
  <c r="O6513" i="2"/>
  <c r="N6513" i="2"/>
  <c r="M6513" i="2"/>
  <c r="O6512" i="2"/>
  <c r="N6512" i="2"/>
  <c r="M6512" i="2"/>
  <c r="O6511" i="2"/>
  <c r="N6511" i="2"/>
  <c r="M6511" i="2"/>
  <c r="O6510" i="2"/>
  <c r="N6510" i="2"/>
  <c r="M6510" i="2"/>
  <c r="O6509" i="2"/>
  <c r="N6509" i="2"/>
  <c r="M6509" i="2"/>
  <c r="O6508" i="2"/>
  <c r="N6508" i="2"/>
  <c r="M6508" i="2"/>
  <c r="O6507" i="2"/>
  <c r="N6507" i="2"/>
  <c r="M6507" i="2"/>
  <c r="O6506" i="2"/>
  <c r="N6506" i="2"/>
  <c r="M6506" i="2"/>
  <c r="O6505" i="2"/>
  <c r="N6505" i="2"/>
  <c r="M6505" i="2"/>
  <c r="O6504" i="2"/>
  <c r="N6504" i="2"/>
  <c r="M6504" i="2"/>
  <c r="O6503" i="2"/>
  <c r="N6503" i="2"/>
  <c r="M6503" i="2"/>
  <c r="O6502" i="2"/>
  <c r="N6502" i="2"/>
  <c r="M6502" i="2"/>
  <c r="O6501" i="2"/>
  <c r="N6501" i="2"/>
  <c r="M6501" i="2"/>
  <c r="O6500" i="2"/>
  <c r="N6500" i="2"/>
  <c r="M6500" i="2"/>
  <c r="O6499" i="2"/>
  <c r="N6499" i="2"/>
  <c r="M6499" i="2"/>
  <c r="O6498" i="2"/>
  <c r="N6498" i="2"/>
  <c r="M6498" i="2"/>
  <c r="O6497" i="2"/>
  <c r="N6497" i="2"/>
  <c r="M6497" i="2"/>
  <c r="O6496" i="2"/>
  <c r="N6496" i="2"/>
  <c r="M6496" i="2"/>
  <c r="O6495" i="2"/>
  <c r="N6495" i="2"/>
  <c r="M6495" i="2"/>
  <c r="O6494" i="2"/>
  <c r="N6494" i="2"/>
  <c r="M6494" i="2"/>
  <c r="O6493" i="2"/>
  <c r="N6493" i="2"/>
  <c r="M6493" i="2"/>
  <c r="O6492" i="2"/>
  <c r="N6492" i="2"/>
  <c r="M6492" i="2"/>
  <c r="O6491" i="2"/>
  <c r="N6491" i="2"/>
  <c r="M6491" i="2"/>
  <c r="O6490" i="2"/>
  <c r="N6490" i="2"/>
  <c r="M6490" i="2"/>
  <c r="O6489" i="2"/>
  <c r="N6489" i="2"/>
  <c r="M6489" i="2"/>
  <c r="O6488" i="2"/>
  <c r="N6488" i="2"/>
  <c r="M6488" i="2"/>
  <c r="O6487" i="2"/>
  <c r="N6487" i="2"/>
  <c r="M6487" i="2"/>
  <c r="O6486" i="2"/>
  <c r="N6486" i="2"/>
  <c r="M6486" i="2"/>
  <c r="O6485" i="2"/>
  <c r="N6485" i="2"/>
  <c r="M6485" i="2"/>
  <c r="O6484" i="2"/>
  <c r="N6484" i="2"/>
  <c r="M6484" i="2"/>
  <c r="O6483" i="2"/>
  <c r="N6483" i="2"/>
  <c r="M6483" i="2"/>
  <c r="O6482" i="2"/>
  <c r="N6482" i="2"/>
  <c r="M6482" i="2"/>
  <c r="O6481" i="2"/>
  <c r="N6481" i="2"/>
  <c r="M6481" i="2"/>
  <c r="O6480" i="2"/>
  <c r="N6480" i="2"/>
  <c r="M6480" i="2"/>
  <c r="O6479" i="2"/>
  <c r="N6479" i="2"/>
  <c r="M6479" i="2"/>
  <c r="O6478" i="2"/>
  <c r="N6478" i="2"/>
  <c r="M6478" i="2"/>
  <c r="O6477" i="2"/>
  <c r="N6477" i="2"/>
  <c r="M6477" i="2"/>
  <c r="O6476" i="2"/>
  <c r="N6476" i="2"/>
  <c r="M6476" i="2"/>
  <c r="O6475" i="2"/>
  <c r="N6475" i="2"/>
  <c r="M6475" i="2"/>
  <c r="O6474" i="2"/>
  <c r="N6474" i="2"/>
  <c r="M6474" i="2"/>
  <c r="O6473" i="2"/>
  <c r="N6473" i="2"/>
  <c r="M6473" i="2"/>
  <c r="O6472" i="2"/>
  <c r="N6472" i="2"/>
  <c r="M6472" i="2"/>
  <c r="O6471" i="2"/>
  <c r="N6471" i="2"/>
  <c r="M6471" i="2"/>
  <c r="O6470" i="2"/>
  <c r="N6470" i="2"/>
  <c r="M6470" i="2"/>
  <c r="O6469" i="2"/>
  <c r="N6469" i="2"/>
  <c r="M6469" i="2"/>
  <c r="O6468" i="2"/>
  <c r="N6468" i="2"/>
  <c r="M6468" i="2"/>
  <c r="O6467" i="2"/>
  <c r="N6467" i="2"/>
  <c r="M6467" i="2"/>
  <c r="O6466" i="2"/>
  <c r="N6466" i="2"/>
  <c r="M6466" i="2"/>
  <c r="O6465" i="2"/>
  <c r="N6465" i="2"/>
  <c r="M6465" i="2"/>
  <c r="O6464" i="2"/>
  <c r="N6464" i="2"/>
  <c r="M6464" i="2"/>
  <c r="O6463" i="2"/>
  <c r="N6463" i="2"/>
  <c r="M6463" i="2"/>
  <c r="O6462" i="2"/>
  <c r="N6462" i="2"/>
  <c r="M6462" i="2"/>
  <c r="O6461" i="2"/>
  <c r="N6461" i="2"/>
  <c r="M6461" i="2"/>
  <c r="O6460" i="2"/>
  <c r="N6460" i="2"/>
  <c r="M6460" i="2"/>
  <c r="O6459" i="2"/>
  <c r="N6459" i="2"/>
  <c r="M6459" i="2"/>
  <c r="O6458" i="2"/>
  <c r="N6458" i="2"/>
  <c r="M6458" i="2"/>
  <c r="O6457" i="2"/>
  <c r="N6457" i="2"/>
  <c r="M6457" i="2"/>
  <c r="O6456" i="2"/>
  <c r="N6456" i="2"/>
  <c r="M6456" i="2"/>
  <c r="O6455" i="2"/>
  <c r="N6455" i="2"/>
  <c r="M6455" i="2"/>
  <c r="O6454" i="2"/>
  <c r="N6454" i="2"/>
  <c r="M6454" i="2"/>
  <c r="O6453" i="2"/>
  <c r="N6453" i="2"/>
  <c r="M6453" i="2"/>
  <c r="O6452" i="2"/>
  <c r="N6452" i="2"/>
  <c r="M6452" i="2"/>
  <c r="O6451" i="2"/>
  <c r="N6451" i="2"/>
  <c r="M6451" i="2"/>
  <c r="O6450" i="2"/>
  <c r="N6450" i="2"/>
  <c r="M6450" i="2"/>
  <c r="O6449" i="2"/>
  <c r="N6449" i="2"/>
  <c r="M6449" i="2"/>
  <c r="O6448" i="2"/>
  <c r="N6448" i="2"/>
  <c r="M6448" i="2"/>
  <c r="O6447" i="2"/>
  <c r="N6447" i="2"/>
  <c r="M6447" i="2"/>
  <c r="O6446" i="2"/>
  <c r="N6446" i="2"/>
  <c r="M6446" i="2"/>
  <c r="O6445" i="2"/>
  <c r="N6445" i="2"/>
  <c r="M6445" i="2"/>
  <c r="O6444" i="2"/>
  <c r="N6444" i="2"/>
  <c r="M6444" i="2"/>
  <c r="O6443" i="2"/>
  <c r="N6443" i="2"/>
  <c r="M6443" i="2"/>
  <c r="O6442" i="2"/>
  <c r="N6442" i="2"/>
  <c r="M6442" i="2"/>
  <c r="O6441" i="2"/>
  <c r="N6441" i="2"/>
  <c r="M6441" i="2"/>
  <c r="O6440" i="2"/>
  <c r="N6440" i="2"/>
  <c r="M6440" i="2"/>
  <c r="O6439" i="2"/>
  <c r="N6439" i="2"/>
  <c r="M6439" i="2"/>
  <c r="O6438" i="2"/>
  <c r="N6438" i="2"/>
  <c r="M6438" i="2"/>
  <c r="O6437" i="2"/>
  <c r="N6437" i="2"/>
  <c r="M6437" i="2"/>
  <c r="O6436" i="2"/>
  <c r="N6436" i="2"/>
  <c r="M6436" i="2"/>
  <c r="O6435" i="2"/>
  <c r="N6435" i="2"/>
  <c r="M6435" i="2"/>
  <c r="O6434" i="2"/>
  <c r="N6434" i="2"/>
  <c r="M6434" i="2"/>
  <c r="O6433" i="2"/>
  <c r="N6433" i="2"/>
  <c r="M6433" i="2"/>
  <c r="O6432" i="2"/>
  <c r="N6432" i="2"/>
  <c r="M6432" i="2"/>
  <c r="O6431" i="2"/>
  <c r="N6431" i="2"/>
  <c r="M6431" i="2"/>
  <c r="O6430" i="2"/>
  <c r="N6430" i="2"/>
  <c r="M6430" i="2"/>
  <c r="O6429" i="2"/>
  <c r="N6429" i="2"/>
  <c r="M6429" i="2"/>
  <c r="O6428" i="2"/>
  <c r="N6428" i="2"/>
  <c r="M6428" i="2"/>
  <c r="O6427" i="2"/>
  <c r="N6427" i="2"/>
  <c r="M6427" i="2"/>
  <c r="O6426" i="2"/>
  <c r="N6426" i="2"/>
  <c r="M6426" i="2"/>
  <c r="O6425" i="2"/>
  <c r="N6425" i="2"/>
  <c r="M6425" i="2"/>
  <c r="O6424" i="2"/>
  <c r="N6424" i="2"/>
  <c r="M6424" i="2"/>
  <c r="O6423" i="2"/>
  <c r="N6423" i="2"/>
  <c r="M6423" i="2"/>
  <c r="O6422" i="2"/>
  <c r="N6422" i="2"/>
  <c r="M6422" i="2"/>
  <c r="O6421" i="2"/>
  <c r="N6421" i="2"/>
  <c r="M6421" i="2"/>
  <c r="O6420" i="2"/>
  <c r="N6420" i="2"/>
  <c r="M6420" i="2"/>
  <c r="O6419" i="2"/>
  <c r="N6419" i="2"/>
  <c r="M6419" i="2"/>
  <c r="O6418" i="2"/>
  <c r="N6418" i="2"/>
  <c r="M6418" i="2"/>
  <c r="O6417" i="2"/>
  <c r="N6417" i="2"/>
  <c r="M6417" i="2"/>
  <c r="O6416" i="2"/>
  <c r="N6416" i="2"/>
  <c r="M6416" i="2"/>
  <c r="O6415" i="2"/>
  <c r="N6415" i="2"/>
  <c r="M6415" i="2"/>
  <c r="O6414" i="2"/>
  <c r="N6414" i="2"/>
  <c r="M6414" i="2"/>
  <c r="O6413" i="2"/>
  <c r="N6413" i="2"/>
  <c r="M6413" i="2"/>
  <c r="O6412" i="2"/>
  <c r="N6412" i="2"/>
  <c r="M6412" i="2"/>
  <c r="O6411" i="2"/>
  <c r="N6411" i="2"/>
  <c r="M6411" i="2"/>
  <c r="O6410" i="2"/>
  <c r="N6410" i="2"/>
  <c r="M6410" i="2"/>
  <c r="O6409" i="2"/>
  <c r="N6409" i="2"/>
  <c r="M6409" i="2"/>
  <c r="O6408" i="2"/>
  <c r="N6408" i="2"/>
  <c r="M6408" i="2"/>
  <c r="O6407" i="2"/>
  <c r="N6407" i="2"/>
  <c r="M6407" i="2"/>
  <c r="O6406" i="2"/>
  <c r="N6406" i="2"/>
  <c r="M6406" i="2"/>
  <c r="O6405" i="2"/>
  <c r="N6405" i="2"/>
  <c r="M6405" i="2"/>
  <c r="O6404" i="2"/>
  <c r="N6404" i="2"/>
  <c r="M6404" i="2"/>
  <c r="O6403" i="2"/>
  <c r="N6403" i="2"/>
  <c r="M6403" i="2"/>
  <c r="O6402" i="2"/>
  <c r="N6402" i="2"/>
  <c r="M6402" i="2"/>
  <c r="O6401" i="2"/>
  <c r="N6401" i="2"/>
  <c r="M6401" i="2"/>
  <c r="O6400" i="2"/>
  <c r="N6400" i="2"/>
  <c r="M6400" i="2"/>
  <c r="O6399" i="2"/>
  <c r="N6399" i="2"/>
  <c r="M6399" i="2"/>
  <c r="O6398" i="2"/>
  <c r="N6398" i="2"/>
  <c r="M6398" i="2"/>
  <c r="O6397" i="2"/>
  <c r="N6397" i="2"/>
  <c r="M6397" i="2"/>
  <c r="O6396" i="2"/>
  <c r="N6396" i="2"/>
  <c r="M6396" i="2"/>
  <c r="O6395" i="2"/>
  <c r="N6395" i="2"/>
  <c r="M6395" i="2"/>
  <c r="O6394" i="2"/>
  <c r="N6394" i="2"/>
  <c r="M6394" i="2"/>
  <c r="O6393" i="2"/>
  <c r="N6393" i="2"/>
  <c r="M6393" i="2"/>
  <c r="O6392" i="2"/>
  <c r="N6392" i="2"/>
  <c r="M6392" i="2"/>
  <c r="O6391" i="2"/>
  <c r="N6391" i="2"/>
  <c r="M6391" i="2"/>
  <c r="O6390" i="2"/>
  <c r="N6390" i="2"/>
  <c r="M6390" i="2"/>
  <c r="O6389" i="2"/>
  <c r="N6389" i="2"/>
  <c r="M6389" i="2"/>
  <c r="O6388" i="2"/>
  <c r="N6388" i="2"/>
  <c r="M6388" i="2"/>
  <c r="O6387" i="2"/>
  <c r="N6387" i="2"/>
  <c r="M6387" i="2"/>
  <c r="O6386" i="2"/>
  <c r="N6386" i="2"/>
  <c r="M6386" i="2"/>
  <c r="O6385" i="2"/>
  <c r="N6385" i="2"/>
  <c r="M6385" i="2"/>
  <c r="O6384" i="2"/>
  <c r="N6384" i="2"/>
  <c r="M6384" i="2"/>
  <c r="O6383" i="2"/>
  <c r="N6383" i="2"/>
  <c r="M6383" i="2"/>
  <c r="O6382" i="2"/>
  <c r="N6382" i="2"/>
  <c r="M6382" i="2"/>
  <c r="O6381" i="2"/>
  <c r="N6381" i="2"/>
  <c r="M6381" i="2"/>
  <c r="O6380" i="2"/>
  <c r="N6380" i="2"/>
  <c r="M6380" i="2"/>
  <c r="O6379" i="2"/>
  <c r="N6379" i="2"/>
  <c r="M6379" i="2"/>
  <c r="O6378" i="2"/>
  <c r="N6378" i="2"/>
  <c r="M6378" i="2"/>
  <c r="O6377" i="2"/>
  <c r="N6377" i="2"/>
  <c r="M6377" i="2"/>
  <c r="O6376" i="2"/>
  <c r="N6376" i="2"/>
  <c r="M6376" i="2"/>
  <c r="O6375" i="2"/>
  <c r="N6375" i="2"/>
  <c r="M6375" i="2"/>
  <c r="O6374" i="2"/>
  <c r="N6374" i="2"/>
  <c r="M6374" i="2"/>
  <c r="O6373" i="2"/>
  <c r="N6373" i="2"/>
  <c r="M6373" i="2"/>
  <c r="O6372" i="2"/>
  <c r="N6372" i="2"/>
  <c r="M6372" i="2"/>
  <c r="O6371" i="2"/>
  <c r="N6371" i="2"/>
  <c r="M6371" i="2"/>
  <c r="O6370" i="2"/>
  <c r="N6370" i="2"/>
  <c r="M6370" i="2"/>
  <c r="O6369" i="2"/>
  <c r="N6369" i="2"/>
  <c r="M6369" i="2"/>
  <c r="O6368" i="2"/>
  <c r="N6368" i="2"/>
  <c r="M6368" i="2"/>
  <c r="O6367" i="2"/>
  <c r="N6367" i="2"/>
  <c r="M6367" i="2"/>
  <c r="O6366" i="2"/>
  <c r="N6366" i="2"/>
  <c r="M6366" i="2"/>
  <c r="O6365" i="2"/>
  <c r="N6365" i="2"/>
  <c r="M6365" i="2"/>
  <c r="O6364" i="2"/>
  <c r="N6364" i="2"/>
  <c r="M6364" i="2"/>
  <c r="O6363" i="2"/>
  <c r="N6363" i="2"/>
  <c r="M6363" i="2"/>
  <c r="O6362" i="2"/>
  <c r="N6362" i="2"/>
  <c r="M6362" i="2"/>
  <c r="O6361" i="2"/>
  <c r="N6361" i="2"/>
  <c r="M6361" i="2"/>
  <c r="O6360" i="2"/>
  <c r="N6360" i="2"/>
  <c r="M6360" i="2"/>
  <c r="O6359" i="2"/>
  <c r="N6359" i="2"/>
  <c r="M6359" i="2"/>
  <c r="O6358" i="2"/>
  <c r="N6358" i="2"/>
  <c r="M6358" i="2"/>
  <c r="O6357" i="2"/>
  <c r="N6357" i="2"/>
  <c r="M6357" i="2"/>
  <c r="O6356" i="2"/>
  <c r="N6356" i="2"/>
  <c r="M6356" i="2"/>
  <c r="O6355" i="2"/>
  <c r="N6355" i="2"/>
  <c r="M6355" i="2"/>
  <c r="O6354" i="2"/>
  <c r="N6354" i="2"/>
  <c r="M6354" i="2"/>
  <c r="O6353" i="2"/>
  <c r="N6353" i="2"/>
  <c r="M6353" i="2"/>
  <c r="O6352" i="2"/>
  <c r="N6352" i="2"/>
  <c r="M6352" i="2"/>
  <c r="O6351" i="2"/>
  <c r="N6351" i="2"/>
  <c r="M6351" i="2"/>
  <c r="O6350" i="2"/>
  <c r="N6350" i="2"/>
  <c r="M6350" i="2"/>
  <c r="O6349" i="2"/>
  <c r="N6349" i="2"/>
  <c r="M6349" i="2"/>
  <c r="O6348" i="2"/>
  <c r="N6348" i="2"/>
  <c r="M6348" i="2"/>
  <c r="O6347" i="2"/>
  <c r="N6347" i="2"/>
  <c r="M6347" i="2"/>
  <c r="O6346" i="2"/>
  <c r="N6346" i="2"/>
  <c r="M6346" i="2"/>
  <c r="O6345" i="2"/>
  <c r="N6345" i="2"/>
  <c r="M6345" i="2"/>
  <c r="O6344" i="2"/>
  <c r="N6344" i="2"/>
  <c r="M6344" i="2"/>
  <c r="O6343" i="2"/>
  <c r="N6343" i="2"/>
  <c r="M6343" i="2"/>
  <c r="O6342" i="2"/>
  <c r="N6342" i="2"/>
  <c r="M6342" i="2"/>
  <c r="O6341" i="2"/>
  <c r="N6341" i="2"/>
  <c r="M6341" i="2"/>
  <c r="O6340" i="2"/>
  <c r="N6340" i="2"/>
  <c r="M6340" i="2"/>
  <c r="O6339" i="2"/>
  <c r="N6339" i="2"/>
  <c r="M6339" i="2"/>
  <c r="O6338" i="2"/>
  <c r="N6338" i="2"/>
  <c r="M6338" i="2"/>
  <c r="O6337" i="2"/>
  <c r="N6337" i="2"/>
  <c r="M6337" i="2"/>
  <c r="O6336" i="2"/>
  <c r="N6336" i="2"/>
  <c r="M6336" i="2"/>
  <c r="O6335" i="2"/>
  <c r="N6335" i="2"/>
  <c r="M6335" i="2"/>
  <c r="O6334" i="2"/>
  <c r="N6334" i="2"/>
  <c r="M6334" i="2"/>
  <c r="O6333" i="2"/>
  <c r="N6333" i="2"/>
  <c r="M6333" i="2"/>
  <c r="O6332" i="2"/>
  <c r="N6332" i="2"/>
  <c r="M6332" i="2"/>
  <c r="O6331" i="2"/>
  <c r="N6331" i="2"/>
  <c r="M6331" i="2"/>
  <c r="O6330" i="2"/>
  <c r="N6330" i="2"/>
  <c r="M6330" i="2"/>
  <c r="O6329" i="2"/>
  <c r="N6329" i="2"/>
  <c r="M6329" i="2"/>
  <c r="O6328" i="2"/>
  <c r="N6328" i="2"/>
  <c r="M6328" i="2"/>
  <c r="O6327" i="2"/>
  <c r="N6327" i="2"/>
  <c r="M6327" i="2"/>
  <c r="O6326" i="2"/>
  <c r="N6326" i="2"/>
  <c r="M6326" i="2"/>
  <c r="O6325" i="2"/>
  <c r="N6325" i="2"/>
  <c r="M6325" i="2"/>
  <c r="O6324" i="2"/>
  <c r="N6324" i="2"/>
  <c r="M6324" i="2"/>
  <c r="O6323" i="2"/>
  <c r="N6323" i="2"/>
  <c r="M6323" i="2"/>
  <c r="O6322" i="2"/>
  <c r="N6322" i="2"/>
  <c r="M6322" i="2"/>
  <c r="O6321" i="2"/>
  <c r="N6321" i="2"/>
  <c r="M6321" i="2"/>
  <c r="O6320" i="2"/>
  <c r="N6320" i="2"/>
  <c r="M6320" i="2"/>
  <c r="O6319" i="2"/>
  <c r="N6319" i="2"/>
  <c r="M6319" i="2"/>
  <c r="O6318" i="2"/>
  <c r="N6318" i="2"/>
  <c r="M6318" i="2"/>
  <c r="O6317" i="2"/>
  <c r="N6317" i="2"/>
  <c r="M6317" i="2"/>
  <c r="O6316" i="2"/>
  <c r="N6316" i="2"/>
  <c r="M6316" i="2"/>
  <c r="O6315" i="2"/>
  <c r="N6315" i="2"/>
  <c r="M6315" i="2"/>
  <c r="O6314" i="2"/>
  <c r="N6314" i="2"/>
  <c r="M6314" i="2"/>
  <c r="O6313" i="2"/>
  <c r="N6313" i="2"/>
  <c r="M6313" i="2"/>
  <c r="O6312" i="2"/>
  <c r="N6312" i="2"/>
  <c r="M6312" i="2"/>
  <c r="O6311" i="2"/>
  <c r="N6311" i="2"/>
  <c r="M6311" i="2"/>
  <c r="O6310" i="2"/>
  <c r="N6310" i="2"/>
  <c r="M6310" i="2"/>
  <c r="O6309" i="2"/>
  <c r="N6309" i="2"/>
  <c r="M6309" i="2"/>
  <c r="O6308" i="2"/>
  <c r="N6308" i="2"/>
  <c r="M6308" i="2"/>
  <c r="O6307" i="2"/>
  <c r="N6307" i="2"/>
  <c r="M6307" i="2"/>
  <c r="O6306" i="2"/>
  <c r="N6306" i="2"/>
  <c r="M6306" i="2"/>
  <c r="O6305" i="2"/>
  <c r="N6305" i="2"/>
  <c r="M6305" i="2"/>
  <c r="O6304" i="2"/>
  <c r="N6304" i="2"/>
  <c r="M6304" i="2"/>
  <c r="O6303" i="2"/>
  <c r="N6303" i="2"/>
  <c r="M6303" i="2"/>
  <c r="O6302" i="2"/>
  <c r="N6302" i="2"/>
  <c r="M6302" i="2"/>
  <c r="O6301" i="2"/>
  <c r="N6301" i="2"/>
  <c r="M6301" i="2"/>
  <c r="O6300" i="2"/>
  <c r="N6300" i="2"/>
  <c r="M6300" i="2"/>
  <c r="O6299" i="2"/>
  <c r="N6299" i="2"/>
  <c r="M6299" i="2"/>
  <c r="O6298" i="2"/>
  <c r="N6298" i="2"/>
  <c r="M6298" i="2"/>
  <c r="O6297" i="2"/>
  <c r="N6297" i="2"/>
  <c r="M6297" i="2"/>
  <c r="O6296" i="2"/>
  <c r="N6296" i="2"/>
  <c r="M6296" i="2"/>
  <c r="O6295" i="2"/>
  <c r="N6295" i="2"/>
  <c r="M6295" i="2"/>
  <c r="O6294" i="2"/>
  <c r="N6294" i="2"/>
  <c r="M6294" i="2"/>
  <c r="O6293" i="2"/>
  <c r="N6293" i="2"/>
  <c r="M6293" i="2"/>
  <c r="O6292" i="2"/>
  <c r="N6292" i="2"/>
  <c r="M6292" i="2"/>
  <c r="O6291" i="2"/>
  <c r="N6291" i="2"/>
  <c r="M6291" i="2"/>
  <c r="O6290" i="2"/>
  <c r="N6290" i="2"/>
  <c r="M6290" i="2"/>
  <c r="O6289" i="2"/>
  <c r="N6289" i="2"/>
  <c r="M6289" i="2"/>
  <c r="O6288" i="2"/>
  <c r="N6288" i="2"/>
  <c r="M6288" i="2"/>
  <c r="O6287" i="2"/>
  <c r="N6287" i="2"/>
  <c r="M6287" i="2"/>
  <c r="O6286" i="2"/>
  <c r="N6286" i="2"/>
  <c r="M6286" i="2"/>
  <c r="O6285" i="2"/>
  <c r="N6285" i="2"/>
  <c r="M6285" i="2"/>
  <c r="O6284" i="2"/>
  <c r="N6284" i="2"/>
  <c r="M6284" i="2"/>
  <c r="O6283" i="2"/>
  <c r="N6283" i="2"/>
  <c r="M6283" i="2"/>
  <c r="O6282" i="2"/>
  <c r="N6282" i="2"/>
  <c r="M6282" i="2"/>
  <c r="O6281" i="2"/>
  <c r="N6281" i="2"/>
  <c r="M6281" i="2"/>
  <c r="O6280" i="2"/>
  <c r="N6280" i="2"/>
  <c r="M6280" i="2"/>
  <c r="O6279" i="2"/>
  <c r="N6279" i="2"/>
  <c r="M6279" i="2"/>
  <c r="O6278" i="2"/>
  <c r="N6278" i="2"/>
  <c r="M6278" i="2"/>
  <c r="O6277" i="2"/>
  <c r="N6277" i="2"/>
  <c r="M6277" i="2"/>
  <c r="O6276" i="2"/>
  <c r="N6276" i="2"/>
  <c r="M6276" i="2"/>
  <c r="O6275" i="2"/>
  <c r="N6275" i="2"/>
  <c r="M6275" i="2"/>
  <c r="O6274" i="2"/>
  <c r="N6274" i="2"/>
  <c r="M6274" i="2"/>
  <c r="O6273" i="2"/>
  <c r="N6273" i="2"/>
  <c r="M6273" i="2"/>
  <c r="O6272" i="2"/>
  <c r="N6272" i="2"/>
  <c r="M6272" i="2"/>
  <c r="O6271" i="2"/>
  <c r="N6271" i="2"/>
  <c r="M6271" i="2"/>
  <c r="O6270" i="2"/>
  <c r="N6270" i="2"/>
  <c r="M6270" i="2"/>
  <c r="O6269" i="2"/>
  <c r="N6269" i="2"/>
  <c r="M6269" i="2"/>
  <c r="O6268" i="2"/>
  <c r="N6268" i="2"/>
  <c r="M6268" i="2"/>
  <c r="O6267" i="2"/>
  <c r="N6267" i="2"/>
  <c r="M6267" i="2"/>
  <c r="O6266" i="2"/>
  <c r="N6266" i="2"/>
  <c r="M6266" i="2"/>
  <c r="O6265" i="2"/>
  <c r="N6265" i="2"/>
  <c r="M6265" i="2"/>
  <c r="O6264" i="2"/>
  <c r="N6264" i="2"/>
  <c r="M6264" i="2"/>
  <c r="O6263" i="2"/>
  <c r="N6263" i="2"/>
  <c r="M6263" i="2"/>
  <c r="O6262" i="2"/>
  <c r="N6262" i="2"/>
  <c r="M6262" i="2"/>
  <c r="O6261" i="2"/>
  <c r="N6261" i="2"/>
  <c r="M6261" i="2"/>
  <c r="O6260" i="2"/>
  <c r="N6260" i="2"/>
  <c r="M6260" i="2"/>
  <c r="O6259" i="2"/>
  <c r="N6259" i="2"/>
  <c r="M6259" i="2"/>
  <c r="O6258" i="2"/>
  <c r="N6258" i="2"/>
  <c r="M6258" i="2"/>
  <c r="O6257" i="2"/>
  <c r="N6257" i="2"/>
  <c r="M6257" i="2"/>
  <c r="O6256" i="2"/>
  <c r="N6256" i="2"/>
  <c r="M6256" i="2"/>
  <c r="O6255" i="2"/>
  <c r="N6255" i="2"/>
  <c r="M6255" i="2"/>
  <c r="O6254" i="2"/>
  <c r="N6254" i="2"/>
  <c r="M6254" i="2"/>
  <c r="O6253" i="2"/>
  <c r="N6253" i="2"/>
  <c r="M6253" i="2"/>
  <c r="O6252" i="2"/>
  <c r="N6252" i="2"/>
  <c r="M6252" i="2"/>
  <c r="O6251" i="2"/>
  <c r="N6251" i="2"/>
  <c r="M6251" i="2"/>
  <c r="O6250" i="2"/>
  <c r="N6250" i="2"/>
  <c r="M6250" i="2"/>
  <c r="O6249" i="2"/>
  <c r="N6249" i="2"/>
  <c r="M6249" i="2"/>
  <c r="O6248" i="2"/>
  <c r="N6248" i="2"/>
  <c r="M6248" i="2"/>
  <c r="O6247" i="2"/>
  <c r="N6247" i="2"/>
  <c r="M6247" i="2"/>
  <c r="O6246" i="2"/>
  <c r="N6246" i="2"/>
  <c r="M6246" i="2"/>
  <c r="O6245" i="2"/>
  <c r="N6245" i="2"/>
  <c r="M6245" i="2"/>
  <c r="O6244" i="2"/>
  <c r="N6244" i="2"/>
  <c r="M6244" i="2"/>
  <c r="O6243" i="2"/>
  <c r="N6243" i="2"/>
  <c r="M6243" i="2"/>
  <c r="O6242" i="2"/>
  <c r="N6242" i="2"/>
  <c r="M6242" i="2"/>
  <c r="O6241" i="2"/>
  <c r="N6241" i="2"/>
  <c r="M6241" i="2"/>
  <c r="O6240" i="2"/>
  <c r="N6240" i="2"/>
  <c r="M6240" i="2"/>
  <c r="O6239" i="2"/>
  <c r="N6239" i="2"/>
  <c r="M6239" i="2"/>
  <c r="O6238" i="2"/>
  <c r="N6238" i="2"/>
  <c r="M6238" i="2"/>
  <c r="O6237" i="2"/>
  <c r="N6237" i="2"/>
  <c r="M6237" i="2"/>
  <c r="O6236" i="2"/>
  <c r="N6236" i="2"/>
  <c r="M6236" i="2"/>
  <c r="O6235" i="2"/>
  <c r="N6235" i="2"/>
  <c r="M6235" i="2"/>
  <c r="O6234" i="2"/>
  <c r="N6234" i="2"/>
  <c r="M6234" i="2"/>
  <c r="O6233" i="2"/>
  <c r="N6233" i="2"/>
  <c r="M6233" i="2"/>
  <c r="O6232" i="2"/>
  <c r="N6232" i="2"/>
  <c r="M6232" i="2"/>
  <c r="O6231" i="2"/>
  <c r="N6231" i="2"/>
  <c r="M6231" i="2"/>
  <c r="O6230" i="2"/>
  <c r="N6230" i="2"/>
  <c r="M6230" i="2"/>
  <c r="O6229" i="2"/>
  <c r="N6229" i="2"/>
  <c r="M6229" i="2"/>
  <c r="O6228" i="2"/>
  <c r="N6228" i="2"/>
  <c r="M6228" i="2"/>
  <c r="O6227" i="2"/>
  <c r="N6227" i="2"/>
  <c r="M6227" i="2"/>
  <c r="O6226" i="2"/>
  <c r="N6226" i="2"/>
  <c r="M6226" i="2"/>
  <c r="O6225" i="2"/>
  <c r="N6225" i="2"/>
  <c r="M6225" i="2"/>
  <c r="O6224" i="2"/>
  <c r="N6224" i="2"/>
  <c r="M6224" i="2"/>
  <c r="O6223" i="2"/>
  <c r="N6223" i="2"/>
  <c r="M6223" i="2"/>
  <c r="O6222" i="2"/>
  <c r="N6222" i="2"/>
  <c r="M6222" i="2"/>
  <c r="O6221" i="2"/>
  <c r="N6221" i="2"/>
  <c r="M6221" i="2"/>
  <c r="O6220" i="2"/>
  <c r="N6220" i="2"/>
  <c r="M6220" i="2"/>
  <c r="O6219" i="2"/>
  <c r="N6219" i="2"/>
  <c r="M6219" i="2"/>
  <c r="O6218" i="2"/>
  <c r="N6218" i="2"/>
  <c r="M6218" i="2"/>
  <c r="O6217" i="2"/>
  <c r="N6217" i="2"/>
  <c r="M6217" i="2"/>
  <c r="O6216" i="2"/>
  <c r="N6216" i="2"/>
  <c r="M6216" i="2"/>
  <c r="O6215" i="2"/>
  <c r="N6215" i="2"/>
  <c r="M6215" i="2"/>
  <c r="O6214" i="2"/>
  <c r="N6214" i="2"/>
  <c r="M6214" i="2"/>
  <c r="O6213" i="2"/>
  <c r="N6213" i="2"/>
  <c r="M6213" i="2"/>
  <c r="O6212" i="2"/>
  <c r="N6212" i="2"/>
  <c r="M6212" i="2"/>
  <c r="O6211" i="2"/>
  <c r="N6211" i="2"/>
  <c r="M6211" i="2"/>
  <c r="O6210" i="2"/>
  <c r="N6210" i="2"/>
  <c r="M6210" i="2"/>
  <c r="O6209" i="2"/>
  <c r="N6209" i="2"/>
  <c r="M6209" i="2"/>
  <c r="O6208" i="2"/>
  <c r="N6208" i="2"/>
  <c r="M6208" i="2"/>
  <c r="O6207" i="2"/>
  <c r="N6207" i="2"/>
  <c r="M6207" i="2"/>
  <c r="O6206" i="2"/>
  <c r="N6206" i="2"/>
  <c r="M6206" i="2"/>
  <c r="O6205" i="2"/>
  <c r="N6205" i="2"/>
  <c r="M6205" i="2"/>
  <c r="O6204" i="2"/>
  <c r="N6204" i="2"/>
  <c r="M6204" i="2"/>
  <c r="O6203" i="2"/>
  <c r="N6203" i="2"/>
  <c r="M6203" i="2"/>
  <c r="O6202" i="2"/>
  <c r="N6202" i="2"/>
  <c r="M6202" i="2"/>
  <c r="O6201" i="2"/>
  <c r="N6201" i="2"/>
  <c r="M6201" i="2"/>
  <c r="O6200" i="2"/>
  <c r="N6200" i="2"/>
  <c r="M6200" i="2"/>
  <c r="O6199" i="2"/>
  <c r="N6199" i="2"/>
  <c r="M6199" i="2"/>
  <c r="O6198" i="2"/>
  <c r="N6198" i="2"/>
  <c r="M6198" i="2"/>
  <c r="O6197" i="2"/>
  <c r="N6197" i="2"/>
  <c r="M6197" i="2"/>
  <c r="O6196" i="2"/>
  <c r="N6196" i="2"/>
  <c r="M6196" i="2"/>
  <c r="O6195" i="2"/>
  <c r="N6195" i="2"/>
  <c r="M6195" i="2"/>
  <c r="O6194" i="2"/>
  <c r="N6194" i="2"/>
  <c r="M6194" i="2"/>
  <c r="O6193" i="2"/>
  <c r="N6193" i="2"/>
  <c r="M6193" i="2"/>
  <c r="O6192" i="2"/>
  <c r="N6192" i="2"/>
  <c r="M6192" i="2"/>
  <c r="O6191" i="2"/>
  <c r="N6191" i="2"/>
  <c r="M6191" i="2"/>
  <c r="O6190" i="2"/>
  <c r="N6190" i="2"/>
  <c r="M6190" i="2"/>
  <c r="O6189" i="2"/>
  <c r="N6189" i="2"/>
  <c r="M6189" i="2"/>
  <c r="O6188" i="2"/>
  <c r="N6188" i="2"/>
  <c r="M6188" i="2"/>
  <c r="O6187" i="2"/>
  <c r="N6187" i="2"/>
  <c r="M6187" i="2"/>
  <c r="O6186" i="2"/>
  <c r="N6186" i="2"/>
  <c r="M6186" i="2"/>
  <c r="O6185" i="2"/>
  <c r="N6185" i="2"/>
  <c r="M6185" i="2"/>
  <c r="O6184" i="2"/>
  <c r="N6184" i="2"/>
  <c r="M6184" i="2"/>
  <c r="O6183" i="2"/>
  <c r="N6183" i="2"/>
  <c r="M6183" i="2"/>
  <c r="O6182" i="2"/>
  <c r="N6182" i="2"/>
  <c r="M6182" i="2"/>
  <c r="O6181" i="2"/>
  <c r="N6181" i="2"/>
  <c r="M6181" i="2"/>
  <c r="O6180" i="2"/>
  <c r="N6180" i="2"/>
  <c r="M6180" i="2"/>
  <c r="O6179" i="2"/>
  <c r="N6179" i="2"/>
  <c r="M6179" i="2"/>
  <c r="O6178" i="2"/>
  <c r="N6178" i="2"/>
  <c r="M6178" i="2"/>
  <c r="O6177" i="2"/>
  <c r="N6177" i="2"/>
  <c r="M6177" i="2"/>
  <c r="O6176" i="2"/>
  <c r="N6176" i="2"/>
  <c r="M6176" i="2"/>
  <c r="O6175" i="2"/>
  <c r="N6175" i="2"/>
  <c r="M6175" i="2"/>
  <c r="O6174" i="2"/>
  <c r="N6174" i="2"/>
  <c r="M6174" i="2"/>
  <c r="O6173" i="2"/>
  <c r="N6173" i="2"/>
  <c r="M6173" i="2"/>
  <c r="O6172" i="2"/>
  <c r="N6172" i="2"/>
  <c r="M6172" i="2"/>
  <c r="O6171" i="2"/>
  <c r="N6171" i="2"/>
  <c r="M6171" i="2"/>
  <c r="O6170" i="2"/>
  <c r="N6170" i="2"/>
  <c r="M6170" i="2"/>
  <c r="O6169" i="2"/>
  <c r="N6169" i="2"/>
  <c r="M6169" i="2"/>
  <c r="O6168" i="2"/>
  <c r="N6168" i="2"/>
  <c r="M6168" i="2"/>
  <c r="O6167" i="2"/>
  <c r="N6167" i="2"/>
  <c r="M6167" i="2"/>
  <c r="O6166" i="2"/>
  <c r="N6166" i="2"/>
  <c r="M6166" i="2"/>
  <c r="O6165" i="2"/>
  <c r="N6165" i="2"/>
  <c r="M6165" i="2"/>
  <c r="O6164" i="2"/>
  <c r="N6164" i="2"/>
  <c r="M6164" i="2"/>
  <c r="O6163" i="2"/>
  <c r="N6163" i="2"/>
  <c r="M6163" i="2"/>
  <c r="O6162" i="2"/>
  <c r="N6162" i="2"/>
  <c r="M6162" i="2"/>
  <c r="O6161" i="2"/>
  <c r="N6161" i="2"/>
  <c r="M6161" i="2"/>
  <c r="O6160" i="2"/>
  <c r="N6160" i="2"/>
  <c r="M6160" i="2"/>
  <c r="O6159" i="2"/>
  <c r="N6159" i="2"/>
  <c r="M6159" i="2"/>
  <c r="O6158" i="2"/>
  <c r="N6158" i="2"/>
  <c r="M6158" i="2"/>
  <c r="O6157" i="2"/>
  <c r="N6157" i="2"/>
  <c r="M6157" i="2"/>
  <c r="O6156" i="2"/>
  <c r="N6156" i="2"/>
  <c r="M6156" i="2"/>
  <c r="O6155" i="2"/>
  <c r="N6155" i="2"/>
  <c r="M6155" i="2"/>
  <c r="O6154" i="2"/>
  <c r="N6154" i="2"/>
  <c r="M6154" i="2"/>
  <c r="O6153" i="2"/>
  <c r="N6153" i="2"/>
  <c r="M6153" i="2"/>
  <c r="O6152" i="2"/>
  <c r="N6152" i="2"/>
  <c r="M6152" i="2"/>
  <c r="O6151" i="2"/>
  <c r="N6151" i="2"/>
  <c r="M6151" i="2"/>
  <c r="O6150" i="2"/>
  <c r="N6150" i="2"/>
  <c r="M6150" i="2"/>
  <c r="O6149" i="2"/>
  <c r="N6149" i="2"/>
  <c r="M6149" i="2"/>
  <c r="O6148" i="2"/>
  <c r="N6148" i="2"/>
  <c r="M6148" i="2"/>
  <c r="O6147" i="2"/>
  <c r="N6147" i="2"/>
  <c r="M6147" i="2"/>
  <c r="O6146" i="2"/>
  <c r="N6146" i="2"/>
  <c r="M6146" i="2"/>
  <c r="O6145" i="2"/>
  <c r="N6145" i="2"/>
  <c r="M6145" i="2"/>
  <c r="O6144" i="2"/>
  <c r="N6144" i="2"/>
  <c r="M6144" i="2"/>
  <c r="O6143" i="2"/>
  <c r="N6143" i="2"/>
  <c r="M6143" i="2"/>
  <c r="O6142" i="2"/>
  <c r="N6142" i="2"/>
  <c r="M6142" i="2"/>
  <c r="O6141" i="2"/>
  <c r="N6141" i="2"/>
  <c r="M6141" i="2"/>
  <c r="O6140" i="2"/>
  <c r="N6140" i="2"/>
  <c r="M6140" i="2"/>
  <c r="O6139" i="2"/>
  <c r="N6139" i="2"/>
  <c r="M6139" i="2"/>
  <c r="O6138" i="2"/>
  <c r="N6138" i="2"/>
  <c r="M6138" i="2"/>
  <c r="O6137" i="2"/>
  <c r="N6137" i="2"/>
  <c r="M6137" i="2"/>
  <c r="O6136" i="2"/>
  <c r="N6136" i="2"/>
  <c r="M6136" i="2"/>
  <c r="O6135" i="2"/>
  <c r="N6135" i="2"/>
  <c r="M6135" i="2"/>
  <c r="O6134" i="2"/>
  <c r="N6134" i="2"/>
  <c r="M6134" i="2"/>
  <c r="O6133" i="2"/>
  <c r="N6133" i="2"/>
  <c r="M6133" i="2"/>
  <c r="O6132" i="2"/>
  <c r="N6132" i="2"/>
  <c r="M6132" i="2"/>
  <c r="O6131" i="2"/>
  <c r="N6131" i="2"/>
  <c r="M6131" i="2"/>
  <c r="O6130" i="2"/>
  <c r="N6130" i="2"/>
  <c r="M6130" i="2"/>
  <c r="O6129" i="2"/>
  <c r="N6129" i="2"/>
  <c r="M6129" i="2"/>
  <c r="O6128" i="2"/>
  <c r="N6128" i="2"/>
  <c r="M6128" i="2"/>
  <c r="O6127" i="2"/>
  <c r="N6127" i="2"/>
  <c r="M6127" i="2"/>
  <c r="O6126" i="2"/>
  <c r="N6126" i="2"/>
  <c r="M6126" i="2"/>
  <c r="O6125" i="2"/>
  <c r="N6125" i="2"/>
  <c r="M6125" i="2"/>
  <c r="O6124" i="2"/>
  <c r="N6124" i="2"/>
  <c r="M6124" i="2"/>
  <c r="O6123" i="2"/>
  <c r="N6123" i="2"/>
  <c r="M6123" i="2"/>
  <c r="O6122" i="2"/>
  <c r="N6122" i="2"/>
  <c r="M6122" i="2"/>
  <c r="O6121" i="2"/>
  <c r="N6121" i="2"/>
  <c r="M6121" i="2"/>
  <c r="O6120" i="2"/>
  <c r="N6120" i="2"/>
  <c r="M6120" i="2"/>
  <c r="O6119" i="2"/>
  <c r="N6119" i="2"/>
  <c r="M6119" i="2"/>
  <c r="O6118" i="2"/>
  <c r="N6118" i="2"/>
  <c r="M6118" i="2"/>
  <c r="O6117" i="2"/>
  <c r="N6117" i="2"/>
  <c r="M6117" i="2"/>
  <c r="O6116" i="2"/>
  <c r="N6116" i="2"/>
  <c r="M6116" i="2"/>
  <c r="O6115" i="2"/>
  <c r="N6115" i="2"/>
  <c r="M6115" i="2"/>
  <c r="O6114" i="2"/>
  <c r="N6114" i="2"/>
  <c r="M6114" i="2"/>
  <c r="O6113" i="2"/>
  <c r="N6113" i="2"/>
  <c r="M6113" i="2"/>
  <c r="O6112" i="2"/>
  <c r="N6112" i="2"/>
  <c r="M6112" i="2"/>
  <c r="O6111" i="2"/>
  <c r="N6111" i="2"/>
  <c r="M6111" i="2"/>
  <c r="O6110" i="2"/>
  <c r="N6110" i="2"/>
  <c r="M6110" i="2"/>
  <c r="O6109" i="2"/>
  <c r="N6109" i="2"/>
  <c r="M6109" i="2"/>
  <c r="O6108" i="2"/>
  <c r="N6108" i="2"/>
  <c r="M6108" i="2"/>
  <c r="O6107" i="2"/>
  <c r="N6107" i="2"/>
  <c r="M6107" i="2"/>
  <c r="O6106" i="2"/>
  <c r="N6106" i="2"/>
  <c r="M6106" i="2"/>
  <c r="O6105" i="2"/>
  <c r="N6105" i="2"/>
  <c r="M6105" i="2"/>
  <c r="O6104" i="2"/>
  <c r="N6104" i="2"/>
  <c r="M6104" i="2"/>
  <c r="O6103" i="2"/>
  <c r="N6103" i="2"/>
  <c r="M6103" i="2"/>
  <c r="O6102" i="2"/>
  <c r="N6102" i="2"/>
  <c r="M6102" i="2"/>
  <c r="O6101" i="2"/>
  <c r="N6101" i="2"/>
  <c r="M6101" i="2"/>
  <c r="O6100" i="2"/>
  <c r="N6100" i="2"/>
  <c r="M6100" i="2"/>
  <c r="O6099" i="2"/>
  <c r="N6099" i="2"/>
  <c r="M6099" i="2"/>
  <c r="O6098" i="2"/>
  <c r="N6098" i="2"/>
  <c r="M6098" i="2"/>
  <c r="O6097" i="2"/>
  <c r="N6097" i="2"/>
  <c r="M6097" i="2"/>
  <c r="O6096" i="2"/>
  <c r="N6096" i="2"/>
  <c r="M6096" i="2"/>
  <c r="O6095" i="2"/>
  <c r="N6095" i="2"/>
  <c r="M6095" i="2"/>
  <c r="O6094" i="2"/>
  <c r="N6094" i="2"/>
  <c r="M6094" i="2"/>
  <c r="O6093" i="2"/>
  <c r="N6093" i="2"/>
  <c r="M6093" i="2"/>
  <c r="O6092" i="2"/>
  <c r="N6092" i="2"/>
  <c r="M6092" i="2"/>
  <c r="O6091" i="2"/>
  <c r="N6091" i="2"/>
  <c r="M6091" i="2"/>
  <c r="O6090" i="2"/>
  <c r="N6090" i="2"/>
  <c r="M6090" i="2"/>
  <c r="O6089" i="2"/>
  <c r="N6089" i="2"/>
  <c r="M6089" i="2"/>
  <c r="O6088" i="2"/>
  <c r="N6088" i="2"/>
  <c r="M6088" i="2"/>
  <c r="O6087" i="2"/>
  <c r="N6087" i="2"/>
  <c r="M6087" i="2"/>
  <c r="O6086" i="2"/>
  <c r="N6086" i="2"/>
  <c r="M6086" i="2"/>
  <c r="O6085" i="2"/>
  <c r="N6085" i="2"/>
  <c r="M6085" i="2"/>
  <c r="O6084" i="2"/>
  <c r="N6084" i="2"/>
  <c r="M6084" i="2"/>
  <c r="O6083" i="2"/>
  <c r="N6083" i="2"/>
  <c r="M6083" i="2"/>
  <c r="O6082" i="2"/>
  <c r="N6082" i="2"/>
  <c r="M6082" i="2"/>
  <c r="O6081" i="2"/>
  <c r="N6081" i="2"/>
  <c r="M6081" i="2"/>
  <c r="O6080" i="2"/>
  <c r="N6080" i="2"/>
  <c r="M6080" i="2"/>
  <c r="O6079" i="2"/>
  <c r="N6079" i="2"/>
  <c r="M6079" i="2"/>
  <c r="O6078" i="2"/>
  <c r="N6078" i="2"/>
  <c r="M6078" i="2"/>
  <c r="O6077" i="2"/>
  <c r="N6077" i="2"/>
  <c r="M6077" i="2"/>
  <c r="O6076" i="2"/>
  <c r="N6076" i="2"/>
  <c r="M6076" i="2"/>
  <c r="O6075" i="2"/>
  <c r="N6075" i="2"/>
  <c r="M6075" i="2"/>
  <c r="O6074" i="2"/>
  <c r="N6074" i="2"/>
  <c r="M6074" i="2"/>
  <c r="O6073" i="2"/>
  <c r="N6073" i="2"/>
  <c r="M6073" i="2"/>
  <c r="O6072" i="2"/>
  <c r="N6072" i="2"/>
  <c r="M6072" i="2"/>
  <c r="O6071" i="2"/>
  <c r="N6071" i="2"/>
  <c r="M6071" i="2"/>
  <c r="O6070" i="2"/>
  <c r="N6070" i="2"/>
  <c r="M6070" i="2"/>
  <c r="O6069" i="2"/>
  <c r="N6069" i="2"/>
  <c r="M6069" i="2"/>
  <c r="O6068" i="2"/>
  <c r="N6068" i="2"/>
  <c r="M6068" i="2"/>
  <c r="O6067" i="2"/>
  <c r="N6067" i="2"/>
  <c r="M6067" i="2"/>
  <c r="O6066" i="2"/>
  <c r="N6066" i="2"/>
  <c r="M6066" i="2"/>
  <c r="O6065" i="2"/>
  <c r="N6065" i="2"/>
  <c r="M6065" i="2"/>
  <c r="O6064" i="2"/>
  <c r="N6064" i="2"/>
  <c r="M6064" i="2"/>
  <c r="O6063" i="2"/>
  <c r="N6063" i="2"/>
  <c r="M6063" i="2"/>
  <c r="O6062" i="2"/>
  <c r="N6062" i="2"/>
  <c r="M6062" i="2"/>
  <c r="O6061" i="2"/>
  <c r="N6061" i="2"/>
  <c r="M6061" i="2"/>
  <c r="O6060" i="2"/>
  <c r="N6060" i="2"/>
  <c r="M6060" i="2"/>
  <c r="O6059" i="2"/>
  <c r="N6059" i="2"/>
  <c r="M6059" i="2"/>
  <c r="O6058" i="2"/>
  <c r="N6058" i="2"/>
  <c r="M6058" i="2"/>
  <c r="O6057" i="2"/>
  <c r="N6057" i="2"/>
  <c r="M6057" i="2"/>
  <c r="O6056" i="2"/>
  <c r="N6056" i="2"/>
  <c r="M6056" i="2"/>
  <c r="O6055" i="2"/>
  <c r="N6055" i="2"/>
  <c r="M6055" i="2"/>
  <c r="O6054" i="2"/>
  <c r="N6054" i="2"/>
  <c r="M6054" i="2"/>
  <c r="O6053" i="2"/>
  <c r="N6053" i="2"/>
  <c r="M6053" i="2"/>
  <c r="O6052" i="2"/>
  <c r="N6052" i="2"/>
  <c r="M6052" i="2"/>
  <c r="O6051" i="2"/>
  <c r="N6051" i="2"/>
  <c r="M6051" i="2"/>
  <c r="O6050" i="2"/>
  <c r="N6050" i="2"/>
  <c r="M6050" i="2"/>
  <c r="O6049" i="2"/>
  <c r="N6049" i="2"/>
  <c r="M6049" i="2"/>
  <c r="O6048" i="2"/>
  <c r="N6048" i="2"/>
  <c r="M6048" i="2"/>
  <c r="O6047" i="2"/>
  <c r="N6047" i="2"/>
  <c r="M6047" i="2"/>
  <c r="O6046" i="2"/>
  <c r="N6046" i="2"/>
  <c r="M6046" i="2"/>
  <c r="O6045" i="2"/>
  <c r="N6045" i="2"/>
  <c r="M6045" i="2"/>
  <c r="O6044" i="2"/>
  <c r="N6044" i="2"/>
  <c r="M6044" i="2"/>
  <c r="O6043" i="2"/>
  <c r="N6043" i="2"/>
  <c r="M6043" i="2"/>
  <c r="O6042" i="2"/>
  <c r="N6042" i="2"/>
  <c r="M6042" i="2"/>
  <c r="O6041" i="2"/>
  <c r="N6041" i="2"/>
  <c r="M6041" i="2"/>
  <c r="O6040" i="2"/>
  <c r="N6040" i="2"/>
  <c r="M6040" i="2"/>
  <c r="O6039" i="2"/>
  <c r="N6039" i="2"/>
  <c r="M6039" i="2"/>
  <c r="O6038" i="2"/>
  <c r="N6038" i="2"/>
  <c r="M6038" i="2"/>
  <c r="O6037" i="2"/>
  <c r="N6037" i="2"/>
  <c r="M6037" i="2"/>
  <c r="O6036" i="2"/>
  <c r="N6036" i="2"/>
  <c r="M6036" i="2"/>
  <c r="O6035" i="2"/>
  <c r="N6035" i="2"/>
  <c r="M6035" i="2"/>
  <c r="O6034" i="2"/>
  <c r="N6034" i="2"/>
  <c r="M6034" i="2"/>
  <c r="O6033" i="2"/>
  <c r="N6033" i="2"/>
  <c r="M6033" i="2"/>
  <c r="O6032" i="2"/>
  <c r="N6032" i="2"/>
  <c r="M6032" i="2"/>
  <c r="O6031" i="2"/>
  <c r="N6031" i="2"/>
  <c r="M6031" i="2"/>
  <c r="O6030" i="2"/>
  <c r="N6030" i="2"/>
  <c r="M6030" i="2"/>
  <c r="O6029" i="2"/>
  <c r="N6029" i="2"/>
  <c r="M6029" i="2"/>
  <c r="O6028" i="2"/>
  <c r="N6028" i="2"/>
  <c r="M6028" i="2"/>
  <c r="O6027" i="2"/>
  <c r="N6027" i="2"/>
  <c r="M6027" i="2"/>
  <c r="O6026" i="2"/>
  <c r="N6026" i="2"/>
  <c r="M6026" i="2"/>
  <c r="O6025" i="2"/>
  <c r="N6025" i="2"/>
  <c r="M6025" i="2"/>
  <c r="O6024" i="2"/>
  <c r="N6024" i="2"/>
  <c r="M6024" i="2"/>
  <c r="O6023" i="2"/>
  <c r="N6023" i="2"/>
  <c r="M6023" i="2"/>
  <c r="O6022" i="2"/>
  <c r="N6022" i="2"/>
  <c r="M6022" i="2"/>
  <c r="O6021" i="2"/>
  <c r="N6021" i="2"/>
  <c r="M6021" i="2"/>
  <c r="O6020" i="2"/>
  <c r="N6020" i="2"/>
  <c r="M6020" i="2"/>
  <c r="O6019" i="2"/>
  <c r="N6019" i="2"/>
  <c r="M6019" i="2"/>
  <c r="O6018" i="2"/>
  <c r="N6018" i="2"/>
  <c r="M6018" i="2"/>
  <c r="O6017" i="2"/>
  <c r="N6017" i="2"/>
  <c r="M6017" i="2"/>
  <c r="O6016" i="2"/>
  <c r="N6016" i="2"/>
  <c r="M6016" i="2"/>
  <c r="O6015" i="2"/>
  <c r="N6015" i="2"/>
  <c r="M6015" i="2"/>
  <c r="O6014" i="2"/>
  <c r="N6014" i="2"/>
  <c r="M6014" i="2"/>
  <c r="O6013" i="2"/>
  <c r="N6013" i="2"/>
  <c r="M6013" i="2"/>
  <c r="O6012" i="2"/>
  <c r="N6012" i="2"/>
  <c r="M6012" i="2"/>
  <c r="O6011" i="2"/>
  <c r="N6011" i="2"/>
  <c r="M6011" i="2"/>
  <c r="O6010" i="2"/>
  <c r="N6010" i="2"/>
  <c r="M6010" i="2"/>
  <c r="O6009" i="2"/>
  <c r="N6009" i="2"/>
  <c r="M6009" i="2"/>
  <c r="O6008" i="2"/>
  <c r="N6008" i="2"/>
  <c r="M6008" i="2"/>
  <c r="O6007" i="2"/>
  <c r="N6007" i="2"/>
  <c r="M6007" i="2"/>
  <c r="O6006" i="2"/>
  <c r="N6006" i="2"/>
  <c r="M6006" i="2"/>
  <c r="O6005" i="2"/>
  <c r="N6005" i="2"/>
  <c r="M6005" i="2"/>
  <c r="O6004" i="2"/>
  <c r="N6004" i="2"/>
  <c r="M6004" i="2"/>
  <c r="O6003" i="2"/>
  <c r="N6003" i="2"/>
  <c r="M6003" i="2"/>
  <c r="O6002" i="2"/>
  <c r="N6002" i="2"/>
  <c r="M6002" i="2"/>
  <c r="O6001" i="2"/>
  <c r="N6001" i="2"/>
  <c r="M6001" i="2"/>
  <c r="O6000" i="2"/>
  <c r="N6000" i="2"/>
  <c r="M6000" i="2"/>
  <c r="O5999" i="2"/>
  <c r="N5999" i="2"/>
  <c r="M5999" i="2"/>
  <c r="O5998" i="2"/>
  <c r="N5998" i="2"/>
  <c r="M5998" i="2"/>
  <c r="O5997" i="2"/>
  <c r="N5997" i="2"/>
  <c r="M5997" i="2"/>
  <c r="O5996" i="2"/>
  <c r="N5996" i="2"/>
  <c r="M5996" i="2"/>
  <c r="O5995" i="2"/>
  <c r="N5995" i="2"/>
  <c r="M5995" i="2"/>
  <c r="O5994" i="2"/>
  <c r="N5994" i="2"/>
  <c r="M5994" i="2"/>
  <c r="O5993" i="2"/>
  <c r="N5993" i="2"/>
  <c r="M5993" i="2"/>
  <c r="O5992" i="2"/>
  <c r="N5992" i="2"/>
  <c r="M5992" i="2"/>
  <c r="O5991" i="2"/>
  <c r="N5991" i="2"/>
  <c r="M5991" i="2"/>
  <c r="O5990" i="2"/>
  <c r="N5990" i="2"/>
  <c r="M5990" i="2"/>
  <c r="O5989" i="2"/>
  <c r="N5989" i="2"/>
  <c r="M5989" i="2"/>
  <c r="O5988" i="2"/>
  <c r="N5988" i="2"/>
  <c r="M5988" i="2"/>
  <c r="O5987" i="2"/>
  <c r="N5987" i="2"/>
  <c r="M5987" i="2"/>
  <c r="O5986" i="2"/>
  <c r="N5986" i="2"/>
  <c r="M5986" i="2"/>
  <c r="O5985" i="2"/>
  <c r="N5985" i="2"/>
  <c r="M5985" i="2"/>
  <c r="O5984" i="2"/>
  <c r="N5984" i="2"/>
  <c r="M5984" i="2"/>
  <c r="O5983" i="2"/>
  <c r="N5983" i="2"/>
  <c r="M5983" i="2"/>
  <c r="O5982" i="2"/>
  <c r="N5982" i="2"/>
  <c r="M5982" i="2"/>
  <c r="O5981" i="2"/>
  <c r="N5981" i="2"/>
  <c r="M5981" i="2"/>
  <c r="O5980" i="2"/>
  <c r="N5980" i="2"/>
  <c r="M5980" i="2"/>
  <c r="O5979" i="2"/>
  <c r="N5979" i="2"/>
  <c r="M5979" i="2"/>
  <c r="O5978" i="2"/>
  <c r="N5978" i="2"/>
  <c r="M5978" i="2"/>
  <c r="O5977" i="2"/>
  <c r="N5977" i="2"/>
  <c r="M5977" i="2"/>
  <c r="O5976" i="2"/>
  <c r="N5976" i="2"/>
  <c r="M5976" i="2"/>
  <c r="O5975" i="2"/>
  <c r="N5975" i="2"/>
  <c r="M5975" i="2"/>
  <c r="O5974" i="2"/>
  <c r="N5974" i="2"/>
  <c r="M5974" i="2"/>
  <c r="O5973" i="2"/>
  <c r="N5973" i="2"/>
  <c r="M5973" i="2"/>
  <c r="O5972" i="2"/>
  <c r="N5972" i="2"/>
  <c r="M5972" i="2"/>
  <c r="O5971" i="2"/>
  <c r="N5971" i="2"/>
  <c r="M5971" i="2"/>
  <c r="O5970" i="2"/>
  <c r="N5970" i="2"/>
  <c r="M5970" i="2"/>
  <c r="O5969" i="2"/>
  <c r="N5969" i="2"/>
  <c r="M5969" i="2"/>
  <c r="O5968" i="2"/>
  <c r="N5968" i="2"/>
  <c r="M5968" i="2"/>
  <c r="O5967" i="2"/>
  <c r="N5967" i="2"/>
  <c r="M5967" i="2"/>
  <c r="O5966" i="2"/>
  <c r="N5966" i="2"/>
  <c r="M5966" i="2"/>
  <c r="O5965" i="2"/>
  <c r="N5965" i="2"/>
  <c r="M5965" i="2"/>
  <c r="O5964" i="2"/>
  <c r="N5964" i="2"/>
  <c r="M5964" i="2"/>
  <c r="O5963" i="2"/>
  <c r="N5963" i="2"/>
  <c r="M5963" i="2"/>
  <c r="O5962" i="2"/>
  <c r="N5962" i="2"/>
  <c r="M5962" i="2"/>
  <c r="O5961" i="2"/>
  <c r="N5961" i="2"/>
  <c r="M5961" i="2"/>
  <c r="O5960" i="2"/>
  <c r="N5960" i="2"/>
  <c r="M5960" i="2"/>
  <c r="O5959" i="2"/>
  <c r="N5959" i="2"/>
  <c r="M5959" i="2"/>
  <c r="O5958" i="2"/>
  <c r="N5958" i="2"/>
  <c r="M5958" i="2"/>
  <c r="O5957" i="2"/>
  <c r="N5957" i="2"/>
  <c r="M5957" i="2"/>
  <c r="O5956" i="2"/>
  <c r="N5956" i="2"/>
  <c r="M5956" i="2"/>
  <c r="O5955" i="2"/>
  <c r="N5955" i="2"/>
  <c r="M5955" i="2"/>
  <c r="O5954" i="2"/>
  <c r="N5954" i="2"/>
  <c r="M5954" i="2"/>
  <c r="O5953" i="2"/>
  <c r="N5953" i="2"/>
  <c r="M5953" i="2"/>
  <c r="O5952" i="2"/>
  <c r="N5952" i="2"/>
  <c r="M5952" i="2"/>
  <c r="O5951" i="2"/>
  <c r="N5951" i="2"/>
  <c r="M5951" i="2"/>
  <c r="O5950" i="2"/>
  <c r="N5950" i="2"/>
  <c r="M5950" i="2"/>
  <c r="O5949" i="2"/>
  <c r="N5949" i="2"/>
  <c r="M5949" i="2"/>
  <c r="O5948" i="2"/>
  <c r="N5948" i="2"/>
  <c r="M5948" i="2"/>
  <c r="O5947" i="2"/>
  <c r="N5947" i="2"/>
  <c r="M5947" i="2"/>
  <c r="O5946" i="2"/>
  <c r="N5946" i="2"/>
  <c r="M5946" i="2"/>
  <c r="O5945" i="2"/>
  <c r="N5945" i="2"/>
  <c r="M5945" i="2"/>
  <c r="O5944" i="2"/>
  <c r="N5944" i="2"/>
  <c r="M5944" i="2"/>
  <c r="O5943" i="2"/>
  <c r="N5943" i="2"/>
  <c r="M5943" i="2"/>
  <c r="O5942" i="2"/>
  <c r="N5942" i="2"/>
  <c r="M5942" i="2"/>
  <c r="O5941" i="2"/>
  <c r="N5941" i="2"/>
  <c r="M5941" i="2"/>
  <c r="O5940" i="2"/>
  <c r="N5940" i="2"/>
  <c r="M5940" i="2"/>
  <c r="O5939" i="2"/>
  <c r="N5939" i="2"/>
  <c r="M5939" i="2"/>
  <c r="O5938" i="2"/>
  <c r="N5938" i="2"/>
  <c r="M5938" i="2"/>
  <c r="O5937" i="2"/>
  <c r="N5937" i="2"/>
  <c r="M5937" i="2"/>
  <c r="O5936" i="2"/>
  <c r="N5936" i="2"/>
  <c r="M5936" i="2"/>
  <c r="O5935" i="2"/>
  <c r="N5935" i="2"/>
  <c r="M5935" i="2"/>
  <c r="O5934" i="2"/>
  <c r="N5934" i="2"/>
  <c r="M5934" i="2"/>
  <c r="O5933" i="2"/>
  <c r="N5933" i="2"/>
  <c r="M5933" i="2"/>
  <c r="O5932" i="2"/>
  <c r="N5932" i="2"/>
  <c r="M5932" i="2"/>
  <c r="O5931" i="2"/>
  <c r="N5931" i="2"/>
  <c r="M5931" i="2"/>
  <c r="O5930" i="2"/>
  <c r="N5930" i="2"/>
  <c r="M5930" i="2"/>
  <c r="O5929" i="2"/>
  <c r="N5929" i="2"/>
  <c r="M5929" i="2"/>
  <c r="O5928" i="2"/>
  <c r="N5928" i="2"/>
  <c r="M5928" i="2"/>
  <c r="O5927" i="2"/>
  <c r="N5927" i="2"/>
  <c r="M5927" i="2"/>
  <c r="O5926" i="2"/>
  <c r="N5926" i="2"/>
  <c r="M5926" i="2"/>
  <c r="O5925" i="2"/>
  <c r="N5925" i="2"/>
  <c r="M5925" i="2"/>
  <c r="O5924" i="2"/>
  <c r="N5924" i="2"/>
  <c r="M5924" i="2"/>
  <c r="O5923" i="2"/>
  <c r="N5923" i="2"/>
  <c r="M5923" i="2"/>
  <c r="O5922" i="2"/>
  <c r="N5922" i="2"/>
  <c r="M5922" i="2"/>
  <c r="O5921" i="2"/>
  <c r="N5921" i="2"/>
  <c r="M5921" i="2"/>
  <c r="O5920" i="2"/>
  <c r="N5920" i="2"/>
  <c r="M5920" i="2"/>
  <c r="O5919" i="2"/>
  <c r="N5919" i="2"/>
  <c r="M5919" i="2"/>
  <c r="O5918" i="2"/>
  <c r="N5918" i="2"/>
  <c r="M5918" i="2"/>
  <c r="O5917" i="2"/>
  <c r="N5917" i="2"/>
  <c r="M5917" i="2"/>
  <c r="O5916" i="2"/>
  <c r="N5916" i="2"/>
  <c r="M5916" i="2"/>
  <c r="O5915" i="2"/>
  <c r="N5915" i="2"/>
  <c r="M5915" i="2"/>
  <c r="O5914" i="2"/>
  <c r="N5914" i="2"/>
  <c r="M5914" i="2"/>
  <c r="O5913" i="2"/>
  <c r="N5913" i="2"/>
  <c r="M5913" i="2"/>
  <c r="O5912" i="2"/>
  <c r="N5912" i="2"/>
  <c r="M5912" i="2"/>
  <c r="O5911" i="2"/>
  <c r="N5911" i="2"/>
  <c r="M5911" i="2"/>
  <c r="O5910" i="2"/>
  <c r="N5910" i="2"/>
  <c r="M5910" i="2"/>
  <c r="O5909" i="2"/>
  <c r="N5909" i="2"/>
  <c r="M5909" i="2"/>
  <c r="O5908" i="2"/>
  <c r="N5908" i="2"/>
  <c r="M5908" i="2"/>
  <c r="O5907" i="2"/>
  <c r="N5907" i="2"/>
  <c r="M5907" i="2"/>
  <c r="O5906" i="2"/>
  <c r="N5906" i="2"/>
  <c r="M5906" i="2"/>
  <c r="O5905" i="2"/>
  <c r="N5905" i="2"/>
  <c r="M5905" i="2"/>
  <c r="O5904" i="2"/>
  <c r="N5904" i="2"/>
  <c r="M5904" i="2"/>
  <c r="O5903" i="2"/>
  <c r="N5903" i="2"/>
  <c r="M5903" i="2"/>
  <c r="O5902" i="2"/>
  <c r="N5902" i="2"/>
  <c r="M5902" i="2"/>
  <c r="O5901" i="2"/>
  <c r="N5901" i="2"/>
  <c r="M5901" i="2"/>
  <c r="O5900" i="2"/>
  <c r="N5900" i="2"/>
  <c r="M5900" i="2"/>
  <c r="O5899" i="2"/>
  <c r="N5899" i="2"/>
  <c r="M5899" i="2"/>
  <c r="O5898" i="2"/>
  <c r="N5898" i="2"/>
  <c r="M5898" i="2"/>
  <c r="O5897" i="2"/>
  <c r="N5897" i="2"/>
  <c r="M5897" i="2"/>
  <c r="O5896" i="2"/>
  <c r="N5896" i="2"/>
  <c r="M5896" i="2"/>
  <c r="O5895" i="2"/>
  <c r="N5895" i="2"/>
  <c r="M5895" i="2"/>
  <c r="O5894" i="2"/>
  <c r="N5894" i="2"/>
  <c r="M5894" i="2"/>
  <c r="O5893" i="2"/>
  <c r="N5893" i="2"/>
  <c r="M5893" i="2"/>
  <c r="O5892" i="2"/>
  <c r="N5892" i="2"/>
  <c r="M5892" i="2"/>
  <c r="O5891" i="2"/>
  <c r="N5891" i="2"/>
  <c r="M5891" i="2"/>
  <c r="O5890" i="2"/>
  <c r="N5890" i="2"/>
  <c r="M5890" i="2"/>
  <c r="O5889" i="2"/>
  <c r="N5889" i="2"/>
  <c r="M5889" i="2"/>
  <c r="O5888" i="2"/>
  <c r="N5888" i="2"/>
  <c r="M5888" i="2"/>
  <c r="O5887" i="2"/>
  <c r="N5887" i="2"/>
  <c r="M5887" i="2"/>
  <c r="O5886" i="2"/>
  <c r="N5886" i="2"/>
  <c r="M5886" i="2"/>
  <c r="O5885" i="2"/>
  <c r="N5885" i="2"/>
  <c r="M5885" i="2"/>
  <c r="O5884" i="2"/>
  <c r="N5884" i="2"/>
  <c r="M5884" i="2"/>
  <c r="O5883" i="2"/>
  <c r="N5883" i="2"/>
  <c r="M5883" i="2"/>
  <c r="O5882" i="2"/>
  <c r="N5882" i="2"/>
  <c r="M5882" i="2"/>
  <c r="O5881" i="2"/>
  <c r="N5881" i="2"/>
  <c r="M5881" i="2"/>
  <c r="O5880" i="2"/>
  <c r="N5880" i="2"/>
  <c r="M5880" i="2"/>
  <c r="O5879" i="2"/>
  <c r="N5879" i="2"/>
  <c r="M5879" i="2"/>
  <c r="O5878" i="2"/>
  <c r="N5878" i="2"/>
  <c r="M5878" i="2"/>
  <c r="O5877" i="2"/>
  <c r="N5877" i="2"/>
  <c r="M5877" i="2"/>
  <c r="O5876" i="2"/>
  <c r="N5876" i="2"/>
  <c r="M5876" i="2"/>
  <c r="O5875" i="2"/>
  <c r="N5875" i="2"/>
  <c r="M5875" i="2"/>
  <c r="O5874" i="2"/>
  <c r="N5874" i="2"/>
  <c r="M5874" i="2"/>
  <c r="O5873" i="2"/>
  <c r="N5873" i="2"/>
  <c r="M5873" i="2"/>
  <c r="O5872" i="2"/>
  <c r="N5872" i="2"/>
  <c r="M5872" i="2"/>
  <c r="O5871" i="2"/>
  <c r="N5871" i="2"/>
  <c r="M5871" i="2"/>
  <c r="O5870" i="2"/>
  <c r="N5870" i="2"/>
  <c r="M5870" i="2"/>
  <c r="O5869" i="2"/>
  <c r="N5869" i="2"/>
  <c r="M5869" i="2"/>
  <c r="O5868" i="2"/>
  <c r="N5868" i="2"/>
  <c r="M5868" i="2"/>
  <c r="O5867" i="2"/>
  <c r="N5867" i="2"/>
  <c r="M5867" i="2"/>
  <c r="O5866" i="2"/>
  <c r="N5866" i="2"/>
  <c r="M5866" i="2"/>
  <c r="O5865" i="2"/>
  <c r="N5865" i="2"/>
  <c r="M5865" i="2"/>
  <c r="O5864" i="2"/>
  <c r="N5864" i="2"/>
  <c r="M5864" i="2"/>
  <c r="O5863" i="2"/>
  <c r="N5863" i="2"/>
  <c r="M5863" i="2"/>
  <c r="O5862" i="2"/>
  <c r="N5862" i="2"/>
  <c r="M5862" i="2"/>
  <c r="O5861" i="2"/>
  <c r="N5861" i="2"/>
  <c r="M5861" i="2"/>
  <c r="O5860" i="2"/>
  <c r="N5860" i="2"/>
  <c r="M5860" i="2"/>
  <c r="O5859" i="2"/>
  <c r="N5859" i="2"/>
  <c r="M5859" i="2"/>
  <c r="O5858" i="2"/>
  <c r="N5858" i="2"/>
  <c r="M5858" i="2"/>
  <c r="O5857" i="2"/>
  <c r="N5857" i="2"/>
  <c r="M5857" i="2"/>
  <c r="O5856" i="2"/>
  <c r="N5856" i="2"/>
  <c r="M5856" i="2"/>
  <c r="O5855" i="2"/>
  <c r="N5855" i="2"/>
  <c r="M5855" i="2"/>
  <c r="O5854" i="2"/>
  <c r="N5854" i="2"/>
  <c r="M5854" i="2"/>
  <c r="O5853" i="2"/>
  <c r="N5853" i="2"/>
  <c r="M5853" i="2"/>
  <c r="O5852" i="2"/>
  <c r="N5852" i="2"/>
  <c r="M5852" i="2"/>
  <c r="O5851" i="2"/>
  <c r="N5851" i="2"/>
  <c r="M5851" i="2"/>
  <c r="O5850" i="2"/>
  <c r="N5850" i="2"/>
  <c r="M5850" i="2"/>
  <c r="O5849" i="2"/>
  <c r="N5849" i="2"/>
  <c r="M5849" i="2"/>
  <c r="O5848" i="2"/>
  <c r="N5848" i="2"/>
  <c r="M5848" i="2"/>
  <c r="O5847" i="2"/>
  <c r="N5847" i="2"/>
  <c r="M5847" i="2"/>
  <c r="O5846" i="2"/>
  <c r="N5846" i="2"/>
  <c r="M5846" i="2"/>
  <c r="O5845" i="2"/>
  <c r="N5845" i="2"/>
  <c r="M5845" i="2"/>
  <c r="O5844" i="2"/>
  <c r="N5844" i="2"/>
  <c r="M5844" i="2"/>
  <c r="O5843" i="2"/>
  <c r="N5843" i="2"/>
  <c r="M5843" i="2"/>
  <c r="O5842" i="2"/>
  <c r="N5842" i="2"/>
  <c r="M5842" i="2"/>
  <c r="O5841" i="2"/>
  <c r="N5841" i="2"/>
  <c r="M5841" i="2"/>
  <c r="O5840" i="2"/>
  <c r="N5840" i="2"/>
  <c r="M5840" i="2"/>
  <c r="O5839" i="2"/>
  <c r="N5839" i="2"/>
  <c r="M5839" i="2"/>
  <c r="O5838" i="2"/>
  <c r="N5838" i="2"/>
  <c r="M5838" i="2"/>
  <c r="O5837" i="2"/>
  <c r="N5837" i="2"/>
  <c r="M5837" i="2"/>
  <c r="O5836" i="2"/>
  <c r="N5836" i="2"/>
  <c r="M5836" i="2"/>
  <c r="O5835" i="2"/>
  <c r="N5835" i="2"/>
  <c r="M5835" i="2"/>
  <c r="O5834" i="2"/>
  <c r="N5834" i="2"/>
  <c r="M5834" i="2"/>
  <c r="O5833" i="2"/>
  <c r="N5833" i="2"/>
  <c r="M5833" i="2"/>
  <c r="O5832" i="2"/>
  <c r="N5832" i="2"/>
  <c r="M5832" i="2"/>
  <c r="O5831" i="2"/>
  <c r="N5831" i="2"/>
  <c r="M5831" i="2"/>
  <c r="O5830" i="2"/>
  <c r="N5830" i="2"/>
  <c r="M5830" i="2"/>
  <c r="O5829" i="2"/>
  <c r="N5829" i="2"/>
  <c r="M5829" i="2"/>
  <c r="O5828" i="2"/>
  <c r="N5828" i="2"/>
  <c r="M5828" i="2"/>
  <c r="O5827" i="2"/>
  <c r="N5827" i="2"/>
  <c r="M5827" i="2"/>
  <c r="O5826" i="2"/>
  <c r="N5826" i="2"/>
  <c r="M5826" i="2"/>
  <c r="O5825" i="2"/>
  <c r="N5825" i="2"/>
  <c r="M5825" i="2"/>
  <c r="O5824" i="2"/>
  <c r="N5824" i="2"/>
  <c r="M5824" i="2"/>
  <c r="O5823" i="2"/>
  <c r="N5823" i="2"/>
  <c r="M5823" i="2"/>
  <c r="O5822" i="2"/>
  <c r="N5822" i="2"/>
  <c r="M5822" i="2"/>
  <c r="O5821" i="2"/>
  <c r="N5821" i="2"/>
  <c r="M5821" i="2"/>
  <c r="O5820" i="2"/>
  <c r="N5820" i="2"/>
  <c r="M5820" i="2"/>
  <c r="O5819" i="2"/>
  <c r="N5819" i="2"/>
  <c r="M5819" i="2"/>
  <c r="O5818" i="2"/>
  <c r="N5818" i="2"/>
  <c r="M5818" i="2"/>
  <c r="O5817" i="2"/>
  <c r="N5817" i="2"/>
  <c r="M5817" i="2"/>
  <c r="O5816" i="2"/>
  <c r="N5816" i="2"/>
  <c r="M5816" i="2"/>
  <c r="O5815" i="2"/>
  <c r="N5815" i="2"/>
  <c r="M5815" i="2"/>
  <c r="O5814" i="2"/>
  <c r="N5814" i="2"/>
  <c r="M5814" i="2"/>
  <c r="O5813" i="2"/>
  <c r="N5813" i="2"/>
  <c r="M5813" i="2"/>
  <c r="O5812" i="2"/>
  <c r="N5812" i="2"/>
  <c r="M5812" i="2"/>
  <c r="O5811" i="2"/>
  <c r="N5811" i="2"/>
  <c r="M5811" i="2"/>
  <c r="O5810" i="2"/>
  <c r="N5810" i="2"/>
  <c r="M5810" i="2"/>
  <c r="O5809" i="2"/>
  <c r="N5809" i="2"/>
  <c r="M5809" i="2"/>
  <c r="O5808" i="2"/>
  <c r="N5808" i="2"/>
  <c r="M5808" i="2"/>
  <c r="O5807" i="2"/>
  <c r="N5807" i="2"/>
  <c r="M5807" i="2"/>
  <c r="O5806" i="2"/>
  <c r="N5806" i="2"/>
  <c r="M5806" i="2"/>
  <c r="O5805" i="2"/>
  <c r="N5805" i="2"/>
  <c r="M5805" i="2"/>
  <c r="O5804" i="2"/>
  <c r="N5804" i="2"/>
  <c r="M5804" i="2"/>
  <c r="O5803" i="2"/>
  <c r="N5803" i="2"/>
  <c r="M5803" i="2"/>
  <c r="O5802" i="2"/>
  <c r="N5802" i="2"/>
  <c r="M5802" i="2"/>
  <c r="O5801" i="2"/>
  <c r="N5801" i="2"/>
  <c r="M5801" i="2"/>
  <c r="O5800" i="2"/>
  <c r="N5800" i="2"/>
  <c r="M5800" i="2"/>
  <c r="O5799" i="2"/>
  <c r="N5799" i="2"/>
  <c r="M5799" i="2"/>
  <c r="O5798" i="2"/>
  <c r="N5798" i="2"/>
  <c r="M5798" i="2"/>
  <c r="O5797" i="2"/>
  <c r="N5797" i="2"/>
  <c r="M5797" i="2"/>
  <c r="O5796" i="2"/>
  <c r="N5796" i="2"/>
  <c r="M5796" i="2"/>
  <c r="O5795" i="2"/>
  <c r="N5795" i="2"/>
  <c r="M5795" i="2"/>
  <c r="O5794" i="2"/>
  <c r="N5794" i="2"/>
  <c r="M5794" i="2"/>
  <c r="O5793" i="2"/>
  <c r="N5793" i="2"/>
  <c r="M5793" i="2"/>
  <c r="O5792" i="2"/>
  <c r="N5792" i="2"/>
  <c r="M5792" i="2"/>
  <c r="O5791" i="2"/>
  <c r="N5791" i="2"/>
  <c r="M5791" i="2"/>
  <c r="O5790" i="2"/>
  <c r="N5790" i="2"/>
  <c r="M5790" i="2"/>
  <c r="O5789" i="2"/>
  <c r="N5789" i="2"/>
  <c r="M5789" i="2"/>
  <c r="O5788" i="2"/>
  <c r="N5788" i="2"/>
  <c r="M5788" i="2"/>
  <c r="O5787" i="2"/>
  <c r="N5787" i="2"/>
  <c r="M5787" i="2"/>
  <c r="O5786" i="2"/>
  <c r="N5786" i="2"/>
  <c r="M5786" i="2"/>
  <c r="O5785" i="2"/>
  <c r="N5785" i="2"/>
  <c r="M5785" i="2"/>
  <c r="O5784" i="2"/>
  <c r="N5784" i="2"/>
  <c r="M5784" i="2"/>
  <c r="O5783" i="2"/>
  <c r="N5783" i="2"/>
  <c r="M5783" i="2"/>
  <c r="O5782" i="2"/>
  <c r="N5782" i="2"/>
  <c r="M5782" i="2"/>
  <c r="O5781" i="2"/>
  <c r="N5781" i="2"/>
  <c r="M5781" i="2"/>
  <c r="O5780" i="2"/>
  <c r="N5780" i="2"/>
  <c r="M5780" i="2"/>
  <c r="O5779" i="2"/>
  <c r="N5779" i="2"/>
  <c r="M5779" i="2"/>
  <c r="O5778" i="2"/>
  <c r="N5778" i="2"/>
  <c r="M5778" i="2"/>
  <c r="O5777" i="2"/>
  <c r="N5777" i="2"/>
  <c r="M5777" i="2"/>
  <c r="O5776" i="2"/>
  <c r="N5776" i="2"/>
  <c r="M5776" i="2"/>
  <c r="O5775" i="2"/>
  <c r="N5775" i="2"/>
  <c r="M5775" i="2"/>
  <c r="O5774" i="2"/>
  <c r="N5774" i="2"/>
  <c r="M5774" i="2"/>
  <c r="O5773" i="2"/>
  <c r="N5773" i="2"/>
  <c r="M5773" i="2"/>
  <c r="O5772" i="2"/>
  <c r="N5772" i="2"/>
  <c r="M5772" i="2"/>
  <c r="O5771" i="2"/>
  <c r="N5771" i="2"/>
  <c r="M5771" i="2"/>
  <c r="O5770" i="2"/>
  <c r="N5770" i="2"/>
  <c r="M5770" i="2"/>
  <c r="O5769" i="2"/>
  <c r="N5769" i="2"/>
  <c r="M5769" i="2"/>
  <c r="O5768" i="2"/>
  <c r="N5768" i="2"/>
  <c r="M5768" i="2"/>
  <c r="O5767" i="2"/>
  <c r="N5767" i="2"/>
  <c r="M5767" i="2"/>
  <c r="O5766" i="2"/>
  <c r="N5766" i="2"/>
  <c r="M5766" i="2"/>
  <c r="O5765" i="2"/>
  <c r="N5765" i="2"/>
  <c r="M5765" i="2"/>
  <c r="O5764" i="2"/>
  <c r="N5764" i="2"/>
  <c r="M5764" i="2"/>
  <c r="O5763" i="2"/>
  <c r="N5763" i="2"/>
  <c r="M5763" i="2"/>
  <c r="O5762" i="2"/>
  <c r="N5762" i="2"/>
  <c r="M5762" i="2"/>
  <c r="O5761" i="2"/>
  <c r="N5761" i="2"/>
  <c r="M5761" i="2"/>
  <c r="O5760" i="2"/>
  <c r="N5760" i="2"/>
  <c r="M5760" i="2"/>
  <c r="O5759" i="2"/>
  <c r="N5759" i="2"/>
  <c r="M5759" i="2"/>
  <c r="O5758" i="2"/>
  <c r="N5758" i="2"/>
  <c r="M5758" i="2"/>
  <c r="O5757" i="2"/>
  <c r="N5757" i="2"/>
  <c r="M5757" i="2"/>
  <c r="O5756" i="2"/>
  <c r="N5756" i="2"/>
  <c r="M5756" i="2"/>
  <c r="O5755" i="2"/>
  <c r="N5755" i="2"/>
  <c r="M5755" i="2"/>
  <c r="O5754" i="2"/>
  <c r="N5754" i="2"/>
  <c r="M5754" i="2"/>
  <c r="O5753" i="2"/>
  <c r="N5753" i="2"/>
  <c r="M5753" i="2"/>
  <c r="O5752" i="2"/>
  <c r="N5752" i="2"/>
  <c r="M5752" i="2"/>
  <c r="O5751" i="2"/>
  <c r="N5751" i="2"/>
  <c r="M5751" i="2"/>
  <c r="O5750" i="2"/>
  <c r="N5750" i="2"/>
  <c r="M5750" i="2"/>
  <c r="O5749" i="2"/>
  <c r="N5749" i="2"/>
  <c r="M5749" i="2"/>
  <c r="O5748" i="2"/>
  <c r="N5748" i="2"/>
  <c r="M5748" i="2"/>
  <c r="O5747" i="2"/>
  <c r="N5747" i="2"/>
  <c r="M5747" i="2"/>
  <c r="O5746" i="2"/>
  <c r="N5746" i="2"/>
  <c r="M5746" i="2"/>
  <c r="O5745" i="2"/>
  <c r="N5745" i="2"/>
  <c r="M5745" i="2"/>
  <c r="O5744" i="2"/>
  <c r="N5744" i="2"/>
  <c r="M5744" i="2"/>
  <c r="O5743" i="2"/>
  <c r="N5743" i="2"/>
  <c r="M5743" i="2"/>
  <c r="O5742" i="2"/>
  <c r="N5742" i="2"/>
  <c r="M5742" i="2"/>
  <c r="O5741" i="2"/>
  <c r="N5741" i="2"/>
  <c r="M5741" i="2"/>
  <c r="O5740" i="2"/>
  <c r="N5740" i="2"/>
  <c r="M5740" i="2"/>
  <c r="O5739" i="2"/>
  <c r="N5739" i="2"/>
  <c r="M5739" i="2"/>
  <c r="O5738" i="2"/>
  <c r="N5738" i="2"/>
  <c r="M5738" i="2"/>
  <c r="O5737" i="2"/>
  <c r="N5737" i="2"/>
  <c r="M5737" i="2"/>
  <c r="O5736" i="2"/>
  <c r="N5736" i="2"/>
  <c r="M5736" i="2"/>
  <c r="O5735" i="2"/>
  <c r="N5735" i="2"/>
  <c r="M5735" i="2"/>
  <c r="O5734" i="2"/>
  <c r="N5734" i="2"/>
  <c r="M5734" i="2"/>
  <c r="O5733" i="2"/>
  <c r="N5733" i="2"/>
  <c r="M5733" i="2"/>
  <c r="O5732" i="2"/>
  <c r="N5732" i="2"/>
  <c r="M5732" i="2"/>
  <c r="O5731" i="2"/>
  <c r="N5731" i="2"/>
  <c r="M5731" i="2"/>
  <c r="O5730" i="2"/>
  <c r="N5730" i="2"/>
  <c r="M5730" i="2"/>
  <c r="O5729" i="2"/>
  <c r="N5729" i="2"/>
  <c r="M5729" i="2"/>
  <c r="O5728" i="2"/>
  <c r="N5728" i="2"/>
  <c r="M5728" i="2"/>
  <c r="O5727" i="2"/>
  <c r="N5727" i="2"/>
  <c r="M5727" i="2"/>
  <c r="O5726" i="2"/>
  <c r="N5726" i="2"/>
  <c r="M5726" i="2"/>
  <c r="O5725" i="2"/>
  <c r="N5725" i="2"/>
  <c r="M5725" i="2"/>
  <c r="O5724" i="2"/>
  <c r="N5724" i="2"/>
  <c r="M5724" i="2"/>
  <c r="O5723" i="2"/>
  <c r="N5723" i="2"/>
  <c r="M5723" i="2"/>
  <c r="O5722" i="2"/>
  <c r="N5722" i="2"/>
  <c r="M5722" i="2"/>
  <c r="O5721" i="2"/>
  <c r="N5721" i="2"/>
  <c r="M5721" i="2"/>
  <c r="O5720" i="2"/>
  <c r="N5720" i="2"/>
  <c r="M5720" i="2"/>
  <c r="O5719" i="2"/>
  <c r="N5719" i="2"/>
  <c r="M5719" i="2"/>
  <c r="O5718" i="2"/>
  <c r="N5718" i="2"/>
  <c r="M5718" i="2"/>
  <c r="O5717" i="2"/>
  <c r="N5717" i="2"/>
  <c r="M5717" i="2"/>
  <c r="O5716" i="2"/>
  <c r="N5716" i="2"/>
  <c r="M5716" i="2"/>
  <c r="O5715" i="2"/>
  <c r="N5715" i="2"/>
  <c r="M5715" i="2"/>
  <c r="O5714" i="2"/>
  <c r="N5714" i="2"/>
  <c r="M5714" i="2"/>
  <c r="O5713" i="2"/>
  <c r="N5713" i="2"/>
  <c r="M5713" i="2"/>
  <c r="O5712" i="2"/>
  <c r="N5712" i="2"/>
  <c r="M5712" i="2"/>
  <c r="O5711" i="2"/>
  <c r="N5711" i="2"/>
  <c r="M5711" i="2"/>
  <c r="O5710" i="2"/>
  <c r="N5710" i="2"/>
  <c r="M5710" i="2"/>
  <c r="O5709" i="2"/>
  <c r="N5709" i="2"/>
  <c r="M5709" i="2"/>
  <c r="O5708" i="2"/>
  <c r="N5708" i="2"/>
  <c r="M5708" i="2"/>
  <c r="O5707" i="2"/>
  <c r="N5707" i="2"/>
  <c r="M5707" i="2"/>
  <c r="O5706" i="2"/>
  <c r="N5706" i="2"/>
  <c r="M5706" i="2"/>
  <c r="O5705" i="2"/>
  <c r="N5705" i="2"/>
  <c r="M5705" i="2"/>
  <c r="O5704" i="2"/>
  <c r="N5704" i="2"/>
  <c r="M5704" i="2"/>
  <c r="O5703" i="2"/>
  <c r="N5703" i="2"/>
  <c r="M5703" i="2"/>
  <c r="O5702" i="2"/>
  <c r="N5702" i="2"/>
  <c r="M5702" i="2"/>
  <c r="O5701" i="2"/>
  <c r="N5701" i="2"/>
  <c r="M5701" i="2"/>
  <c r="O5700" i="2"/>
  <c r="N5700" i="2"/>
  <c r="M5700" i="2"/>
  <c r="O5699" i="2"/>
  <c r="N5699" i="2"/>
  <c r="M5699" i="2"/>
  <c r="O5698" i="2"/>
  <c r="N5698" i="2"/>
  <c r="M5698" i="2"/>
  <c r="O5697" i="2"/>
  <c r="N5697" i="2"/>
  <c r="M5697" i="2"/>
  <c r="O5696" i="2"/>
  <c r="N5696" i="2"/>
  <c r="M5696" i="2"/>
  <c r="O5695" i="2"/>
  <c r="N5695" i="2"/>
  <c r="M5695" i="2"/>
  <c r="O5694" i="2"/>
  <c r="N5694" i="2"/>
  <c r="M5694" i="2"/>
  <c r="O5693" i="2"/>
  <c r="N5693" i="2"/>
  <c r="M5693" i="2"/>
  <c r="O5692" i="2"/>
  <c r="N5692" i="2"/>
  <c r="M5692" i="2"/>
  <c r="O5691" i="2"/>
  <c r="N5691" i="2"/>
  <c r="M5691" i="2"/>
  <c r="O5690" i="2"/>
  <c r="N5690" i="2"/>
  <c r="M5690" i="2"/>
  <c r="O5689" i="2"/>
  <c r="N5689" i="2"/>
  <c r="M5689" i="2"/>
  <c r="O5688" i="2"/>
  <c r="N5688" i="2"/>
  <c r="M5688" i="2"/>
  <c r="O5687" i="2"/>
  <c r="N5687" i="2"/>
  <c r="M5687" i="2"/>
  <c r="O5686" i="2"/>
  <c r="N5686" i="2"/>
  <c r="M5686" i="2"/>
  <c r="O5685" i="2"/>
  <c r="N5685" i="2"/>
  <c r="M5685" i="2"/>
  <c r="O5684" i="2"/>
  <c r="N5684" i="2"/>
  <c r="M5684" i="2"/>
  <c r="O5683" i="2"/>
  <c r="N5683" i="2"/>
  <c r="M5683" i="2"/>
  <c r="O5682" i="2"/>
  <c r="N5682" i="2"/>
  <c r="M5682" i="2"/>
  <c r="O5681" i="2"/>
  <c r="N5681" i="2"/>
  <c r="M5681" i="2"/>
  <c r="O5680" i="2"/>
  <c r="N5680" i="2"/>
  <c r="M5680" i="2"/>
  <c r="O5679" i="2"/>
  <c r="N5679" i="2"/>
  <c r="M5679" i="2"/>
  <c r="O5678" i="2"/>
  <c r="N5678" i="2"/>
  <c r="M5678" i="2"/>
  <c r="O5677" i="2"/>
  <c r="N5677" i="2"/>
  <c r="M5677" i="2"/>
  <c r="O5676" i="2"/>
  <c r="N5676" i="2"/>
  <c r="M5676" i="2"/>
  <c r="O5675" i="2"/>
  <c r="N5675" i="2"/>
  <c r="M5675" i="2"/>
  <c r="O5674" i="2"/>
  <c r="N5674" i="2"/>
  <c r="M5674" i="2"/>
  <c r="O5673" i="2"/>
  <c r="N5673" i="2"/>
  <c r="M5673" i="2"/>
  <c r="O5672" i="2"/>
  <c r="N5672" i="2"/>
  <c r="M5672" i="2"/>
  <c r="O5671" i="2"/>
  <c r="N5671" i="2"/>
  <c r="M5671" i="2"/>
  <c r="O5670" i="2"/>
  <c r="N5670" i="2"/>
  <c r="M5670" i="2"/>
  <c r="O5669" i="2"/>
  <c r="N5669" i="2"/>
  <c r="M5669" i="2"/>
  <c r="O5668" i="2"/>
  <c r="N5668" i="2"/>
  <c r="M5668" i="2"/>
  <c r="O5667" i="2"/>
  <c r="N5667" i="2"/>
  <c r="M5667" i="2"/>
  <c r="O5666" i="2"/>
  <c r="N5666" i="2"/>
  <c r="M5666" i="2"/>
  <c r="O5665" i="2"/>
  <c r="N5665" i="2"/>
  <c r="M5665" i="2"/>
  <c r="O5664" i="2"/>
  <c r="N5664" i="2"/>
  <c r="M5664" i="2"/>
  <c r="O5663" i="2"/>
  <c r="N5663" i="2"/>
  <c r="M5663" i="2"/>
  <c r="O5662" i="2"/>
  <c r="N5662" i="2"/>
  <c r="M5662" i="2"/>
  <c r="O5661" i="2"/>
  <c r="N5661" i="2"/>
  <c r="M5661" i="2"/>
  <c r="O5660" i="2"/>
  <c r="N5660" i="2"/>
  <c r="M5660" i="2"/>
  <c r="O5659" i="2"/>
  <c r="N5659" i="2"/>
  <c r="M5659" i="2"/>
  <c r="O5658" i="2"/>
  <c r="N5658" i="2"/>
  <c r="M5658" i="2"/>
  <c r="O5657" i="2"/>
  <c r="N5657" i="2"/>
  <c r="M5657" i="2"/>
  <c r="O5656" i="2"/>
  <c r="N5656" i="2"/>
  <c r="M5656" i="2"/>
  <c r="O5655" i="2"/>
  <c r="N5655" i="2"/>
  <c r="M5655" i="2"/>
  <c r="O5654" i="2"/>
  <c r="N5654" i="2"/>
  <c r="M5654" i="2"/>
  <c r="O5653" i="2"/>
  <c r="N5653" i="2"/>
  <c r="M5653" i="2"/>
  <c r="O5652" i="2"/>
  <c r="N5652" i="2"/>
  <c r="M5652" i="2"/>
  <c r="O5651" i="2"/>
  <c r="N5651" i="2"/>
  <c r="M5651" i="2"/>
  <c r="O5650" i="2"/>
  <c r="N5650" i="2"/>
  <c r="M5650" i="2"/>
  <c r="O5649" i="2"/>
  <c r="N5649" i="2"/>
  <c r="M5649" i="2"/>
  <c r="O5648" i="2"/>
  <c r="N5648" i="2"/>
  <c r="M5648" i="2"/>
  <c r="O5647" i="2"/>
  <c r="N5647" i="2"/>
  <c r="M5647" i="2"/>
  <c r="O5646" i="2"/>
  <c r="N5646" i="2"/>
  <c r="M5646" i="2"/>
  <c r="O5645" i="2"/>
  <c r="N5645" i="2"/>
  <c r="M5645" i="2"/>
  <c r="O5644" i="2"/>
  <c r="N5644" i="2"/>
  <c r="M5644" i="2"/>
  <c r="O5643" i="2"/>
  <c r="N5643" i="2"/>
  <c r="M5643" i="2"/>
  <c r="O5642" i="2"/>
  <c r="N5642" i="2"/>
  <c r="M5642" i="2"/>
  <c r="O5641" i="2"/>
  <c r="N5641" i="2"/>
  <c r="M5641" i="2"/>
  <c r="O5640" i="2"/>
  <c r="N5640" i="2"/>
  <c r="M5640" i="2"/>
  <c r="O5639" i="2"/>
  <c r="N5639" i="2"/>
  <c r="M5639" i="2"/>
  <c r="O5638" i="2"/>
  <c r="N5638" i="2"/>
  <c r="M5638" i="2"/>
  <c r="O5637" i="2"/>
  <c r="N5637" i="2"/>
  <c r="M5637" i="2"/>
  <c r="O5636" i="2"/>
  <c r="N5636" i="2"/>
  <c r="M5636" i="2"/>
  <c r="O5635" i="2"/>
  <c r="N5635" i="2"/>
  <c r="M5635" i="2"/>
  <c r="O5634" i="2"/>
  <c r="N5634" i="2"/>
  <c r="M5634" i="2"/>
  <c r="O5633" i="2"/>
  <c r="N5633" i="2"/>
  <c r="M5633" i="2"/>
  <c r="O5632" i="2"/>
  <c r="N5632" i="2"/>
  <c r="M5632" i="2"/>
  <c r="O5631" i="2"/>
  <c r="N5631" i="2"/>
  <c r="M5631" i="2"/>
  <c r="O5630" i="2"/>
  <c r="N5630" i="2"/>
  <c r="M5630" i="2"/>
  <c r="O5629" i="2"/>
  <c r="N5629" i="2"/>
  <c r="M5629" i="2"/>
  <c r="O5628" i="2"/>
  <c r="N5628" i="2"/>
  <c r="M5628" i="2"/>
  <c r="O5627" i="2"/>
  <c r="N5627" i="2"/>
  <c r="M5627" i="2"/>
  <c r="O5626" i="2"/>
  <c r="N5626" i="2"/>
  <c r="M5626" i="2"/>
  <c r="O5625" i="2"/>
  <c r="N5625" i="2"/>
  <c r="M5625" i="2"/>
  <c r="O5624" i="2"/>
  <c r="N5624" i="2"/>
  <c r="M5624" i="2"/>
  <c r="O5623" i="2"/>
  <c r="N5623" i="2"/>
  <c r="M5623" i="2"/>
  <c r="O5622" i="2"/>
  <c r="N5622" i="2"/>
  <c r="M5622" i="2"/>
  <c r="O5621" i="2"/>
  <c r="N5621" i="2"/>
  <c r="M5621" i="2"/>
  <c r="O5620" i="2"/>
  <c r="N5620" i="2"/>
  <c r="M5620" i="2"/>
  <c r="O5619" i="2"/>
  <c r="N5619" i="2"/>
  <c r="M5619" i="2"/>
  <c r="O5618" i="2"/>
  <c r="N5618" i="2"/>
  <c r="M5618" i="2"/>
  <c r="O5617" i="2"/>
  <c r="N5617" i="2"/>
  <c r="M5617" i="2"/>
  <c r="O5616" i="2"/>
  <c r="N5616" i="2"/>
  <c r="M5616" i="2"/>
  <c r="O5615" i="2"/>
  <c r="N5615" i="2"/>
  <c r="M5615" i="2"/>
  <c r="O5614" i="2"/>
  <c r="N5614" i="2"/>
  <c r="M5614" i="2"/>
  <c r="O5613" i="2"/>
  <c r="N5613" i="2"/>
  <c r="M5613" i="2"/>
  <c r="O5612" i="2"/>
  <c r="N5612" i="2"/>
  <c r="M5612" i="2"/>
  <c r="O5611" i="2"/>
  <c r="N5611" i="2"/>
  <c r="M5611" i="2"/>
  <c r="O5610" i="2"/>
  <c r="N5610" i="2"/>
  <c r="M5610" i="2"/>
  <c r="O5609" i="2"/>
  <c r="N5609" i="2"/>
  <c r="M5609" i="2"/>
  <c r="O5608" i="2"/>
  <c r="N5608" i="2"/>
  <c r="M5608" i="2"/>
  <c r="O5607" i="2"/>
  <c r="N5607" i="2"/>
  <c r="M5607" i="2"/>
  <c r="O5606" i="2"/>
  <c r="N5606" i="2"/>
  <c r="M5606" i="2"/>
  <c r="O5605" i="2"/>
  <c r="N5605" i="2"/>
  <c r="M5605" i="2"/>
  <c r="O5604" i="2"/>
  <c r="N5604" i="2"/>
  <c r="M5604" i="2"/>
  <c r="O5603" i="2"/>
  <c r="N5603" i="2"/>
  <c r="M5603" i="2"/>
  <c r="O5602" i="2"/>
  <c r="N5602" i="2"/>
  <c r="M5602" i="2"/>
  <c r="O5601" i="2"/>
  <c r="N5601" i="2"/>
  <c r="M5601" i="2"/>
  <c r="O5600" i="2"/>
  <c r="N5600" i="2"/>
  <c r="M5600" i="2"/>
  <c r="O5599" i="2"/>
  <c r="N5599" i="2"/>
  <c r="M5599" i="2"/>
  <c r="O5598" i="2"/>
  <c r="N5598" i="2"/>
  <c r="M5598" i="2"/>
  <c r="O5597" i="2"/>
  <c r="N5597" i="2"/>
  <c r="M5597" i="2"/>
  <c r="O5596" i="2"/>
  <c r="N5596" i="2"/>
  <c r="M5596" i="2"/>
  <c r="O5595" i="2"/>
  <c r="N5595" i="2"/>
  <c r="M5595" i="2"/>
  <c r="O5594" i="2"/>
  <c r="N5594" i="2"/>
  <c r="M5594" i="2"/>
  <c r="O5593" i="2"/>
  <c r="N5593" i="2"/>
  <c r="M5593" i="2"/>
  <c r="O5592" i="2"/>
  <c r="N5592" i="2"/>
  <c r="M5592" i="2"/>
  <c r="O5591" i="2"/>
  <c r="N5591" i="2"/>
  <c r="M5591" i="2"/>
  <c r="O5590" i="2"/>
  <c r="N5590" i="2"/>
  <c r="M5590" i="2"/>
  <c r="O5589" i="2"/>
  <c r="N5589" i="2"/>
  <c r="M5589" i="2"/>
  <c r="O5588" i="2"/>
  <c r="N5588" i="2"/>
  <c r="M5588" i="2"/>
  <c r="O5587" i="2"/>
  <c r="N5587" i="2"/>
  <c r="M5587" i="2"/>
  <c r="O5586" i="2"/>
  <c r="N5586" i="2"/>
  <c r="M5586" i="2"/>
  <c r="O5585" i="2"/>
  <c r="N5585" i="2"/>
  <c r="M5585" i="2"/>
  <c r="O5584" i="2"/>
  <c r="N5584" i="2"/>
  <c r="M5584" i="2"/>
  <c r="O5583" i="2"/>
  <c r="N5583" i="2"/>
  <c r="M5583" i="2"/>
  <c r="O5582" i="2"/>
  <c r="N5582" i="2"/>
  <c r="M5582" i="2"/>
  <c r="O5581" i="2"/>
  <c r="N5581" i="2"/>
  <c r="M5581" i="2"/>
  <c r="O5580" i="2"/>
  <c r="N5580" i="2"/>
  <c r="M5580" i="2"/>
  <c r="O5579" i="2"/>
  <c r="N5579" i="2"/>
  <c r="M5579" i="2"/>
  <c r="O5578" i="2"/>
  <c r="N5578" i="2"/>
  <c r="M5578" i="2"/>
  <c r="O5577" i="2"/>
  <c r="N5577" i="2"/>
  <c r="M5577" i="2"/>
  <c r="O5576" i="2"/>
  <c r="N5576" i="2"/>
  <c r="M5576" i="2"/>
  <c r="O5575" i="2"/>
  <c r="N5575" i="2"/>
  <c r="M5575" i="2"/>
  <c r="O5574" i="2"/>
  <c r="N5574" i="2"/>
  <c r="M5574" i="2"/>
  <c r="O5573" i="2"/>
  <c r="N5573" i="2"/>
  <c r="M5573" i="2"/>
  <c r="O5572" i="2"/>
  <c r="N5572" i="2"/>
  <c r="M5572" i="2"/>
  <c r="O5571" i="2"/>
  <c r="N5571" i="2"/>
  <c r="M5571" i="2"/>
  <c r="O5570" i="2"/>
  <c r="N5570" i="2"/>
  <c r="M5570" i="2"/>
  <c r="O5569" i="2"/>
  <c r="N5569" i="2"/>
  <c r="M5569" i="2"/>
  <c r="O5568" i="2"/>
  <c r="N5568" i="2"/>
  <c r="M5568" i="2"/>
  <c r="O5567" i="2"/>
  <c r="N5567" i="2"/>
  <c r="M5567" i="2"/>
  <c r="O5566" i="2"/>
  <c r="N5566" i="2"/>
  <c r="M5566" i="2"/>
  <c r="O5565" i="2"/>
  <c r="N5565" i="2"/>
  <c r="M5565" i="2"/>
  <c r="O5564" i="2"/>
  <c r="N5564" i="2"/>
  <c r="M5564" i="2"/>
  <c r="O5563" i="2"/>
  <c r="N5563" i="2"/>
  <c r="M5563" i="2"/>
  <c r="O5562" i="2"/>
  <c r="N5562" i="2"/>
  <c r="M5562" i="2"/>
  <c r="O5561" i="2"/>
  <c r="N5561" i="2"/>
  <c r="M5561" i="2"/>
  <c r="O5560" i="2"/>
  <c r="N5560" i="2"/>
  <c r="M5560" i="2"/>
  <c r="O5559" i="2"/>
  <c r="N5559" i="2"/>
  <c r="M5559" i="2"/>
  <c r="O5558" i="2"/>
  <c r="N5558" i="2"/>
  <c r="M5558" i="2"/>
  <c r="O5557" i="2"/>
  <c r="N5557" i="2"/>
  <c r="M5557" i="2"/>
  <c r="O5556" i="2"/>
  <c r="N5556" i="2"/>
  <c r="M5556" i="2"/>
  <c r="O5555" i="2"/>
  <c r="N5555" i="2"/>
  <c r="M5555" i="2"/>
  <c r="O5554" i="2"/>
  <c r="N5554" i="2"/>
  <c r="M5554" i="2"/>
  <c r="O5553" i="2"/>
  <c r="N5553" i="2"/>
  <c r="M5553" i="2"/>
  <c r="O5552" i="2"/>
  <c r="N5552" i="2"/>
  <c r="M5552" i="2"/>
  <c r="O5551" i="2"/>
  <c r="N5551" i="2"/>
  <c r="M5551" i="2"/>
  <c r="O5550" i="2"/>
  <c r="N5550" i="2"/>
  <c r="M5550" i="2"/>
  <c r="O5549" i="2"/>
  <c r="N5549" i="2"/>
  <c r="M5549" i="2"/>
  <c r="O5548" i="2"/>
  <c r="N5548" i="2"/>
  <c r="M5548" i="2"/>
  <c r="O5547" i="2"/>
  <c r="N5547" i="2"/>
  <c r="M5547" i="2"/>
  <c r="O5546" i="2"/>
  <c r="N5546" i="2"/>
  <c r="M5546" i="2"/>
  <c r="O5545" i="2"/>
  <c r="N5545" i="2"/>
  <c r="M5545" i="2"/>
  <c r="O5544" i="2"/>
  <c r="N5544" i="2"/>
  <c r="M5544" i="2"/>
  <c r="O5543" i="2"/>
  <c r="N5543" i="2"/>
  <c r="M5543" i="2"/>
  <c r="O5542" i="2"/>
  <c r="N5542" i="2"/>
  <c r="M5542" i="2"/>
  <c r="O5541" i="2"/>
  <c r="N5541" i="2"/>
  <c r="M5541" i="2"/>
  <c r="O5540" i="2"/>
  <c r="N5540" i="2"/>
  <c r="M5540" i="2"/>
  <c r="O5539" i="2"/>
  <c r="N5539" i="2"/>
  <c r="M5539" i="2"/>
  <c r="O5538" i="2"/>
  <c r="N5538" i="2"/>
  <c r="M5538" i="2"/>
  <c r="O5537" i="2"/>
  <c r="N5537" i="2"/>
  <c r="M5537" i="2"/>
  <c r="O5536" i="2"/>
  <c r="N5536" i="2"/>
  <c r="M5536" i="2"/>
  <c r="O5535" i="2"/>
  <c r="N5535" i="2"/>
  <c r="M5535" i="2"/>
  <c r="O5534" i="2"/>
  <c r="N5534" i="2"/>
  <c r="M5534" i="2"/>
  <c r="O5533" i="2"/>
  <c r="N5533" i="2"/>
  <c r="M5533" i="2"/>
  <c r="O5532" i="2"/>
  <c r="N5532" i="2"/>
  <c r="M5532" i="2"/>
  <c r="O5531" i="2"/>
  <c r="N5531" i="2"/>
  <c r="M5531" i="2"/>
  <c r="O5530" i="2"/>
  <c r="N5530" i="2"/>
  <c r="M5530" i="2"/>
  <c r="O5529" i="2"/>
  <c r="N5529" i="2"/>
  <c r="M5529" i="2"/>
  <c r="O5528" i="2"/>
  <c r="N5528" i="2"/>
  <c r="M5528" i="2"/>
  <c r="O5527" i="2"/>
  <c r="N5527" i="2"/>
  <c r="M5527" i="2"/>
  <c r="O5526" i="2"/>
  <c r="N5526" i="2"/>
  <c r="M5526" i="2"/>
  <c r="O5525" i="2"/>
  <c r="N5525" i="2"/>
  <c r="M5525" i="2"/>
  <c r="O5524" i="2"/>
  <c r="N5524" i="2"/>
  <c r="M5524" i="2"/>
  <c r="O5523" i="2"/>
  <c r="N5523" i="2"/>
  <c r="M5523" i="2"/>
  <c r="O5522" i="2"/>
  <c r="N5522" i="2"/>
  <c r="M5522" i="2"/>
  <c r="O5521" i="2"/>
  <c r="N5521" i="2"/>
  <c r="M5521" i="2"/>
  <c r="O5520" i="2"/>
  <c r="N5520" i="2"/>
  <c r="M5520" i="2"/>
  <c r="O5519" i="2"/>
  <c r="N5519" i="2"/>
  <c r="M5519" i="2"/>
  <c r="O5518" i="2"/>
  <c r="N5518" i="2"/>
  <c r="M5518" i="2"/>
  <c r="O5517" i="2"/>
  <c r="N5517" i="2"/>
  <c r="M5517" i="2"/>
  <c r="O5516" i="2"/>
  <c r="N5516" i="2"/>
  <c r="M5516" i="2"/>
  <c r="O5515" i="2"/>
  <c r="N5515" i="2"/>
  <c r="M5515" i="2"/>
  <c r="O5514" i="2"/>
  <c r="N5514" i="2"/>
  <c r="M5514" i="2"/>
  <c r="O5513" i="2"/>
  <c r="N5513" i="2"/>
  <c r="M5513" i="2"/>
  <c r="O5512" i="2"/>
  <c r="N5512" i="2"/>
  <c r="M5512" i="2"/>
  <c r="O5511" i="2"/>
  <c r="N5511" i="2"/>
  <c r="M5511" i="2"/>
  <c r="O5510" i="2"/>
  <c r="N5510" i="2"/>
  <c r="M5510" i="2"/>
  <c r="O5509" i="2"/>
  <c r="N5509" i="2"/>
  <c r="M5509" i="2"/>
  <c r="O5508" i="2"/>
  <c r="N5508" i="2"/>
  <c r="M5508" i="2"/>
  <c r="O5507" i="2"/>
  <c r="N5507" i="2"/>
  <c r="M5507" i="2"/>
  <c r="O5506" i="2"/>
  <c r="N5506" i="2"/>
  <c r="M5506" i="2"/>
  <c r="O5505" i="2"/>
  <c r="N5505" i="2"/>
  <c r="M5505" i="2"/>
  <c r="O5504" i="2"/>
  <c r="N5504" i="2"/>
  <c r="M5504" i="2"/>
  <c r="O5503" i="2"/>
  <c r="N5503" i="2"/>
  <c r="M5503" i="2"/>
  <c r="O5502" i="2"/>
  <c r="N5502" i="2"/>
  <c r="M5502" i="2"/>
  <c r="O5501" i="2"/>
  <c r="N5501" i="2"/>
  <c r="M5501" i="2"/>
  <c r="O5500" i="2"/>
  <c r="N5500" i="2"/>
  <c r="M5500" i="2"/>
  <c r="O5499" i="2"/>
  <c r="N5499" i="2"/>
  <c r="M5499" i="2"/>
  <c r="O5498" i="2"/>
  <c r="N5498" i="2"/>
  <c r="M5498" i="2"/>
  <c r="O5497" i="2"/>
  <c r="N5497" i="2"/>
  <c r="M5497" i="2"/>
  <c r="O5496" i="2"/>
  <c r="N5496" i="2"/>
  <c r="M5496" i="2"/>
  <c r="O5495" i="2"/>
  <c r="N5495" i="2"/>
  <c r="M5495" i="2"/>
  <c r="O5494" i="2"/>
  <c r="N5494" i="2"/>
  <c r="M5494" i="2"/>
  <c r="O5493" i="2"/>
  <c r="N5493" i="2"/>
  <c r="M5493" i="2"/>
  <c r="O5492" i="2"/>
  <c r="N5492" i="2"/>
  <c r="M5492" i="2"/>
  <c r="O5491" i="2"/>
  <c r="N5491" i="2"/>
  <c r="M5491" i="2"/>
  <c r="O5490" i="2"/>
  <c r="N5490" i="2"/>
  <c r="M5490" i="2"/>
  <c r="O5489" i="2"/>
  <c r="N5489" i="2"/>
  <c r="M5489" i="2"/>
  <c r="O5488" i="2"/>
  <c r="N5488" i="2"/>
  <c r="M5488" i="2"/>
  <c r="O5487" i="2"/>
  <c r="N5487" i="2"/>
  <c r="M5487" i="2"/>
  <c r="O5486" i="2"/>
  <c r="N5486" i="2"/>
  <c r="M5486" i="2"/>
  <c r="O5485" i="2"/>
  <c r="N5485" i="2"/>
  <c r="M5485" i="2"/>
  <c r="O5484" i="2"/>
  <c r="N5484" i="2"/>
  <c r="M5484" i="2"/>
  <c r="O5483" i="2"/>
  <c r="N5483" i="2"/>
  <c r="M5483" i="2"/>
  <c r="O5482" i="2"/>
  <c r="N5482" i="2"/>
  <c r="M5482" i="2"/>
  <c r="O5481" i="2"/>
  <c r="N5481" i="2"/>
  <c r="M5481" i="2"/>
  <c r="O5480" i="2"/>
  <c r="N5480" i="2"/>
  <c r="M5480" i="2"/>
  <c r="O5479" i="2"/>
  <c r="N5479" i="2"/>
  <c r="M5479" i="2"/>
  <c r="O5478" i="2"/>
  <c r="N5478" i="2"/>
  <c r="M5478" i="2"/>
  <c r="O5477" i="2"/>
  <c r="N5477" i="2"/>
  <c r="M5477" i="2"/>
  <c r="O5476" i="2"/>
  <c r="N5476" i="2"/>
  <c r="M5476" i="2"/>
  <c r="O5475" i="2"/>
  <c r="N5475" i="2"/>
  <c r="M5475" i="2"/>
  <c r="O5474" i="2"/>
  <c r="N5474" i="2"/>
  <c r="M5474" i="2"/>
  <c r="O5473" i="2"/>
  <c r="N5473" i="2"/>
  <c r="M5473" i="2"/>
  <c r="O5472" i="2"/>
  <c r="N5472" i="2"/>
  <c r="M5472" i="2"/>
  <c r="O5471" i="2"/>
  <c r="N5471" i="2"/>
  <c r="M5471" i="2"/>
  <c r="O5470" i="2"/>
  <c r="N5470" i="2"/>
  <c r="M5470" i="2"/>
  <c r="O5469" i="2"/>
  <c r="N5469" i="2"/>
  <c r="M5469" i="2"/>
  <c r="O5468" i="2"/>
  <c r="N5468" i="2"/>
  <c r="M5468" i="2"/>
  <c r="O5467" i="2"/>
  <c r="N5467" i="2"/>
  <c r="M5467" i="2"/>
  <c r="O5466" i="2"/>
  <c r="N5466" i="2"/>
  <c r="M5466" i="2"/>
  <c r="O5465" i="2"/>
  <c r="N5465" i="2"/>
  <c r="M5465" i="2"/>
  <c r="O5464" i="2"/>
  <c r="N5464" i="2"/>
  <c r="M5464" i="2"/>
  <c r="O5463" i="2"/>
  <c r="N5463" i="2"/>
  <c r="M5463" i="2"/>
  <c r="O5462" i="2"/>
  <c r="N5462" i="2"/>
  <c r="M5462" i="2"/>
  <c r="O5461" i="2"/>
  <c r="N5461" i="2"/>
  <c r="M5461" i="2"/>
  <c r="O5460" i="2"/>
  <c r="N5460" i="2"/>
  <c r="M5460" i="2"/>
  <c r="O5459" i="2"/>
  <c r="N5459" i="2"/>
  <c r="M5459" i="2"/>
  <c r="O5458" i="2"/>
  <c r="N5458" i="2"/>
  <c r="M5458" i="2"/>
  <c r="O5457" i="2"/>
  <c r="N5457" i="2"/>
  <c r="M5457" i="2"/>
  <c r="O5456" i="2"/>
  <c r="N5456" i="2"/>
  <c r="M5456" i="2"/>
  <c r="O5455" i="2"/>
  <c r="N5455" i="2"/>
  <c r="M5455" i="2"/>
  <c r="O5454" i="2"/>
  <c r="N5454" i="2"/>
  <c r="M5454" i="2"/>
  <c r="O5453" i="2"/>
  <c r="N5453" i="2"/>
  <c r="M5453" i="2"/>
  <c r="O5452" i="2"/>
  <c r="N5452" i="2"/>
  <c r="M5452" i="2"/>
  <c r="O5451" i="2"/>
  <c r="N5451" i="2"/>
  <c r="M5451" i="2"/>
  <c r="O5450" i="2"/>
  <c r="N5450" i="2"/>
  <c r="M5450" i="2"/>
  <c r="O5449" i="2"/>
  <c r="N5449" i="2"/>
  <c r="M5449" i="2"/>
  <c r="O5448" i="2"/>
  <c r="N5448" i="2"/>
  <c r="M5448" i="2"/>
  <c r="O5447" i="2"/>
  <c r="N5447" i="2"/>
  <c r="M5447" i="2"/>
  <c r="O5446" i="2"/>
  <c r="N5446" i="2"/>
  <c r="M5446" i="2"/>
  <c r="O5445" i="2"/>
  <c r="N5445" i="2"/>
  <c r="M5445" i="2"/>
  <c r="O5444" i="2"/>
  <c r="N5444" i="2"/>
  <c r="M5444" i="2"/>
  <c r="O5443" i="2"/>
  <c r="N5443" i="2"/>
  <c r="M5443" i="2"/>
  <c r="O5442" i="2"/>
  <c r="N5442" i="2"/>
  <c r="M5442" i="2"/>
  <c r="O5441" i="2"/>
  <c r="N5441" i="2"/>
  <c r="M5441" i="2"/>
  <c r="O5440" i="2"/>
  <c r="N5440" i="2"/>
  <c r="M5440" i="2"/>
  <c r="O5439" i="2"/>
  <c r="N5439" i="2"/>
  <c r="M5439" i="2"/>
  <c r="O5438" i="2"/>
  <c r="N5438" i="2"/>
  <c r="M5438" i="2"/>
  <c r="O5437" i="2"/>
  <c r="N5437" i="2"/>
  <c r="M5437" i="2"/>
  <c r="O5436" i="2"/>
  <c r="N5436" i="2"/>
  <c r="M5436" i="2"/>
  <c r="O5435" i="2"/>
  <c r="N5435" i="2"/>
  <c r="M5435" i="2"/>
  <c r="O5434" i="2"/>
  <c r="N5434" i="2"/>
  <c r="M5434" i="2"/>
  <c r="O5433" i="2"/>
  <c r="N5433" i="2"/>
  <c r="M5433" i="2"/>
  <c r="O5432" i="2"/>
  <c r="N5432" i="2"/>
  <c r="M5432" i="2"/>
  <c r="O5431" i="2"/>
  <c r="N5431" i="2"/>
  <c r="M5431" i="2"/>
  <c r="O5430" i="2"/>
  <c r="N5430" i="2"/>
  <c r="M5430" i="2"/>
  <c r="O5429" i="2"/>
  <c r="N5429" i="2"/>
  <c r="M5429" i="2"/>
  <c r="O5428" i="2"/>
  <c r="N5428" i="2"/>
  <c r="M5428" i="2"/>
  <c r="O5427" i="2"/>
  <c r="N5427" i="2"/>
  <c r="M5427" i="2"/>
  <c r="O5426" i="2"/>
  <c r="N5426" i="2"/>
  <c r="M5426" i="2"/>
  <c r="O5425" i="2"/>
  <c r="N5425" i="2"/>
  <c r="M5425" i="2"/>
  <c r="O5424" i="2"/>
  <c r="N5424" i="2"/>
  <c r="M5424" i="2"/>
  <c r="O5423" i="2"/>
  <c r="N5423" i="2"/>
  <c r="M5423" i="2"/>
  <c r="O5422" i="2"/>
  <c r="N5422" i="2"/>
  <c r="M5422" i="2"/>
  <c r="O5421" i="2"/>
  <c r="N5421" i="2"/>
  <c r="M5421" i="2"/>
  <c r="O5420" i="2"/>
  <c r="N5420" i="2"/>
  <c r="M5420" i="2"/>
  <c r="O5419" i="2"/>
  <c r="N5419" i="2"/>
  <c r="M5419" i="2"/>
  <c r="O5418" i="2"/>
  <c r="N5418" i="2"/>
  <c r="M5418" i="2"/>
  <c r="O5417" i="2"/>
  <c r="N5417" i="2"/>
  <c r="M5417" i="2"/>
  <c r="O5416" i="2"/>
  <c r="N5416" i="2"/>
  <c r="M5416" i="2"/>
  <c r="O5415" i="2"/>
  <c r="N5415" i="2"/>
  <c r="M5415" i="2"/>
  <c r="O5414" i="2"/>
  <c r="N5414" i="2"/>
  <c r="M5414" i="2"/>
  <c r="O5413" i="2"/>
  <c r="N5413" i="2"/>
  <c r="M5413" i="2"/>
  <c r="O5412" i="2"/>
  <c r="N5412" i="2"/>
  <c r="M5412" i="2"/>
  <c r="O5411" i="2"/>
  <c r="N5411" i="2"/>
  <c r="M5411" i="2"/>
  <c r="O5410" i="2"/>
  <c r="N5410" i="2"/>
  <c r="M5410" i="2"/>
  <c r="O5409" i="2"/>
  <c r="N5409" i="2"/>
  <c r="M5409" i="2"/>
  <c r="O5408" i="2"/>
  <c r="N5408" i="2"/>
  <c r="M5408" i="2"/>
  <c r="O5407" i="2"/>
  <c r="N5407" i="2"/>
  <c r="M5407" i="2"/>
  <c r="O5406" i="2"/>
  <c r="N5406" i="2"/>
  <c r="M5406" i="2"/>
  <c r="O5405" i="2"/>
  <c r="N5405" i="2"/>
  <c r="M5405" i="2"/>
  <c r="O5404" i="2"/>
  <c r="N5404" i="2"/>
  <c r="M5404" i="2"/>
  <c r="O5403" i="2"/>
  <c r="N5403" i="2"/>
  <c r="M5403" i="2"/>
  <c r="O5402" i="2"/>
  <c r="N5402" i="2"/>
  <c r="M5402" i="2"/>
  <c r="O5401" i="2"/>
  <c r="N5401" i="2"/>
  <c r="M5401" i="2"/>
  <c r="O5400" i="2"/>
  <c r="N5400" i="2"/>
  <c r="M5400" i="2"/>
  <c r="O5399" i="2"/>
  <c r="N5399" i="2"/>
  <c r="M5399" i="2"/>
  <c r="O5398" i="2"/>
  <c r="N5398" i="2"/>
  <c r="M5398" i="2"/>
  <c r="O5397" i="2"/>
  <c r="N5397" i="2"/>
  <c r="M5397" i="2"/>
  <c r="O5396" i="2"/>
  <c r="N5396" i="2"/>
  <c r="M5396" i="2"/>
  <c r="O5395" i="2"/>
  <c r="N5395" i="2"/>
  <c r="M5395" i="2"/>
  <c r="O5394" i="2"/>
  <c r="N5394" i="2"/>
  <c r="M5394" i="2"/>
  <c r="O5393" i="2"/>
  <c r="N5393" i="2"/>
  <c r="M5393" i="2"/>
  <c r="O5392" i="2"/>
  <c r="N5392" i="2"/>
  <c r="M5392" i="2"/>
  <c r="O5391" i="2"/>
  <c r="N5391" i="2"/>
  <c r="M5391" i="2"/>
  <c r="O5390" i="2"/>
  <c r="N5390" i="2"/>
  <c r="M5390" i="2"/>
  <c r="O5389" i="2"/>
  <c r="N5389" i="2"/>
  <c r="M5389" i="2"/>
  <c r="O5388" i="2"/>
  <c r="N5388" i="2"/>
  <c r="M5388" i="2"/>
  <c r="O5387" i="2"/>
  <c r="N5387" i="2"/>
  <c r="M5387" i="2"/>
  <c r="O5386" i="2"/>
  <c r="N5386" i="2"/>
  <c r="M5386" i="2"/>
  <c r="O5385" i="2"/>
  <c r="N5385" i="2"/>
  <c r="M5385" i="2"/>
  <c r="O5384" i="2"/>
  <c r="N5384" i="2"/>
  <c r="M5384" i="2"/>
  <c r="O5383" i="2"/>
  <c r="N5383" i="2"/>
  <c r="M5383" i="2"/>
  <c r="O5382" i="2"/>
  <c r="N5382" i="2"/>
  <c r="M5382" i="2"/>
  <c r="O5381" i="2"/>
  <c r="N5381" i="2"/>
  <c r="M5381" i="2"/>
  <c r="O5380" i="2"/>
  <c r="N5380" i="2"/>
  <c r="M5380" i="2"/>
  <c r="O5379" i="2"/>
  <c r="N5379" i="2"/>
  <c r="M5379" i="2"/>
  <c r="O5378" i="2"/>
  <c r="N5378" i="2"/>
  <c r="M5378" i="2"/>
  <c r="O5377" i="2"/>
  <c r="N5377" i="2"/>
  <c r="M5377" i="2"/>
  <c r="O5376" i="2"/>
  <c r="N5376" i="2"/>
  <c r="M5376" i="2"/>
  <c r="O5375" i="2"/>
  <c r="N5375" i="2"/>
  <c r="M5375" i="2"/>
  <c r="O5374" i="2"/>
  <c r="N5374" i="2"/>
  <c r="M5374" i="2"/>
  <c r="O5373" i="2"/>
  <c r="N5373" i="2"/>
  <c r="M5373" i="2"/>
  <c r="O5372" i="2"/>
  <c r="N5372" i="2"/>
  <c r="M5372" i="2"/>
  <c r="O5371" i="2"/>
  <c r="N5371" i="2"/>
  <c r="M5371" i="2"/>
  <c r="O5370" i="2"/>
  <c r="N5370" i="2"/>
  <c r="M5370" i="2"/>
  <c r="O5369" i="2"/>
  <c r="N5369" i="2"/>
  <c r="M5369" i="2"/>
  <c r="O5368" i="2"/>
  <c r="N5368" i="2"/>
  <c r="M5368" i="2"/>
  <c r="O5367" i="2"/>
  <c r="N5367" i="2"/>
  <c r="M5367" i="2"/>
  <c r="O5366" i="2"/>
  <c r="N5366" i="2"/>
  <c r="M5366" i="2"/>
  <c r="O5365" i="2"/>
  <c r="N5365" i="2"/>
  <c r="M5365" i="2"/>
  <c r="O5364" i="2"/>
  <c r="N5364" i="2"/>
  <c r="M5364" i="2"/>
  <c r="O5363" i="2"/>
  <c r="N5363" i="2"/>
  <c r="M5363" i="2"/>
  <c r="O5362" i="2"/>
  <c r="N5362" i="2"/>
  <c r="M5362" i="2"/>
  <c r="O5361" i="2"/>
  <c r="N5361" i="2"/>
  <c r="M5361" i="2"/>
  <c r="O5360" i="2"/>
  <c r="N5360" i="2"/>
  <c r="M5360" i="2"/>
  <c r="O5359" i="2"/>
  <c r="N5359" i="2"/>
  <c r="M5359" i="2"/>
  <c r="O5358" i="2"/>
  <c r="N5358" i="2"/>
  <c r="M5358" i="2"/>
  <c r="O5357" i="2"/>
  <c r="N5357" i="2"/>
  <c r="M5357" i="2"/>
  <c r="O5356" i="2"/>
  <c r="N5356" i="2"/>
  <c r="M5356" i="2"/>
  <c r="O5355" i="2"/>
  <c r="N5355" i="2"/>
  <c r="M5355" i="2"/>
  <c r="O5354" i="2"/>
  <c r="N5354" i="2"/>
  <c r="M5354" i="2"/>
  <c r="O5353" i="2"/>
  <c r="N5353" i="2"/>
  <c r="M5353" i="2"/>
  <c r="O5352" i="2"/>
  <c r="N5352" i="2"/>
  <c r="M5352" i="2"/>
  <c r="O5351" i="2"/>
  <c r="N5351" i="2"/>
  <c r="M5351" i="2"/>
  <c r="O5350" i="2"/>
  <c r="N5350" i="2"/>
  <c r="M5350" i="2"/>
  <c r="O5349" i="2"/>
  <c r="N5349" i="2"/>
  <c r="M5349" i="2"/>
  <c r="O5348" i="2"/>
  <c r="N5348" i="2"/>
  <c r="M5348" i="2"/>
  <c r="O5347" i="2"/>
  <c r="N5347" i="2"/>
  <c r="M5347" i="2"/>
  <c r="O5346" i="2"/>
  <c r="N5346" i="2"/>
  <c r="M5346" i="2"/>
  <c r="O5345" i="2"/>
  <c r="N5345" i="2"/>
  <c r="M5345" i="2"/>
  <c r="O5344" i="2"/>
  <c r="N5344" i="2"/>
  <c r="M5344" i="2"/>
  <c r="O5343" i="2"/>
  <c r="N5343" i="2"/>
  <c r="M5343" i="2"/>
  <c r="O5342" i="2"/>
  <c r="N5342" i="2"/>
  <c r="M5342" i="2"/>
  <c r="O5341" i="2"/>
  <c r="N5341" i="2"/>
  <c r="M5341" i="2"/>
  <c r="O5340" i="2"/>
  <c r="N5340" i="2"/>
  <c r="M5340" i="2"/>
  <c r="O5339" i="2"/>
  <c r="N5339" i="2"/>
  <c r="M5339" i="2"/>
  <c r="O5338" i="2"/>
  <c r="N5338" i="2"/>
  <c r="M5338" i="2"/>
  <c r="O5337" i="2"/>
  <c r="N5337" i="2"/>
  <c r="M5337" i="2"/>
  <c r="O5336" i="2"/>
  <c r="N5336" i="2"/>
  <c r="M5336" i="2"/>
  <c r="O5335" i="2"/>
  <c r="N5335" i="2"/>
  <c r="M5335" i="2"/>
  <c r="O5334" i="2"/>
  <c r="N5334" i="2"/>
  <c r="M5334" i="2"/>
  <c r="O5333" i="2"/>
  <c r="N5333" i="2"/>
  <c r="M5333" i="2"/>
  <c r="O5332" i="2"/>
  <c r="N5332" i="2"/>
  <c r="M5332" i="2"/>
  <c r="O5331" i="2"/>
  <c r="N5331" i="2"/>
  <c r="M5331" i="2"/>
  <c r="O5330" i="2"/>
  <c r="N5330" i="2"/>
  <c r="M5330" i="2"/>
  <c r="O5329" i="2"/>
  <c r="N5329" i="2"/>
  <c r="M5329" i="2"/>
  <c r="O5328" i="2"/>
  <c r="N5328" i="2"/>
  <c r="M5328" i="2"/>
  <c r="O5327" i="2"/>
  <c r="N5327" i="2"/>
  <c r="M5327" i="2"/>
  <c r="O5326" i="2"/>
  <c r="N5326" i="2"/>
  <c r="M5326" i="2"/>
  <c r="O5325" i="2"/>
  <c r="N5325" i="2"/>
  <c r="M5325" i="2"/>
  <c r="O5324" i="2"/>
  <c r="N5324" i="2"/>
  <c r="M5324" i="2"/>
  <c r="O5323" i="2"/>
  <c r="N5323" i="2"/>
  <c r="M5323" i="2"/>
  <c r="O5322" i="2"/>
  <c r="N5322" i="2"/>
  <c r="M5322" i="2"/>
  <c r="O5321" i="2"/>
  <c r="N5321" i="2"/>
  <c r="M5321" i="2"/>
  <c r="O5320" i="2"/>
  <c r="N5320" i="2"/>
  <c r="M5320" i="2"/>
  <c r="O5319" i="2"/>
  <c r="N5319" i="2"/>
  <c r="M5319" i="2"/>
  <c r="O5318" i="2"/>
  <c r="N5318" i="2"/>
  <c r="M5318" i="2"/>
  <c r="O5317" i="2"/>
  <c r="N5317" i="2"/>
  <c r="M5317" i="2"/>
  <c r="O5316" i="2"/>
  <c r="N5316" i="2"/>
  <c r="M5316" i="2"/>
  <c r="O5315" i="2"/>
  <c r="N5315" i="2"/>
  <c r="M5315" i="2"/>
  <c r="O5314" i="2"/>
  <c r="N5314" i="2"/>
  <c r="M5314" i="2"/>
  <c r="O5313" i="2"/>
  <c r="N5313" i="2"/>
  <c r="M5313" i="2"/>
  <c r="O5312" i="2"/>
  <c r="N5312" i="2"/>
  <c r="M5312" i="2"/>
  <c r="O5311" i="2"/>
  <c r="N5311" i="2"/>
  <c r="M5311" i="2"/>
  <c r="O5310" i="2"/>
  <c r="N5310" i="2"/>
  <c r="M5310" i="2"/>
  <c r="O5309" i="2"/>
  <c r="N5309" i="2"/>
  <c r="M5309" i="2"/>
  <c r="O5308" i="2"/>
  <c r="N5308" i="2"/>
  <c r="M5308" i="2"/>
  <c r="O5307" i="2"/>
  <c r="N5307" i="2"/>
  <c r="M5307" i="2"/>
  <c r="O5306" i="2"/>
  <c r="N5306" i="2"/>
  <c r="M5306" i="2"/>
  <c r="O5305" i="2"/>
  <c r="N5305" i="2"/>
  <c r="M5305" i="2"/>
  <c r="O5304" i="2"/>
  <c r="N5304" i="2"/>
  <c r="M5304" i="2"/>
  <c r="O5303" i="2"/>
  <c r="N5303" i="2"/>
  <c r="M5303" i="2"/>
  <c r="O5302" i="2"/>
  <c r="N5302" i="2"/>
  <c r="M5302" i="2"/>
  <c r="O5301" i="2"/>
  <c r="N5301" i="2"/>
  <c r="M5301" i="2"/>
  <c r="O5300" i="2"/>
  <c r="N5300" i="2"/>
  <c r="M5300" i="2"/>
  <c r="O5299" i="2"/>
  <c r="N5299" i="2"/>
  <c r="M5299" i="2"/>
  <c r="O5298" i="2"/>
  <c r="N5298" i="2"/>
  <c r="M5298" i="2"/>
  <c r="O5297" i="2"/>
  <c r="N5297" i="2"/>
  <c r="M5297" i="2"/>
  <c r="O5296" i="2"/>
  <c r="N5296" i="2"/>
  <c r="M5296" i="2"/>
  <c r="O5295" i="2"/>
  <c r="N5295" i="2"/>
  <c r="M5295" i="2"/>
  <c r="O5294" i="2"/>
  <c r="N5294" i="2"/>
  <c r="M5294" i="2"/>
  <c r="O5293" i="2"/>
  <c r="N5293" i="2"/>
  <c r="M5293" i="2"/>
  <c r="O5292" i="2"/>
  <c r="N5292" i="2"/>
  <c r="M5292" i="2"/>
  <c r="O5291" i="2"/>
  <c r="N5291" i="2"/>
  <c r="M5291" i="2"/>
  <c r="O5290" i="2"/>
  <c r="N5290" i="2"/>
  <c r="M5290" i="2"/>
  <c r="O5289" i="2"/>
  <c r="N5289" i="2"/>
  <c r="M5289" i="2"/>
  <c r="O5288" i="2"/>
  <c r="N5288" i="2"/>
  <c r="M5288" i="2"/>
  <c r="O5287" i="2"/>
  <c r="N5287" i="2"/>
  <c r="M5287" i="2"/>
  <c r="O5286" i="2"/>
  <c r="N5286" i="2"/>
  <c r="M5286" i="2"/>
  <c r="O5285" i="2"/>
  <c r="N5285" i="2"/>
  <c r="M5285" i="2"/>
  <c r="O5284" i="2"/>
  <c r="N5284" i="2"/>
  <c r="M5284" i="2"/>
  <c r="O5283" i="2"/>
  <c r="N5283" i="2"/>
  <c r="M5283" i="2"/>
  <c r="O5282" i="2"/>
  <c r="N5282" i="2"/>
  <c r="M5282" i="2"/>
  <c r="O5281" i="2"/>
  <c r="N5281" i="2"/>
  <c r="M5281" i="2"/>
  <c r="O5280" i="2"/>
  <c r="N5280" i="2"/>
  <c r="M5280" i="2"/>
  <c r="O5279" i="2"/>
  <c r="N5279" i="2"/>
  <c r="M5279" i="2"/>
  <c r="O5278" i="2"/>
  <c r="N5278" i="2"/>
  <c r="M5278" i="2"/>
  <c r="O5277" i="2"/>
  <c r="N5277" i="2"/>
  <c r="M5277" i="2"/>
  <c r="O5276" i="2"/>
  <c r="N5276" i="2"/>
  <c r="M5276" i="2"/>
  <c r="O5275" i="2"/>
  <c r="N5275" i="2"/>
  <c r="M5275" i="2"/>
  <c r="O5274" i="2"/>
  <c r="N5274" i="2"/>
  <c r="M5274" i="2"/>
  <c r="O5273" i="2"/>
  <c r="N5273" i="2"/>
  <c r="M5273" i="2"/>
  <c r="O5272" i="2"/>
  <c r="N5272" i="2"/>
  <c r="M5272" i="2"/>
  <c r="O5271" i="2"/>
  <c r="N5271" i="2"/>
  <c r="M5271" i="2"/>
  <c r="O5270" i="2"/>
  <c r="N5270" i="2"/>
  <c r="M5270" i="2"/>
  <c r="O5269" i="2"/>
  <c r="N5269" i="2"/>
  <c r="M5269" i="2"/>
  <c r="O5268" i="2"/>
  <c r="N5268" i="2"/>
  <c r="M5268" i="2"/>
  <c r="O5267" i="2"/>
  <c r="N5267" i="2"/>
  <c r="M5267" i="2"/>
  <c r="O5266" i="2"/>
  <c r="N5266" i="2"/>
  <c r="M5266" i="2"/>
  <c r="O5265" i="2"/>
  <c r="N5265" i="2"/>
  <c r="M5265" i="2"/>
  <c r="O5264" i="2"/>
  <c r="N5264" i="2"/>
  <c r="M5264" i="2"/>
  <c r="O5263" i="2"/>
  <c r="N5263" i="2"/>
  <c r="M5263" i="2"/>
  <c r="O5262" i="2"/>
  <c r="N5262" i="2"/>
  <c r="M5262" i="2"/>
  <c r="O5261" i="2"/>
  <c r="N5261" i="2"/>
  <c r="M5261" i="2"/>
  <c r="O5260" i="2"/>
  <c r="N5260" i="2"/>
  <c r="M5260" i="2"/>
  <c r="O5259" i="2"/>
  <c r="N5259" i="2"/>
  <c r="M5259" i="2"/>
  <c r="O5258" i="2"/>
  <c r="N5258" i="2"/>
  <c r="M5258" i="2"/>
  <c r="O5257" i="2"/>
  <c r="N5257" i="2"/>
  <c r="M5257" i="2"/>
  <c r="O5256" i="2"/>
  <c r="N5256" i="2"/>
  <c r="M5256" i="2"/>
  <c r="O5255" i="2"/>
  <c r="N5255" i="2"/>
  <c r="M5255" i="2"/>
  <c r="O5254" i="2"/>
  <c r="N5254" i="2"/>
  <c r="M5254" i="2"/>
  <c r="O5253" i="2"/>
  <c r="N5253" i="2"/>
  <c r="M5253" i="2"/>
  <c r="O5252" i="2"/>
  <c r="N5252" i="2"/>
  <c r="M5252" i="2"/>
  <c r="O5251" i="2"/>
  <c r="N5251" i="2"/>
  <c r="M5251" i="2"/>
  <c r="O5250" i="2"/>
  <c r="N5250" i="2"/>
  <c r="M5250" i="2"/>
  <c r="O5249" i="2"/>
  <c r="N5249" i="2"/>
  <c r="M5249" i="2"/>
  <c r="O5248" i="2"/>
  <c r="N5248" i="2"/>
  <c r="M5248" i="2"/>
  <c r="O5247" i="2"/>
  <c r="N5247" i="2"/>
  <c r="M5247" i="2"/>
  <c r="O5246" i="2"/>
  <c r="N5246" i="2"/>
  <c r="M5246" i="2"/>
  <c r="O5245" i="2"/>
  <c r="N5245" i="2"/>
  <c r="M5245" i="2"/>
  <c r="O5244" i="2"/>
  <c r="N5244" i="2"/>
  <c r="M5244" i="2"/>
  <c r="O5243" i="2"/>
  <c r="N5243" i="2"/>
  <c r="M5243" i="2"/>
  <c r="O5242" i="2"/>
  <c r="N5242" i="2"/>
  <c r="M5242" i="2"/>
  <c r="O5241" i="2"/>
  <c r="N5241" i="2"/>
  <c r="M5241" i="2"/>
  <c r="O5240" i="2"/>
  <c r="N5240" i="2"/>
  <c r="M5240" i="2"/>
  <c r="O5239" i="2"/>
  <c r="N5239" i="2"/>
  <c r="M5239" i="2"/>
  <c r="O5238" i="2"/>
  <c r="N5238" i="2"/>
  <c r="M5238" i="2"/>
  <c r="O5237" i="2"/>
  <c r="N5237" i="2"/>
  <c r="M5237" i="2"/>
  <c r="O5236" i="2"/>
  <c r="N5236" i="2"/>
  <c r="M5236" i="2"/>
  <c r="O5235" i="2"/>
  <c r="N5235" i="2"/>
  <c r="M5235" i="2"/>
  <c r="O5234" i="2"/>
  <c r="N5234" i="2"/>
  <c r="M5234" i="2"/>
  <c r="O5233" i="2"/>
  <c r="N5233" i="2"/>
  <c r="M5233" i="2"/>
  <c r="O5232" i="2"/>
  <c r="N5232" i="2"/>
  <c r="M5232" i="2"/>
  <c r="O5231" i="2"/>
  <c r="N5231" i="2"/>
  <c r="M5231" i="2"/>
  <c r="O5230" i="2"/>
  <c r="N5230" i="2"/>
  <c r="M5230" i="2"/>
  <c r="O5229" i="2"/>
  <c r="N5229" i="2"/>
  <c r="M5229" i="2"/>
  <c r="O5228" i="2"/>
  <c r="N5228" i="2"/>
  <c r="M5228" i="2"/>
  <c r="O5227" i="2"/>
  <c r="N5227" i="2"/>
  <c r="M5227" i="2"/>
  <c r="O5226" i="2"/>
  <c r="N5226" i="2"/>
  <c r="M5226" i="2"/>
  <c r="O5225" i="2"/>
  <c r="N5225" i="2"/>
  <c r="M5225" i="2"/>
  <c r="O5224" i="2"/>
  <c r="N5224" i="2"/>
  <c r="M5224" i="2"/>
  <c r="O5223" i="2"/>
  <c r="N5223" i="2"/>
  <c r="M5223" i="2"/>
  <c r="O5222" i="2"/>
  <c r="N5222" i="2"/>
  <c r="M5222" i="2"/>
  <c r="O5221" i="2"/>
  <c r="N5221" i="2"/>
  <c r="M5221" i="2"/>
  <c r="O5220" i="2"/>
  <c r="N5220" i="2"/>
  <c r="M5220" i="2"/>
  <c r="O5219" i="2"/>
  <c r="N5219" i="2"/>
  <c r="M5219" i="2"/>
  <c r="O5218" i="2"/>
  <c r="N5218" i="2"/>
  <c r="M5218" i="2"/>
  <c r="O5217" i="2"/>
  <c r="N5217" i="2"/>
  <c r="M5217" i="2"/>
  <c r="O5216" i="2"/>
  <c r="N5216" i="2"/>
  <c r="M5216" i="2"/>
  <c r="O5215" i="2"/>
  <c r="N5215" i="2"/>
  <c r="M5215" i="2"/>
  <c r="O5214" i="2"/>
  <c r="N5214" i="2"/>
  <c r="M5214" i="2"/>
  <c r="O5213" i="2"/>
  <c r="N5213" i="2"/>
  <c r="M5213" i="2"/>
  <c r="O5212" i="2"/>
  <c r="N5212" i="2"/>
  <c r="M5212" i="2"/>
  <c r="O5211" i="2"/>
  <c r="N5211" i="2"/>
  <c r="M5211" i="2"/>
  <c r="O5210" i="2"/>
  <c r="N5210" i="2"/>
  <c r="M5210" i="2"/>
  <c r="O5209" i="2"/>
  <c r="N5209" i="2"/>
  <c r="M5209" i="2"/>
  <c r="O5208" i="2"/>
  <c r="N5208" i="2"/>
  <c r="M5208" i="2"/>
  <c r="O5207" i="2"/>
  <c r="N5207" i="2"/>
  <c r="M5207" i="2"/>
  <c r="O5206" i="2"/>
  <c r="N5206" i="2"/>
  <c r="M5206" i="2"/>
  <c r="O5205" i="2"/>
  <c r="N5205" i="2"/>
  <c r="M5205" i="2"/>
  <c r="O5204" i="2"/>
  <c r="N5204" i="2"/>
  <c r="M5204" i="2"/>
  <c r="O5203" i="2"/>
  <c r="N5203" i="2"/>
  <c r="M5203" i="2"/>
  <c r="O5202" i="2"/>
  <c r="N5202" i="2"/>
  <c r="M5202" i="2"/>
  <c r="O5201" i="2"/>
  <c r="N5201" i="2"/>
  <c r="M5201" i="2"/>
  <c r="O5200" i="2"/>
  <c r="N5200" i="2"/>
  <c r="M5200" i="2"/>
  <c r="O5199" i="2"/>
  <c r="N5199" i="2"/>
  <c r="M5199" i="2"/>
  <c r="O5198" i="2"/>
  <c r="N5198" i="2"/>
  <c r="M5198" i="2"/>
  <c r="O5197" i="2"/>
  <c r="N5197" i="2"/>
  <c r="M5197" i="2"/>
  <c r="O5196" i="2"/>
  <c r="N5196" i="2"/>
  <c r="M5196" i="2"/>
  <c r="O5195" i="2"/>
  <c r="N5195" i="2"/>
  <c r="M5195" i="2"/>
  <c r="O5194" i="2"/>
  <c r="N5194" i="2"/>
  <c r="M5194" i="2"/>
  <c r="O5193" i="2"/>
  <c r="N5193" i="2"/>
  <c r="M5193" i="2"/>
  <c r="O5192" i="2"/>
  <c r="N5192" i="2"/>
  <c r="M5192" i="2"/>
  <c r="O5191" i="2"/>
  <c r="N5191" i="2"/>
  <c r="M5191" i="2"/>
  <c r="O5190" i="2"/>
  <c r="N5190" i="2"/>
  <c r="M5190" i="2"/>
  <c r="O5189" i="2"/>
  <c r="N5189" i="2"/>
  <c r="M5189" i="2"/>
  <c r="O5188" i="2"/>
  <c r="N5188" i="2"/>
  <c r="M5188" i="2"/>
  <c r="O5187" i="2"/>
  <c r="N5187" i="2"/>
  <c r="M5187" i="2"/>
  <c r="O5186" i="2"/>
  <c r="N5186" i="2"/>
  <c r="M5186" i="2"/>
  <c r="O5185" i="2"/>
  <c r="N5185" i="2"/>
  <c r="M5185" i="2"/>
  <c r="O5184" i="2"/>
  <c r="N5184" i="2"/>
  <c r="M5184" i="2"/>
  <c r="O5183" i="2"/>
  <c r="N5183" i="2"/>
  <c r="M5183" i="2"/>
  <c r="O5182" i="2"/>
  <c r="N5182" i="2"/>
  <c r="M5182" i="2"/>
  <c r="O5181" i="2"/>
  <c r="N5181" i="2"/>
  <c r="M5181" i="2"/>
  <c r="O5180" i="2"/>
  <c r="N5180" i="2"/>
  <c r="M5180" i="2"/>
  <c r="O5179" i="2"/>
  <c r="N5179" i="2"/>
  <c r="M5179" i="2"/>
  <c r="O5178" i="2"/>
  <c r="N5178" i="2"/>
  <c r="M5178" i="2"/>
  <c r="O5177" i="2"/>
  <c r="N5177" i="2"/>
  <c r="M5177" i="2"/>
  <c r="O5176" i="2"/>
  <c r="N5176" i="2"/>
  <c r="M5176" i="2"/>
  <c r="O5175" i="2"/>
  <c r="N5175" i="2"/>
  <c r="M5175" i="2"/>
  <c r="O5174" i="2"/>
  <c r="N5174" i="2"/>
  <c r="M5174" i="2"/>
  <c r="O5173" i="2"/>
  <c r="N5173" i="2"/>
  <c r="M5173" i="2"/>
  <c r="O5172" i="2"/>
  <c r="N5172" i="2"/>
  <c r="M5172" i="2"/>
  <c r="O5171" i="2"/>
  <c r="N5171" i="2"/>
  <c r="M5171" i="2"/>
  <c r="O5170" i="2"/>
  <c r="N5170" i="2"/>
  <c r="M5170" i="2"/>
  <c r="O5169" i="2"/>
  <c r="N5169" i="2"/>
  <c r="M5169" i="2"/>
  <c r="O5168" i="2"/>
  <c r="N5168" i="2"/>
  <c r="M5168" i="2"/>
  <c r="O5167" i="2"/>
  <c r="N5167" i="2"/>
  <c r="M5167" i="2"/>
  <c r="O5166" i="2"/>
  <c r="N5166" i="2"/>
  <c r="M5166" i="2"/>
  <c r="O5165" i="2"/>
  <c r="N5165" i="2"/>
  <c r="M5165" i="2"/>
  <c r="O5164" i="2"/>
  <c r="N5164" i="2"/>
  <c r="M5164" i="2"/>
  <c r="O5163" i="2"/>
  <c r="N5163" i="2"/>
  <c r="M5163" i="2"/>
  <c r="O5162" i="2"/>
  <c r="N5162" i="2"/>
  <c r="M5162" i="2"/>
  <c r="O5161" i="2"/>
  <c r="N5161" i="2"/>
  <c r="M5161" i="2"/>
  <c r="O5160" i="2"/>
  <c r="N5160" i="2"/>
  <c r="M5160" i="2"/>
  <c r="O5159" i="2"/>
  <c r="N5159" i="2"/>
  <c r="M5159" i="2"/>
  <c r="O5158" i="2"/>
  <c r="N5158" i="2"/>
  <c r="M5158" i="2"/>
  <c r="O5157" i="2"/>
  <c r="N5157" i="2"/>
  <c r="M5157" i="2"/>
  <c r="O5156" i="2"/>
  <c r="N5156" i="2"/>
  <c r="M5156" i="2"/>
  <c r="O5155" i="2"/>
  <c r="N5155" i="2"/>
  <c r="M5155" i="2"/>
  <c r="O5154" i="2"/>
  <c r="N5154" i="2"/>
  <c r="M5154" i="2"/>
  <c r="O5153" i="2"/>
  <c r="N5153" i="2"/>
  <c r="M5153" i="2"/>
  <c r="O5152" i="2"/>
  <c r="N5152" i="2"/>
  <c r="M5152" i="2"/>
  <c r="O5151" i="2"/>
  <c r="N5151" i="2"/>
  <c r="M5151" i="2"/>
  <c r="O5150" i="2"/>
  <c r="N5150" i="2"/>
  <c r="M5150" i="2"/>
  <c r="O5149" i="2"/>
  <c r="N5149" i="2"/>
  <c r="M5149" i="2"/>
  <c r="O5148" i="2"/>
  <c r="N5148" i="2"/>
  <c r="M5148" i="2"/>
  <c r="O5147" i="2"/>
  <c r="N5147" i="2"/>
  <c r="M5147" i="2"/>
  <c r="O5146" i="2"/>
  <c r="N5146" i="2"/>
  <c r="M5146" i="2"/>
  <c r="O5145" i="2"/>
  <c r="N5145" i="2"/>
  <c r="M5145" i="2"/>
  <c r="O5144" i="2"/>
  <c r="N5144" i="2"/>
  <c r="M5144" i="2"/>
  <c r="O5143" i="2"/>
  <c r="N5143" i="2"/>
  <c r="M5143" i="2"/>
  <c r="O5142" i="2"/>
  <c r="N5142" i="2"/>
  <c r="M5142" i="2"/>
  <c r="O5141" i="2"/>
  <c r="N5141" i="2"/>
  <c r="M5141" i="2"/>
  <c r="O5140" i="2"/>
  <c r="N5140" i="2"/>
  <c r="M5140" i="2"/>
  <c r="O5139" i="2"/>
  <c r="N5139" i="2"/>
  <c r="M5139" i="2"/>
  <c r="O5138" i="2"/>
  <c r="N5138" i="2"/>
  <c r="M5138" i="2"/>
  <c r="O5137" i="2"/>
  <c r="N5137" i="2"/>
  <c r="M5137" i="2"/>
  <c r="O5136" i="2"/>
  <c r="N5136" i="2"/>
  <c r="M5136" i="2"/>
  <c r="O5135" i="2"/>
  <c r="N5135" i="2"/>
  <c r="M5135" i="2"/>
  <c r="O5134" i="2"/>
  <c r="N5134" i="2"/>
  <c r="M5134" i="2"/>
  <c r="O5133" i="2"/>
  <c r="N5133" i="2"/>
  <c r="M5133" i="2"/>
  <c r="O5132" i="2"/>
  <c r="N5132" i="2"/>
  <c r="M5132" i="2"/>
  <c r="O5131" i="2"/>
  <c r="N5131" i="2"/>
  <c r="M5131" i="2"/>
  <c r="O5130" i="2"/>
  <c r="N5130" i="2"/>
  <c r="M5130" i="2"/>
  <c r="O5129" i="2"/>
  <c r="N5129" i="2"/>
  <c r="M5129" i="2"/>
  <c r="O5128" i="2"/>
  <c r="N5128" i="2"/>
  <c r="M5128" i="2"/>
  <c r="O5127" i="2"/>
  <c r="N5127" i="2"/>
  <c r="M5127" i="2"/>
  <c r="O5126" i="2"/>
  <c r="N5126" i="2"/>
  <c r="M5126" i="2"/>
  <c r="O5125" i="2"/>
  <c r="N5125" i="2"/>
  <c r="M5125" i="2"/>
  <c r="O5124" i="2"/>
  <c r="N5124" i="2"/>
  <c r="M5124" i="2"/>
  <c r="O5123" i="2"/>
  <c r="N5123" i="2"/>
  <c r="M5123" i="2"/>
  <c r="O5122" i="2"/>
  <c r="N5122" i="2"/>
  <c r="M5122" i="2"/>
  <c r="O5121" i="2"/>
  <c r="N5121" i="2"/>
  <c r="M5121" i="2"/>
  <c r="O5120" i="2"/>
  <c r="N5120" i="2"/>
  <c r="M5120" i="2"/>
  <c r="O5119" i="2"/>
  <c r="N5119" i="2"/>
  <c r="M5119" i="2"/>
  <c r="O5118" i="2"/>
  <c r="N5118" i="2"/>
  <c r="M5118" i="2"/>
  <c r="O5117" i="2"/>
  <c r="N5117" i="2"/>
  <c r="M5117" i="2"/>
  <c r="O5116" i="2"/>
  <c r="N5116" i="2"/>
  <c r="M5116" i="2"/>
  <c r="O5115" i="2"/>
  <c r="N5115" i="2"/>
  <c r="M5115" i="2"/>
  <c r="O5114" i="2"/>
  <c r="N5114" i="2"/>
  <c r="M5114" i="2"/>
  <c r="O5113" i="2"/>
  <c r="N5113" i="2"/>
  <c r="M5113" i="2"/>
  <c r="O5112" i="2"/>
  <c r="N5112" i="2"/>
  <c r="M5112" i="2"/>
  <c r="O5111" i="2"/>
  <c r="N5111" i="2"/>
  <c r="M5111" i="2"/>
  <c r="O5110" i="2"/>
  <c r="N5110" i="2"/>
  <c r="M5110" i="2"/>
  <c r="O5109" i="2"/>
  <c r="N5109" i="2"/>
  <c r="M5109" i="2"/>
  <c r="O5108" i="2"/>
  <c r="N5108" i="2"/>
  <c r="M5108" i="2"/>
  <c r="O5107" i="2"/>
  <c r="N5107" i="2"/>
  <c r="M5107" i="2"/>
  <c r="O5106" i="2"/>
  <c r="N5106" i="2"/>
  <c r="M5106" i="2"/>
  <c r="O5105" i="2"/>
  <c r="N5105" i="2"/>
  <c r="M5105" i="2"/>
  <c r="O5104" i="2"/>
  <c r="N5104" i="2"/>
  <c r="M5104" i="2"/>
  <c r="O5103" i="2"/>
  <c r="N5103" i="2"/>
  <c r="M5103" i="2"/>
  <c r="O5102" i="2"/>
  <c r="N5102" i="2"/>
  <c r="M5102" i="2"/>
  <c r="O5101" i="2"/>
  <c r="N5101" i="2"/>
  <c r="M5101" i="2"/>
  <c r="O5100" i="2"/>
  <c r="N5100" i="2"/>
  <c r="M5100" i="2"/>
  <c r="O5099" i="2"/>
  <c r="N5099" i="2"/>
  <c r="M5099" i="2"/>
  <c r="O5098" i="2"/>
  <c r="N5098" i="2"/>
  <c r="M5098" i="2"/>
  <c r="O5097" i="2"/>
  <c r="N5097" i="2"/>
  <c r="M5097" i="2"/>
  <c r="O5096" i="2"/>
  <c r="N5096" i="2"/>
  <c r="M5096" i="2"/>
  <c r="O5095" i="2"/>
  <c r="N5095" i="2"/>
  <c r="M5095" i="2"/>
  <c r="O5094" i="2"/>
  <c r="N5094" i="2"/>
  <c r="M5094" i="2"/>
  <c r="O5093" i="2"/>
  <c r="N5093" i="2"/>
  <c r="M5093" i="2"/>
  <c r="O5092" i="2"/>
  <c r="N5092" i="2"/>
  <c r="M5092" i="2"/>
  <c r="O5091" i="2"/>
  <c r="N5091" i="2"/>
  <c r="M5091" i="2"/>
  <c r="O5090" i="2"/>
  <c r="N5090" i="2"/>
  <c r="M5090" i="2"/>
  <c r="O5089" i="2"/>
  <c r="N5089" i="2"/>
  <c r="M5089" i="2"/>
  <c r="O5088" i="2"/>
  <c r="N5088" i="2"/>
  <c r="M5088" i="2"/>
  <c r="O5087" i="2"/>
  <c r="N5087" i="2"/>
  <c r="M5087" i="2"/>
  <c r="O5086" i="2"/>
  <c r="N5086" i="2"/>
  <c r="M5086" i="2"/>
  <c r="O5085" i="2"/>
  <c r="N5085" i="2"/>
  <c r="M5085" i="2"/>
  <c r="O5084" i="2"/>
  <c r="N5084" i="2"/>
  <c r="M5084" i="2"/>
  <c r="O5083" i="2"/>
  <c r="N5083" i="2"/>
  <c r="M5083" i="2"/>
  <c r="O5082" i="2"/>
  <c r="N5082" i="2"/>
  <c r="M5082" i="2"/>
  <c r="O5081" i="2"/>
  <c r="N5081" i="2"/>
  <c r="M5081" i="2"/>
  <c r="O5080" i="2"/>
  <c r="N5080" i="2"/>
  <c r="M5080" i="2"/>
  <c r="O5079" i="2"/>
  <c r="N5079" i="2"/>
  <c r="M5079" i="2"/>
  <c r="O5078" i="2"/>
  <c r="N5078" i="2"/>
  <c r="M5078" i="2"/>
  <c r="O5077" i="2"/>
  <c r="N5077" i="2"/>
  <c r="M5077" i="2"/>
  <c r="O5076" i="2"/>
  <c r="N5076" i="2"/>
  <c r="M5076" i="2"/>
  <c r="O5075" i="2"/>
  <c r="N5075" i="2"/>
  <c r="M5075" i="2"/>
  <c r="O5074" i="2"/>
  <c r="N5074" i="2"/>
  <c r="M5074" i="2"/>
  <c r="O5073" i="2"/>
  <c r="N5073" i="2"/>
  <c r="M5073" i="2"/>
  <c r="O5072" i="2"/>
  <c r="N5072" i="2"/>
  <c r="M5072" i="2"/>
  <c r="O5071" i="2"/>
  <c r="N5071" i="2"/>
  <c r="M5071" i="2"/>
  <c r="O5070" i="2"/>
  <c r="N5070" i="2"/>
  <c r="M5070" i="2"/>
  <c r="O5069" i="2"/>
  <c r="N5069" i="2"/>
  <c r="M5069" i="2"/>
  <c r="O5068" i="2"/>
  <c r="N5068" i="2"/>
  <c r="M5068" i="2"/>
  <c r="O5067" i="2"/>
  <c r="N5067" i="2"/>
  <c r="M5067" i="2"/>
  <c r="O5066" i="2"/>
  <c r="N5066" i="2"/>
  <c r="M5066" i="2"/>
  <c r="O5065" i="2"/>
  <c r="N5065" i="2"/>
  <c r="M5065" i="2"/>
  <c r="O5064" i="2"/>
  <c r="N5064" i="2"/>
  <c r="M5064" i="2"/>
  <c r="O5063" i="2"/>
  <c r="N5063" i="2"/>
  <c r="M5063" i="2"/>
  <c r="O5062" i="2"/>
  <c r="N5062" i="2"/>
  <c r="M5062" i="2"/>
  <c r="O5061" i="2"/>
  <c r="N5061" i="2"/>
  <c r="M5061" i="2"/>
  <c r="O5060" i="2"/>
  <c r="N5060" i="2"/>
  <c r="M5060" i="2"/>
  <c r="O5059" i="2"/>
  <c r="N5059" i="2"/>
  <c r="M5059" i="2"/>
  <c r="O5058" i="2"/>
  <c r="N5058" i="2"/>
  <c r="M5058" i="2"/>
  <c r="O5057" i="2"/>
  <c r="N5057" i="2"/>
  <c r="M5057" i="2"/>
  <c r="O5056" i="2"/>
  <c r="N5056" i="2"/>
  <c r="M5056" i="2"/>
  <c r="O5055" i="2"/>
  <c r="N5055" i="2"/>
  <c r="M5055" i="2"/>
  <c r="O5054" i="2"/>
  <c r="N5054" i="2"/>
  <c r="M5054" i="2"/>
  <c r="O5053" i="2"/>
  <c r="N5053" i="2"/>
  <c r="M5053" i="2"/>
  <c r="O5052" i="2"/>
  <c r="N5052" i="2"/>
  <c r="M5052" i="2"/>
  <c r="O5051" i="2"/>
  <c r="N5051" i="2"/>
  <c r="M5051" i="2"/>
  <c r="O5050" i="2"/>
  <c r="N5050" i="2"/>
  <c r="M5050" i="2"/>
  <c r="O5049" i="2"/>
  <c r="N5049" i="2"/>
  <c r="M5049" i="2"/>
  <c r="O5048" i="2"/>
  <c r="N5048" i="2"/>
  <c r="M5048" i="2"/>
  <c r="O5047" i="2"/>
  <c r="N5047" i="2"/>
  <c r="M5047" i="2"/>
  <c r="O5046" i="2"/>
  <c r="N5046" i="2"/>
  <c r="M5046" i="2"/>
  <c r="O5045" i="2"/>
  <c r="N5045" i="2"/>
  <c r="M5045" i="2"/>
  <c r="O5044" i="2"/>
  <c r="N5044" i="2"/>
  <c r="M5044" i="2"/>
  <c r="O5043" i="2"/>
  <c r="N5043" i="2"/>
  <c r="M5043" i="2"/>
  <c r="O5042" i="2"/>
  <c r="N5042" i="2"/>
  <c r="M5042" i="2"/>
  <c r="O5041" i="2"/>
  <c r="N5041" i="2"/>
  <c r="M5041" i="2"/>
  <c r="O5040" i="2"/>
  <c r="N5040" i="2"/>
  <c r="M5040" i="2"/>
  <c r="O5039" i="2"/>
  <c r="N5039" i="2"/>
  <c r="M5039" i="2"/>
  <c r="O5038" i="2"/>
  <c r="N5038" i="2"/>
  <c r="M5038" i="2"/>
  <c r="O5037" i="2"/>
  <c r="N5037" i="2"/>
  <c r="M5037" i="2"/>
  <c r="O5036" i="2"/>
  <c r="N5036" i="2"/>
  <c r="M5036" i="2"/>
  <c r="O5035" i="2"/>
  <c r="N5035" i="2"/>
  <c r="M5035" i="2"/>
  <c r="O5034" i="2"/>
  <c r="N5034" i="2"/>
  <c r="M5034" i="2"/>
  <c r="O5033" i="2"/>
  <c r="N5033" i="2"/>
  <c r="M5033" i="2"/>
  <c r="O5032" i="2"/>
  <c r="N5032" i="2"/>
  <c r="M5032" i="2"/>
  <c r="O5031" i="2"/>
  <c r="N5031" i="2"/>
  <c r="M5031" i="2"/>
  <c r="O5030" i="2"/>
  <c r="N5030" i="2"/>
  <c r="M5030" i="2"/>
  <c r="O5029" i="2"/>
  <c r="N5029" i="2"/>
  <c r="M5029" i="2"/>
  <c r="O5028" i="2"/>
  <c r="N5028" i="2"/>
  <c r="M5028" i="2"/>
  <c r="O5027" i="2"/>
  <c r="N5027" i="2"/>
  <c r="M5027" i="2"/>
  <c r="O5026" i="2"/>
  <c r="N5026" i="2"/>
  <c r="M5026" i="2"/>
  <c r="O5025" i="2"/>
  <c r="N5025" i="2"/>
  <c r="M5025" i="2"/>
  <c r="O5024" i="2"/>
  <c r="N5024" i="2"/>
  <c r="M5024" i="2"/>
  <c r="O5023" i="2"/>
  <c r="N5023" i="2"/>
  <c r="M5023" i="2"/>
  <c r="O5022" i="2"/>
  <c r="N5022" i="2"/>
  <c r="M5022" i="2"/>
  <c r="O5021" i="2"/>
  <c r="N5021" i="2"/>
  <c r="M5021" i="2"/>
  <c r="O5020" i="2"/>
  <c r="N5020" i="2"/>
  <c r="M5020" i="2"/>
  <c r="O5019" i="2"/>
  <c r="N5019" i="2"/>
  <c r="M5019" i="2"/>
  <c r="O5018" i="2"/>
  <c r="N5018" i="2"/>
  <c r="M5018" i="2"/>
  <c r="O5017" i="2"/>
  <c r="N5017" i="2"/>
  <c r="M5017" i="2"/>
  <c r="O5016" i="2"/>
  <c r="N5016" i="2"/>
  <c r="M5016" i="2"/>
  <c r="O5015" i="2"/>
  <c r="N5015" i="2"/>
  <c r="M5015" i="2"/>
  <c r="O5014" i="2"/>
  <c r="N5014" i="2"/>
  <c r="M5014" i="2"/>
  <c r="O5013" i="2"/>
  <c r="N5013" i="2"/>
  <c r="M5013" i="2"/>
  <c r="O5012" i="2"/>
  <c r="N5012" i="2"/>
  <c r="M5012" i="2"/>
  <c r="O5011" i="2"/>
  <c r="N5011" i="2"/>
  <c r="M5011" i="2"/>
  <c r="O5010" i="2"/>
  <c r="N5010" i="2"/>
  <c r="M5010" i="2"/>
  <c r="O5009" i="2"/>
  <c r="N5009" i="2"/>
  <c r="M5009" i="2"/>
  <c r="O5008" i="2"/>
  <c r="N5008" i="2"/>
  <c r="M5008" i="2"/>
  <c r="O5007" i="2"/>
  <c r="N5007" i="2"/>
  <c r="M5007" i="2"/>
  <c r="O5006" i="2"/>
  <c r="N5006" i="2"/>
  <c r="M5006" i="2"/>
  <c r="O5005" i="2"/>
  <c r="N5005" i="2"/>
  <c r="M5005" i="2"/>
  <c r="O5004" i="2"/>
  <c r="N5004" i="2"/>
  <c r="M5004" i="2"/>
  <c r="O5003" i="2"/>
  <c r="N5003" i="2"/>
  <c r="M5003" i="2"/>
  <c r="O5002" i="2"/>
  <c r="N5002" i="2"/>
  <c r="M5002" i="2"/>
  <c r="O5001" i="2"/>
  <c r="N5001" i="2"/>
  <c r="M5001" i="2"/>
  <c r="O5000" i="2"/>
  <c r="N5000" i="2"/>
  <c r="M5000" i="2"/>
  <c r="O4999" i="2"/>
  <c r="N4999" i="2"/>
  <c r="M4999" i="2"/>
  <c r="O4998" i="2"/>
  <c r="N4998" i="2"/>
  <c r="M4998" i="2"/>
  <c r="O4997" i="2"/>
  <c r="N4997" i="2"/>
  <c r="M4997" i="2"/>
  <c r="O4996" i="2"/>
  <c r="N4996" i="2"/>
  <c r="M4996" i="2"/>
  <c r="O4995" i="2"/>
  <c r="N4995" i="2"/>
  <c r="M4995" i="2"/>
  <c r="O4994" i="2"/>
  <c r="N4994" i="2"/>
  <c r="M4994" i="2"/>
  <c r="O4993" i="2"/>
  <c r="N4993" i="2"/>
  <c r="M4993" i="2"/>
  <c r="O4992" i="2"/>
  <c r="N4992" i="2"/>
  <c r="M4992" i="2"/>
  <c r="O4991" i="2"/>
  <c r="N4991" i="2"/>
  <c r="M4991" i="2"/>
  <c r="O4990" i="2"/>
  <c r="N4990" i="2"/>
  <c r="M4990" i="2"/>
  <c r="O4989" i="2"/>
  <c r="N4989" i="2"/>
  <c r="M4989" i="2"/>
  <c r="O4988" i="2"/>
  <c r="N4988" i="2"/>
  <c r="M4988" i="2"/>
  <c r="O4987" i="2"/>
  <c r="N4987" i="2"/>
  <c r="M4987" i="2"/>
  <c r="O4986" i="2"/>
  <c r="N4986" i="2"/>
  <c r="M4986" i="2"/>
  <c r="O4985" i="2"/>
  <c r="N4985" i="2"/>
  <c r="M4985" i="2"/>
  <c r="O4984" i="2"/>
  <c r="N4984" i="2"/>
  <c r="M4984" i="2"/>
  <c r="O4983" i="2"/>
  <c r="N4983" i="2"/>
  <c r="M4983" i="2"/>
  <c r="O4982" i="2"/>
  <c r="N4982" i="2"/>
  <c r="M4982" i="2"/>
  <c r="O4981" i="2"/>
  <c r="N4981" i="2"/>
  <c r="M4981" i="2"/>
  <c r="O4980" i="2"/>
  <c r="N4980" i="2"/>
  <c r="M4980" i="2"/>
  <c r="O4979" i="2"/>
  <c r="N4979" i="2"/>
  <c r="M4979" i="2"/>
  <c r="O4978" i="2"/>
  <c r="N4978" i="2"/>
  <c r="M4978" i="2"/>
  <c r="O4977" i="2"/>
  <c r="N4977" i="2"/>
  <c r="M4977" i="2"/>
  <c r="O4976" i="2"/>
  <c r="N4976" i="2"/>
  <c r="M4976" i="2"/>
  <c r="O4975" i="2"/>
  <c r="N4975" i="2"/>
  <c r="M4975" i="2"/>
  <c r="O4974" i="2"/>
  <c r="N4974" i="2"/>
  <c r="M4974" i="2"/>
  <c r="O4973" i="2"/>
  <c r="N4973" i="2"/>
  <c r="M4973" i="2"/>
  <c r="O4972" i="2"/>
  <c r="N4972" i="2"/>
  <c r="M4972" i="2"/>
  <c r="O4971" i="2"/>
  <c r="N4971" i="2"/>
  <c r="M4971" i="2"/>
  <c r="O4970" i="2"/>
  <c r="N4970" i="2"/>
  <c r="M4970" i="2"/>
  <c r="O4969" i="2"/>
  <c r="N4969" i="2"/>
  <c r="M4969" i="2"/>
  <c r="O4968" i="2"/>
  <c r="N4968" i="2"/>
  <c r="M4968" i="2"/>
  <c r="O4967" i="2"/>
  <c r="N4967" i="2"/>
  <c r="M4967" i="2"/>
  <c r="O4966" i="2"/>
  <c r="N4966" i="2"/>
  <c r="M4966" i="2"/>
  <c r="O4965" i="2"/>
  <c r="N4965" i="2"/>
  <c r="M4965" i="2"/>
  <c r="O4964" i="2"/>
  <c r="N4964" i="2"/>
  <c r="M4964" i="2"/>
  <c r="O4963" i="2"/>
  <c r="N4963" i="2"/>
  <c r="M4963" i="2"/>
  <c r="O4962" i="2"/>
  <c r="N4962" i="2"/>
  <c r="M4962" i="2"/>
  <c r="O4961" i="2"/>
  <c r="N4961" i="2"/>
  <c r="M4961" i="2"/>
  <c r="O4960" i="2"/>
  <c r="N4960" i="2"/>
  <c r="M4960" i="2"/>
  <c r="O4959" i="2"/>
  <c r="N4959" i="2"/>
  <c r="M4959" i="2"/>
  <c r="O4958" i="2"/>
  <c r="N4958" i="2"/>
  <c r="M4958" i="2"/>
  <c r="O4957" i="2"/>
  <c r="N4957" i="2"/>
  <c r="M4957" i="2"/>
  <c r="O4956" i="2"/>
  <c r="N4956" i="2"/>
  <c r="M4956" i="2"/>
  <c r="O4955" i="2"/>
  <c r="N4955" i="2"/>
  <c r="M4955" i="2"/>
  <c r="O4954" i="2"/>
  <c r="N4954" i="2"/>
  <c r="M4954" i="2"/>
  <c r="O4953" i="2"/>
  <c r="N4953" i="2"/>
  <c r="M4953" i="2"/>
  <c r="O4952" i="2"/>
  <c r="N4952" i="2"/>
  <c r="M4952" i="2"/>
  <c r="O4951" i="2"/>
  <c r="N4951" i="2"/>
  <c r="M4951" i="2"/>
  <c r="O4950" i="2"/>
  <c r="N4950" i="2"/>
  <c r="M4950" i="2"/>
  <c r="O4949" i="2"/>
  <c r="N4949" i="2"/>
  <c r="M4949" i="2"/>
  <c r="O4948" i="2"/>
  <c r="N4948" i="2"/>
  <c r="M4948" i="2"/>
  <c r="O4947" i="2"/>
  <c r="N4947" i="2"/>
  <c r="M4947" i="2"/>
  <c r="O4946" i="2"/>
  <c r="N4946" i="2"/>
  <c r="M4946" i="2"/>
  <c r="O4945" i="2"/>
  <c r="N4945" i="2"/>
  <c r="M4945" i="2"/>
  <c r="O4944" i="2"/>
  <c r="N4944" i="2"/>
  <c r="M4944" i="2"/>
  <c r="O4943" i="2"/>
  <c r="N4943" i="2"/>
  <c r="M4943" i="2"/>
  <c r="O4942" i="2"/>
  <c r="N4942" i="2"/>
  <c r="M4942" i="2"/>
  <c r="O4941" i="2"/>
  <c r="N4941" i="2"/>
  <c r="M4941" i="2"/>
  <c r="O4940" i="2"/>
  <c r="N4940" i="2"/>
  <c r="M4940" i="2"/>
  <c r="O4939" i="2"/>
  <c r="N4939" i="2"/>
  <c r="M4939" i="2"/>
  <c r="O4938" i="2"/>
  <c r="N4938" i="2"/>
  <c r="M4938" i="2"/>
  <c r="O4937" i="2"/>
  <c r="N4937" i="2"/>
  <c r="M4937" i="2"/>
  <c r="O4936" i="2"/>
  <c r="N4936" i="2"/>
  <c r="M4936" i="2"/>
  <c r="O4935" i="2"/>
  <c r="N4935" i="2"/>
  <c r="M4935" i="2"/>
  <c r="O4934" i="2"/>
  <c r="N4934" i="2"/>
  <c r="M4934" i="2"/>
  <c r="O4933" i="2"/>
  <c r="N4933" i="2"/>
  <c r="M4933" i="2"/>
  <c r="O4932" i="2"/>
  <c r="N4932" i="2"/>
  <c r="M4932" i="2"/>
  <c r="O4931" i="2"/>
  <c r="N4931" i="2"/>
  <c r="M4931" i="2"/>
  <c r="O4930" i="2"/>
  <c r="N4930" i="2"/>
  <c r="M4930" i="2"/>
  <c r="O4929" i="2"/>
  <c r="N4929" i="2"/>
  <c r="M4929" i="2"/>
  <c r="O4928" i="2"/>
  <c r="N4928" i="2"/>
  <c r="M4928" i="2"/>
  <c r="O4927" i="2"/>
  <c r="N4927" i="2"/>
  <c r="M4927" i="2"/>
  <c r="O4926" i="2"/>
  <c r="N4926" i="2"/>
  <c r="M4926" i="2"/>
  <c r="O4925" i="2"/>
  <c r="N4925" i="2"/>
  <c r="M4925" i="2"/>
  <c r="O4924" i="2"/>
  <c r="N4924" i="2"/>
  <c r="M4924" i="2"/>
  <c r="O4923" i="2"/>
  <c r="N4923" i="2"/>
  <c r="M4923" i="2"/>
  <c r="O4922" i="2"/>
  <c r="N4922" i="2"/>
  <c r="M4922" i="2"/>
  <c r="O4921" i="2"/>
  <c r="N4921" i="2"/>
  <c r="M4921" i="2"/>
  <c r="O4920" i="2"/>
  <c r="N4920" i="2"/>
  <c r="M4920" i="2"/>
  <c r="O4919" i="2"/>
  <c r="N4919" i="2"/>
  <c r="M4919" i="2"/>
  <c r="O4918" i="2"/>
  <c r="N4918" i="2"/>
  <c r="M4918" i="2"/>
  <c r="O4917" i="2"/>
  <c r="N4917" i="2"/>
  <c r="M4917" i="2"/>
  <c r="O4916" i="2"/>
  <c r="N4916" i="2"/>
  <c r="M4916" i="2"/>
  <c r="O4915" i="2"/>
  <c r="N4915" i="2"/>
  <c r="M4915" i="2"/>
  <c r="O4914" i="2"/>
  <c r="N4914" i="2"/>
  <c r="M4914" i="2"/>
  <c r="O4913" i="2"/>
  <c r="N4913" i="2"/>
  <c r="M4913" i="2"/>
  <c r="O4912" i="2"/>
  <c r="N4912" i="2"/>
  <c r="M4912" i="2"/>
  <c r="O4911" i="2"/>
  <c r="N4911" i="2"/>
  <c r="M4911" i="2"/>
  <c r="O4910" i="2"/>
  <c r="N4910" i="2"/>
  <c r="M4910" i="2"/>
  <c r="O4909" i="2"/>
  <c r="N4909" i="2"/>
  <c r="M4909" i="2"/>
  <c r="O4908" i="2"/>
  <c r="N4908" i="2"/>
  <c r="M4908" i="2"/>
  <c r="O4907" i="2"/>
  <c r="N4907" i="2"/>
  <c r="M4907" i="2"/>
  <c r="O4906" i="2"/>
  <c r="N4906" i="2"/>
  <c r="M4906" i="2"/>
  <c r="O4905" i="2"/>
  <c r="N4905" i="2"/>
  <c r="M4905" i="2"/>
  <c r="O4904" i="2"/>
  <c r="N4904" i="2"/>
  <c r="M4904" i="2"/>
  <c r="O4903" i="2"/>
  <c r="N4903" i="2"/>
  <c r="M4903" i="2"/>
  <c r="O4902" i="2"/>
  <c r="N4902" i="2"/>
  <c r="M4902" i="2"/>
  <c r="O4901" i="2"/>
  <c r="N4901" i="2"/>
  <c r="M4901" i="2"/>
  <c r="O4900" i="2"/>
  <c r="N4900" i="2"/>
  <c r="M4900" i="2"/>
  <c r="O4899" i="2"/>
  <c r="N4899" i="2"/>
  <c r="M4899" i="2"/>
  <c r="O4898" i="2"/>
  <c r="N4898" i="2"/>
  <c r="M4898" i="2"/>
  <c r="O4897" i="2"/>
  <c r="N4897" i="2"/>
  <c r="M4897" i="2"/>
  <c r="O4896" i="2"/>
  <c r="N4896" i="2"/>
  <c r="M4896" i="2"/>
  <c r="O4895" i="2"/>
  <c r="N4895" i="2"/>
  <c r="M4895" i="2"/>
  <c r="O4894" i="2"/>
  <c r="N4894" i="2"/>
  <c r="M4894" i="2"/>
  <c r="O4893" i="2"/>
  <c r="N4893" i="2"/>
  <c r="M4893" i="2"/>
  <c r="O4892" i="2"/>
  <c r="N4892" i="2"/>
  <c r="M4892" i="2"/>
  <c r="O4891" i="2"/>
  <c r="N4891" i="2"/>
  <c r="M4891" i="2"/>
  <c r="O4890" i="2"/>
  <c r="N4890" i="2"/>
  <c r="M4890" i="2"/>
  <c r="O4889" i="2"/>
  <c r="N4889" i="2"/>
  <c r="M4889" i="2"/>
  <c r="O4888" i="2"/>
  <c r="N4888" i="2"/>
  <c r="M4888" i="2"/>
  <c r="O4887" i="2"/>
  <c r="N4887" i="2"/>
  <c r="M4887" i="2"/>
  <c r="O4886" i="2"/>
  <c r="N4886" i="2"/>
  <c r="M4886" i="2"/>
  <c r="O4885" i="2"/>
  <c r="N4885" i="2"/>
  <c r="M4885" i="2"/>
  <c r="O4884" i="2"/>
  <c r="N4884" i="2"/>
  <c r="M4884" i="2"/>
  <c r="O4883" i="2"/>
  <c r="N4883" i="2"/>
  <c r="M4883" i="2"/>
  <c r="O4882" i="2"/>
  <c r="N4882" i="2"/>
  <c r="M4882" i="2"/>
  <c r="O4881" i="2"/>
  <c r="N4881" i="2"/>
  <c r="M4881" i="2"/>
  <c r="O4880" i="2"/>
  <c r="N4880" i="2"/>
  <c r="M4880" i="2"/>
  <c r="O4879" i="2"/>
  <c r="N4879" i="2"/>
  <c r="M4879" i="2"/>
  <c r="O4878" i="2"/>
  <c r="N4878" i="2"/>
  <c r="M4878" i="2"/>
  <c r="O4877" i="2"/>
  <c r="N4877" i="2"/>
  <c r="M4877" i="2"/>
  <c r="O4876" i="2"/>
  <c r="N4876" i="2"/>
  <c r="M4876" i="2"/>
  <c r="O4875" i="2"/>
  <c r="N4875" i="2"/>
  <c r="M4875" i="2"/>
  <c r="O4874" i="2"/>
  <c r="N4874" i="2"/>
  <c r="M4874" i="2"/>
  <c r="O4873" i="2"/>
  <c r="N4873" i="2"/>
  <c r="M4873" i="2"/>
  <c r="O4872" i="2"/>
  <c r="N4872" i="2"/>
  <c r="M4872" i="2"/>
  <c r="O4871" i="2"/>
  <c r="N4871" i="2"/>
  <c r="M4871" i="2"/>
  <c r="O4870" i="2"/>
  <c r="N4870" i="2"/>
  <c r="M4870" i="2"/>
  <c r="O4869" i="2"/>
  <c r="N4869" i="2"/>
  <c r="M4869" i="2"/>
  <c r="O4868" i="2"/>
  <c r="N4868" i="2"/>
  <c r="M4868" i="2"/>
  <c r="O4867" i="2"/>
  <c r="N4867" i="2"/>
  <c r="M4867" i="2"/>
  <c r="O4866" i="2"/>
  <c r="N4866" i="2"/>
  <c r="M4866" i="2"/>
  <c r="O4865" i="2"/>
  <c r="N4865" i="2"/>
  <c r="M4865" i="2"/>
  <c r="O4864" i="2"/>
  <c r="N4864" i="2"/>
  <c r="M4864" i="2"/>
  <c r="O4863" i="2"/>
  <c r="N4863" i="2"/>
  <c r="M4863" i="2"/>
  <c r="O4862" i="2"/>
  <c r="N4862" i="2"/>
  <c r="M4862" i="2"/>
  <c r="O4861" i="2"/>
  <c r="N4861" i="2"/>
  <c r="M4861" i="2"/>
  <c r="O4860" i="2"/>
  <c r="N4860" i="2"/>
  <c r="M4860" i="2"/>
  <c r="O4859" i="2"/>
  <c r="N4859" i="2"/>
  <c r="M4859" i="2"/>
  <c r="O4858" i="2"/>
  <c r="N4858" i="2"/>
  <c r="M4858" i="2"/>
  <c r="O4857" i="2"/>
  <c r="N4857" i="2"/>
  <c r="M4857" i="2"/>
  <c r="O4856" i="2"/>
  <c r="N4856" i="2"/>
  <c r="M4856" i="2"/>
  <c r="O4855" i="2"/>
  <c r="N4855" i="2"/>
  <c r="M4855" i="2"/>
  <c r="O4854" i="2"/>
  <c r="N4854" i="2"/>
  <c r="M4854" i="2"/>
  <c r="O4853" i="2"/>
  <c r="N4853" i="2"/>
  <c r="M4853" i="2"/>
  <c r="O4852" i="2"/>
  <c r="N4852" i="2"/>
  <c r="M4852" i="2"/>
  <c r="O4851" i="2"/>
  <c r="N4851" i="2"/>
  <c r="M4851" i="2"/>
  <c r="O4850" i="2"/>
  <c r="N4850" i="2"/>
  <c r="M4850" i="2"/>
  <c r="O4849" i="2"/>
  <c r="N4849" i="2"/>
  <c r="M4849" i="2"/>
  <c r="O4848" i="2"/>
  <c r="N4848" i="2"/>
  <c r="M4848" i="2"/>
  <c r="O4847" i="2"/>
  <c r="N4847" i="2"/>
  <c r="M4847" i="2"/>
  <c r="O4846" i="2"/>
  <c r="N4846" i="2"/>
  <c r="M4846" i="2"/>
  <c r="O4845" i="2"/>
  <c r="N4845" i="2"/>
  <c r="M4845" i="2"/>
  <c r="O4844" i="2"/>
  <c r="N4844" i="2"/>
  <c r="M4844" i="2"/>
  <c r="O4843" i="2"/>
  <c r="N4843" i="2"/>
  <c r="M4843" i="2"/>
  <c r="O4842" i="2"/>
  <c r="N4842" i="2"/>
  <c r="M4842" i="2"/>
  <c r="O4841" i="2"/>
  <c r="N4841" i="2"/>
  <c r="M4841" i="2"/>
  <c r="O4840" i="2"/>
  <c r="N4840" i="2"/>
  <c r="M4840" i="2"/>
  <c r="O4839" i="2"/>
  <c r="N4839" i="2"/>
  <c r="M4839" i="2"/>
  <c r="O4838" i="2"/>
  <c r="N4838" i="2"/>
  <c r="M4838" i="2"/>
  <c r="O4837" i="2"/>
  <c r="N4837" i="2"/>
  <c r="M4837" i="2"/>
  <c r="O4836" i="2"/>
  <c r="N4836" i="2"/>
  <c r="M4836" i="2"/>
  <c r="O4835" i="2"/>
  <c r="N4835" i="2"/>
  <c r="M4835" i="2"/>
  <c r="O4834" i="2"/>
  <c r="N4834" i="2"/>
  <c r="M4834" i="2"/>
  <c r="O4833" i="2"/>
  <c r="N4833" i="2"/>
  <c r="M4833" i="2"/>
  <c r="O4832" i="2"/>
  <c r="N4832" i="2"/>
  <c r="M4832" i="2"/>
  <c r="O4831" i="2"/>
  <c r="N4831" i="2"/>
  <c r="M4831" i="2"/>
  <c r="O4830" i="2"/>
  <c r="N4830" i="2"/>
  <c r="M4830" i="2"/>
  <c r="O4829" i="2"/>
  <c r="N4829" i="2"/>
  <c r="M4829" i="2"/>
  <c r="O4828" i="2"/>
  <c r="N4828" i="2"/>
  <c r="M4828" i="2"/>
  <c r="O4827" i="2"/>
  <c r="N4827" i="2"/>
  <c r="M4827" i="2"/>
  <c r="O4826" i="2"/>
  <c r="N4826" i="2"/>
  <c r="M4826" i="2"/>
  <c r="O4825" i="2"/>
  <c r="N4825" i="2"/>
  <c r="M4825" i="2"/>
  <c r="O4824" i="2"/>
  <c r="N4824" i="2"/>
  <c r="M4824" i="2"/>
  <c r="O4823" i="2"/>
  <c r="N4823" i="2"/>
  <c r="M4823" i="2"/>
  <c r="O4822" i="2"/>
  <c r="N4822" i="2"/>
  <c r="M4822" i="2"/>
  <c r="O4821" i="2"/>
  <c r="N4821" i="2"/>
  <c r="M4821" i="2"/>
  <c r="O4820" i="2"/>
  <c r="N4820" i="2"/>
  <c r="M4820" i="2"/>
  <c r="O4819" i="2"/>
  <c r="N4819" i="2"/>
  <c r="M4819" i="2"/>
  <c r="O4818" i="2"/>
  <c r="N4818" i="2"/>
  <c r="M4818" i="2"/>
  <c r="O4817" i="2"/>
  <c r="N4817" i="2"/>
  <c r="M4817" i="2"/>
  <c r="O4816" i="2"/>
  <c r="N4816" i="2"/>
  <c r="M4816" i="2"/>
  <c r="O4815" i="2"/>
  <c r="N4815" i="2"/>
  <c r="M4815" i="2"/>
  <c r="O4814" i="2"/>
  <c r="N4814" i="2"/>
  <c r="M4814" i="2"/>
  <c r="O4813" i="2"/>
  <c r="N4813" i="2"/>
  <c r="M4813" i="2"/>
  <c r="O4812" i="2"/>
  <c r="N4812" i="2"/>
  <c r="M4812" i="2"/>
  <c r="O4811" i="2"/>
  <c r="N4811" i="2"/>
  <c r="M4811" i="2"/>
  <c r="O4810" i="2"/>
  <c r="N4810" i="2"/>
  <c r="M4810" i="2"/>
  <c r="O4809" i="2"/>
  <c r="N4809" i="2"/>
  <c r="M4809" i="2"/>
  <c r="O4808" i="2"/>
  <c r="N4808" i="2"/>
  <c r="M4808" i="2"/>
  <c r="O4807" i="2"/>
  <c r="N4807" i="2"/>
  <c r="M4807" i="2"/>
  <c r="O4806" i="2"/>
  <c r="N4806" i="2"/>
  <c r="M4806" i="2"/>
  <c r="O4805" i="2"/>
  <c r="N4805" i="2"/>
  <c r="M4805" i="2"/>
  <c r="O4804" i="2"/>
  <c r="N4804" i="2"/>
  <c r="M4804" i="2"/>
  <c r="O4803" i="2"/>
  <c r="N4803" i="2"/>
  <c r="M4803" i="2"/>
  <c r="O4802" i="2"/>
  <c r="N4802" i="2"/>
  <c r="M4802" i="2"/>
  <c r="O4801" i="2"/>
  <c r="N4801" i="2"/>
  <c r="M4801" i="2"/>
  <c r="O4800" i="2"/>
  <c r="N4800" i="2"/>
  <c r="M4800" i="2"/>
  <c r="O4799" i="2"/>
  <c r="N4799" i="2"/>
  <c r="M4799" i="2"/>
  <c r="O4798" i="2"/>
  <c r="N4798" i="2"/>
  <c r="M4798" i="2"/>
  <c r="O4797" i="2"/>
  <c r="N4797" i="2"/>
  <c r="M4797" i="2"/>
  <c r="O4796" i="2"/>
  <c r="N4796" i="2"/>
  <c r="M4796" i="2"/>
  <c r="O4795" i="2"/>
  <c r="N4795" i="2"/>
  <c r="M4795" i="2"/>
  <c r="O4794" i="2"/>
  <c r="N4794" i="2"/>
  <c r="M4794" i="2"/>
  <c r="O4793" i="2"/>
  <c r="N4793" i="2"/>
  <c r="M4793" i="2"/>
  <c r="O4792" i="2"/>
  <c r="N4792" i="2"/>
  <c r="M4792" i="2"/>
  <c r="O4791" i="2"/>
  <c r="N4791" i="2"/>
  <c r="M4791" i="2"/>
  <c r="O4790" i="2"/>
  <c r="N4790" i="2"/>
  <c r="M4790" i="2"/>
  <c r="O4789" i="2"/>
  <c r="N4789" i="2"/>
  <c r="M4789" i="2"/>
  <c r="O4788" i="2"/>
  <c r="N4788" i="2"/>
  <c r="M4788" i="2"/>
  <c r="O4787" i="2"/>
  <c r="N4787" i="2"/>
  <c r="M4787" i="2"/>
  <c r="O4786" i="2"/>
  <c r="N4786" i="2"/>
  <c r="M4786" i="2"/>
  <c r="O4785" i="2"/>
  <c r="N4785" i="2"/>
  <c r="M4785" i="2"/>
  <c r="O4784" i="2"/>
  <c r="N4784" i="2"/>
  <c r="M4784" i="2"/>
  <c r="O4783" i="2"/>
  <c r="N4783" i="2"/>
  <c r="M4783" i="2"/>
  <c r="O4782" i="2"/>
  <c r="N4782" i="2"/>
  <c r="M4782" i="2"/>
  <c r="O4781" i="2"/>
  <c r="N4781" i="2"/>
  <c r="M4781" i="2"/>
  <c r="O4780" i="2"/>
  <c r="N4780" i="2"/>
  <c r="M4780" i="2"/>
  <c r="O4779" i="2"/>
  <c r="N4779" i="2"/>
  <c r="M4779" i="2"/>
  <c r="O4778" i="2"/>
  <c r="N4778" i="2"/>
  <c r="M4778" i="2"/>
  <c r="O4777" i="2"/>
  <c r="N4777" i="2"/>
  <c r="M4777" i="2"/>
  <c r="O4776" i="2"/>
  <c r="N4776" i="2"/>
  <c r="M4776" i="2"/>
  <c r="O4775" i="2"/>
  <c r="N4775" i="2"/>
  <c r="M4775" i="2"/>
  <c r="O4774" i="2"/>
  <c r="N4774" i="2"/>
  <c r="M4774" i="2"/>
  <c r="O4773" i="2"/>
  <c r="N4773" i="2"/>
  <c r="M4773" i="2"/>
  <c r="O4772" i="2"/>
  <c r="N4772" i="2"/>
  <c r="M4772" i="2"/>
  <c r="O4771" i="2"/>
  <c r="N4771" i="2"/>
  <c r="M4771" i="2"/>
  <c r="O4770" i="2"/>
  <c r="N4770" i="2"/>
  <c r="M4770" i="2"/>
  <c r="O4769" i="2"/>
  <c r="N4769" i="2"/>
  <c r="M4769" i="2"/>
  <c r="O4768" i="2"/>
  <c r="N4768" i="2"/>
  <c r="M4768" i="2"/>
  <c r="O4767" i="2"/>
  <c r="N4767" i="2"/>
  <c r="M4767" i="2"/>
  <c r="O4766" i="2"/>
  <c r="N4766" i="2"/>
  <c r="M4766" i="2"/>
  <c r="O4765" i="2"/>
  <c r="N4765" i="2"/>
  <c r="M4765" i="2"/>
  <c r="O4764" i="2"/>
  <c r="N4764" i="2"/>
  <c r="M4764" i="2"/>
  <c r="O4763" i="2"/>
  <c r="N4763" i="2"/>
  <c r="M4763" i="2"/>
  <c r="O4762" i="2"/>
  <c r="N4762" i="2"/>
  <c r="M4762" i="2"/>
  <c r="O4761" i="2"/>
  <c r="N4761" i="2"/>
  <c r="M4761" i="2"/>
  <c r="O4760" i="2"/>
  <c r="N4760" i="2"/>
  <c r="M4760" i="2"/>
  <c r="O4759" i="2"/>
  <c r="N4759" i="2"/>
  <c r="M4759" i="2"/>
  <c r="O4758" i="2"/>
  <c r="N4758" i="2"/>
  <c r="M4758" i="2"/>
  <c r="O4757" i="2"/>
  <c r="N4757" i="2"/>
  <c r="M4757" i="2"/>
  <c r="O4756" i="2"/>
  <c r="N4756" i="2"/>
  <c r="M4756" i="2"/>
  <c r="O4755" i="2"/>
  <c r="N4755" i="2"/>
  <c r="M4755" i="2"/>
  <c r="O4754" i="2"/>
  <c r="N4754" i="2"/>
  <c r="M4754" i="2"/>
  <c r="O4753" i="2"/>
  <c r="N4753" i="2"/>
  <c r="M4753" i="2"/>
  <c r="O4752" i="2"/>
  <c r="N4752" i="2"/>
  <c r="M4752" i="2"/>
  <c r="O4751" i="2"/>
  <c r="N4751" i="2"/>
  <c r="M4751" i="2"/>
  <c r="O4750" i="2"/>
  <c r="N4750" i="2"/>
  <c r="M4750" i="2"/>
  <c r="O4749" i="2"/>
  <c r="N4749" i="2"/>
  <c r="M4749" i="2"/>
  <c r="O4748" i="2"/>
  <c r="N4748" i="2"/>
  <c r="M4748" i="2"/>
  <c r="O4747" i="2"/>
  <c r="N4747" i="2"/>
  <c r="M4747" i="2"/>
  <c r="O4746" i="2"/>
  <c r="N4746" i="2"/>
  <c r="M4746" i="2"/>
  <c r="O4745" i="2"/>
  <c r="N4745" i="2"/>
  <c r="M4745" i="2"/>
  <c r="O4744" i="2"/>
  <c r="N4744" i="2"/>
  <c r="M4744" i="2"/>
  <c r="O4743" i="2"/>
  <c r="N4743" i="2"/>
  <c r="M4743" i="2"/>
  <c r="O4742" i="2"/>
  <c r="N4742" i="2"/>
  <c r="M4742" i="2"/>
  <c r="O4741" i="2"/>
  <c r="N4741" i="2"/>
  <c r="M4741" i="2"/>
  <c r="O4740" i="2"/>
  <c r="N4740" i="2"/>
  <c r="M4740" i="2"/>
  <c r="O4739" i="2"/>
  <c r="N4739" i="2"/>
  <c r="M4739" i="2"/>
  <c r="O4738" i="2"/>
  <c r="N4738" i="2"/>
  <c r="M4738" i="2"/>
  <c r="O4737" i="2"/>
  <c r="N4737" i="2"/>
  <c r="M4737" i="2"/>
  <c r="O4736" i="2"/>
  <c r="N4736" i="2"/>
  <c r="M4736" i="2"/>
  <c r="O4735" i="2"/>
  <c r="N4735" i="2"/>
  <c r="M4735" i="2"/>
  <c r="O4734" i="2"/>
  <c r="N4734" i="2"/>
  <c r="M4734" i="2"/>
  <c r="O4733" i="2"/>
  <c r="N4733" i="2"/>
  <c r="M4733" i="2"/>
  <c r="O4732" i="2"/>
  <c r="N4732" i="2"/>
  <c r="M4732" i="2"/>
  <c r="O4731" i="2"/>
  <c r="N4731" i="2"/>
  <c r="M4731" i="2"/>
  <c r="O4730" i="2"/>
  <c r="N4730" i="2"/>
  <c r="M4730" i="2"/>
  <c r="O4729" i="2"/>
  <c r="N4729" i="2"/>
  <c r="M4729" i="2"/>
  <c r="O4728" i="2"/>
  <c r="N4728" i="2"/>
  <c r="M4728" i="2"/>
  <c r="O4727" i="2"/>
  <c r="N4727" i="2"/>
  <c r="M4727" i="2"/>
  <c r="O4726" i="2"/>
  <c r="N4726" i="2"/>
  <c r="M4726" i="2"/>
  <c r="O4725" i="2"/>
  <c r="N4725" i="2"/>
  <c r="M4725" i="2"/>
  <c r="O4724" i="2"/>
  <c r="N4724" i="2"/>
  <c r="M4724" i="2"/>
  <c r="O4723" i="2"/>
  <c r="N4723" i="2"/>
  <c r="M4723" i="2"/>
  <c r="O4722" i="2"/>
  <c r="N4722" i="2"/>
  <c r="M4722" i="2"/>
  <c r="O4721" i="2"/>
  <c r="N4721" i="2"/>
  <c r="M4721" i="2"/>
  <c r="O4720" i="2"/>
  <c r="N4720" i="2"/>
  <c r="M4720" i="2"/>
  <c r="O4719" i="2"/>
  <c r="N4719" i="2"/>
  <c r="M4719" i="2"/>
  <c r="O4718" i="2"/>
  <c r="N4718" i="2"/>
  <c r="M4718" i="2"/>
  <c r="O4717" i="2"/>
  <c r="N4717" i="2"/>
  <c r="M4717" i="2"/>
  <c r="O4716" i="2"/>
  <c r="N4716" i="2"/>
  <c r="M4716" i="2"/>
  <c r="O4715" i="2"/>
  <c r="N4715" i="2"/>
  <c r="M4715" i="2"/>
  <c r="O4714" i="2"/>
  <c r="N4714" i="2"/>
  <c r="M4714" i="2"/>
  <c r="O4713" i="2"/>
  <c r="N4713" i="2"/>
  <c r="M4713" i="2"/>
  <c r="O4712" i="2"/>
  <c r="N4712" i="2"/>
  <c r="M4712" i="2"/>
  <c r="O4711" i="2"/>
  <c r="N4711" i="2"/>
  <c r="M4711" i="2"/>
  <c r="O4710" i="2"/>
  <c r="N4710" i="2"/>
  <c r="M4710" i="2"/>
  <c r="O4709" i="2"/>
  <c r="N4709" i="2"/>
  <c r="M4709" i="2"/>
  <c r="O4708" i="2"/>
  <c r="N4708" i="2"/>
  <c r="M4708" i="2"/>
  <c r="O4707" i="2"/>
  <c r="N4707" i="2"/>
  <c r="M4707" i="2"/>
  <c r="O4706" i="2"/>
  <c r="N4706" i="2"/>
  <c r="M4706" i="2"/>
  <c r="O4705" i="2"/>
  <c r="N4705" i="2"/>
  <c r="M4705" i="2"/>
  <c r="O4704" i="2"/>
  <c r="N4704" i="2"/>
  <c r="M4704" i="2"/>
  <c r="O4703" i="2"/>
  <c r="N4703" i="2"/>
  <c r="M4703" i="2"/>
  <c r="O4702" i="2"/>
  <c r="N4702" i="2"/>
  <c r="M4702" i="2"/>
  <c r="O4701" i="2"/>
  <c r="N4701" i="2"/>
  <c r="M4701" i="2"/>
  <c r="O4700" i="2"/>
  <c r="N4700" i="2"/>
  <c r="M4700" i="2"/>
  <c r="O4699" i="2"/>
  <c r="N4699" i="2"/>
  <c r="M4699" i="2"/>
  <c r="O4698" i="2"/>
  <c r="N4698" i="2"/>
  <c r="M4698" i="2"/>
  <c r="O4697" i="2"/>
  <c r="N4697" i="2"/>
  <c r="M4697" i="2"/>
  <c r="O4696" i="2"/>
  <c r="N4696" i="2"/>
  <c r="M4696" i="2"/>
  <c r="O4695" i="2"/>
  <c r="N4695" i="2"/>
  <c r="M4695" i="2"/>
  <c r="O4694" i="2"/>
  <c r="N4694" i="2"/>
  <c r="M4694" i="2"/>
  <c r="O4693" i="2"/>
  <c r="N4693" i="2"/>
  <c r="M4693" i="2"/>
  <c r="O4692" i="2"/>
  <c r="N4692" i="2"/>
  <c r="M4692" i="2"/>
  <c r="O4691" i="2"/>
  <c r="N4691" i="2"/>
  <c r="M4691" i="2"/>
  <c r="O4690" i="2"/>
  <c r="N4690" i="2"/>
  <c r="M4690" i="2"/>
  <c r="O4689" i="2"/>
  <c r="N4689" i="2"/>
  <c r="M4689" i="2"/>
  <c r="O4688" i="2"/>
  <c r="N4688" i="2"/>
  <c r="M4688" i="2"/>
  <c r="O4687" i="2"/>
  <c r="N4687" i="2"/>
  <c r="M4687" i="2"/>
  <c r="O4686" i="2"/>
  <c r="N4686" i="2"/>
  <c r="M4686" i="2"/>
  <c r="O4685" i="2"/>
  <c r="N4685" i="2"/>
  <c r="M4685" i="2"/>
  <c r="O4684" i="2"/>
  <c r="N4684" i="2"/>
  <c r="M4684" i="2"/>
  <c r="O4683" i="2"/>
  <c r="N4683" i="2"/>
  <c r="M4683" i="2"/>
  <c r="O4682" i="2"/>
  <c r="N4682" i="2"/>
  <c r="M4682" i="2"/>
  <c r="O4681" i="2"/>
  <c r="N4681" i="2"/>
  <c r="M4681" i="2"/>
  <c r="O4680" i="2"/>
  <c r="N4680" i="2"/>
  <c r="M4680" i="2"/>
  <c r="O4679" i="2"/>
  <c r="N4679" i="2"/>
  <c r="M4679" i="2"/>
  <c r="O4678" i="2"/>
  <c r="N4678" i="2"/>
  <c r="M4678" i="2"/>
  <c r="O4677" i="2"/>
  <c r="N4677" i="2"/>
  <c r="M4677" i="2"/>
  <c r="O4676" i="2"/>
  <c r="N4676" i="2"/>
  <c r="M4676" i="2"/>
  <c r="O4675" i="2"/>
  <c r="N4675" i="2"/>
  <c r="M4675" i="2"/>
  <c r="O4674" i="2"/>
  <c r="N4674" i="2"/>
  <c r="M4674" i="2"/>
  <c r="O4673" i="2"/>
  <c r="N4673" i="2"/>
  <c r="M4673" i="2"/>
  <c r="O4672" i="2"/>
  <c r="N4672" i="2"/>
  <c r="M4672" i="2"/>
  <c r="O4671" i="2"/>
  <c r="N4671" i="2"/>
  <c r="M4671" i="2"/>
  <c r="O4670" i="2"/>
  <c r="N4670" i="2"/>
  <c r="M4670" i="2"/>
  <c r="O4669" i="2"/>
  <c r="N4669" i="2"/>
  <c r="M4669" i="2"/>
  <c r="O4668" i="2"/>
  <c r="N4668" i="2"/>
  <c r="M4668" i="2"/>
  <c r="O4667" i="2"/>
  <c r="N4667" i="2"/>
  <c r="M4667" i="2"/>
  <c r="O4666" i="2"/>
  <c r="N4666" i="2"/>
  <c r="M4666" i="2"/>
  <c r="O4665" i="2"/>
  <c r="N4665" i="2"/>
  <c r="M4665" i="2"/>
  <c r="O4664" i="2"/>
  <c r="N4664" i="2"/>
  <c r="M4664" i="2"/>
  <c r="O4663" i="2"/>
  <c r="N4663" i="2"/>
  <c r="M4663" i="2"/>
  <c r="O4662" i="2"/>
  <c r="N4662" i="2"/>
  <c r="M4662" i="2"/>
  <c r="O4661" i="2"/>
  <c r="N4661" i="2"/>
  <c r="M4661" i="2"/>
  <c r="O4660" i="2"/>
  <c r="N4660" i="2"/>
  <c r="M4660" i="2"/>
  <c r="O4659" i="2"/>
  <c r="N4659" i="2"/>
  <c r="M4659" i="2"/>
  <c r="O4658" i="2"/>
  <c r="N4658" i="2"/>
  <c r="M4658" i="2"/>
  <c r="O4657" i="2"/>
  <c r="N4657" i="2"/>
  <c r="M4657" i="2"/>
  <c r="O4656" i="2"/>
  <c r="N4656" i="2"/>
  <c r="M4656" i="2"/>
  <c r="O4655" i="2"/>
  <c r="N4655" i="2"/>
  <c r="M4655" i="2"/>
  <c r="O4654" i="2"/>
  <c r="N4654" i="2"/>
  <c r="M4654" i="2"/>
  <c r="O4653" i="2"/>
  <c r="N4653" i="2"/>
  <c r="M4653" i="2"/>
  <c r="O4652" i="2"/>
  <c r="N4652" i="2"/>
  <c r="M4652" i="2"/>
  <c r="O4651" i="2"/>
  <c r="N4651" i="2"/>
  <c r="M4651" i="2"/>
  <c r="O4650" i="2"/>
  <c r="N4650" i="2"/>
  <c r="M4650" i="2"/>
  <c r="O4649" i="2"/>
  <c r="N4649" i="2"/>
  <c r="M4649" i="2"/>
  <c r="O4648" i="2"/>
  <c r="N4648" i="2"/>
  <c r="M4648" i="2"/>
  <c r="O4647" i="2"/>
  <c r="N4647" i="2"/>
  <c r="M4647" i="2"/>
  <c r="O4646" i="2"/>
  <c r="N4646" i="2"/>
  <c r="M4646" i="2"/>
  <c r="O4645" i="2"/>
  <c r="N4645" i="2"/>
  <c r="M4645" i="2"/>
  <c r="O4644" i="2"/>
  <c r="N4644" i="2"/>
  <c r="M4644" i="2"/>
  <c r="O4643" i="2"/>
  <c r="N4643" i="2"/>
  <c r="M4643" i="2"/>
  <c r="O4642" i="2"/>
  <c r="N4642" i="2"/>
  <c r="M4642" i="2"/>
  <c r="O4641" i="2"/>
  <c r="N4641" i="2"/>
  <c r="M4641" i="2"/>
  <c r="O4640" i="2"/>
  <c r="N4640" i="2"/>
  <c r="M4640" i="2"/>
  <c r="O4639" i="2"/>
  <c r="N4639" i="2"/>
  <c r="M4639" i="2"/>
  <c r="O4638" i="2"/>
  <c r="N4638" i="2"/>
  <c r="M4638" i="2"/>
  <c r="O4637" i="2"/>
  <c r="N4637" i="2"/>
  <c r="M4637" i="2"/>
  <c r="O4636" i="2"/>
  <c r="N4636" i="2"/>
  <c r="M4636" i="2"/>
  <c r="O4635" i="2"/>
  <c r="N4635" i="2"/>
  <c r="M4635" i="2"/>
  <c r="O4634" i="2"/>
  <c r="N4634" i="2"/>
  <c r="M4634" i="2"/>
  <c r="O4633" i="2"/>
  <c r="N4633" i="2"/>
  <c r="M4633" i="2"/>
  <c r="O4632" i="2"/>
  <c r="N4632" i="2"/>
  <c r="M4632" i="2"/>
  <c r="O4631" i="2"/>
  <c r="N4631" i="2"/>
  <c r="M4631" i="2"/>
  <c r="O4630" i="2"/>
  <c r="N4630" i="2"/>
  <c r="M4630" i="2"/>
  <c r="O4629" i="2"/>
  <c r="N4629" i="2"/>
  <c r="M4629" i="2"/>
  <c r="O4628" i="2"/>
  <c r="N4628" i="2"/>
  <c r="M4628" i="2"/>
  <c r="O4627" i="2"/>
  <c r="N4627" i="2"/>
  <c r="M4627" i="2"/>
  <c r="O4626" i="2"/>
  <c r="N4626" i="2"/>
  <c r="M4626" i="2"/>
  <c r="O4625" i="2"/>
  <c r="N4625" i="2"/>
  <c r="M4625" i="2"/>
  <c r="O4624" i="2"/>
  <c r="N4624" i="2"/>
  <c r="M4624" i="2"/>
  <c r="O4623" i="2"/>
  <c r="N4623" i="2"/>
  <c r="M4623" i="2"/>
  <c r="O4622" i="2"/>
  <c r="N4622" i="2"/>
  <c r="M4622" i="2"/>
  <c r="O4621" i="2"/>
  <c r="N4621" i="2"/>
  <c r="M4621" i="2"/>
  <c r="O4620" i="2"/>
  <c r="N4620" i="2"/>
  <c r="M4620" i="2"/>
  <c r="O4619" i="2"/>
  <c r="N4619" i="2"/>
  <c r="M4619" i="2"/>
  <c r="O4618" i="2"/>
  <c r="N4618" i="2"/>
  <c r="M4618" i="2"/>
  <c r="O4617" i="2"/>
  <c r="N4617" i="2"/>
  <c r="M4617" i="2"/>
  <c r="O4616" i="2"/>
  <c r="N4616" i="2"/>
  <c r="M4616" i="2"/>
  <c r="O4615" i="2"/>
  <c r="N4615" i="2"/>
  <c r="M4615" i="2"/>
  <c r="O4614" i="2"/>
  <c r="N4614" i="2"/>
  <c r="M4614" i="2"/>
  <c r="O4613" i="2"/>
  <c r="N4613" i="2"/>
  <c r="M4613" i="2"/>
  <c r="O4612" i="2"/>
  <c r="N4612" i="2"/>
  <c r="M4612" i="2"/>
  <c r="O4611" i="2"/>
  <c r="N4611" i="2"/>
  <c r="M4611" i="2"/>
  <c r="O4610" i="2"/>
  <c r="N4610" i="2"/>
  <c r="M4610" i="2"/>
  <c r="O4609" i="2"/>
  <c r="N4609" i="2"/>
  <c r="M4609" i="2"/>
  <c r="O4608" i="2"/>
  <c r="N4608" i="2"/>
  <c r="M4608" i="2"/>
  <c r="O4607" i="2"/>
  <c r="N4607" i="2"/>
  <c r="M4607" i="2"/>
  <c r="O4606" i="2"/>
  <c r="N4606" i="2"/>
  <c r="M4606" i="2"/>
  <c r="O4605" i="2"/>
  <c r="N4605" i="2"/>
  <c r="M4605" i="2"/>
  <c r="O4604" i="2"/>
  <c r="N4604" i="2"/>
  <c r="M4604" i="2"/>
  <c r="O4603" i="2"/>
  <c r="N4603" i="2"/>
  <c r="M4603" i="2"/>
  <c r="O4602" i="2"/>
  <c r="N4602" i="2"/>
  <c r="M4602" i="2"/>
  <c r="O4601" i="2"/>
  <c r="N4601" i="2"/>
  <c r="M4601" i="2"/>
  <c r="O4600" i="2"/>
  <c r="N4600" i="2"/>
  <c r="M4600" i="2"/>
  <c r="O4599" i="2"/>
  <c r="N4599" i="2"/>
  <c r="M4599" i="2"/>
  <c r="O4598" i="2"/>
  <c r="N4598" i="2"/>
  <c r="M4598" i="2"/>
  <c r="O4597" i="2"/>
  <c r="N4597" i="2"/>
  <c r="M4597" i="2"/>
  <c r="O4596" i="2"/>
  <c r="N4596" i="2"/>
  <c r="M4596" i="2"/>
  <c r="O4595" i="2"/>
  <c r="N4595" i="2"/>
  <c r="M4595" i="2"/>
  <c r="O4594" i="2"/>
  <c r="N4594" i="2"/>
  <c r="M4594" i="2"/>
  <c r="O4593" i="2"/>
  <c r="N4593" i="2"/>
  <c r="M4593" i="2"/>
  <c r="O4592" i="2"/>
  <c r="N4592" i="2"/>
  <c r="M4592" i="2"/>
  <c r="O4591" i="2"/>
  <c r="N4591" i="2"/>
  <c r="M4591" i="2"/>
  <c r="O4590" i="2"/>
  <c r="N4590" i="2"/>
  <c r="M4590" i="2"/>
  <c r="O4589" i="2"/>
  <c r="N4589" i="2"/>
  <c r="M4589" i="2"/>
  <c r="O4588" i="2"/>
  <c r="N4588" i="2"/>
  <c r="M4588" i="2"/>
  <c r="O4587" i="2"/>
  <c r="N4587" i="2"/>
  <c r="M4587" i="2"/>
  <c r="O4586" i="2"/>
  <c r="N4586" i="2"/>
  <c r="M4586" i="2"/>
  <c r="O4585" i="2"/>
  <c r="N4585" i="2"/>
  <c r="M4585" i="2"/>
  <c r="O4584" i="2"/>
  <c r="N4584" i="2"/>
  <c r="M4584" i="2"/>
  <c r="O4583" i="2"/>
  <c r="N4583" i="2"/>
  <c r="M4583" i="2"/>
  <c r="O4582" i="2"/>
  <c r="N4582" i="2"/>
  <c r="M4582" i="2"/>
  <c r="O4581" i="2"/>
  <c r="N4581" i="2"/>
  <c r="M4581" i="2"/>
  <c r="O4580" i="2"/>
  <c r="N4580" i="2"/>
  <c r="M4580" i="2"/>
  <c r="O4579" i="2"/>
  <c r="N4579" i="2"/>
  <c r="M4579" i="2"/>
  <c r="O4578" i="2"/>
  <c r="N4578" i="2"/>
  <c r="M4578" i="2"/>
  <c r="O4577" i="2"/>
  <c r="N4577" i="2"/>
  <c r="M4577" i="2"/>
  <c r="O4576" i="2"/>
  <c r="N4576" i="2"/>
  <c r="M4576" i="2"/>
  <c r="O4575" i="2"/>
  <c r="N4575" i="2"/>
  <c r="M4575" i="2"/>
  <c r="O4574" i="2"/>
  <c r="N4574" i="2"/>
  <c r="M4574" i="2"/>
  <c r="O4573" i="2"/>
  <c r="N4573" i="2"/>
  <c r="M4573" i="2"/>
  <c r="O4572" i="2"/>
  <c r="N4572" i="2"/>
  <c r="M4572" i="2"/>
  <c r="O4571" i="2"/>
  <c r="N4571" i="2"/>
  <c r="M4571" i="2"/>
  <c r="O4570" i="2"/>
  <c r="N4570" i="2"/>
  <c r="M4570" i="2"/>
  <c r="O4569" i="2"/>
  <c r="N4569" i="2"/>
  <c r="M4569" i="2"/>
  <c r="O4568" i="2"/>
  <c r="N4568" i="2"/>
  <c r="M4568" i="2"/>
  <c r="O4567" i="2"/>
  <c r="N4567" i="2"/>
  <c r="M4567" i="2"/>
  <c r="O4566" i="2"/>
  <c r="N4566" i="2"/>
  <c r="M4566" i="2"/>
  <c r="O4565" i="2"/>
  <c r="N4565" i="2"/>
  <c r="M4565" i="2"/>
  <c r="O4564" i="2"/>
  <c r="N4564" i="2"/>
  <c r="M4564" i="2"/>
  <c r="O4563" i="2"/>
  <c r="N4563" i="2"/>
  <c r="M4563" i="2"/>
  <c r="O4562" i="2"/>
  <c r="N4562" i="2"/>
  <c r="M4562" i="2"/>
  <c r="O4561" i="2"/>
  <c r="N4561" i="2"/>
  <c r="M4561" i="2"/>
  <c r="O4560" i="2"/>
  <c r="N4560" i="2"/>
  <c r="M4560" i="2"/>
  <c r="O4559" i="2"/>
  <c r="N4559" i="2"/>
  <c r="M4559" i="2"/>
  <c r="O4558" i="2"/>
  <c r="N4558" i="2"/>
  <c r="M4558" i="2"/>
  <c r="O4557" i="2"/>
  <c r="N4557" i="2"/>
  <c r="M4557" i="2"/>
  <c r="O4556" i="2"/>
  <c r="N4556" i="2"/>
  <c r="M4556" i="2"/>
  <c r="O4555" i="2"/>
  <c r="N4555" i="2"/>
  <c r="M4555" i="2"/>
  <c r="O4554" i="2"/>
  <c r="N4554" i="2"/>
  <c r="M4554" i="2"/>
  <c r="O4553" i="2"/>
  <c r="N4553" i="2"/>
  <c r="M4553" i="2"/>
  <c r="O4552" i="2"/>
  <c r="N4552" i="2"/>
  <c r="M4552" i="2"/>
  <c r="O4551" i="2"/>
  <c r="N4551" i="2"/>
  <c r="M4551" i="2"/>
  <c r="O4550" i="2"/>
  <c r="N4550" i="2"/>
  <c r="M4550" i="2"/>
  <c r="O4549" i="2"/>
  <c r="N4549" i="2"/>
  <c r="M4549" i="2"/>
  <c r="O4548" i="2"/>
  <c r="N4548" i="2"/>
  <c r="M4548" i="2"/>
  <c r="O4547" i="2"/>
  <c r="N4547" i="2"/>
  <c r="M4547" i="2"/>
  <c r="O4546" i="2"/>
  <c r="N4546" i="2"/>
  <c r="M4546" i="2"/>
  <c r="O4545" i="2"/>
  <c r="N4545" i="2"/>
  <c r="M4545" i="2"/>
  <c r="O4544" i="2"/>
  <c r="N4544" i="2"/>
  <c r="M4544" i="2"/>
  <c r="O4543" i="2"/>
  <c r="N4543" i="2"/>
  <c r="M4543" i="2"/>
  <c r="O4542" i="2"/>
  <c r="N4542" i="2"/>
  <c r="M4542" i="2"/>
  <c r="O4541" i="2"/>
  <c r="N4541" i="2"/>
  <c r="M4541" i="2"/>
  <c r="O4540" i="2"/>
  <c r="N4540" i="2"/>
  <c r="M4540" i="2"/>
  <c r="O4539" i="2"/>
  <c r="N4539" i="2"/>
  <c r="M4539" i="2"/>
  <c r="O4538" i="2"/>
  <c r="N4538" i="2"/>
  <c r="M4538" i="2"/>
  <c r="O4537" i="2"/>
  <c r="N4537" i="2"/>
  <c r="M4537" i="2"/>
  <c r="O4536" i="2"/>
  <c r="N4536" i="2"/>
  <c r="M4536" i="2"/>
  <c r="O4535" i="2"/>
  <c r="N4535" i="2"/>
  <c r="M4535" i="2"/>
  <c r="O4534" i="2"/>
  <c r="N4534" i="2"/>
  <c r="M4534" i="2"/>
  <c r="O4533" i="2"/>
  <c r="N4533" i="2"/>
  <c r="M4533" i="2"/>
  <c r="O4532" i="2"/>
  <c r="N4532" i="2"/>
  <c r="M4532" i="2"/>
  <c r="O4531" i="2"/>
  <c r="N4531" i="2"/>
  <c r="M4531" i="2"/>
  <c r="O4530" i="2"/>
  <c r="N4530" i="2"/>
  <c r="M4530" i="2"/>
  <c r="O4529" i="2"/>
  <c r="N4529" i="2"/>
  <c r="M4529" i="2"/>
  <c r="O4528" i="2"/>
  <c r="N4528" i="2"/>
  <c r="M4528" i="2"/>
  <c r="O4527" i="2"/>
  <c r="N4527" i="2"/>
  <c r="M4527" i="2"/>
  <c r="O4526" i="2"/>
  <c r="N4526" i="2"/>
  <c r="M4526" i="2"/>
  <c r="O4525" i="2"/>
  <c r="N4525" i="2"/>
  <c r="M4525" i="2"/>
  <c r="O4524" i="2"/>
  <c r="N4524" i="2"/>
  <c r="M4524" i="2"/>
  <c r="O4523" i="2"/>
  <c r="N4523" i="2"/>
  <c r="M4523" i="2"/>
  <c r="O4522" i="2"/>
  <c r="N4522" i="2"/>
  <c r="M4522" i="2"/>
  <c r="O4521" i="2"/>
  <c r="N4521" i="2"/>
  <c r="M4521" i="2"/>
  <c r="O4520" i="2"/>
  <c r="N4520" i="2"/>
  <c r="M4520" i="2"/>
  <c r="O4519" i="2"/>
  <c r="N4519" i="2"/>
  <c r="M4519" i="2"/>
  <c r="O4518" i="2"/>
  <c r="N4518" i="2"/>
  <c r="M4518" i="2"/>
  <c r="O4517" i="2"/>
  <c r="N4517" i="2"/>
  <c r="M4517" i="2"/>
  <c r="O4516" i="2"/>
  <c r="N4516" i="2"/>
  <c r="M4516" i="2"/>
  <c r="O4515" i="2"/>
  <c r="N4515" i="2"/>
  <c r="M4515" i="2"/>
  <c r="O4514" i="2"/>
  <c r="N4514" i="2"/>
  <c r="M4514" i="2"/>
  <c r="O4513" i="2"/>
  <c r="N4513" i="2"/>
  <c r="M4513" i="2"/>
  <c r="O4512" i="2"/>
  <c r="N4512" i="2"/>
  <c r="M4512" i="2"/>
  <c r="O4511" i="2"/>
  <c r="N4511" i="2"/>
  <c r="M4511" i="2"/>
  <c r="O4510" i="2"/>
  <c r="N4510" i="2"/>
  <c r="M4510" i="2"/>
  <c r="O4509" i="2"/>
  <c r="N4509" i="2"/>
  <c r="M4509" i="2"/>
  <c r="O4508" i="2"/>
  <c r="N4508" i="2"/>
  <c r="M4508" i="2"/>
  <c r="O4507" i="2"/>
  <c r="N4507" i="2"/>
  <c r="M4507" i="2"/>
  <c r="O4506" i="2"/>
  <c r="N4506" i="2"/>
  <c r="M4506" i="2"/>
  <c r="O4505" i="2"/>
  <c r="N4505" i="2"/>
  <c r="M4505" i="2"/>
  <c r="O4504" i="2"/>
  <c r="N4504" i="2"/>
  <c r="M4504" i="2"/>
  <c r="O4503" i="2"/>
  <c r="N4503" i="2"/>
  <c r="M4503" i="2"/>
  <c r="O4502" i="2"/>
  <c r="N4502" i="2"/>
  <c r="M4502" i="2"/>
  <c r="O4501" i="2"/>
  <c r="N4501" i="2"/>
  <c r="M4501" i="2"/>
  <c r="O4500" i="2"/>
  <c r="N4500" i="2"/>
  <c r="M4500" i="2"/>
  <c r="O4499" i="2"/>
  <c r="N4499" i="2"/>
  <c r="M4499" i="2"/>
  <c r="O4498" i="2"/>
  <c r="N4498" i="2"/>
  <c r="M4498" i="2"/>
  <c r="O4497" i="2"/>
  <c r="N4497" i="2"/>
  <c r="M4497" i="2"/>
  <c r="O4496" i="2"/>
  <c r="N4496" i="2"/>
  <c r="M4496" i="2"/>
  <c r="O4495" i="2"/>
  <c r="N4495" i="2"/>
  <c r="M4495" i="2"/>
  <c r="O4494" i="2"/>
  <c r="N4494" i="2"/>
  <c r="M4494" i="2"/>
  <c r="O4493" i="2"/>
  <c r="N4493" i="2"/>
  <c r="M4493" i="2"/>
  <c r="O4492" i="2"/>
  <c r="N4492" i="2"/>
  <c r="M4492" i="2"/>
  <c r="O4491" i="2"/>
  <c r="N4491" i="2"/>
  <c r="M4491" i="2"/>
  <c r="O4490" i="2"/>
  <c r="N4490" i="2"/>
  <c r="M4490" i="2"/>
  <c r="O4489" i="2"/>
  <c r="N4489" i="2"/>
  <c r="M4489" i="2"/>
  <c r="O4488" i="2"/>
  <c r="N4488" i="2"/>
  <c r="M4488" i="2"/>
  <c r="O4487" i="2"/>
  <c r="N4487" i="2"/>
  <c r="M4487" i="2"/>
  <c r="O4486" i="2"/>
  <c r="N4486" i="2"/>
  <c r="M4486" i="2"/>
  <c r="O4485" i="2"/>
  <c r="N4485" i="2"/>
  <c r="M4485" i="2"/>
  <c r="O4484" i="2"/>
  <c r="N4484" i="2"/>
  <c r="M4484" i="2"/>
  <c r="O4483" i="2"/>
  <c r="N4483" i="2"/>
  <c r="M4483" i="2"/>
  <c r="O4482" i="2"/>
  <c r="N4482" i="2"/>
  <c r="M4482" i="2"/>
  <c r="O4481" i="2"/>
  <c r="N4481" i="2"/>
  <c r="M4481" i="2"/>
  <c r="O4480" i="2"/>
  <c r="N4480" i="2"/>
  <c r="M4480" i="2"/>
  <c r="O4479" i="2"/>
  <c r="N4479" i="2"/>
  <c r="M4479" i="2"/>
  <c r="O4478" i="2"/>
  <c r="N4478" i="2"/>
  <c r="M4478" i="2"/>
  <c r="O4477" i="2"/>
  <c r="N4477" i="2"/>
  <c r="M4477" i="2"/>
  <c r="O4476" i="2"/>
  <c r="N4476" i="2"/>
  <c r="M4476" i="2"/>
  <c r="O4475" i="2"/>
  <c r="N4475" i="2"/>
  <c r="M4475" i="2"/>
  <c r="O4474" i="2"/>
  <c r="N4474" i="2"/>
  <c r="M4474" i="2"/>
  <c r="O4473" i="2"/>
  <c r="N4473" i="2"/>
  <c r="M4473" i="2"/>
  <c r="O4472" i="2"/>
  <c r="N4472" i="2"/>
  <c r="M4472" i="2"/>
  <c r="O4471" i="2"/>
  <c r="N4471" i="2"/>
  <c r="M4471" i="2"/>
  <c r="O4470" i="2"/>
  <c r="N4470" i="2"/>
  <c r="M4470" i="2"/>
  <c r="O4469" i="2"/>
  <c r="N4469" i="2"/>
  <c r="M4469" i="2"/>
  <c r="O4468" i="2"/>
  <c r="N4468" i="2"/>
  <c r="M4468" i="2"/>
  <c r="O4467" i="2"/>
  <c r="N4467" i="2"/>
  <c r="M4467" i="2"/>
  <c r="O4466" i="2"/>
  <c r="N4466" i="2"/>
  <c r="M4466" i="2"/>
  <c r="O4465" i="2"/>
  <c r="N4465" i="2"/>
  <c r="M4465" i="2"/>
  <c r="O4464" i="2"/>
  <c r="N4464" i="2"/>
  <c r="M4464" i="2"/>
  <c r="O4463" i="2"/>
  <c r="N4463" i="2"/>
  <c r="M4463" i="2"/>
  <c r="O4462" i="2"/>
  <c r="N4462" i="2"/>
  <c r="M4462" i="2"/>
  <c r="O4461" i="2"/>
  <c r="N4461" i="2"/>
  <c r="M4461" i="2"/>
  <c r="O4460" i="2"/>
  <c r="N4460" i="2"/>
  <c r="M4460" i="2"/>
  <c r="O4459" i="2"/>
  <c r="N4459" i="2"/>
  <c r="M4459" i="2"/>
  <c r="O4458" i="2"/>
  <c r="N4458" i="2"/>
  <c r="M4458" i="2"/>
  <c r="O4457" i="2"/>
  <c r="N4457" i="2"/>
  <c r="M4457" i="2"/>
  <c r="O4456" i="2"/>
  <c r="N4456" i="2"/>
  <c r="M4456" i="2"/>
  <c r="O4455" i="2"/>
  <c r="N4455" i="2"/>
  <c r="M4455" i="2"/>
  <c r="O4454" i="2"/>
  <c r="N4454" i="2"/>
  <c r="M4454" i="2"/>
  <c r="O4453" i="2"/>
  <c r="N4453" i="2"/>
  <c r="M4453" i="2"/>
  <c r="O4452" i="2"/>
  <c r="N4452" i="2"/>
  <c r="M4452" i="2"/>
  <c r="O4451" i="2"/>
  <c r="N4451" i="2"/>
  <c r="M4451" i="2"/>
  <c r="O4450" i="2"/>
  <c r="N4450" i="2"/>
  <c r="M4450" i="2"/>
  <c r="O4449" i="2"/>
  <c r="N4449" i="2"/>
  <c r="M4449" i="2"/>
  <c r="O4448" i="2"/>
  <c r="N4448" i="2"/>
  <c r="M4448" i="2"/>
  <c r="O4447" i="2"/>
  <c r="N4447" i="2"/>
  <c r="M4447" i="2"/>
  <c r="O4446" i="2"/>
  <c r="N4446" i="2"/>
  <c r="M4446" i="2"/>
  <c r="O4445" i="2"/>
  <c r="N4445" i="2"/>
  <c r="M4445" i="2"/>
  <c r="O4444" i="2"/>
  <c r="N4444" i="2"/>
  <c r="M4444" i="2"/>
  <c r="O4443" i="2"/>
  <c r="N4443" i="2"/>
  <c r="M4443" i="2"/>
  <c r="O4442" i="2"/>
  <c r="N4442" i="2"/>
  <c r="M4442" i="2"/>
  <c r="O4441" i="2"/>
  <c r="N4441" i="2"/>
  <c r="M4441" i="2"/>
  <c r="O4440" i="2"/>
  <c r="N4440" i="2"/>
  <c r="M4440" i="2"/>
  <c r="O4439" i="2"/>
  <c r="N4439" i="2"/>
  <c r="M4439" i="2"/>
  <c r="O4438" i="2"/>
  <c r="N4438" i="2"/>
  <c r="M4438" i="2"/>
  <c r="O4437" i="2"/>
  <c r="N4437" i="2"/>
  <c r="M4437" i="2"/>
  <c r="O4436" i="2"/>
  <c r="N4436" i="2"/>
  <c r="M4436" i="2"/>
  <c r="O4435" i="2"/>
  <c r="N4435" i="2"/>
  <c r="M4435" i="2"/>
  <c r="O4434" i="2"/>
  <c r="N4434" i="2"/>
  <c r="M4434" i="2"/>
  <c r="O4433" i="2"/>
  <c r="N4433" i="2"/>
  <c r="M4433" i="2"/>
  <c r="O4432" i="2"/>
  <c r="N4432" i="2"/>
  <c r="M4432" i="2"/>
  <c r="O4431" i="2"/>
  <c r="N4431" i="2"/>
  <c r="M4431" i="2"/>
  <c r="O4430" i="2"/>
  <c r="N4430" i="2"/>
  <c r="M4430" i="2"/>
  <c r="O4429" i="2"/>
  <c r="N4429" i="2"/>
  <c r="M4429" i="2"/>
  <c r="O4428" i="2"/>
  <c r="N4428" i="2"/>
  <c r="M4428" i="2"/>
  <c r="O4427" i="2"/>
  <c r="N4427" i="2"/>
  <c r="M4427" i="2"/>
  <c r="O4426" i="2"/>
  <c r="N4426" i="2"/>
  <c r="M4426" i="2"/>
  <c r="O4425" i="2"/>
  <c r="N4425" i="2"/>
  <c r="M4425" i="2"/>
  <c r="O4424" i="2"/>
  <c r="N4424" i="2"/>
  <c r="M4424" i="2"/>
  <c r="O4423" i="2"/>
  <c r="N4423" i="2"/>
  <c r="M4423" i="2"/>
  <c r="O4422" i="2"/>
  <c r="N4422" i="2"/>
  <c r="M4422" i="2"/>
  <c r="O4421" i="2"/>
  <c r="N4421" i="2"/>
  <c r="M4421" i="2"/>
  <c r="O4420" i="2"/>
  <c r="N4420" i="2"/>
  <c r="M4420" i="2"/>
  <c r="O4419" i="2"/>
  <c r="N4419" i="2"/>
  <c r="M4419" i="2"/>
  <c r="O4418" i="2"/>
  <c r="N4418" i="2"/>
  <c r="M4418" i="2"/>
  <c r="O4417" i="2"/>
  <c r="N4417" i="2"/>
  <c r="M4417" i="2"/>
  <c r="O4416" i="2"/>
  <c r="N4416" i="2"/>
  <c r="M4416" i="2"/>
  <c r="O4415" i="2"/>
  <c r="N4415" i="2"/>
  <c r="M4415" i="2"/>
  <c r="O4414" i="2"/>
  <c r="N4414" i="2"/>
  <c r="M4414" i="2"/>
  <c r="O4413" i="2"/>
  <c r="N4413" i="2"/>
  <c r="M4413" i="2"/>
  <c r="O4412" i="2"/>
  <c r="N4412" i="2"/>
  <c r="M4412" i="2"/>
  <c r="O4411" i="2"/>
  <c r="N4411" i="2"/>
  <c r="M4411" i="2"/>
  <c r="O4410" i="2"/>
  <c r="N4410" i="2"/>
  <c r="M4410" i="2"/>
  <c r="O4409" i="2"/>
  <c r="N4409" i="2"/>
  <c r="M4409" i="2"/>
  <c r="O4408" i="2"/>
  <c r="N4408" i="2"/>
  <c r="M4408" i="2"/>
  <c r="O4407" i="2"/>
  <c r="N4407" i="2"/>
  <c r="M4407" i="2"/>
  <c r="O4406" i="2"/>
  <c r="N4406" i="2"/>
  <c r="M4406" i="2"/>
  <c r="O4405" i="2"/>
  <c r="N4405" i="2"/>
  <c r="M4405" i="2"/>
  <c r="O4404" i="2"/>
  <c r="N4404" i="2"/>
  <c r="M4404" i="2"/>
  <c r="O4403" i="2"/>
  <c r="N4403" i="2"/>
  <c r="M4403" i="2"/>
  <c r="O4402" i="2"/>
  <c r="N4402" i="2"/>
  <c r="M4402" i="2"/>
  <c r="O4401" i="2"/>
  <c r="N4401" i="2"/>
  <c r="M4401" i="2"/>
  <c r="O4400" i="2"/>
  <c r="N4400" i="2"/>
  <c r="M4400" i="2"/>
  <c r="O4399" i="2"/>
  <c r="N4399" i="2"/>
  <c r="M4399" i="2"/>
  <c r="O4398" i="2"/>
  <c r="N4398" i="2"/>
  <c r="M4398" i="2"/>
  <c r="O4397" i="2"/>
  <c r="N4397" i="2"/>
  <c r="M4397" i="2"/>
  <c r="O4396" i="2"/>
  <c r="N4396" i="2"/>
  <c r="M4396" i="2"/>
  <c r="O4395" i="2"/>
  <c r="N4395" i="2"/>
  <c r="M4395" i="2"/>
  <c r="O4394" i="2"/>
  <c r="N4394" i="2"/>
  <c r="M4394" i="2"/>
  <c r="O4393" i="2"/>
  <c r="N4393" i="2"/>
  <c r="M4393" i="2"/>
  <c r="O4392" i="2"/>
  <c r="N4392" i="2"/>
  <c r="M4392" i="2"/>
  <c r="O4391" i="2"/>
  <c r="N4391" i="2"/>
  <c r="M4391" i="2"/>
  <c r="O4390" i="2"/>
  <c r="N4390" i="2"/>
  <c r="M4390" i="2"/>
  <c r="O4389" i="2"/>
  <c r="N4389" i="2"/>
  <c r="M4389" i="2"/>
  <c r="O4388" i="2"/>
  <c r="N4388" i="2"/>
  <c r="M4388" i="2"/>
  <c r="O4387" i="2"/>
  <c r="N4387" i="2"/>
  <c r="M4387" i="2"/>
  <c r="O4386" i="2"/>
  <c r="N4386" i="2"/>
  <c r="M4386" i="2"/>
  <c r="O4385" i="2"/>
  <c r="N4385" i="2"/>
  <c r="M4385" i="2"/>
  <c r="O4384" i="2"/>
  <c r="N4384" i="2"/>
  <c r="M4384" i="2"/>
  <c r="O4383" i="2"/>
  <c r="N4383" i="2"/>
  <c r="M4383" i="2"/>
  <c r="O4382" i="2"/>
  <c r="N4382" i="2"/>
  <c r="M4382" i="2"/>
  <c r="O4381" i="2"/>
  <c r="N4381" i="2"/>
  <c r="M4381" i="2"/>
  <c r="O4380" i="2"/>
  <c r="N4380" i="2"/>
  <c r="M4380" i="2"/>
  <c r="O4379" i="2"/>
  <c r="N4379" i="2"/>
  <c r="M4379" i="2"/>
  <c r="O4378" i="2"/>
  <c r="N4378" i="2"/>
  <c r="M4378" i="2"/>
  <c r="O4377" i="2"/>
  <c r="N4377" i="2"/>
  <c r="M4377" i="2"/>
  <c r="O4376" i="2"/>
  <c r="N4376" i="2"/>
  <c r="M4376" i="2"/>
  <c r="O4375" i="2"/>
  <c r="N4375" i="2"/>
  <c r="M4375" i="2"/>
  <c r="O4374" i="2"/>
  <c r="N4374" i="2"/>
  <c r="M4374" i="2"/>
  <c r="O4373" i="2"/>
  <c r="N4373" i="2"/>
  <c r="M4373" i="2"/>
  <c r="O4372" i="2"/>
  <c r="N4372" i="2"/>
  <c r="M4372" i="2"/>
  <c r="O4371" i="2"/>
  <c r="N4371" i="2"/>
  <c r="M4371" i="2"/>
  <c r="O4370" i="2"/>
  <c r="N4370" i="2"/>
  <c r="M4370" i="2"/>
  <c r="O4369" i="2"/>
  <c r="N4369" i="2"/>
  <c r="M4369" i="2"/>
  <c r="O4368" i="2"/>
  <c r="N4368" i="2"/>
  <c r="M4368" i="2"/>
  <c r="O4367" i="2"/>
  <c r="N4367" i="2"/>
  <c r="M4367" i="2"/>
  <c r="O4366" i="2"/>
  <c r="N4366" i="2"/>
  <c r="M4366" i="2"/>
  <c r="O4365" i="2"/>
  <c r="N4365" i="2"/>
  <c r="M4365" i="2"/>
  <c r="O4364" i="2"/>
  <c r="N4364" i="2"/>
  <c r="M4364" i="2"/>
  <c r="O4363" i="2"/>
  <c r="N4363" i="2"/>
  <c r="M4363" i="2"/>
  <c r="O4362" i="2"/>
  <c r="N4362" i="2"/>
  <c r="M4362" i="2"/>
  <c r="O4361" i="2"/>
  <c r="N4361" i="2"/>
  <c r="M4361" i="2"/>
  <c r="O4360" i="2"/>
  <c r="N4360" i="2"/>
  <c r="M4360" i="2"/>
  <c r="O4359" i="2"/>
  <c r="N4359" i="2"/>
  <c r="M4359" i="2"/>
  <c r="O4358" i="2"/>
  <c r="N4358" i="2"/>
  <c r="M4358" i="2"/>
  <c r="O4357" i="2"/>
  <c r="N4357" i="2"/>
  <c r="M4357" i="2"/>
  <c r="O4356" i="2"/>
  <c r="N4356" i="2"/>
  <c r="M4356" i="2"/>
  <c r="O4355" i="2"/>
  <c r="N4355" i="2"/>
  <c r="M4355" i="2"/>
  <c r="O4354" i="2"/>
  <c r="N4354" i="2"/>
  <c r="M4354" i="2"/>
  <c r="O4353" i="2"/>
  <c r="N4353" i="2"/>
  <c r="M4353" i="2"/>
  <c r="O4352" i="2"/>
  <c r="N4352" i="2"/>
  <c r="M4352" i="2"/>
  <c r="O4351" i="2"/>
  <c r="N4351" i="2"/>
  <c r="M4351" i="2"/>
  <c r="O4350" i="2"/>
  <c r="N4350" i="2"/>
  <c r="M4350" i="2"/>
  <c r="O4349" i="2"/>
  <c r="N4349" i="2"/>
  <c r="M4349" i="2"/>
  <c r="O4348" i="2"/>
  <c r="N4348" i="2"/>
  <c r="M4348" i="2"/>
  <c r="O4347" i="2"/>
  <c r="N4347" i="2"/>
  <c r="M4347" i="2"/>
  <c r="O4346" i="2"/>
  <c r="N4346" i="2"/>
  <c r="M4346" i="2"/>
  <c r="O4345" i="2"/>
  <c r="N4345" i="2"/>
  <c r="M4345" i="2"/>
  <c r="O4344" i="2"/>
  <c r="N4344" i="2"/>
  <c r="M4344" i="2"/>
  <c r="O4343" i="2"/>
  <c r="N4343" i="2"/>
  <c r="M4343" i="2"/>
  <c r="O4342" i="2"/>
  <c r="N4342" i="2"/>
  <c r="M4342" i="2"/>
  <c r="O4341" i="2"/>
  <c r="N4341" i="2"/>
  <c r="M4341" i="2"/>
  <c r="O4340" i="2"/>
  <c r="N4340" i="2"/>
  <c r="M4340" i="2"/>
  <c r="O4339" i="2"/>
  <c r="N4339" i="2"/>
  <c r="M4339" i="2"/>
  <c r="O4338" i="2"/>
  <c r="N4338" i="2"/>
  <c r="M4338" i="2"/>
  <c r="O4337" i="2"/>
  <c r="N4337" i="2"/>
  <c r="M4337" i="2"/>
  <c r="O4336" i="2"/>
  <c r="N4336" i="2"/>
  <c r="M4336" i="2"/>
  <c r="O4335" i="2"/>
  <c r="N4335" i="2"/>
  <c r="M4335" i="2"/>
  <c r="O4334" i="2"/>
  <c r="N4334" i="2"/>
  <c r="M4334" i="2"/>
  <c r="O4333" i="2"/>
  <c r="N4333" i="2"/>
  <c r="M4333" i="2"/>
  <c r="O4332" i="2"/>
  <c r="N4332" i="2"/>
  <c r="M4332" i="2"/>
  <c r="O4331" i="2"/>
  <c r="N4331" i="2"/>
  <c r="M4331" i="2"/>
  <c r="O4330" i="2"/>
  <c r="N4330" i="2"/>
  <c r="M4330" i="2"/>
  <c r="O4329" i="2"/>
  <c r="N4329" i="2"/>
  <c r="M4329" i="2"/>
  <c r="O4328" i="2"/>
  <c r="N4328" i="2"/>
  <c r="M4328" i="2"/>
  <c r="O4327" i="2"/>
  <c r="N4327" i="2"/>
  <c r="M4327" i="2"/>
  <c r="O4326" i="2"/>
  <c r="N4326" i="2"/>
  <c r="M4326" i="2"/>
  <c r="O4325" i="2"/>
  <c r="N4325" i="2"/>
  <c r="M4325" i="2"/>
  <c r="O4324" i="2"/>
  <c r="N4324" i="2"/>
  <c r="M4324" i="2"/>
  <c r="O4323" i="2"/>
  <c r="N4323" i="2"/>
  <c r="M4323" i="2"/>
  <c r="O4322" i="2"/>
  <c r="N4322" i="2"/>
  <c r="M4322" i="2"/>
  <c r="O4321" i="2"/>
  <c r="N4321" i="2"/>
  <c r="M4321" i="2"/>
  <c r="O4320" i="2"/>
  <c r="N4320" i="2"/>
  <c r="M4320" i="2"/>
  <c r="O4319" i="2"/>
  <c r="N4319" i="2"/>
  <c r="M4319" i="2"/>
  <c r="O4318" i="2"/>
  <c r="N4318" i="2"/>
  <c r="M4318" i="2"/>
  <c r="O4317" i="2"/>
  <c r="N4317" i="2"/>
  <c r="M4317" i="2"/>
  <c r="O4316" i="2"/>
  <c r="N4316" i="2"/>
  <c r="M4316" i="2"/>
  <c r="O4315" i="2"/>
  <c r="N4315" i="2"/>
  <c r="M4315" i="2"/>
  <c r="O4314" i="2"/>
  <c r="N4314" i="2"/>
  <c r="M4314" i="2"/>
  <c r="O4313" i="2"/>
  <c r="N4313" i="2"/>
  <c r="M4313" i="2"/>
  <c r="O4312" i="2"/>
  <c r="N4312" i="2"/>
  <c r="M4312" i="2"/>
  <c r="O4311" i="2"/>
  <c r="N4311" i="2"/>
  <c r="M4311" i="2"/>
  <c r="O4310" i="2"/>
  <c r="N4310" i="2"/>
  <c r="M4310" i="2"/>
  <c r="O4309" i="2"/>
  <c r="N4309" i="2"/>
  <c r="M4309" i="2"/>
  <c r="O4308" i="2"/>
  <c r="N4308" i="2"/>
  <c r="M4308" i="2"/>
  <c r="O4307" i="2"/>
  <c r="N4307" i="2"/>
  <c r="M4307" i="2"/>
  <c r="O4306" i="2"/>
  <c r="N4306" i="2"/>
  <c r="M4306" i="2"/>
  <c r="O4305" i="2"/>
  <c r="N4305" i="2"/>
  <c r="M4305" i="2"/>
  <c r="O4304" i="2"/>
  <c r="N4304" i="2"/>
  <c r="M4304" i="2"/>
  <c r="O4303" i="2"/>
  <c r="N4303" i="2"/>
  <c r="M4303" i="2"/>
  <c r="O4302" i="2"/>
  <c r="N4302" i="2"/>
  <c r="M4302" i="2"/>
  <c r="O4301" i="2"/>
  <c r="N4301" i="2"/>
  <c r="M4301" i="2"/>
  <c r="O4300" i="2"/>
  <c r="N4300" i="2"/>
  <c r="M4300" i="2"/>
  <c r="O4299" i="2"/>
  <c r="N4299" i="2"/>
  <c r="M4299" i="2"/>
  <c r="O4298" i="2"/>
  <c r="N4298" i="2"/>
  <c r="M4298" i="2"/>
  <c r="O4297" i="2"/>
  <c r="N4297" i="2"/>
  <c r="M4297" i="2"/>
  <c r="O4296" i="2"/>
  <c r="N4296" i="2"/>
  <c r="M4296" i="2"/>
  <c r="O4295" i="2"/>
  <c r="N4295" i="2"/>
  <c r="M4295" i="2"/>
  <c r="O4294" i="2"/>
  <c r="N4294" i="2"/>
  <c r="M4294" i="2"/>
  <c r="O4293" i="2"/>
  <c r="N4293" i="2"/>
  <c r="M4293" i="2"/>
  <c r="O4292" i="2"/>
  <c r="N4292" i="2"/>
  <c r="M4292" i="2"/>
  <c r="O4291" i="2"/>
  <c r="N4291" i="2"/>
  <c r="M4291" i="2"/>
  <c r="O4290" i="2"/>
  <c r="N4290" i="2"/>
  <c r="M4290" i="2"/>
  <c r="O4289" i="2"/>
  <c r="N4289" i="2"/>
  <c r="M4289" i="2"/>
  <c r="O4288" i="2"/>
  <c r="N4288" i="2"/>
  <c r="M4288" i="2"/>
  <c r="O4287" i="2"/>
  <c r="N4287" i="2"/>
  <c r="M4287" i="2"/>
  <c r="O4286" i="2"/>
  <c r="N4286" i="2"/>
  <c r="M4286" i="2"/>
  <c r="O4285" i="2"/>
  <c r="N4285" i="2"/>
  <c r="M4285" i="2"/>
  <c r="O4284" i="2"/>
  <c r="N4284" i="2"/>
  <c r="M4284" i="2"/>
  <c r="O4283" i="2"/>
  <c r="N4283" i="2"/>
  <c r="M4283" i="2"/>
  <c r="O4282" i="2"/>
  <c r="N4282" i="2"/>
  <c r="M4282" i="2"/>
  <c r="O4281" i="2"/>
  <c r="N4281" i="2"/>
  <c r="M4281" i="2"/>
  <c r="O4280" i="2"/>
  <c r="N4280" i="2"/>
  <c r="M4280" i="2"/>
  <c r="O4279" i="2"/>
  <c r="N4279" i="2"/>
  <c r="M4279" i="2"/>
  <c r="O4278" i="2"/>
  <c r="N4278" i="2"/>
  <c r="M4278" i="2"/>
  <c r="O4277" i="2"/>
  <c r="N4277" i="2"/>
  <c r="M4277" i="2"/>
  <c r="O4276" i="2"/>
  <c r="N4276" i="2"/>
  <c r="M4276" i="2"/>
  <c r="O4275" i="2"/>
  <c r="N4275" i="2"/>
  <c r="M4275" i="2"/>
  <c r="O4274" i="2"/>
  <c r="N4274" i="2"/>
  <c r="M4274" i="2"/>
  <c r="O4273" i="2"/>
  <c r="N4273" i="2"/>
  <c r="M4273" i="2"/>
  <c r="O4272" i="2"/>
  <c r="N4272" i="2"/>
  <c r="M4272" i="2"/>
  <c r="O4271" i="2"/>
  <c r="N4271" i="2"/>
  <c r="M4271" i="2"/>
  <c r="O4270" i="2"/>
  <c r="N4270" i="2"/>
  <c r="M4270" i="2"/>
  <c r="O4269" i="2"/>
  <c r="N4269" i="2"/>
  <c r="M4269" i="2"/>
  <c r="O4268" i="2"/>
  <c r="N4268" i="2"/>
  <c r="M4268" i="2"/>
  <c r="O4267" i="2"/>
  <c r="N4267" i="2"/>
  <c r="M4267" i="2"/>
  <c r="O4266" i="2"/>
  <c r="N4266" i="2"/>
  <c r="M4266" i="2"/>
  <c r="O4265" i="2"/>
  <c r="N4265" i="2"/>
  <c r="M4265" i="2"/>
  <c r="O4264" i="2"/>
  <c r="N4264" i="2"/>
  <c r="M4264" i="2"/>
  <c r="O4263" i="2"/>
  <c r="N4263" i="2"/>
  <c r="M4263" i="2"/>
  <c r="O4262" i="2"/>
  <c r="N4262" i="2"/>
  <c r="M4262" i="2"/>
  <c r="O4261" i="2"/>
  <c r="N4261" i="2"/>
  <c r="M4261" i="2"/>
  <c r="O4260" i="2"/>
  <c r="N4260" i="2"/>
  <c r="M4260" i="2"/>
  <c r="O4259" i="2"/>
  <c r="N4259" i="2"/>
  <c r="M4259" i="2"/>
  <c r="O4258" i="2"/>
  <c r="N4258" i="2"/>
  <c r="M4258" i="2"/>
  <c r="O4257" i="2"/>
  <c r="N4257" i="2"/>
  <c r="M4257" i="2"/>
  <c r="O4256" i="2"/>
  <c r="N4256" i="2"/>
  <c r="M4256" i="2"/>
  <c r="O4255" i="2"/>
  <c r="N4255" i="2"/>
  <c r="M4255" i="2"/>
  <c r="O4254" i="2"/>
  <c r="N4254" i="2"/>
  <c r="M4254" i="2"/>
  <c r="O4253" i="2"/>
  <c r="N4253" i="2"/>
  <c r="M4253" i="2"/>
  <c r="O4252" i="2"/>
  <c r="N4252" i="2"/>
  <c r="M4252" i="2"/>
  <c r="O4251" i="2"/>
  <c r="N4251" i="2"/>
  <c r="M4251" i="2"/>
  <c r="O4250" i="2"/>
  <c r="N4250" i="2"/>
  <c r="M4250" i="2"/>
  <c r="O4249" i="2"/>
  <c r="N4249" i="2"/>
  <c r="M4249" i="2"/>
  <c r="O4248" i="2"/>
  <c r="N4248" i="2"/>
  <c r="M4248" i="2"/>
  <c r="O4247" i="2"/>
  <c r="N4247" i="2"/>
  <c r="M4247" i="2"/>
  <c r="O4246" i="2"/>
  <c r="N4246" i="2"/>
  <c r="M4246" i="2"/>
  <c r="O4245" i="2"/>
  <c r="N4245" i="2"/>
  <c r="M4245" i="2"/>
  <c r="O4244" i="2"/>
  <c r="N4244" i="2"/>
  <c r="M4244" i="2"/>
  <c r="O4243" i="2"/>
  <c r="N4243" i="2"/>
  <c r="M4243" i="2"/>
  <c r="O4242" i="2"/>
  <c r="N4242" i="2"/>
  <c r="M4242" i="2"/>
  <c r="O4241" i="2"/>
  <c r="N4241" i="2"/>
  <c r="M4241" i="2"/>
  <c r="O4240" i="2"/>
  <c r="N4240" i="2"/>
  <c r="M4240" i="2"/>
  <c r="O4239" i="2"/>
  <c r="N4239" i="2"/>
  <c r="M4239" i="2"/>
  <c r="O4238" i="2"/>
  <c r="N4238" i="2"/>
  <c r="M4238" i="2"/>
  <c r="O4237" i="2"/>
  <c r="N4237" i="2"/>
  <c r="M4237" i="2"/>
  <c r="O4236" i="2"/>
  <c r="N4236" i="2"/>
  <c r="M4236" i="2"/>
  <c r="O4235" i="2"/>
  <c r="N4235" i="2"/>
  <c r="M4235" i="2"/>
  <c r="O4234" i="2"/>
  <c r="N4234" i="2"/>
  <c r="M4234" i="2"/>
  <c r="O4233" i="2"/>
  <c r="N4233" i="2"/>
  <c r="M4233" i="2"/>
  <c r="O4232" i="2"/>
  <c r="N4232" i="2"/>
  <c r="M4232" i="2"/>
  <c r="O4231" i="2"/>
  <c r="N4231" i="2"/>
  <c r="M4231" i="2"/>
  <c r="O4230" i="2"/>
  <c r="N4230" i="2"/>
  <c r="M4230" i="2"/>
  <c r="O4229" i="2"/>
  <c r="N4229" i="2"/>
  <c r="M4229" i="2"/>
  <c r="O4228" i="2"/>
  <c r="N4228" i="2"/>
  <c r="M4228" i="2"/>
  <c r="O4227" i="2"/>
  <c r="N4227" i="2"/>
  <c r="M4227" i="2"/>
  <c r="O4226" i="2"/>
  <c r="N4226" i="2"/>
  <c r="M4226" i="2"/>
  <c r="O4225" i="2"/>
  <c r="N4225" i="2"/>
  <c r="M4225" i="2"/>
  <c r="O4224" i="2"/>
  <c r="N4224" i="2"/>
  <c r="M4224" i="2"/>
  <c r="O4223" i="2"/>
  <c r="N4223" i="2"/>
  <c r="M4223" i="2"/>
  <c r="O4222" i="2"/>
  <c r="N4222" i="2"/>
  <c r="M4222" i="2"/>
  <c r="O4221" i="2"/>
  <c r="N4221" i="2"/>
  <c r="M4221" i="2"/>
  <c r="O4220" i="2"/>
  <c r="N4220" i="2"/>
  <c r="M4220" i="2"/>
  <c r="O4219" i="2"/>
  <c r="N4219" i="2"/>
  <c r="M4219" i="2"/>
  <c r="O4218" i="2"/>
  <c r="N4218" i="2"/>
  <c r="M4218" i="2"/>
  <c r="O4217" i="2"/>
  <c r="N4217" i="2"/>
  <c r="M4217" i="2"/>
  <c r="O4216" i="2"/>
  <c r="N4216" i="2"/>
  <c r="M4216" i="2"/>
  <c r="O4215" i="2"/>
  <c r="N4215" i="2"/>
  <c r="M4215" i="2"/>
  <c r="O4214" i="2"/>
  <c r="N4214" i="2"/>
  <c r="M4214" i="2"/>
  <c r="O4213" i="2"/>
  <c r="N4213" i="2"/>
  <c r="M4213" i="2"/>
  <c r="O4212" i="2"/>
  <c r="N4212" i="2"/>
  <c r="M4212" i="2"/>
  <c r="O4211" i="2"/>
  <c r="N4211" i="2"/>
  <c r="M4211" i="2"/>
  <c r="O4210" i="2"/>
  <c r="N4210" i="2"/>
  <c r="M4210" i="2"/>
  <c r="O4209" i="2"/>
  <c r="N4209" i="2"/>
  <c r="M4209" i="2"/>
  <c r="O4208" i="2"/>
  <c r="N4208" i="2"/>
  <c r="M4208" i="2"/>
  <c r="O4207" i="2"/>
  <c r="N4207" i="2"/>
  <c r="M4207" i="2"/>
  <c r="O4206" i="2"/>
  <c r="N4206" i="2"/>
  <c r="M4206" i="2"/>
  <c r="O4205" i="2"/>
  <c r="N4205" i="2"/>
  <c r="M4205" i="2"/>
  <c r="O4204" i="2"/>
  <c r="N4204" i="2"/>
  <c r="M4204" i="2"/>
  <c r="O4203" i="2"/>
  <c r="N4203" i="2"/>
  <c r="M4203" i="2"/>
  <c r="O4202" i="2"/>
  <c r="N4202" i="2"/>
  <c r="M4202" i="2"/>
  <c r="O4201" i="2"/>
  <c r="N4201" i="2"/>
  <c r="M4201" i="2"/>
  <c r="O4200" i="2"/>
  <c r="N4200" i="2"/>
  <c r="M4200" i="2"/>
  <c r="O4199" i="2"/>
  <c r="N4199" i="2"/>
  <c r="M4199" i="2"/>
  <c r="O4198" i="2"/>
  <c r="N4198" i="2"/>
  <c r="M4198" i="2"/>
  <c r="O4197" i="2"/>
  <c r="N4197" i="2"/>
  <c r="M4197" i="2"/>
  <c r="O4196" i="2"/>
  <c r="N4196" i="2"/>
  <c r="M4196" i="2"/>
  <c r="O4195" i="2"/>
  <c r="N4195" i="2"/>
  <c r="M4195" i="2"/>
  <c r="O4194" i="2"/>
  <c r="N4194" i="2"/>
  <c r="M4194" i="2"/>
  <c r="O4193" i="2"/>
  <c r="N4193" i="2"/>
  <c r="M4193" i="2"/>
  <c r="O4192" i="2"/>
  <c r="N4192" i="2"/>
  <c r="M4192" i="2"/>
  <c r="O4191" i="2"/>
  <c r="N4191" i="2"/>
  <c r="M4191" i="2"/>
  <c r="O4190" i="2"/>
  <c r="N4190" i="2"/>
  <c r="M4190" i="2"/>
  <c r="O4189" i="2"/>
  <c r="N4189" i="2"/>
  <c r="M4189" i="2"/>
  <c r="O4188" i="2"/>
  <c r="N4188" i="2"/>
  <c r="M4188" i="2"/>
  <c r="O4187" i="2"/>
  <c r="N4187" i="2"/>
  <c r="M4187" i="2"/>
  <c r="O4186" i="2"/>
  <c r="N4186" i="2"/>
  <c r="M4186" i="2"/>
  <c r="O4185" i="2"/>
  <c r="N4185" i="2"/>
  <c r="M4185" i="2"/>
  <c r="O4184" i="2"/>
  <c r="N4184" i="2"/>
  <c r="M4184" i="2"/>
  <c r="O4183" i="2"/>
  <c r="N4183" i="2"/>
  <c r="M4183" i="2"/>
  <c r="O4182" i="2"/>
  <c r="N4182" i="2"/>
  <c r="M4182" i="2"/>
  <c r="O4181" i="2"/>
  <c r="N4181" i="2"/>
  <c r="M4181" i="2"/>
  <c r="O4180" i="2"/>
  <c r="N4180" i="2"/>
  <c r="M4180" i="2"/>
  <c r="O4179" i="2"/>
  <c r="N4179" i="2"/>
  <c r="M4179" i="2"/>
  <c r="O4178" i="2"/>
  <c r="N4178" i="2"/>
  <c r="M4178" i="2"/>
  <c r="O4177" i="2"/>
  <c r="N4177" i="2"/>
  <c r="M4177" i="2"/>
  <c r="O4176" i="2"/>
  <c r="N4176" i="2"/>
  <c r="M4176" i="2"/>
  <c r="O4175" i="2"/>
  <c r="N4175" i="2"/>
  <c r="M4175" i="2"/>
  <c r="O4174" i="2"/>
  <c r="N4174" i="2"/>
  <c r="M4174" i="2"/>
  <c r="O4173" i="2"/>
  <c r="N4173" i="2"/>
  <c r="M4173" i="2"/>
  <c r="O4172" i="2"/>
  <c r="N4172" i="2"/>
  <c r="M4172" i="2"/>
  <c r="O4171" i="2"/>
  <c r="N4171" i="2"/>
  <c r="M4171" i="2"/>
  <c r="O4170" i="2"/>
  <c r="N4170" i="2"/>
  <c r="M4170" i="2"/>
  <c r="O4169" i="2"/>
  <c r="N4169" i="2"/>
  <c r="M4169" i="2"/>
  <c r="O4168" i="2"/>
  <c r="N4168" i="2"/>
  <c r="M4168" i="2"/>
  <c r="O4167" i="2"/>
  <c r="N4167" i="2"/>
  <c r="M4167" i="2"/>
  <c r="O4166" i="2"/>
  <c r="N4166" i="2"/>
  <c r="M4166" i="2"/>
  <c r="O4165" i="2"/>
  <c r="N4165" i="2"/>
  <c r="M4165" i="2"/>
  <c r="O4164" i="2"/>
  <c r="N4164" i="2"/>
  <c r="M4164" i="2"/>
  <c r="O4163" i="2"/>
  <c r="N4163" i="2"/>
  <c r="M4163" i="2"/>
  <c r="O4162" i="2"/>
  <c r="N4162" i="2"/>
  <c r="M4162" i="2"/>
  <c r="O4161" i="2"/>
  <c r="N4161" i="2"/>
  <c r="M4161" i="2"/>
  <c r="O4160" i="2"/>
  <c r="N4160" i="2"/>
  <c r="M4160" i="2"/>
  <c r="O4159" i="2"/>
  <c r="N4159" i="2"/>
  <c r="M4159" i="2"/>
  <c r="O4158" i="2"/>
  <c r="N4158" i="2"/>
  <c r="M4158" i="2"/>
  <c r="O4157" i="2"/>
  <c r="N4157" i="2"/>
  <c r="M4157" i="2"/>
  <c r="O4156" i="2"/>
  <c r="N4156" i="2"/>
  <c r="M4156" i="2"/>
  <c r="O4155" i="2"/>
  <c r="N4155" i="2"/>
  <c r="M4155" i="2"/>
  <c r="O4154" i="2"/>
  <c r="N4154" i="2"/>
  <c r="M4154" i="2"/>
  <c r="O4153" i="2"/>
  <c r="N4153" i="2"/>
  <c r="M4153" i="2"/>
  <c r="O4152" i="2"/>
  <c r="N4152" i="2"/>
  <c r="M4152" i="2"/>
  <c r="O4151" i="2"/>
  <c r="N4151" i="2"/>
  <c r="M4151" i="2"/>
  <c r="O4150" i="2"/>
  <c r="N4150" i="2"/>
  <c r="M4150" i="2"/>
  <c r="O4149" i="2"/>
  <c r="N4149" i="2"/>
  <c r="M4149" i="2"/>
  <c r="O4148" i="2"/>
  <c r="N4148" i="2"/>
  <c r="M4148" i="2"/>
  <c r="O4147" i="2"/>
  <c r="N4147" i="2"/>
  <c r="M4147" i="2"/>
  <c r="O4146" i="2"/>
  <c r="N4146" i="2"/>
  <c r="M4146" i="2"/>
  <c r="O4145" i="2"/>
  <c r="N4145" i="2"/>
  <c r="M4145" i="2"/>
  <c r="O4144" i="2"/>
  <c r="N4144" i="2"/>
  <c r="M4144" i="2"/>
  <c r="O4143" i="2"/>
  <c r="N4143" i="2"/>
  <c r="M4143" i="2"/>
  <c r="O4142" i="2"/>
  <c r="N4142" i="2"/>
  <c r="M4142" i="2"/>
  <c r="O4141" i="2"/>
  <c r="N4141" i="2"/>
  <c r="M4141" i="2"/>
  <c r="O4140" i="2"/>
  <c r="N4140" i="2"/>
  <c r="M4140" i="2"/>
  <c r="O4139" i="2"/>
  <c r="N4139" i="2"/>
  <c r="M4139" i="2"/>
  <c r="O4138" i="2"/>
  <c r="N4138" i="2"/>
  <c r="M4138" i="2"/>
  <c r="O4137" i="2"/>
  <c r="N4137" i="2"/>
  <c r="M4137" i="2"/>
  <c r="O4136" i="2"/>
  <c r="N4136" i="2"/>
  <c r="M4136" i="2"/>
  <c r="O4135" i="2"/>
  <c r="N4135" i="2"/>
  <c r="M4135" i="2"/>
  <c r="O4134" i="2"/>
  <c r="N4134" i="2"/>
  <c r="M4134" i="2"/>
  <c r="O4133" i="2"/>
  <c r="N4133" i="2"/>
  <c r="M4133" i="2"/>
  <c r="O4132" i="2"/>
  <c r="N4132" i="2"/>
  <c r="M4132" i="2"/>
  <c r="O4131" i="2"/>
  <c r="N4131" i="2"/>
  <c r="M4131" i="2"/>
  <c r="O4130" i="2"/>
  <c r="N4130" i="2"/>
  <c r="M4130" i="2"/>
  <c r="O4129" i="2"/>
  <c r="N4129" i="2"/>
  <c r="M4129" i="2"/>
  <c r="O4128" i="2"/>
  <c r="N4128" i="2"/>
  <c r="M4128" i="2"/>
  <c r="O4127" i="2"/>
  <c r="N4127" i="2"/>
  <c r="M4127" i="2"/>
  <c r="O4126" i="2"/>
  <c r="N4126" i="2"/>
  <c r="M4126" i="2"/>
  <c r="O4125" i="2"/>
  <c r="N4125" i="2"/>
  <c r="M4125" i="2"/>
  <c r="O4124" i="2"/>
  <c r="N4124" i="2"/>
  <c r="M4124" i="2"/>
  <c r="O4123" i="2"/>
  <c r="N4123" i="2"/>
  <c r="M4123" i="2"/>
  <c r="O4122" i="2"/>
  <c r="N4122" i="2"/>
  <c r="M4122" i="2"/>
  <c r="O4121" i="2"/>
  <c r="N4121" i="2"/>
  <c r="M4121" i="2"/>
  <c r="O4120" i="2"/>
  <c r="N4120" i="2"/>
  <c r="M4120" i="2"/>
  <c r="O4119" i="2"/>
  <c r="N4119" i="2"/>
  <c r="M4119" i="2"/>
  <c r="O4118" i="2"/>
  <c r="N4118" i="2"/>
  <c r="M4118" i="2"/>
  <c r="O4117" i="2"/>
  <c r="N4117" i="2"/>
  <c r="M4117" i="2"/>
  <c r="O4116" i="2"/>
  <c r="N4116" i="2"/>
  <c r="M4116" i="2"/>
  <c r="O4115" i="2"/>
  <c r="N4115" i="2"/>
  <c r="M4115" i="2"/>
  <c r="O4114" i="2"/>
  <c r="N4114" i="2"/>
  <c r="M4114" i="2"/>
  <c r="O4113" i="2"/>
  <c r="N4113" i="2"/>
  <c r="M4113" i="2"/>
  <c r="O4112" i="2"/>
  <c r="N4112" i="2"/>
  <c r="M4112" i="2"/>
  <c r="O4111" i="2"/>
  <c r="N4111" i="2"/>
  <c r="M4111" i="2"/>
  <c r="O4110" i="2"/>
  <c r="N4110" i="2"/>
  <c r="M4110" i="2"/>
  <c r="O4109" i="2"/>
  <c r="N4109" i="2"/>
  <c r="M4109" i="2"/>
  <c r="O4108" i="2"/>
  <c r="N4108" i="2"/>
  <c r="M4108" i="2"/>
  <c r="O4107" i="2"/>
  <c r="N4107" i="2"/>
  <c r="M4107" i="2"/>
  <c r="O4106" i="2"/>
  <c r="N4106" i="2"/>
  <c r="M4106" i="2"/>
  <c r="O4105" i="2"/>
  <c r="N4105" i="2"/>
  <c r="M4105" i="2"/>
  <c r="O4104" i="2"/>
  <c r="N4104" i="2"/>
  <c r="M4104" i="2"/>
  <c r="O4103" i="2"/>
  <c r="N4103" i="2"/>
  <c r="M4103" i="2"/>
  <c r="O4102" i="2"/>
  <c r="N4102" i="2"/>
  <c r="M4102" i="2"/>
  <c r="O4101" i="2"/>
  <c r="N4101" i="2"/>
  <c r="M4101" i="2"/>
  <c r="O4100" i="2"/>
  <c r="N4100" i="2"/>
  <c r="M4100" i="2"/>
  <c r="O4099" i="2"/>
  <c r="N4099" i="2"/>
  <c r="M4099" i="2"/>
  <c r="O4098" i="2"/>
  <c r="N4098" i="2"/>
  <c r="M4098" i="2"/>
  <c r="O4097" i="2"/>
  <c r="N4097" i="2"/>
  <c r="M4097" i="2"/>
  <c r="O4096" i="2"/>
  <c r="N4096" i="2"/>
  <c r="M4096" i="2"/>
  <c r="O4095" i="2"/>
  <c r="N4095" i="2"/>
  <c r="M4095" i="2"/>
  <c r="O4094" i="2"/>
  <c r="N4094" i="2"/>
  <c r="M4094" i="2"/>
  <c r="O4093" i="2"/>
  <c r="N4093" i="2"/>
  <c r="M4093" i="2"/>
  <c r="O4092" i="2"/>
  <c r="N4092" i="2"/>
  <c r="M4092" i="2"/>
  <c r="O4091" i="2"/>
  <c r="N4091" i="2"/>
  <c r="M4091" i="2"/>
  <c r="O4090" i="2"/>
  <c r="N4090" i="2"/>
  <c r="M4090" i="2"/>
  <c r="O4089" i="2"/>
  <c r="N4089" i="2"/>
  <c r="M4089" i="2"/>
  <c r="O4088" i="2"/>
  <c r="N4088" i="2"/>
  <c r="M4088" i="2"/>
  <c r="O4087" i="2"/>
  <c r="N4087" i="2"/>
  <c r="M4087" i="2"/>
  <c r="O4086" i="2"/>
  <c r="N4086" i="2"/>
  <c r="M4086" i="2"/>
  <c r="O4085" i="2"/>
  <c r="N4085" i="2"/>
  <c r="M4085" i="2"/>
  <c r="O4084" i="2"/>
  <c r="N4084" i="2"/>
  <c r="M4084" i="2"/>
  <c r="O4083" i="2"/>
  <c r="N4083" i="2"/>
  <c r="M4083" i="2"/>
  <c r="O4082" i="2"/>
  <c r="N4082" i="2"/>
  <c r="M4082" i="2"/>
  <c r="O4081" i="2"/>
  <c r="N4081" i="2"/>
  <c r="M4081" i="2"/>
  <c r="O4080" i="2"/>
  <c r="N4080" i="2"/>
  <c r="M4080" i="2"/>
  <c r="O4079" i="2"/>
  <c r="N4079" i="2"/>
  <c r="M4079" i="2"/>
  <c r="O4078" i="2"/>
  <c r="N4078" i="2"/>
  <c r="M4078" i="2"/>
  <c r="O4077" i="2"/>
  <c r="N4077" i="2"/>
  <c r="M4077" i="2"/>
  <c r="O4076" i="2"/>
  <c r="N4076" i="2"/>
  <c r="M4076" i="2"/>
  <c r="O4075" i="2"/>
  <c r="N4075" i="2"/>
  <c r="M4075" i="2"/>
  <c r="O4074" i="2"/>
  <c r="N4074" i="2"/>
  <c r="M4074" i="2"/>
  <c r="O4073" i="2"/>
  <c r="N4073" i="2"/>
  <c r="M4073" i="2"/>
  <c r="O4072" i="2"/>
  <c r="N4072" i="2"/>
  <c r="M4072" i="2"/>
  <c r="O4071" i="2"/>
  <c r="N4071" i="2"/>
  <c r="M4071" i="2"/>
  <c r="O4070" i="2"/>
  <c r="N4070" i="2"/>
  <c r="M4070" i="2"/>
  <c r="O4069" i="2"/>
  <c r="N4069" i="2"/>
  <c r="M4069" i="2"/>
  <c r="O4068" i="2"/>
  <c r="N4068" i="2"/>
  <c r="M4068" i="2"/>
  <c r="O4067" i="2"/>
  <c r="N4067" i="2"/>
  <c r="M4067" i="2"/>
  <c r="O4066" i="2"/>
  <c r="N4066" i="2"/>
  <c r="M4066" i="2"/>
  <c r="O4065" i="2"/>
  <c r="N4065" i="2"/>
  <c r="M4065" i="2"/>
  <c r="O4064" i="2"/>
  <c r="N4064" i="2"/>
  <c r="M4064" i="2"/>
  <c r="O4063" i="2"/>
  <c r="N4063" i="2"/>
  <c r="M4063" i="2"/>
  <c r="O4062" i="2"/>
  <c r="N4062" i="2"/>
  <c r="M4062" i="2"/>
  <c r="O4061" i="2"/>
  <c r="N4061" i="2"/>
  <c r="M4061" i="2"/>
  <c r="O4060" i="2"/>
  <c r="N4060" i="2"/>
  <c r="M4060" i="2"/>
  <c r="O4059" i="2"/>
  <c r="N4059" i="2"/>
  <c r="M4059" i="2"/>
  <c r="O4058" i="2"/>
  <c r="N4058" i="2"/>
  <c r="M4058" i="2"/>
  <c r="O4057" i="2"/>
  <c r="N4057" i="2"/>
  <c r="M4057" i="2"/>
  <c r="O4056" i="2"/>
  <c r="N4056" i="2"/>
  <c r="M4056" i="2"/>
  <c r="O4055" i="2"/>
  <c r="N4055" i="2"/>
  <c r="M4055" i="2"/>
  <c r="O4054" i="2"/>
  <c r="N4054" i="2"/>
  <c r="M4054" i="2"/>
  <c r="O4053" i="2"/>
  <c r="N4053" i="2"/>
  <c r="M4053" i="2"/>
  <c r="O4052" i="2"/>
  <c r="N4052" i="2"/>
  <c r="M4052" i="2"/>
  <c r="O4051" i="2"/>
  <c r="N4051" i="2"/>
  <c r="M4051" i="2"/>
  <c r="O4050" i="2"/>
  <c r="N4050" i="2"/>
  <c r="M4050" i="2"/>
  <c r="O4049" i="2"/>
  <c r="N4049" i="2"/>
  <c r="M4049" i="2"/>
  <c r="O4048" i="2"/>
  <c r="N4048" i="2"/>
  <c r="M4048" i="2"/>
  <c r="O4047" i="2"/>
  <c r="N4047" i="2"/>
  <c r="M4047" i="2"/>
  <c r="O4046" i="2"/>
  <c r="N4046" i="2"/>
  <c r="M4046" i="2"/>
  <c r="O4045" i="2"/>
  <c r="N4045" i="2"/>
  <c r="M4045" i="2"/>
  <c r="O4044" i="2"/>
  <c r="N4044" i="2"/>
  <c r="M4044" i="2"/>
  <c r="O4043" i="2"/>
  <c r="N4043" i="2"/>
  <c r="M4043" i="2"/>
  <c r="O4042" i="2"/>
  <c r="N4042" i="2"/>
  <c r="M4042" i="2"/>
  <c r="O4041" i="2"/>
  <c r="N4041" i="2"/>
  <c r="M4041" i="2"/>
  <c r="O4040" i="2"/>
  <c r="N4040" i="2"/>
  <c r="M4040" i="2"/>
  <c r="O4039" i="2"/>
  <c r="N4039" i="2"/>
  <c r="M4039" i="2"/>
  <c r="O4038" i="2"/>
  <c r="N4038" i="2"/>
  <c r="M4038" i="2"/>
  <c r="O4037" i="2"/>
  <c r="N4037" i="2"/>
  <c r="M4037" i="2"/>
  <c r="O4036" i="2"/>
  <c r="N4036" i="2"/>
  <c r="M4036" i="2"/>
  <c r="O4035" i="2"/>
  <c r="N4035" i="2"/>
  <c r="M4035" i="2"/>
  <c r="O4034" i="2"/>
  <c r="N4034" i="2"/>
  <c r="M4034" i="2"/>
  <c r="O4033" i="2"/>
  <c r="N4033" i="2"/>
  <c r="M4033" i="2"/>
  <c r="O4032" i="2"/>
  <c r="N4032" i="2"/>
  <c r="M4032" i="2"/>
  <c r="O4031" i="2"/>
  <c r="N4031" i="2"/>
  <c r="M4031" i="2"/>
  <c r="O4030" i="2"/>
  <c r="N4030" i="2"/>
  <c r="M4030" i="2"/>
  <c r="O4029" i="2"/>
  <c r="N4029" i="2"/>
  <c r="M4029" i="2"/>
  <c r="O4028" i="2"/>
  <c r="N4028" i="2"/>
  <c r="M4028" i="2"/>
  <c r="O4027" i="2"/>
  <c r="N4027" i="2"/>
  <c r="M4027" i="2"/>
  <c r="O4026" i="2"/>
  <c r="N4026" i="2"/>
  <c r="M4026" i="2"/>
  <c r="O4025" i="2"/>
  <c r="N4025" i="2"/>
  <c r="M4025" i="2"/>
  <c r="O4024" i="2"/>
  <c r="N4024" i="2"/>
  <c r="M4024" i="2"/>
  <c r="O4023" i="2"/>
  <c r="N4023" i="2"/>
  <c r="M4023" i="2"/>
  <c r="O4022" i="2"/>
  <c r="N4022" i="2"/>
  <c r="M4022" i="2"/>
  <c r="O4021" i="2"/>
  <c r="N4021" i="2"/>
  <c r="M4021" i="2"/>
  <c r="O4020" i="2"/>
  <c r="N4020" i="2"/>
  <c r="M4020" i="2"/>
  <c r="O4019" i="2"/>
  <c r="N4019" i="2"/>
  <c r="M4019" i="2"/>
  <c r="O4018" i="2"/>
  <c r="N4018" i="2"/>
  <c r="M4018" i="2"/>
  <c r="O4017" i="2"/>
  <c r="N4017" i="2"/>
  <c r="M4017" i="2"/>
  <c r="O4016" i="2"/>
  <c r="N4016" i="2"/>
  <c r="M4016" i="2"/>
  <c r="O4015" i="2"/>
  <c r="N4015" i="2"/>
  <c r="M4015" i="2"/>
  <c r="O4014" i="2"/>
  <c r="N4014" i="2"/>
  <c r="M4014" i="2"/>
  <c r="O4013" i="2"/>
  <c r="N4013" i="2"/>
  <c r="M4013" i="2"/>
  <c r="O4012" i="2"/>
  <c r="N4012" i="2"/>
  <c r="M4012" i="2"/>
  <c r="O4011" i="2"/>
  <c r="N4011" i="2"/>
  <c r="M4011" i="2"/>
  <c r="O4010" i="2"/>
  <c r="N4010" i="2"/>
  <c r="M4010" i="2"/>
  <c r="O4009" i="2"/>
  <c r="N4009" i="2"/>
  <c r="M4009" i="2"/>
  <c r="O4008" i="2"/>
  <c r="N4008" i="2"/>
  <c r="M4008" i="2"/>
  <c r="O4007" i="2"/>
  <c r="N4007" i="2"/>
  <c r="M4007" i="2"/>
  <c r="O4006" i="2"/>
  <c r="N4006" i="2"/>
  <c r="M4006" i="2"/>
  <c r="O4005" i="2"/>
  <c r="N4005" i="2"/>
  <c r="M4005" i="2"/>
  <c r="O4004" i="2"/>
  <c r="N4004" i="2"/>
  <c r="M4004" i="2"/>
  <c r="O4003" i="2"/>
  <c r="N4003" i="2"/>
  <c r="M4003" i="2"/>
  <c r="O4002" i="2"/>
  <c r="N4002" i="2"/>
  <c r="M4002" i="2"/>
  <c r="O4001" i="2"/>
  <c r="N4001" i="2"/>
  <c r="M4001" i="2"/>
  <c r="O4000" i="2"/>
  <c r="N4000" i="2"/>
  <c r="M4000" i="2"/>
  <c r="O3999" i="2"/>
  <c r="N3999" i="2"/>
  <c r="M3999" i="2"/>
  <c r="O3998" i="2"/>
  <c r="N3998" i="2"/>
  <c r="M3998" i="2"/>
  <c r="O3997" i="2"/>
  <c r="N3997" i="2"/>
  <c r="M3997" i="2"/>
  <c r="O3996" i="2"/>
  <c r="N3996" i="2"/>
  <c r="M3996" i="2"/>
  <c r="O3995" i="2"/>
  <c r="N3995" i="2"/>
  <c r="M3995" i="2"/>
  <c r="O3994" i="2"/>
  <c r="N3994" i="2"/>
  <c r="M3994" i="2"/>
  <c r="O3993" i="2"/>
  <c r="N3993" i="2"/>
  <c r="M3993" i="2"/>
  <c r="O3992" i="2"/>
  <c r="N3992" i="2"/>
  <c r="M3992" i="2"/>
  <c r="O3991" i="2"/>
  <c r="N3991" i="2"/>
  <c r="M3991" i="2"/>
  <c r="O3990" i="2"/>
  <c r="N3990" i="2"/>
  <c r="M3990" i="2"/>
  <c r="O3989" i="2"/>
  <c r="N3989" i="2"/>
  <c r="M3989" i="2"/>
  <c r="O3988" i="2"/>
  <c r="N3988" i="2"/>
  <c r="M3988" i="2"/>
  <c r="O3987" i="2"/>
  <c r="N3987" i="2"/>
  <c r="M3987" i="2"/>
  <c r="O3986" i="2"/>
  <c r="N3986" i="2"/>
  <c r="M3986" i="2"/>
  <c r="O3985" i="2"/>
  <c r="N3985" i="2"/>
  <c r="M3985" i="2"/>
  <c r="O3984" i="2"/>
  <c r="N3984" i="2"/>
  <c r="M3984" i="2"/>
  <c r="O3983" i="2"/>
  <c r="N3983" i="2"/>
  <c r="M3983" i="2"/>
  <c r="O3982" i="2"/>
  <c r="N3982" i="2"/>
  <c r="M3982" i="2"/>
  <c r="O3981" i="2"/>
  <c r="N3981" i="2"/>
  <c r="M3981" i="2"/>
  <c r="O3980" i="2"/>
  <c r="N3980" i="2"/>
  <c r="M3980" i="2"/>
  <c r="O3979" i="2"/>
  <c r="N3979" i="2"/>
  <c r="M3979" i="2"/>
  <c r="O3978" i="2"/>
  <c r="N3978" i="2"/>
  <c r="M3978" i="2"/>
  <c r="O3977" i="2"/>
  <c r="N3977" i="2"/>
  <c r="M3977" i="2"/>
  <c r="O3976" i="2"/>
  <c r="N3976" i="2"/>
  <c r="M3976" i="2"/>
  <c r="O3975" i="2"/>
  <c r="N3975" i="2"/>
  <c r="M3975" i="2"/>
  <c r="O3974" i="2"/>
  <c r="N3974" i="2"/>
  <c r="M3974" i="2"/>
  <c r="O3973" i="2"/>
  <c r="N3973" i="2"/>
  <c r="M3973" i="2"/>
  <c r="O3972" i="2"/>
  <c r="N3972" i="2"/>
  <c r="M3972" i="2"/>
  <c r="O3971" i="2"/>
  <c r="N3971" i="2"/>
  <c r="M3971" i="2"/>
  <c r="O3970" i="2"/>
  <c r="N3970" i="2"/>
  <c r="M3970" i="2"/>
  <c r="O3969" i="2"/>
  <c r="N3969" i="2"/>
  <c r="M3969" i="2"/>
  <c r="O3968" i="2"/>
  <c r="N3968" i="2"/>
  <c r="M3968" i="2"/>
  <c r="O3967" i="2"/>
  <c r="N3967" i="2"/>
  <c r="M3967" i="2"/>
  <c r="O3966" i="2"/>
  <c r="N3966" i="2"/>
  <c r="M3966" i="2"/>
  <c r="O3965" i="2"/>
  <c r="N3965" i="2"/>
  <c r="M3965" i="2"/>
  <c r="O3964" i="2"/>
  <c r="N3964" i="2"/>
  <c r="M3964" i="2"/>
  <c r="O3963" i="2"/>
  <c r="N3963" i="2"/>
  <c r="M3963" i="2"/>
  <c r="O3962" i="2"/>
  <c r="N3962" i="2"/>
  <c r="M3962" i="2"/>
  <c r="O3961" i="2"/>
  <c r="N3961" i="2"/>
  <c r="M3961" i="2"/>
  <c r="O3960" i="2"/>
  <c r="N3960" i="2"/>
  <c r="M3960" i="2"/>
  <c r="O3959" i="2"/>
  <c r="N3959" i="2"/>
  <c r="M3959" i="2"/>
  <c r="O3958" i="2"/>
  <c r="N3958" i="2"/>
  <c r="M3958" i="2"/>
  <c r="O3957" i="2"/>
  <c r="N3957" i="2"/>
  <c r="M3957" i="2"/>
  <c r="O3956" i="2"/>
  <c r="N3956" i="2"/>
  <c r="M3956" i="2"/>
  <c r="O3955" i="2"/>
  <c r="N3955" i="2"/>
  <c r="M3955" i="2"/>
  <c r="O3954" i="2"/>
  <c r="N3954" i="2"/>
  <c r="M3954" i="2"/>
  <c r="O3953" i="2"/>
  <c r="N3953" i="2"/>
  <c r="M3953" i="2"/>
  <c r="O3952" i="2"/>
  <c r="N3952" i="2"/>
  <c r="M3952" i="2"/>
  <c r="O3951" i="2"/>
  <c r="N3951" i="2"/>
  <c r="M3951" i="2"/>
  <c r="O3950" i="2"/>
  <c r="N3950" i="2"/>
  <c r="M3950" i="2"/>
  <c r="O3949" i="2"/>
  <c r="N3949" i="2"/>
  <c r="M3949" i="2"/>
  <c r="O3948" i="2"/>
  <c r="N3948" i="2"/>
  <c r="M3948" i="2"/>
  <c r="O3947" i="2"/>
  <c r="N3947" i="2"/>
  <c r="M3947" i="2"/>
  <c r="O3946" i="2"/>
  <c r="N3946" i="2"/>
  <c r="M3946" i="2"/>
  <c r="O3945" i="2"/>
  <c r="N3945" i="2"/>
  <c r="M3945" i="2"/>
  <c r="O3944" i="2"/>
  <c r="N3944" i="2"/>
  <c r="M3944" i="2"/>
  <c r="O3943" i="2"/>
  <c r="N3943" i="2"/>
  <c r="M3943" i="2"/>
  <c r="O3942" i="2"/>
  <c r="N3942" i="2"/>
  <c r="M3942" i="2"/>
  <c r="O3941" i="2"/>
  <c r="N3941" i="2"/>
  <c r="M3941" i="2"/>
  <c r="O3940" i="2"/>
  <c r="N3940" i="2"/>
  <c r="M3940" i="2"/>
  <c r="O3939" i="2"/>
  <c r="N3939" i="2"/>
  <c r="M3939" i="2"/>
  <c r="O3938" i="2"/>
  <c r="N3938" i="2"/>
  <c r="M3938" i="2"/>
  <c r="O3937" i="2"/>
  <c r="N3937" i="2"/>
  <c r="M3937" i="2"/>
  <c r="O3936" i="2"/>
  <c r="N3936" i="2"/>
  <c r="M3936" i="2"/>
  <c r="O3935" i="2"/>
  <c r="N3935" i="2"/>
  <c r="M3935" i="2"/>
  <c r="O3934" i="2"/>
  <c r="N3934" i="2"/>
  <c r="M3934" i="2"/>
  <c r="O3933" i="2"/>
  <c r="N3933" i="2"/>
  <c r="M3933" i="2"/>
  <c r="O3932" i="2"/>
  <c r="N3932" i="2"/>
  <c r="M3932" i="2"/>
  <c r="O3931" i="2"/>
  <c r="N3931" i="2"/>
  <c r="M3931" i="2"/>
  <c r="O3930" i="2"/>
  <c r="N3930" i="2"/>
  <c r="M3930" i="2"/>
  <c r="O3929" i="2"/>
  <c r="N3929" i="2"/>
  <c r="M3929" i="2"/>
  <c r="O3928" i="2"/>
  <c r="N3928" i="2"/>
  <c r="M3928" i="2"/>
  <c r="O3927" i="2"/>
  <c r="N3927" i="2"/>
  <c r="M3927" i="2"/>
  <c r="O3926" i="2"/>
  <c r="N3926" i="2"/>
  <c r="M3926" i="2"/>
  <c r="O3925" i="2"/>
  <c r="N3925" i="2"/>
  <c r="M3925" i="2"/>
  <c r="O3924" i="2"/>
  <c r="N3924" i="2"/>
  <c r="M3924" i="2"/>
  <c r="O3923" i="2"/>
  <c r="N3923" i="2"/>
  <c r="M3923" i="2"/>
  <c r="O3922" i="2"/>
  <c r="N3922" i="2"/>
  <c r="M3922" i="2"/>
  <c r="O3921" i="2"/>
  <c r="N3921" i="2"/>
  <c r="M3921" i="2"/>
  <c r="O3920" i="2"/>
  <c r="N3920" i="2"/>
  <c r="M3920" i="2"/>
  <c r="O3919" i="2"/>
  <c r="N3919" i="2"/>
  <c r="M3919" i="2"/>
  <c r="O3918" i="2"/>
  <c r="N3918" i="2"/>
  <c r="M3918" i="2"/>
  <c r="O3917" i="2"/>
  <c r="N3917" i="2"/>
  <c r="M3917" i="2"/>
  <c r="O3916" i="2"/>
  <c r="N3916" i="2"/>
  <c r="M3916" i="2"/>
  <c r="O3915" i="2"/>
  <c r="N3915" i="2"/>
  <c r="M3915" i="2"/>
  <c r="O3914" i="2"/>
  <c r="N3914" i="2"/>
  <c r="M3914" i="2"/>
  <c r="O3913" i="2"/>
  <c r="N3913" i="2"/>
  <c r="M3913" i="2"/>
  <c r="O3912" i="2"/>
  <c r="N3912" i="2"/>
  <c r="M3912" i="2"/>
  <c r="O3911" i="2"/>
  <c r="N3911" i="2"/>
  <c r="M3911" i="2"/>
  <c r="O3910" i="2"/>
  <c r="N3910" i="2"/>
  <c r="M3910" i="2"/>
  <c r="O3909" i="2"/>
  <c r="N3909" i="2"/>
  <c r="M3909" i="2"/>
  <c r="O3908" i="2"/>
  <c r="N3908" i="2"/>
  <c r="M3908" i="2"/>
  <c r="O3907" i="2"/>
  <c r="N3907" i="2"/>
  <c r="M3907" i="2"/>
  <c r="O3906" i="2"/>
  <c r="N3906" i="2"/>
  <c r="M3906" i="2"/>
  <c r="O3905" i="2"/>
  <c r="N3905" i="2"/>
  <c r="M3905" i="2"/>
  <c r="O3904" i="2"/>
  <c r="N3904" i="2"/>
  <c r="M3904" i="2"/>
  <c r="O3903" i="2"/>
  <c r="N3903" i="2"/>
  <c r="M3903" i="2"/>
  <c r="O3902" i="2"/>
  <c r="N3902" i="2"/>
  <c r="M3902" i="2"/>
  <c r="O3901" i="2"/>
  <c r="N3901" i="2"/>
  <c r="M3901" i="2"/>
  <c r="O3900" i="2"/>
  <c r="N3900" i="2"/>
  <c r="M3900" i="2"/>
  <c r="O3899" i="2"/>
  <c r="N3899" i="2"/>
  <c r="M3899" i="2"/>
  <c r="O3898" i="2"/>
  <c r="N3898" i="2"/>
  <c r="M3898" i="2"/>
  <c r="O3897" i="2"/>
  <c r="N3897" i="2"/>
  <c r="M3897" i="2"/>
  <c r="O3896" i="2"/>
  <c r="N3896" i="2"/>
  <c r="M3896" i="2"/>
  <c r="O3895" i="2"/>
  <c r="N3895" i="2"/>
  <c r="M3895" i="2"/>
  <c r="O3894" i="2"/>
  <c r="N3894" i="2"/>
  <c r="M3894" i="2"/>
  <c r="O3893" i="2"/>
  <c r="N3893" i="2"/>
  <c r="M3893" i="2"/>
  <c r="O3892" i="2"/>
  <c r="N3892" i="2"/>
  <c r="M3892" i="2"/>
  <c r="O3891" i="2"/>
  <c r="N3891" i="2"/>
  <c r="M3891" i="2"/>
  <c r="O3890" i="2"/>
  <c r="N3890" i="2"/>
  <c r="M3890" i="2"/>
  <c r="O3889" i="2"/>
  <c r="N3889" i="2"/>
  <c r="M3889" i="2"/>
  <c r="O3888" i="2"/>
  <c r="N3888" i="2"/>
  <c r="M3888" i="2"/>
  <c r="O3887" i="2"/>
  <c r="N3887" i="2"/>
  <c r="M3887" i="2"/>
  <c r="O3886" i="2"/>
  <c r="N3886" i="2"/>
  <c r="M3886" i="2"/>
  <c r="O3885" i="2"/>
  <c r="N3885" i="2"/>
  <c r="M3885" i="2"/>
  <c r="O3884" i="2"/>
  <c r="N3884" i="2"/>
  <c r="M3884" i="2"/>
  <c r="O3883" i="2"/>
  <c r="N3883" i="2"/>
  <c r="M3883" i="2"/>
  <c r="O3882" i="2"/>
  <c r="N3882" i="2"/>
  <c r="M3882" i="2"/>
  <c r="O3881" i="2"/>
  <c r="N3881" i="2"/>
  <c r="M3881" i="2"/>
  <c r="O3880" i="2"/>
  <c r="N3880" i="2"/>
  <c r="M3880" i="2"/>
  <c r="O3879" i="2"/>
  <c r="N3879" i="2"/>
  <c r="M3879" i="2"/>
  <c r="O3878" i="2"/>
  <c r="N3878" i="2"/>
  <c r="M3878" i="2"/>
  <c r="O3877" i="2"/>
  <c r="N3877" i="2"/>
  <c r="M3877" i="2"/>
  <c r="O3876" i="2"/>
  <c r="N3876" i="2"/>
  <c r="M3876" i="2"/>
  <c r="O3875" i="2"/>
  <c r="N3875" i="2"/>
  <c r="M3875" i="2"/>
  <c r="O3874" i="2"/>
  <c r="N3874" i="2"/>
  <c r="M3874" i="2"/>
  <c r="O3873" i="2"/>
  <c r="N3873" i="2"/>
  <c r="M3873" i="2"/>
  <c r="O3872" i="2"/>
  <c r="N3872" i="2"/>
  <c r="M3872" i="2"/>
  <c r="O3871" i="2"/>
  <c r="N3871" i="2"/>
  <c r="M3871" i="2"/>
  <c r="O3870" i="2"/>
  <c r="N3870" i="2"/>
  <c r="M3870" i="2"/>
  <c r="O3869" i="2"/>
  <c r="N3869" i="2"/>
  <c r="M3869" i="2"/>
  <c r="O3868" i="2"/>
  <c r="N3868" i="2"/>
  <c r="M3868" i="2"/>
  <c r="O3867" i="2"/>
  <c r="N3867" i="2"/>
  <c r="M3867" i="2"/>
  <c r="O3866" i="2"/>
  <c r="N3866" i="2"/>
  <c r="M3866" i="2"/>
  <c r="O3865" i="2"/>
  <c r="N3865" i="2"/>
  <c r="M3865" i="2"/>
  <c r="O3864" i="2"/>
  <c r="N3864" i="2"/>
  <c r="M3864" i="2"/>
  <c r="O3863" i="2"/>
  <c r="N3863" i="2"/>
  <c r="M3863" i="2"/>
  <c r="O3862" i="2"/>
  <c r="N3862" i="2"/>
  <c r="M3862" i="2"/>
  <c r="O3861" i="2"/>
  <c r="N3861" i="2"/>
  <c r="M3861" i="2"/>
  <c r="O3860" i="2"/>
  <c r="N3860" i="2"/>
  <c r="M3860" i="2"/>
  <c r="O3859" i="2"/>
  <c r="N3859" i="2"/>
  <c r="M3859" i="2"/>
  <c r="O3858" i="2"/>
  <c r="N3858" i="2"/>
  <c r="M3858" i="2"/>
  <c r="O3857" i="2"/>
  <c r="N3857" i="2"/>
  <c r="M3857" i="2"/>
  <c r="O3856" i="2"/>
  <c r="N3856" i="2"/>
  <c r="M3856" i="2"/>
  <c r="O3855" i="2"/>
  <c r="N3855" i="2"/>
  <c r="M3855" i="2"/>
  <c r="O3854" i="2"/>
  <c r="N3854" i="2"/>
  <c r="M3854" i="2"/>
  <c r="O3853" i="2"/>
  <c r="N3853" i="2"/>
  <c r="M3853" i="2"/>
  <c r="O3852" i="2"/>
  <c r="N3852" i="2"/>
  <c r="M3852" i="2"/>
  <c r="O3851" i="2"/>
  <c r="N3851" i="2"/>
  <c r="M3851" i="2"/>
  <c r="O3850" i="2"/>
  <c r="N3850" i="2"/>
  <c r="M3850" i="2"/>
  <c r="O3849" i="2"/>
  <c r="N3849" i="2"/>
  <c r="M3849" i="2"/>
  <c r="O3848" i="2"/>
  <c r="N3848" i="2"/>
  <c r="M3848" i="2"/>
  <c r="O3847" i="2"/>
  <c r="N3847" i="2"/>
  <c r="M3847" i="2"/>
  <c r="O3846" i="2"/>
  <c r="N3846" i="2"/>
  <c r="M3846" i="2"/>
  <c r="O3845" i="2"/>
  <c r="N3845" i="2"/>
  <c r="M3845" i="2"/>
  <c r="O3844" i="2"/>
  <c r="N3844" i="2"/>
  <c r="M3844" i="2"/>
  <c r="O3843" i="2"/>
  <c r="N3843" i="2"/>
  <c r="M3843" i="2"/>
  <c r="O3842" i="2"/>
  <c r="N3842" i="2"/>
  <c r="M3842" i="2"/>
  <c r="O3841" i="2"/>
  <c r="N3841" i="2"/>
  <c r="M3841" i="2"/>
  <c r="O3840" i="2"/>
  <c r="N3840" i="2"/>
  <c r="M3840" i="2"/>
  <c r="O3839" i="2"/>
  <c r="N3839" i="2"/>
  <c r="M3839" i="2"/>
  <c r="O3838" i="2"/>
  <c r="N3838" i="2"/>
  <c r="M3838" i="2"/>
  <c r="O3837" i="2"/>
  <c r="N3837" i="2"/>
  <c r="M3837" i="2"/>
  <c r="O3836" i="2"/>
  <c r="N3836" i="2"/>
  <c r="M3836" i="2"/>
  <c r="O3835" i="2"/>
  <c r="N3835" i="2"/>
  <c r="M3835" i="2"/>
  <c r="O3834" i="2"/>
  <c r="N3834" i="2"/>
  <c r="M3834" i="2"/>
  <c r="O3833" i="2"/>
  <c r="N3833" i="2"/>
  <c r="M3833" i="2"/>
  <c r="O3832" i="2"/>
  <c r="N3832" i="2"/>
  <c r="M3832" i="2"/>
  <c r="O3831" i="2"/>
  <c r="N3831" i="2"/>
  <c r="M3831" i="2"/>
  <c r="O3830" i="2"/>
  <c r="N3830" i="2"/>
  <c r="M3830" i="2"/>
  <c r="O3829" i="2"/>
  <c r="N3829" i="2"/>
  <c r="M3829" i="2"/>
  <c r="O3828" i="2"/>
  <c r="N3828" i="2"/>
  <c r="M3828" i="2"/>
  <c r="O3827" i="2"/>
  <c r="N3827" i="2"/>
  <c r="M3827" i="2"/>
  <c r="O3826" i="2"/>
  <c r="N3826" i="2"/>
  <c r="M3826" i="2"/>
  <c r="O3825" i="2"/>
  <c r="N3825" i="2"/>
  <c r="M3825" i="2"/>
  <c r="O3824" i="2"/>
  <c r="N3824" i="2"/>
  <c r="M3824" i="2"/>
  <c r="O3823" i="2"/>
  <c r="N3823" i="2"/>
  <c r="M3823" i="2"/>
  <c r="O3822" i="2"/>
  <c r="N3822" i="2"/>
  <c r="M3822" i="2"/>
  <c r="O3821" i="2"/>
  <c r="N3821" i="2"/>
  <c r="M3821" i="2"/>
  <c r="O3820" i="2"/>
  <c r="N3820" i="2"/>
  <c r="M3820" i="2"/>
  <c r="O3819" i="2"/>
  <c r="N3819" i="2"/>
  <c r="M3819" i="2"/>
  <c r="O3818" i="2"/>
  <c r="N3818" i="2"/>
  <c r="M3818" i="2"/>
  <c r="O3817" i="2"/>
  <c r="N3817" i="2"/>
  <c r="M3817" i="2"/>
  <c r="O3816" i="2"/>
  <c r="N3816" i="2"/>
  <c r="M3816" i="2"/>
  <c r="O3815" i="2"/>
  <c r="N3815" i="2"/>
  <c r="M3815" i="2"/>
  <c r="O3814" i="2"/>
  <c r="N3814" i="2"/>
  <c r="M3814" i="2"/>
  <c r="O3813" i="2"/>
  <c r="N3813" i="2"/>
  <c r="M3813" i="2"/>
  <c r="O3812" i="2"/>
  <c r="N3812" i="2"/>
  <c r="M3812" i="2"/>
  <c r="O3811" i="2"/>
  <c r="N3811" i="2"/>
  <c r="M3811" i="2"/>
  <c r="O3810" i="2"/>
  <c r="N3810" i="2"/>
  <c r="M3810" i="2"/>
  <c r="O3809" i="2"/>
  <c r="N3809" i="2"/>
  <c r="M3809" i="2"/>
  <c r="O3808" i="2"/>
  <c r="N3808" i="2"/>
  <c r="M3808" i="2"/>
  <c r="O3807" i="2"/>
  <c r="N3807" i="2"/>
  <c r="M3807" i="2"/>
  <c r="O3806" i="2"/>
  <c r="N3806" i="2"/>
  <c r="M3806" i="2"/>
  <c r="O3805" i="2"/>
  <c r="N3805" i="2"/>
  <c r="M3805" i="2"/>
  <c r="O3804" i="2"/>
  <c r="N3804" i="2"/>
  <c r="M3804" i="2"/>
  <c r="O3803" i="2"/>
  <c r="N3803" i="2"/>
  <c r="M3803" i="2"/>
  <c r="O3802" i="2"/>
  <c r="N3802" i="2"/>
  <c r="M3802" i="2"/>
  <c r="O3801" i="2"/>
  <c r="N3801" i="2"/>
  <c r="M3801" i="2"/>
  <c r="O3800" i="2"/>
  <c r="N3800" i="2"/>
  <c r="M3800" i="2"/>
  <c r="O3799" i="2"/>
  <c r="N3799" i="2"/>
  <c r="M3799" i="2"/>
  <c r="O3798" i="2"/>
  <c r="N3798" i="2"/>
  <c r="M3798" i="2"/>
  <c r="O3797" i="2"/>
  <c r="N3797" i="2"/>
  <c r="M3797" i="2"/>
  <c r="O3796" i="2"/>
  <c r="N3796" i="2"/>
  <c r="M3796" i="2"/>
  <c r="O3795" i="2"/>
  <c r="N3795" i="2"/>
  <c r="M3795" i="2"/>
  <c r="O3794" i="2"/>
  <c r="N3794" i="2"/>
  <c r="M3794" i="2"/>
  <c r="O3793" i="2"/>
  <c r="N3793" i="2"/>
  <c r="M3793" i="2"/>
  <c r="O3792" i="2"/>
  <c r="N3792" i="2"/>
  <c r="M3792" i="2"/>
  <c r="O3791" i="2"/>
  <c r="N3791" i="2"/>
  <c r="M3791" i="2"/>
  <c r="O3790" i="2"/>
  <c r="N3790" i="2"/>
  <c r="M3790" i="2"/>
  <c r="O3789" i="2"/>
  <c r="N3789" i="2"/>
  <c r="M3789" i="2"/>
  <c r="O3788" i="2"/>
  <c r="N3788" i="2"/>
  <c r="M3788" i="2"/>
  <c r="O3787" i="2"/>
  <c r="N3787" i="2"/>
  <c r="M3787" i="2"/>
  <c r="O3786" i="2"/>
  <c r="N3786" i="2"/>
  <c r="M3786" i="2"/>
  <c r="O3785" i="2"/>
  <c r="N3785" i="2"/>
  <c r="M3785" i="2"/>
  <c r="O3784" i="2"/>
  <c r="N3784" i="2"/>
  <c r="M3784" i="2"/>
  <c r="O3783" i="2"/>
  <c r="N3783" i="2"/>
  <c r="M3783" i="2"/>
  <c r="O3782" i="2"/>
  <c r="N3782" i="2"/>
  <c r="M3782" i="2"/>
  <c r="O3781" i="2"/>
  <c r="N3781" i="2"/>
  <c r="M3781" i="2"/>
  <c r="O3780" i="2"/>
  <c r="N3780" i="2"/>
  <c r="M3780" i="2"/>
  <c r="O3779" i="2"/>
  <c r="N3779" i="2"/>
  <c r="M3779" i="2"/>
  <c r="O3778" i="2"/>
  <c r="N3778" i="2"/>
  <c r="M3778" i="2"/>
  <c r="O3777" i="2"/>
  <c r="N3777" i="2"/>
  <c r="M3777" i="2"/>
  <c r="O3776" i="2"/>
  <c r="N3776" i="2"/>
  <c r="M3776" i="2"/>
  <c r="O3775" i="2"/>
  <c r="N3775" i="2"/>
  <c r="M3775" i="2"/>
  <c r="O3774" i="2"/>
  <c r="N3774" i="2"/>
  <c r="M3774" i="2"/>
  <c r="O3773" i="2"/>
  <c r="N3773" i="2"/>
  <c r="M3773" i="2"/>
  <c r="O3772" i="2"/>
  <c r="N3772" i="2"/>
  <c r="M3772" i="2"/>
  <c r="O3771" i="2"/>
  <c r="N3771" i="2"/>
  <c r="M3771" i="2"/>
  <c r="O3770" i="2"/>
  <c r="N3770" i="2"/>
  <c r="M3770" i="2"/>
  <c r="O3769" i="2"/>
  <c r="N3769" i="2"/>
  <c r="M3769" i="2"/>
  <c r="O3768" i="2"/>
  <c r="N3768" i="2"/>
  <c r="M3768" i="2"/>
  <c r="O3767" i="2"/>
  <c r="N3767" i="2"/>
  <c r="M3767" i="2"/>
  <c r="O3766" i="2"/>
  <c r="N3766" i="2"/>
  <c r="M3766" i="2"/>
  <c r="O3765" i="2"/>
  <c r="N3765" i="2"/>
  <c r="M3765" i="2"/>
  <c r="O3764" i="2"/>
  <c r="N3764" i="2"/>
  <c r="M3764" i="2"/>
  <c r="O3763" i="2"/>
  <c r="N3763" i="2"/>
  <c r="M3763" i="2"/>
  <c r="O3762" i="2"/>
  <c r="N3762" i="2"/>
  <c r="M3762" i="2"/>
  <c r="O3761" i="2"/>
  <c r="N3761" i="2"/>
  <c r="M3761" i="2"/>
  <c r="O3760" i="2"/>
  <c r="N3760" i="2"/>
  <c r="M3760" i="2"/>
  <c r="O3759" i="2"/>
  <c r="N3759" i="2"/>
  <c r="M3759" i="2"/>
  <c r="O3758" i="2"/>
  <c r="N3758" i="2"/>
  <c r="M3758" i="2"/>
  <c r="O3757" i="2"/>
  <c r="N3757" i="2"/>
  <c r="M3757" i="2"/>
  <c r="O3756" i="2"/>
  <c r="N3756" i="2"/>
  <c r="M3756" i="2"/>
  <c r="O3755" i="2"/>
  <c r="N3755" i="2"/>
  <c r="M3755" i="2"/>
  <c r="O3754" i="2"/>
  <c r="N3754" i="2"/>
  <c r="M3754" i="2"/>
  <c r="O3753" i="2"/>
  <c r="N3753" i="2"/>
  <c r="M3753" i="2"/>
  <c r="O3752" i="2"/>
  <c r="N3752" i="2"/>
  <c r="M3752" i="2"/>
  <c r="O3751" i="2"/>
  <c r="N3751" i="2"/>
  <c r="M3751" i="2"/>
  <c r="O3750" i="2"/>
  <c r="N3750" i="2"/>
  <c r="M3750" i="2"/>
  <c r="O3749" i="2"/>
  <c r="N3749" i="2"/>
  <c r="M3749" i="2"/>
  <c r="O3748" i="2"/>
  <c r="N3748" i="2"/>
  <c r="M3748" i="2"/>
  <c r="O3747" i="2"/>
  <c r="N3747" i="2"/>
  <c r="M3747" i="2"/>
  <c r="O3746" i="2"/>
  <c r="N3746" i="2"/>
  <c r="M3746" i="2"/>
  <c r="O3745" i="2"/>
  <c r="N3745" i="2"/>
  <c r="M3745" i="2"/>
  <c r="O3744" i="2"/>
  <c r="N3744" i="2"/>
  <c r="M3744" i="2"/>
  <c r="O3743" i="2"/>
  <c r="N3743" i="2"/>
  <c r="M3743" i="2"/>
  <c r="O3742" i="2"/>
  <c r="N3742" i="2"/>
  <c r="M3742" i="2"/>
  <c r="O3741" i="2"/>
  <c r="N3741" i="2"/>
  <c r="M3741" i="2"/>
  <c r="O3740" i="2"/>
  <c r="N3740" i="2"/>
  <c r="M3740" i="2"/>
  <c r="O3739" i="2"/>
  <c r="N3739" i="2"/>
  <c r="M3739" i="2"/>
  <c r="O3738" i="2"/>
  <c r="N3738" i="2"/>
  <c r="M3738" i="2"/>
  <c r="O3737" i="2"/>
  <c r="N3737" i="2"/>
  <c r="M3737" i="2"/>
  <c r="O3736" i="2"/>
  <c r="N3736" i="2"/>
  <c r="M3736" i="2"/>
  <c r="O3735" i="2"/>
  <c r="N3735" i="2"/>
  <c r="M3735" i="2"/>
  <c r="O3734" i="2"/>
  <c r="N3734" i="2"/>
  <c r="M3734" i="2"/>
  <c r="O3733" i="2"/>
  <c r="N3733" i="2"/>
  <c r="M3733" i="2"/>
  <c r="O3732" i="2"/>
  <c r="N3732" i="2"/>
  <c r="M3732" i="2"/>
  <c r="O3731" i="2"/>
  <c r="N3731" i="2"/>
  <c r="M3731" i="2"/>
  <c r="O3730" i="2"/>
  <c r="N3730" i="2"/>
  <c r="M3730" i="2"/>
  <c r="O3729" i="2"/>
  <c r="N3729" i="2"/>
  <c r="M3729" i="2"/>
  <c r="O3728" i="2"/>
  <c r="N3728" i="2"/>
  <c r="M3728" i="2"/>
  <c r="O3727" i="2"/>
  <c r="N3727" i="2"/>
  <c r="M3727" i="2"/>
  <c r="O3726" i="2"/>
  <c r="N3726" i="2"/>
  <c r="M3726" i="2"/>
  <c r="O3725" i="2"/>
  <c r="N3725" i="2"/>
  <c r="M3725" i="2"/>
  <c r="O3724" i="2"/>
  <c r="N3724" i="2"/>
  <c r="M3724" i="2"/>
  <c r="O3723" i="2"/>
  <c r="N3723" i="2"/>
  <c r="M3723" i="2"/>
  <c r="O3722" i="2"/>
  <c r="N3722" i="2"/>
  <c r="M3722" i="2"/>
  <c r="O3721" i="2"/>
  <c r="N3721" i="2"/>
  <c r="M3721" i="2"/>
  <c r="O3720" i="2"/>
  <c r="N3720" i="2"/>
  <c r="M3720" i="2"/>
  <c r="O3719" i="2"/>
  <c r="N3719" i="2"/>
  <c r="M3719" i="2"/>
  <c r="O3718" i="2"/>
  <c r="N3718" i="2"/>
  <c r="M3718" i="2"/>
  <c r="O3717" i="2"/>
  <c r="N3717" i="2"/>
  <c r="M3717" i="2"/>
  <c r="O3716" i="2"/>
  <c r="N3716" i="2"/>
  <c r="M3716" i="2"/>
  <c r="O3715" i="2"/>
  <c r="N3715" i="2"/>
  <c r="M3715" i="2"/>
  <c r="O3714" i="2"/>
  <c r="N3714" i="2"/>
  <c r="M3714" i="2"/>
  <c r="O3713" i="2"/>
  <c r="N3713" i="2"/>
  <c r="M3713" i="2"/>
  <c r="O3712" i="2"/>
  <c r="N3712" i="2"/>
  <c r="M3712" i="2"/>
  <c r="O3711" i="2"/>
  <c r="N3711" i="2"/>
  <c r="M3711" i="2"/>
  <c r="O3710" i="2"/>
  <c r="N3710" i="2"/>
  <c r="M3710" i="2"/>
  <c r="O3709" i="2"/>
  <c r="N3709" i="2"/>
  <c r="M3709" i="2"/>
  <c r="O3708" i="2"/>
  <c r="N3708" i="2"/>
  <c r="M3708" i="2"/>
  <c r="O3707" i="2"/>
  <c r="N3707" i="2"/>
  <c r="M3707" i="2"/>
  <c r="O3706" i="2"/>
  <c r="N3706" i="2"/>
  <c r="M3706" i="2"/>
  <c r="O3705" i="2"/>
  <c r="N3705" i="2"/>
  <c r="M3705" i="2"/>
  <c r="O3704" i="2"/>
  <c r="N3704" i="2"/>
  <c r="M3704" i="2"/>
  <c r="O3703" i="2"/>
  <c r="N3703" i="2"/>
  <c r="M3703" i="2"/>
  <c r="O3702" i="2"/>
  <c r="N3702" i="2"/>
  <c r="M3702" i="2"/>
  <c r="O3701" i="2"/>
  <c r="N3701" i="2"/>
  <c r="M3701" i="2"/>
  <c r="O3700" i="2"/>
  <c r="N3700" i="2"/>
  <c r="M3700" i="2"/>
  <c r="O3699" i="2"/>
  <c r="N3699" i="2"/>
  <c r="M3699" i="2"/>
  <c r="O3698" i="2"/>
  <c r="N3698" i="2"/>
  <c r="M3698" i="2"/>
  <c r="O3697" i="2"/>
  <c r="N3697" i="2"/>
  <c r="M3697" i="2"/>
  <c r="O3696" i="2"/>
  <c r="N3696" i="2"/>
  <c r="M3696" i="2"/>
  <c r="O3695" i="2"/>
  <c r="N3695" i="2"/>
  <c r="M3695" i="2"/>
  <c r="O3694" i="2"/>
  <c r="N3694" i="2"/>
  <c r="M3694" i="2"/>
  <c r="O3693" i="2"/>
  <c r="N3693" i="2"/>
  <c r="M3693" i="2"/>
  <c r="O3692" i="2"/>
  <c r="N3692" i="2"/>
  <c r="M3692" i="2"/>
  <c r="O3691" i="2"/>
  <c r="N3691" i="2"/>
  <c r="M3691" i="2"/>
  <c r="O3690" i="2"/>
  <c r="N3690" i="2"/>
  <c r="M3690" i="2"/>
  <c r="O3689" i="2"/>
  <c r="N3689" i="2"/>
  <c r="M3689" i="2"/>
  <c r="O3688" i="2"/>
  <c r="N3688" i="2"/>
  <c r="M3688" i="2"/>
  <c r="O3687" i="2"/>
  <c r="N3687" i="2"/>
  <c r="M3687" i="2"/>
  <c r="O3686" i="2"/>
  <c r="N3686" i="2"/>
  <c r="M3686" i="2"/>
  <c r="O3685" i="2"/>
  <c r="N3685" i="2"/>
  <c r="M3685" i="2"/>
  <c r="O3684" i="2"/>
  <c r="N3684" i="2"/>
  <c r="M3684" i="2"/>
  <c r="O3683" i="2"/>
  <c r="N3683" i="2"/>
  <c r="M3683" i="2"/>
  <c r="O3682" i="2"/>
  <c r="N3682" i="2"/>
  <c r="M3682" i="2"/>
  <c r="O3681" i="2"/>
  <c r="N3681" i="2"/>
  <c r="M3681" i="2"/>
  <c r="O3680" i="2"/>
  <c r="N3680" i="2"/>
  <c r="M3680" i="2"/>
  <c r="O3679" i="2"/>
  <c r="N3679" i="2"/>
  <c r="M3679" i="2"/>
  <c r="O3678" i="2"/>
  <c r="N3678" i="2"/>
  <c r="M3678" i="2"/>
  <c r="O3677" i="2"/>
  <c r="N3677" i="2"/>
  <c r="M3677" i="2"/>
  <c r="O3676" i="2"/>
  <c r="N3676" i="2"/>
  <c r="M3676" i="2"/>
  <c r="O3675" i="2"/>
  <c r="N3675" i="2"/>
  <c r="M3675" i="2"/>
  <c r="O3674" i="2"/>
  <c r="N3674" i="2"/>
  <c r="M3674" i="2"/>
  <c r="O3673" i="2"/>
  <c r="N3673" i="2"/>
  <c r="M3673" i="2"/>
  <c r="O3672" i="2"/>
  <c r="N3672" i="2"/>
  <c r="M3672" i="2"/>
  <c r="O3671" i="2"/>
  <c r="N3671" i="2"/>
  <c r="M3671" i="2"/>
  <c r="O3670" i="2"/>
  <c r="N3670" i="2"/>
  <c r="M3670" i="2"/>
  <c r="O3669" i="2"/>
  <c r="N3669" i="2"/>
  <c r="M3669" i="2"/>
  <c r="O3668" i="2"/>
  <c r="N3668" i="2"/>
  <c r="M3668" i="2"/>
  <c r="O3667" i="2"/>
  <c r="N3667" i="2"/>
  <c r="M3667" i="2"/>
  <c r="O3666" i="2"/>
  <c r="N3666" i="2"/>
  <c r="M3666" i="2"/>
  <c r="O3665" i="2"/>
  <c r="N3665" i="2"/>
  <c r="M3665" i="2"/>
  <c r="O3664" i="2"/>
  <c r="N3664" i="2"/>
  <c r="M3664" i="2"/>
  <c r="O3663" i="2"/>
  <c r="N3663" i="2"/>
  <c r="M3663" i="2"/>
  <c r="O3662" i="2"/>
  <c r="N3662" i="2"/>
  <c r="M3662" i="2"/>
  <c r="O3661" i="2"/>
  <c r="N3661" i="2"/>
  <c r="M3661" i="2"/>
  <c r="O3660" i="2"/>
  <c r="N3660" i="2"/>
  <c r="M3660" i="2"/>
  <c r="O3659" i="2"/>
  <c r="N3659" i="2"/>
  <c r="M3659" i="2"/>
  <c r="O3658" i="2"/>
  <c r="N3658" i="2"/>
  <c r="M3658" i="2"/>
  <c r="O3657" i="2"/>
  <c r="N3657" i="2"/>
  <c r="M3657" i="2"/>
  <c r="O3656" i="2"/>
  <c r="N3656" i="2"/>
  <c r="M3656" i="2"/>
  <c r="O3655" i="2"/>
  <c r="N3655" i="2"/>
  <c r="M3655" i="2"/>
  <c r="O3654" i="2"/>
  <c r="N3654" i="2"/>
  <c r="M3654" i="2"/>
  <c r="O3653" i="2"/>
  <c r="N3653" i="2"/>
  <c r="M3653" i="2"/>
  <c r="O3652" i="2"/>
  <c r="N3652" i="2"/>
  <c r="M3652" i="2"/>
  <c r="O3651" i="2"/>
  <c r="N3651" i="2"/>
  <c r="M3651" i="2"/>
  <c r="O3650" i="2"/>
  <c r="N3650" i="2"/>
  <c r="M3650" i="2"/>
  <c r="O3649" i="2"/>
  <c r="N3649" i="2"/>
  <c r="M3649" i="2"/>
  <c r="O3648" i="2"/>
  <c r="N3648" i="2"/>
  <c r="M3648" i="2"/>
  <c r="O3647" i="2"/>
  <c r="N3647" i="2"/>
  <c r="M3647" i="2"/>
  <c r="O3646" i="2"/>
  <c r="N3646" i="2"/>
  <c r="M3646" i="2"/>
  <c r="O3645" i="2"/>
  <c r="N3645" i="2"/>
  <c r="M3645" i="2"/>
  <c r="O3644" i="2"/>
  <c r="N3644" i="2"/>
  <c r="M3644" i="2"/>
  <c r="O3643" i="2"/>
  <c r="N3643" i="2"/>
  <c r="M3643" i="2"/>
  <c r="O3642" i="2"/>
  <c r="N3642" i="2"/>
  <c r="M3642" i="2"/>
  <c r="O3641" i="2"/>
  <c r="N3641" i="2"/>
  <c r="M3641" i="2"/>
  <c r="O3640" i="2"/>
  <c r="N3640" i="2"/>
  <c r="M3640" i="2"/>
  <c r="O3639" i="2"/>
  <c r="N3639" i="2"/>
  <c r="M3639" i="2"/>
  <c r="O3638" i="2"/>
  <c r="N3638" i="2"/>
  <c r="M3638" i="2"/>
  <c r="O3637" i="2"/>
  <c r="N3637" i="2"/>
  <c r="M3637" i="2"/>
  <c r="O3636" i="2"/>
  <c r="N3636" i="2"/>
  <c r="M3636" i="2"/>
  <c r="O3635" i="2"/>
  <c r="N3635" i="2"/>
  <c r="M3635" i="2"/>
  <c r="O3634" i="2"/>
  <c r="N3634" i="2"/>
  <c r="M3634" i="2"/>
  <c r="O3633" i="2"/>
  <c r="N3633" i="2"/>
  <c r="M3633" i="2"/>
  <c r="O3632" i="2"/>
  <c r="N3632" i="2"/>
  <c r="M3632" i="2"/>
  <c r="O3631" i="2"/>
  <c r="N3631" i="2"/>
  <c r="M3631" i="2"/>
  <c r="O3630" i="2"/>
  <c r="N3630" i="2"/>
  <c r="M3630" i="2"/>
  <c r="O3629" i="2"/>
  <c r="N3629" i="2"/>
  <c r="M3629" i="2"/>
  <c r="O3628" i="2"/>
  <c r="N3628" i="2"/>
  <c r="M3628" i="2"/>
  <c r="O3627" i="2"/>
  <c r="N3627" i="2"/>
  <c r="M3627" i="2"/>
  <c r="O3626" i="2"/>
  <c r="N3626" i="2"/>
  <c r="M3626" i="2"/>
  <c r="O3625" i="2"/>
  <c r="N3625" i="2"/>
  <c r="M3625" i="2"/>
  <c r="O3624" i="2"/>
  <c r="N3624" i="2"/>
  <c r="M3624" i="2"/>
  <c r="O3623" i="2"/>
  <c r="N3623" i="2"/>
  <c r="M3623" i="2"/>
  <c r="O3622" i="2"/>
  <c r="N3622" i="2"/>
  <c r="M3622" i="2"/>
  <c r="O3621" i="2"/>
  <c r="N3621" i="2"/>
  <c r="M3621" i="2"/>
  <c r="O3620" i="2"/>
  <c r="N3620" i="2"/>
  <c r="M3620" i="2"/>
  <c r="O3619" i="2"/>
  <c r="N3619" i="2"/>
  <c r="M3619" i="2"/>
  <c r="O3618" i="2"/>
  <c r="N3618" i="2"/>
  <c r="M3618" i="2"/>
  <c r="O3617" i="2"/>
  <c r="N3617" i="2"/>
  <c r="M3617" i="2"/>
  <c r="O3616" i="2"/>
  <c r="N3616" i="2"/>
  <c r="M3616" i="2"/>
  <c r="O3615" i="2"/>
  <c r="N3615" i="2"/>
  <c r="M3615" i="2"/>
  <c r="O3614" i="2"/>
  <c r="N3614" i="2"/>
  <c r="M3614" i="2"/>
  <c r="O3613" i="2"/>
  <c r="N3613" i="2"/>
  <c r="M3613" i="2"/>
  <c r="O3612" i="2"/>
  <c r="N3612" i="2"/>
  <c r="M3612" i="2"/>
  <c r="O3611" i="2"/>
  <c r="N3611" i="2"/>
  <c r="M3611" i="2"/>
  <c r="O3610" i="2"/>
  <c r="N3610" i="2"/>
  <c r="M3610" i="2"/>
  <c r="O3609" i="2"/>
  <c r="N3609" i="2"/>
  <c r="M3609" i="2"/>
  <c r="O3608" i="2"/>
  <c r="N3608" i="2"/>
  <c r="M3608" i="2"/>
  <c r="O3607" i="2"/>
  <c r="N3607" i="2"/>
  <c r="M3607" i="2"/>
  <c r="O3606" i="2"/>
  <c r="N3606" i="2"/>
  <c r="M3606" i="2"/>
  <c r="O3605" i="2"/>
  <c r="N3605" i="2"/>
  <c r="M3605" i="2"/>
  <c r="O3604" i="2"/>
  <c r="N3604" i="2"/>
  <c r="M3604" i="2"/>
  <c r="O3603" i="2"/>
  <c r="N3603" i="2"/>
  <c r="M3603" i="2"/>
  <c r="O3602" i="2"/>
  <c r="N3602" i="2"/>
  <c r="M3602" i="2"/>
  <c r="O3601" i="2"/>
  <c r="N3601" i="2"/>
  <c r="M3601" i="2"/>
  <c r="O3600" i="2"/>
  <c r="N3600" i="2"/>
  <c r="M3600" i="2"/>
  <c r="O3599" i="2"/>
  <c r="N3599" i="2"/>
  <c r="M3599" i="2"/>
  <c r="O3598" i="2"/>
  <c r="N3598" i="2"/>
  <c r="M3598" i="2"/>
  <c r="O3597" i="2"/>
  <c r="N3597" i="2"/>
  <c r="M3597" i="2"/>
  <c r="O3596" i="2"/>
  <c r="N3596" i="2"/>
  <c r="M3596" i="2"/>
  <c r="O3595" i="2"/>
  <c r="N3595" i="2"/>
  <c r="M3595" i="2"/>
  <c r="O3594" i="2"/>
  <c r="N3594" i="2"/>
  <c r="M3594" i="2"/>
  <c r="O3593" i="2"/>
  <c r="N3593" i="2"/>
  <c r="M3593" i="2"/>
  <c r="O3592" i="2"/>
  <c r="N3592" i="2"/>
  <c r="M3592" i="2"/>
  <c r="O3591" i="2"/>
  <c r="N3591" i="2"/>
  <c r="M3591" i="2"/>
  <c r="O3590" i="2"/>
  <c r="N3590" i="2"/>
  <c r="M3590" i="2"/>
  <c r="O3589" i="2"/>
  <c r="N3589" i="2"/>
  <c r="M3589" i="2"/>
  <c r="O3588" i="2"/>
  <c r="N3588" i="2"/>
  <c r="M3588" i="2"/>
  <c r="O3587" i="2"/>
  <c r="N3587" i="2"/>
  <c r="M3587" i="2"/>
  <c r="O3586" i="2"/>
  <c r="N3586" i="2"/>
  <c r="M3586" i="2"/>
  <c r="O3585" i="2"/>
  <c r="N3585" i="2"/>
  <c r="M3585" i="2"/>
  <c r="O3584" i="2"/>
  <c r="N3584" i="2"/>
  <c r="M3584" i="2"/>
  <c r="O3583" i="2"/>
  <c r="N3583" i="2"/>
  <c r="M3583" i="2"/>
  <c r="O3582" i="2"/>
  <c r="N3582" i="2"/>
  <c r="M3582" i="2"/>
  <c r="O3581" i="2"/>
  <c r="N3581" i="2"/>
  <c r="M3581" i="2"/>
  <c r="O3580" i="2"/>
  <c r="N3580" i="2"/>
  <c r="M3580" i="2"/>
  <c r="O3579" i="2"/>
  <c r="N3579" i="2"/>
  <c r="M3579" i="2"/>
  <c r="O3578" i="2"/>
  <c r="N3578" i="2"/>
  <c r="M3578" i="2"/>
  <c r="O3577" i="2"/>
  <c r="N3577" i="2"/>
  <c r="M3577" i="2"/>
  <c r="O3576" i="2"/>
  <c r="N3576" i="2"/>
  <c r="M3576" i="2"/>
  <c r="O3575" i="2"/>
  <c r="N3575" i="2"/>
  <c r="M3575" i="2"/>
  <c r="O3574" i="2"/>
  <c r="N3574" i="2"/>
  <c r="M3574" i="2"/>
  <c r="O3573" i="2"/>
  <c r="N3573" i="2"/>
  <c r="M3573" i="2"/>
  <c r="O3572" i="2"/>
  <c r="N3572" i="2"/>
  <c r="M3572" i="2"/>
  <c r="O3571" i="2"/>
  <c r="N3571" i="2"/>
  <c r="M3571" i="2"/>
  <c r="O3570" i="2"/>
  <c r="N3570" i="2"/>
  <c r="M3570" i="2"/>
  <c r="O3569" i="2"/>
  <c r="N3569" i="2"/>
  <c r="M3569" i="2"/>
  <c r="O3568" i="2"/>
  <c r="N3568" i="2"/>
  <c r="M3568" i="2"/>
  <c r="O3567" i="2"/>
  <c r="N3567" i="2"/>
  <c r="M3567" i="2"/>
  <c r="O3566" i="2"/>
  <c r="N3566" i="2"/>
  <c r="M3566" i="2"/>
  <c r="O3565" i="2"/>
  <c r="N3565" i="2"/>
  <c r="M3565" i="2"/>
  <c r="O3564" i="2"/>
  <c r="N3564" i="2"/>
  <c r="M3564" i="2"/>
  <c r="O3563" i="2"/>
  <c r="N3563" i="2"/>
  <c r="M3563" i="2"/>
  <c r="O3562" i="2"/>
  <c r="N3562" i="2"/>
  <c r="M3562" i="2"/>
  <c r="O3561" i="2"/>
  <c r="N3561" i="2"/>
  <c r="M3561" i="2"/>
  <c r="O3560" i="2"/>
  <c r="N3560" i="2"/>
  <c r="M3560" i="2"/>
  <c r="O3559" i="2"/>
  <c r="N3559" i="2"/>
  <c r="M3559" i="2"/>
  <c r="O3558" i="2"/>
  <c r="N3558" i="2"/>
  <c r="M3558" i="2"/>
  <c r="O3557" i="2"/>
  <c r="N3557" i="2"/>
  <c r="M3557" i="2"/>
  <c r="O3556" i="2"/>
  <c r="N3556" i="2"/>
  <c r="M3556" i="2"/>
  <c r="O3555" i="2"/>
  <c r="N3555" i="2"/>
  <c r="M3555" i="2"/>
  <c r="O3554" i="2"/>
  <c r="N3554" i="2"/>
  <c r="M3554" i="2"/>
  <c r="O3553" i="2"/>
  <c r="N3553" i="2"/>
  <c r="M3553" i="2"/>
  <c r="O3552" i="2"/>
  <c r="N3552" i="2"/>
  <c r="M3552" i="2"/>
  <c r="O3551" i="2"/>
  <c r="N3551" i="2"/>
  <c r="M3551" i="2"/>
  <c r="O3550" i="2"/>
  <c r="N3550" i="2"/>
  <c r="M3550" i="2"/>
  <c r="O3549" i="2"/>
  <c r="N3549" i="2"/>
  <c r="M3549" i="2"/>
  <c r="O3548" i="2"/>
  <c r="N3548" i="2"/>
  <c r="M3548" i="2"/>
  <c r="O3547" i="2"/>
  <c r="N3547" i="2"/>
  <c r="M3547" i="2"/>
  <c r="O3546" i="2"/>
  <c r="N3546" i="2"/>
  <c r="M3546" i="2"/>
  <c r="O3545" i="2"/>
  <c r="N3545" i="2"/>
  <c r="M3545" i="2"/>
  <c r="O3544" i="2"/>
  <c r="N3544" i="2"/>
  <c r="M3544" i="2"/>
  <c r="O3543" i="2"/>
  <c r="N3543" i="2"/>
  <c r="M3543" i="2"/>
  <c r="O3542" i="2"/>
  <c r="N3542" i="2"/>
  <c r="M3542" i="2"/>
  <c r="O3541" i="2"/>
  <c r="N3541" i="2"/>
  <c r="M3541" i="2"/>
  <c r="O3540" i="2"/>
  <c r="N3540" i="2"/>
  <c r="M3540" i="2"/>
  <c r="O3539" i="2"/>
  <c r="N3539" i="2"/>
  <c r="M3539" i="2"/>
  <c r="O3538" i="2"/>
  <c r="N3538" i="2"/>
  <c r="M3538" i="2"/>
  <c r="O3537" i="2"/>
  <c r="N3537" i="2"/>
  <c r="M3537" i="2"/>
  <c r="O3536" i="2"/>
  <c r="N3536" i="2"/>
  <c r="M3536" i="2"/>
  <c r="O3535" i="2"/>
  <c r="N3535" i="2"/>
  <c r="M3535" i="2"/>
  <c r="O3534" i="2"/>
  <c r="N3534" i="2"/>
  <c r="M3534" i="2"/>
  <c r="O3533" i="2"/>
  <c r="N3533" i="2"/>
  <c r="M3533" i="2"/>
  <c r="O3532" i="2"/>
  <c r="N3532" i="2"/>
  <c r="M3532" i="2"/>
  <c r="O3531" i="2"/>
  <c r="N3531" i="2"/>
  <c r="M3531" i="2"/>
  <c r="O3530" i="2"/>
  <c r="N3530" i="2"/>
  <c r="M3530" i="2"/>
  <c r="O3529" i="2"/>
  <c r="N3529" i="2"/>
  <c r="M3529" i="2"/>
  <c r="O3528" i="2"/>
  <c r="N3528" i="2"/>
  <c r="M3528" i="2"/>
  <c r="O3527" i="2"/>
  <c r="N3527" i="2"/>
  <c r="M3527" i="2"/>
  <c r="O3526" i="2"/>
  <c r="N3526" i="2"/>
  <c r="M3526" i="2"/>
  <c r="O3525" i="2"/>
  <c r="N3525" i="2"/>
  <c r="M3525" i="2"/>
  <c r="O3524" i="2"/>
  <c r="N3524" i="2"/>
  <c r="M3524" i="2"/>
  <c r="O3523" i="2"/>
  <c r="N3523" i="2"/>
  <c r="M3523" i="2"/>
  <c r="O3522" i="2"/>
  <c r="N3522" i="2"/>
  <c r="M3522" i="2"/>
  <c r="O3521" i="2"/>
  <c r="N3521" i="2"/>
  <c r="M3521" i="2"/>
  <c r="O3520" i="2"/>
  <c r="N3520" i="2"/>
  <c r="M3520" i="2"/>
  <c r="O3519" i="2"/>
  <c r="N3519" i="2"/>
  <c r="M3519" i="2"/>
  <c r="O3518" i="2"/>
  <c r="N3518" i="2"/>
  <c r="M3518" i="2"/>
  <c r="O3517" i="2"/>
  <c r="N3517" i="2"/>
  <c r="M3517" i="2"/>
  <c r="O3516" i="2"/>
  <c r="N3516" i="2"/>
  <c r="M3516" i="2"/>
  <c r="O3515" i="2"/>
  <c r="N3515" i="2"/>
  <c r="M3515" i="2"/>
  <c r="O3514" i="2"/>
  <c r="N3514" i="2"/>
  <c r="M3514" i="2"/>
  <c r="O3513" i="2"/>
  <c r="N3513" i="2"/>
  <c r="M3513" i="2"/>
  <c r="O3512" i="2"/>
  <c r="N3512" i="2"/>
  <c r="M3512" i="2"/>
  <c r="O3511" i="2"/>
  <c r="N3511" i="2"/>
  <c r="M3511" i="2"/>
  <c r="O3510" i="2"/>
  <c r="N3510" i="2"/>
  <c r="M3510" i="2"/>
  <c r="O3509" i="2"/>
  <c r="N3509" i="2"/>
  <c r="M3509" i="2"/>
  <c r="O3508" i="2"/>
  <c r="N3508" i="2"/>
  <c r="M3508" i="2"/>
  <c r="O3507" i="2"/>
  <c r="N3507" i="2"/>
  <c r="M3507" i="2"/>
  <c r="O3506" i="2"/>
  <c r="N3506" i="2"/>
  <c r="M3506" i="2"/>
  <c r="O3505" i="2"/>
  <c r="N3505" i="2"/>
  <c r="M3505" i="2"/>
  <c r="O3504" i="2"/>
  <c r="N3504" i="2"/>
  <c r="M3504" i="2"/>
  <c r="O3503" i="2"/>
  <c r="N3503" i="2"/>
  <c r="M3503" i="2"/>
  <c r="O3502" i="2"/>
  <c r="N3502" i="2"/>
  <c r="M3502" i="2"/>
  <c r="O3501" i="2"/>
  <c r="N3501" i="2"/>
  <c r="M3501" i="2"/>
  <c r="O3500" i="2"/>
  <c r="N3500" i="2"/>
  <c r="M3500" i="2"/>
  <c r="O3499" i="2"/>
  <c r="N3499" i="2"/>
  <c r="M3499" i="2"/>
  <c r="O3498" i="2"/>
  <c r="N3498" i="2"/>
  <c r="M3498" i="2"/>
  <c r="O3497" i="2"/>
  <c r="N3497" i="2"/>
  <c r="M3497" i="2"/>
  <c r="O3496" i="2"/>
  <c r="N3496" i="2"/>
  <c r="M3496" i="2"/>
  <c r="O3495" i="2"/>
  <c r="N3495" i="2"/>
  <c r="M3495" i="2"/>
  <c r="O3494" i="2"/>
  <c r="N3494" i="2"/>
  <c r="M3494" i="2"/>
  <c r="O3493" i="2"/>
  <c r="N3493" i="2"/>
  <c r="M3493" i="2"/>
  <c r="O3492" i="2"/>
  <c r="N3492" i="2"/>
  <c r="M3492" i="2"/>
  <c r="O3491" i="2"/>
  <c r="N3491" i="2"/>
  <c r="M3491" i="2"/>
  <c r="O3490" i="2"/>
  <c r="N3490" i="2"/>
  <c r="M3490" i="2"/>
  <c r="O3489" i="2"/>
  <c r="N3489" i="2"/>
  <c r="M3489" i="2"/>
  <c r="O3488" i="2"/>
  <c r="N3488" i="2"/>
  <c r="M3488" i="2"/>
  <c r="O3487" i="2"/>
  <c r="N3487" i="2"/>
  <c r="M3487" i="2"/>
  <c r="O3486" i="2"/>
  <c r="N3486" i="2"/>
  <c r="M3486" i="2"/>
  <c r="O3485" i="2"/>
  <c r="N3485" i="2"/>
  <c r="M3485" i="2"/>
  <c r="O3484" i="2"/>
  <c r="N3484" i="2"/>
  <c r="M3484" i="2"/>
  <c r="O3483" i="2"/>
  <c r="N3483" i="2"/>
  <c r="M3483" i="2"/>
  <c r="O3482" i="2"/>
  <c r="N3482" i="2"/>
  <c r="M3482" i="2"/>
  <c r="O3481" i="2"/>
  <c r="N3481" i="2"/>
  <c r="M3481" i="2"/>
  <c r="O3480" i="2"/>
  <c r="N3480" i="2"/>
  <c r="M3480" i="2"/>
  <c r="O3479" i="2"/>
  <c r="N3479" i="2"/>
  <c r="M3479" i="2"/>
  <c r="O3478" i="2"/>
  <c r="N3478" i="2"/>
  <c r="M3478" i="2"/>
  <c r="O3477" i="2"/>
  <c r="N3477" i="2"/>
  <c r="M3477" i="2"/>
  <c r="O3476" i="2"/>
  <c r="N3476" i="2"/>
  <c r="M3476" i="2"/>
  <c r="O3475" i="2"/>
  <c r="N3475" i="2"/>
  <c r="M3475" i="2"/>
  <c r="O3474" i="2"/>
  <c r="N3474" i="2"/>
  <c r="M3474" i="2"/>
  <c r="O3473" i="2"/>
  <c r="N3473" i="2"/>
  <c r="M3473" i="2"/>
  <c r="O3472" i="2"/>
  <c r="N3472" i="2"/>
  <c r="M3472" i="2"/>
  <c r="O3471" i="2"/>
  <c r="N3471" i="2"/>
  <c r="M3471" i="2"/>
  <c r="O3470" i="2"/>
  <c r="N3470" i="2"/>
  <c r="M3470" i="2"/>
  <c r="O3469" i="2"/>
  <c r="N3469" i="2"/>
  <c r="M3469" i="2"/>
  <c r="O3468" i="2"/>
  <c r="N3468" i="2"/>
  <c r="M3468" i="2"/>
  <c r="O3467" i="2"/>
  <c r="N3467" i="2"/>
  <c r="M3467" i="2"/>
  <c r="O3466" i="2"/>
  <c r="N3466" i="2"/>
  <c r="M3466" i="2"/>
  <c r="O3465" i="2"/>
  <c r="N3465" i="2"/>
  <c r="M3465" i="2"/>
  <c r="O3464" i="2"/>
  <c r="N3464" i="2"/>
  <c r="M3464" i="2"/>
  <c r="O3463" i="2"/>
  <c r="N3463" i="2"/>
  <c r="M3463" i="2"/>
  <c r="O3462" i="2"/>
  <c r="N3462" i="2"/>
  <c r="M3462" i="2"/>
  <c r="O3461" i="2"/>
  <c r="N3461" i="2"/>
  <c r="M3461" i="2"/>
  <c r="O3460" i="2"/>
  <c r="N3460" i="2"/>
  <c r="M3460" i="2"/>
  <c r="O3459" i="2"/>
  <c r="N3459" i="2"/>
  <c r="M3459" i="2"/>
  <c r="O3458" i="2"/>
  <c r="N3458" i="2"/>
  <c r="M3458" i="2"/>
  <c r="O3457" i="2"/>
  <c r="N3457" i="2"/>
  <c r="M3457" i="2"/>
  <c r="O3456" i="2"/>
  <c r="N3456" i="2"/>
  <c r="M3456" i="2"/>
  <c r="O3455" i="2"/>
  <c r="N3455" i="2"/>
  <c r="M3455" i="2"/>
  <c r="O3454" i="2"/>
  <c r="N3454" i="2"/>
  <c r="M3454" i="2"/>
  <c r="O3453" i="2"/>
  <c r="N3453" i="2"/>
  <c r="M3453" i="2"/>
  <c r="O3452" i="2"/>
  <c r="N3452" i="2"/>
  <c r="M3452" i="2"/>
  <c r="O3451" i="2"/>
  <c r="N3451" i="2"/>
  <c r="M3451" i="2"/>
  <c r="O3450" i="2"/>
  <c r="N3450" i="2"/>
  <c r="M3450" i="2"/>
  <c r="O3449" i="2"/>
  <c r="N3449" i="2"/>
  <c r="M3449" i="2"/>
  <c r="O3448" i="2"/>
  <c r="N3448" i="2"/>
  <c r="M3448" i="2"/>
  <c r="O3447" i="2"/>
  <c r="N3447" i="2"/>
  <c r="M3447" i="2"/>
  <c r="O3446" i="2"/>
  <c r="N3446" i="2"/>
  <c r="M3446" i="2"/>
  <c r="O3445" i="2"/>
  <c r="N3445" i="2"/>
  <c r="M3445" i="2"/>
  <c r="O3444" i="2"/>
  <c r="N3444" i="2"/>
  <c r="M3444" i="2"/>
  <c r="O3443" i="2"/>
  <c r="N3443" i="2"/>
  <c r="M3443" i="2"/>
  <c r="O3442" i="2"/>
  <c r="N3442" i="2"/>
  <c r="M3442" i="2"/>
  <c r="O3441" i="2"/>
  <c r="N3441" i="2"/>
  <c r="M3441" i="2"/>
  <c r="O3440" i="2"/>
  <c r="N3440" i="2"/>
  <c r="M3440" i="2"/>
  <c r="O3439" i="2"/>
  <c r="N3439" i="2"/>
  <c r="M3439" i="2"/>
  <c r="O3438" i="2"/>
  <c r="N3438" i="2"/>
  <c r="M3438" i="2"/>
  <c r="O3437" i="2"/>
  <c r="N3437" i="2"/>
  <c r="M3437" i="2"/>
  <c r="O3436" i="2"/>
  <c r="N3436" i="2"/>
  <c r="M3436" i="2"/>
  <c r="O3435" i="2"/>
  <c r="N3435" i="2"/>
  <c r="M3435" i="2"/>
  <c r="O3434" i="2"/>
  <c r="N3434" i="2"/>
  <c r="M3434" i="2"/>
  <c r="O3433" i="2"/>
  <c r="N3433" i="2"/>
  <c r="M3433" i="2"/>
  <c r="O3432" i="2"/>
  <c r="N3432" i="2"/>
  <c r="M3432" i="2"/>
  <c r="O3431" i="2"/>
  <c r="N3431" i="2"/>
  <c r="M3431" i="2"/>
  <c r="O3430" i="2"/>
  <c r="N3430" i="2"/>
  <c r="M3430" i="2"/>
  <c r="O3429" i="2"/>
  <c r="N3429" i="2"/>
  <c r="M3429" i="2"/>
  <c r="O3428" i="2"/>
  <c r="N3428" i="2"/>
  <c r="M3428" i="2"/>
  <c r="O3427" i="2"/>
  <c r="N3427" i="2"/>
  <c r="M3427" i="2"/>
  <c r="O3426" i="2"/>
  <c r="N3426" i="2"/>
  <c r="M3426" i="2"/>
  <c r="O3425" i="2"/>
  <c r="N3425" i="2"/>
  <c r="M3425" i="2"/>
  <c r="O3424" i="2"/>
  <c r="N3424" i="2"/>
  <c r="M3424" i="2"/>
  <c r="O3423" i="2"/>
  <c r="N3423" i="2"/>
  <c r="M3423" i="2"/>
  <c r="O3422" i="2"/>
  <c r="N3422" i="2"/>
  <c r="M3422" i="2"/>
  <c r="O3421" i="2"/>
  <c r="N3421" i="2"/>
  <c r="M3421" i="2"/>
  <c r="O3420" i="2"/>
  <c r="N3420" i="2"/>
  <c r="M3420" i="2"/>
  <c r="O3419" i="2"/>
  <c r="N3419" i="2"/>
  <c r="M3419" i="2"/>
  <c r="O3418" i="2"/>
  <c r="N3418" i="2"/>
  <c r="M3418" i="2"/>
  <c r="O3417" i="2"/>
  <c r="N3417" i="2"/>
  <c r="M3417" i="2"/>
  <c r="O3416" i="2"/>
  <c r="N3416" i="2"/>
  <c r="M3416" i="2"/>
  <c r="O3415" i="2"/>
  <c r="N3415" i="2"/>
  <c r="M3415" i="2"/>
  <c r="O3414" i="2"/>
  <c r="N3414" i="2"/>
  <c r="M3414" i="2"/>
  <c r="O3413" i="2"/>
  <c r="N3413" i="2"/>
  <c r="M3413" i="2"/>
  <c r="O3412" i="2"/>
  <c r="N3412" i="2"/>
  <c r="M3412" i="2"/>
  <c r="O3411" i="2"/>
  <c r="N3411" i="2"/>
  <c r="M3411" i="2"/>
  <c r="O3410" i="2"/>
  <c r="N3410" i="2"/>
  <c r="M3410" i="2"/>
  <c r="O3409" i="2"/>
  <c r="N3409" i="2"/>
  <c r="M3409" i="2"/>
  <c r="O3408" i="2"/>
  <c r="N3408" i="2"/>
  <c r="M3408" i="2"/>
  <c r="O3407" i="2"/>
  <c r="N3407" i="2"/>
  <c r="M3407" i="2"/>
  <c r="O3406" i="2"/>
  <c r="N3406" i="2"/>
  <c r="M3406" i="2"/>
  <c r="O3405" i="2"/>
  <c r="N3405" i="2"/>
  <c r="M3405" i="2"/>
  <c r="O3404" i="2"/>
  <c r="N3404" i="2"/>
  <c r="M3404" i="2"/>
  <c r="O3403" i="2"/>
  <c r="N3403" i="2"/>
  <c r="M3403" i="2"/>
  <c r="O3402" i="2"/>
  <c r="N3402" i="2"/>
  <c r="M3402" i="2"/>
  <c r="O3401" i="2"/>
  <c r="N3401" i="2"/>
  <c r="M3401" i="2"/>
  <c r="O3400" i="2"/>
  <c r="N3400" i="2"/>
  <c r="M3400" i="2"/>
  <c r="O3399" i="2"/>
  <c r="N3399" i="2"/>
  <c r="M3399" i="2"/>
  <c r="O3398" i="2"/>
  <c r="N3398" i="2"/>
  <c r="M3398" i="2"/>
  <c r="O3397" i="2"/>
  <c r="N3397" i="2"/>
  <c r="M3397" i="2"/>
  <c r="O3396" i="2"/>
  <c r="N3396" i="2"/>
  <c r="M3396" i="2"/>
  <c r="O3395" i="2"/>
  <c r="N3395" i="2"/>
  <c r="M3395" i="2"/>
  <c r="O3394" i="2"/>
  <c r="N3394" i="2"/>
  <c r="M3394" i="2"/>
  <c r="O3393" i="2"/>
  <c r="N3393" i="2"/>
  <c r="M3393" i="2"/>
  <c r="O3392" i="2"/>
  <c r="N3392" i="2"/>
  <c r="M3392" i="2"/>
  <c r="O3391" i="2"/>
  <c r="N3391" i="2"/>
  <c r="M3391" i="2"/>
  <c r="O3390" i="2"/>
  <c r="N3390" i="2"/>
  <c r="M3390" i="2"/>
  <c r="O3389" i="2"/>
  <c r="N3389" i="2"/>
  <c r="M3389" i="2"/>
  <c r="O3388" i="2"/>
  <c r="N3388" i="2"/>
  <c r="M3388" i="2"/>
  <c r="O3387" i="2"/>
  <c r="N3387" i="2"/>
  <c r="M3387" i="2"/>
  <c r="O3386" i="2"/>
  <c r="N3386" i="2"/>
  <c r="M3386" i="2"/>
  <c r="O3385" i="2"/>
  <c r="N3385" i="2"/>
  <c r="M3385" i="2"/>
  <c r="O3384" i="2"/>
  <c r="N3384" i="2"/>
  <c r="M3384" i="2"/>
  <c r="O3383" i="2"/>
  <c r="N3383" i="2"/>
  <c r="M3383" i="2"/>
  <c r="O3382" i="2"/>
  <c r="N3382" i="2"/>
  <c r="M3382" i="2"/>
  <c r="O3381" i="2"/>
  <c r="N3381" i="2"/>
  <c r="M3381" i="2"/>
  <c r="O3380" i="2"/>
  <c r="N3380" i="2"/>
  <c r="M3380" i="2"/>
  <c r="O3379" i="2"/>
  <c r="N3379" i="2"/>
  <c r="M3379" i="2"/>
  <c r="O3378" i="2"/>
  <c r="N3378" i="2"/>
  <c r="M3378" i="2"/>
  <c r="O3377" i="2"/>
  <c r="N3377" i="2"/>
  <c r="M3377" i="2"/>
  <c r="O3376" i="2"/>
  <c r="N3376" i="2"/>
  <c r="M3376" i="2"/>
  <c r="O3375" i="2"/>
  <c r="N3375" i="2"/>
  <c r="M3375" i="2"/>
  <c r="O3374" i="2"/>
  <c r="N3374" i="2"/>
  <c r="M3374" i="2"/>
  <c r="O3373" i="2"/>
  <c r="N3373" i="2"/>
  <c r="M3373" i="2"/>
  <c r="O3372" i="2"/>
  <c r="N3372" i="2"/>
  <c r="M3372" i="2"/>
  <c r="O3371" i="2"/>
  <c r="N3371" i="2"/>
  <c r="M3371" i="2"/>
  <c r="O3370" i="2"/>
  <c r="N3370" i="2"/>
  <c r="M3370" i="2"/>
  <c r="O3369" i="2"/>
  <c r="N3369" i="2"/>
  <c r="M3369" i="2"/>
  <c r="O3368" i="2"/>
  <c r="N3368" i="2"/>
  <c r="M3368" i="2"/>
  <c r="O3367" i="2"/>
  <c r="N3367" i="2"/>
  <c r="M3367" i="2"/>
  <c r="O3366" i="2"/>
  <c r="N3366" i="2"/>
  <c r="M3366" i="2"/>
  <c r="O3365" i="2"/>
  <c r="N3365" i="2"/>
  <c r="M3365" i="2"/>
  <c r="O3364" i="2"/>
  <c r="N3364" i="2"/>
  <c r="M3364" i="2"/>
  <c r="O3363" i="2"/>
  <c r="N3363" i="2"/>
  <c r="M3363" i="2"/>
  <c r="O3362" i="2"/>
  <c r="N3362" i="2"/>
  <c r="M3362" i="2"/>
  <c r="O3361" i="2"/>
  <c r="N3361" i="2"/>
  <c r="M3361" i="2"/>
  <c r="O3360" i="2"/>
  <c r="N3360" i="2"/>
  <c r="M3360" i="2"/>
  <c r="O3359" i="2"/>
  <c r="N3359" i="2"/>
  <c r="M3359" i="2"/>
  <c r="O3358" i="2"/>
  <c r="N3358" i="2"/>
  <c r="M3358" i="2"/>
  <c r="O3357" i="2"/>
  <c r="N3357" i="2"/>
  <c r="M3357" i="2"/>
  <c r="O3356" i="2"/>
  <c r="N3356" i="2"/>
  <c r="M3356" i="2"/>
  <c r="O3355" i="2"/>
  <c r="N3355" i="2"/>
  <c r="M3355" i="2"/>
  <c r="O3354" i="2"/>
  <c r="N3354" i="2"/>
  <c r="M3354" i="2"/>
  <c r="O3353" i="2"/>
  <c r="N3353" i="2"/>
  <c r="M3353" i="2"/>
  <c r="O3352" i="2"/>
  <c r="N3352" i="2"/>
  <c r="M3352" i="2"/>
  <c r="O3351" i="2"/>
  <c r="N3351" i="2"/>
  <c r="M3351" i="2"/>
  <c r="O3350" i="2"/>
  <c r="N3350" i="2"/>
  <c r="M3350" i="2"/>
  <c r="O3349" i="2"/>
  <c r="N3349" i="2"/>
  <c r="M3349" i="2"/>
  <c r="O3348" i="2"/>
  <c r="N3348" i="2"/>
  <c r="M3348" i="2"/>
  <c r="O3347" i="2"/>
  <c r="N3347" i="2"/>
  <c r="M3347" i="2"/>
  <c r="O3346" i="2"/>
  <c r="N3346" i="2"/>
  <c r="M3346" i="2"/>
  <c r="O3345" i="2"/>
  <c r="N3345" i="2"/>
  <c r="M3345" i="2"/>
  <c r="O3344" i="2"/>
  <c r="N3344" i="2"/>
  <c r="M3344" i="2"/>
  <c r="O3343" i="2"/>
  <c r="N3343" i="2"/>
  <c r="M3343" i="2"/>
  <c r="O3342" i="2"/>
  <c r="N3342" i="2"/>
  <c r="M3342" i="2"/>
  <c r="O3341" i="2"/>
  <c r="N3341" i="2"/>
  <c r="M3341" i="2"/>
  <c r="O3340" i="2"/>
  <c r="N3340" i="2"/>
  <c r="M3340" i="2"/>
  <c r="O3339" i="2"/>
  <c r="N3339" i="2"/>
  <c r="M3339" i="2"/>
  <c r="O3338" i="2"/>
  <c r="N3338" i="2"/>
  <c r="M3338" i="2"/>
  <c r="O3337" i="2"/>
  <c r="N3337" i="2"/>
  <c r="M3337" i="2"/>
  <c r="O3336" i="2"/>
  <c r="N3336" i="2"/>
  <c r="M3336" i="2"/>
  <c r="O3335" i="2"/>
  <c r="N3335" i="2"/>
  <c r="M3335" i="2"/>
  <c r="O3334" i="2"/>
  <c r="N3334" i="2"/>
  <c r="M3334" i="2"/>
  <c r="O3333" i="2"/>
  <c r="N3333" i="2"/>
  <c r="M3333" i="2"/>
  <c r="O3332" i="2"/>
  <c r="N3332" i="2"/>
  <c r="M3332" i="2"/>
  <c r="O3331" i="2"/>
  <c r="N3331" i="2"/>
  <c r="M3331" i="2"/>
  <c r="O3330" i="2"/>
  <c r="N3330" i="2"/>
  <c r="M3330" i="2"/>
  <c r="O3329" i="2"/>
  <c r="N3329" i="2"/>
  <c r="M3329" i="2"/>
  <c r="O3328" i="2"/>
  <c r="N3328" i="2"/>
  <c r="M3328" i="2"/>
  <c r="O3327" i="2"/>
  <c r="N3327" i="2"/>
  <c r="M3327" i="2"/>
  <c r="O3326" i="2"/>
  <c r="N3326" i="2"/>
  <c r="M3326" i="2"/>
  <c r="O3325" i="2"/>
  <c r="N3325" i="2"/>
  <c r="M3325" i="2"/>
  <c r="O3324" i="2"/>
  <c r="N3324" i="2"/>
  <c r="M3324" i="2"/>
  <c r="O3323" i="2"/>
  <c r="N3323" i="2"/>
  <c r="M3323" i="2"/>
  <c r="O3322" i="2"/>
  <c r="N3322" i="2"/>
  <c r="M3322" i="2"/>
  <c r="O3321" i="2"/>
  <c r="N3321" i="2"/>
  <c r="M3321" i="2"/>
  <c r="O3320" i="2"/>
  <c r="N3320" i="2"/>
  <c r="M3320" i="2"/>
  <c r="O3319" i="2"/>
  <c r="N3319" i="2"/>
  <c r="M3319" i="2"/>
  <c r="O3318" i="2"/>
  <c r="N3318" i="2"/>
  <c r="M3318" i="2"/>
  <c r="O3317" i="2"/>
  <c r="N3317" i="2"/>
  <c r="M3317" i="2"/>
  <c r="O3316" i="2"/>
  <c r="N3316" i="2"/>
  <c r="M3316" i="2"/>
  <c r="O3315" i="2"/>
  <c r="N3315" i="2"/>
  <c r="M3315" i="2"/>
  <c r="O3314" i="2"/>
  <c r="N3314" i="2"/>
  <c r="M3314" i="2"/>
  <c r="O3313" i="2"/>
  <c r="N3313" i="2"/>
  <c r="M3313" i="2"/>
  <c r="O3312" i="2"/>
  <c r="N3312" i="2"/>
  <c r="M3312" i="2"/>
  <c r="O3311" i="2"/>
  <c r="N3311" i="2"/>
  <c r="M3311" i="2"/>
  <c r="O3310" i="2"/>
  <c r="N3310" i="2"/>
  <c r="M3310" i="2"/>
  <c r="O3309" i="2"/>
  <c r="N3309" i="2"/>
  <c r="M3309" i="2"/>
  <c r="O3308" i="2"/>
  <c r="N3308" i="2"/>
  <c r="M3308" i="2"/>
  <c r="O3307" i="2"/>
  <c r="N3307" i="2"/>
  <c r="M3307" i="2"/>
  <c r="O3306" i="2"/>
  <c r="N3306" i="2"/>
  <c r="M3306" i="2"/>
  <c r="O3305" i="2"/>
  <c r="N3305" i="2"/>
  <c r="M3305" i="2"/>
  <c r="O3304" i="2"/>
  <c r="N3304" i="2"/>
  <c r="M3304" i="2"/>
  <c r="O3303" i="2"/>
  <c r="N3303" i="2"/>
  <c r="M3303" i="2"/>
  <c r="O3302" i="2"/>
  <c r="N3302" i="2"/>
  <c r="M3302" i="2"/>
  <c r="O3301" i="2"/>
  <c r="N3301" i="2"/>
  <c r="M3301" i="2"/>
  <c r="O3300" i="2"/>
  <c r="N3300" i="2"/>
  <c r="M3300" i="2"/>
  <c r="O3299" i="2"/>
  <c r="N3299" i="2"/>
  <c r="M3299" i="2"/>
  <c r="O3298" i="2"/>
  <c r="N3298" i="2"/>
  <c r="M3298" i="2"/>
  <c r="O3297" i="2"/>
  <c r="N3297" i="2"/>
  <c r="M3297" i="2"/>
  <c r="O3296" i="2"/>
  <c r="N3296" i="2"/>
  <c r="M3296" i="2"/>
  <c r="O3295" i="2"/>
  <c r="N3295" i="2"/>
  <c r="M3295" i="2"/>
  <c r="O3294" i="2"/>
  <c r="N3294" i="2"/>
  <c r="M3294" i="2"/>
  <c r="O3293" i="2"/>
  <c r="N3293" i="2"/>
  <c r="M3293" i="2"/>
  <c r="O3292" i="2"/>
  <c r="N3292" i="2"/>
  <c r="M3292" i="2"/>
  <c r="O3291" i="2"/>
  <c r="N3291" i="2"/>
  <c r="M3291" i="2"/>
  <c r="O3290" i="2"/>
  <c r="N3290" i="2"/>
  <c r="M3290" i="2"/>
  <c r="O3289" i="2"/>
  <c r="N3289" i="2"/>
  <c r="M3289" i="2"/>
  <c r="O3288" i="2"/>
  <c r="N3288" i="2"/>
  <c r="M3288" i="2"/>
  <c r="O3287" i="2"/>
  <c r="N3287" i="2"/>
  <c r="M3287" i="2"/>
  <c r="O3286" i="2"/>
  <c r="N3286" i="2"/>
  <c r="M3286" i="2"/>
  <c r="O3285" i="2"/>
  <c r="N3285" i="2"/>
  <c r="M3285" i="2"/>
  <c r="O3284" i="2"/>
  <c r="N3284" i="2"/>
  <c r="M3284" i="2"/>
  <c r="O3283" i="2"/>
  <c r="N3283" i="2"/>
  <c r="M3283" i="2"/>
  <c r="O3282" i="2"/>
  <c r="N3282" i="2"/>
  <c r="M3282" i="2"/>
  <c r="O3281" i="2"/>
  <c r="N3281" i="2"/>
  <c r="M3281" i="2"/>
  <c r="O3280" i="2"/>
  <c r="N3280" i="2"/>
  <c r="M3280" i="2"/>
  <c r="O3279" i="2"/>
  <c r="N3279" i="2"/>
  <c r="M3279" i="2"/>
  <c r="O3278" i="2"/>
  <c r="N3278" i="2"/>
  <c r="M3278" i="2"/>
  <c r="O3277" i="2"/>
  <c r="N3277" i="2"/>
  <c r="M3277" i="2"/>
  <c r="O3276" i="2"/>
  <c r="N3276" i="2"/>
  <c r="M3276" i="2"/>
  <c r="O3275" i="2"/>
  <c r="N3275" i="2"/>
  <c r="M3275" i="2"/>
  <c r="O3274" i="2"/>
  <c r="N3274" i="2"/>
  <c r="M3274" i="2"/>
  <c r="O3273" i="2"/>
  <c r="N3273" i="2"/>
  <c r="M3273" i="2"/>
  <c r="O3272" i="2"/>
  <c r="N3272" i="2"/>
  <c r="M3272" i="2"/>
  <c r="O3271" i="2"/>
  <c r="N3271" i="2"/>
  <c r="M3271" i="2"/>
  <c r="O3270" i="2"/>
  <c r="N3270" i="2"/>
  <c r="M3270" i="2"/>
  <c r="O3269" i="2"/>
  <c r="N3269" i="2"/>
  <c r="M3269" i="2"/>
  <c r="O3268" i="2"/>
  <c r="N3268" i="2"/>
  <c r="M3268" i="2"/>
  <c r="O3267" i="2"/>
  <c r="N3267" i="2"/>
  <c r="M3267" i="2"/>
  <c r="O3266" i="2"/>
  <c r="N3266" i="2"/>
  <c r="M3266" i="2"/>
  <c r="O3265" i="2"/>
  <c r="N3265" i="2"/>
  <c r="M3265" i="2"/>
  <c r="O3264" i="2"/>
  <c r="N3264" i="2"/>
  <c r="M3264" i="2"/>
  <c r="O3263" i="2"/>
  <c r="N3263" i="2"/>
  <c r="M3263" i="2"/>
  <c r="O3262" i="2"/>
  <c r="N3262" i="2"/>
  <c r="M3262" i="2"/>
  <c r="O3261" i="2"/>
  <c r="N3261" i="2"/>
  <c r="M3261" i="2"/>
  <c r="O3260" i="2"/>
  <c r="N3260" i="2"/>
  <c r="M3260" i="2"/>
  <c r="O3259" i="2"/>
  <c r="N3259" i="2"/>
  <c r="M3259" i="2"/>
  <c r="O3258" i="2"/>
  <c r="N3258" i="2"/>
  <c r="M3258" i="2"/>
  <c r="O3257" i="2"/>
  <c r="N3257" i="2"/>
  <c r="M3257" i="2"/>
  <c r="O3256" i="2"/>
  <c r="N3256" i="2"/>
  <c r="M3256" i="2"/>
  <c r="O3255" i="2"/>
  <c r="N3255" i="2"/>
  <c r="M3255" i="2"/>
  <c r="O3254" i="2"/>
  <c r="N3254" i="2"/>
  <c r="M3254" i="2"/>
  <c r="O3253" i="2"/>
  <c r="N3253" i="2"/>
  <c r="M3253" i="2"/>
  <c r="O3252" i="2"/>
  <c r="N3252" i="2"/>
  <c r="M3252" i="2"/>
  <c r="O3251" i="2"/>
  <c r="N3251" i="2"/>
  <c r="M3251" i="2"/>
  <c r="O3250" i="2"/>
  <c r="N3250" i="2"/>
  <c r="M3250" i="2"/>
  <c r="O3249" i="2"/>
  <c r="N3249" i="2"/>
  <c r="M3249" i="2"/>
  <c r="O3248" i="2"/>
  <c r="N3248" i="2"/>
  <c r="M3248" i="2"/>
  <c r="O3247" i="2"/>
  <c r="N3247" i="2"/>
  <c r="M3247" i="2"/>
  <c r="O3246" i="2"/>
  <c r="N3246" i="2"/>
  <c r="M3246" i="2"/>
  <c r="O3245" i="2"/>
  <c r="N3245" i="2"/>
  <c r="M3245" i="2"/>
  <c r="O3244" i="2"/>
  <c r="N3244" i="2"/>
  <c r="M3244" i="2"/>
  <c r="O3243" i="2"/>
  <c r="N3243" i="2"/>
  <c r="M3243" i="2"/>
  <c r="O3242" i="2"/>
  <c r="N3242" i="2"/>
  <c r="M3242" i="2"/>
  <c r="O3241" i="2"/>
  <c r="N3241" i="2"/>
  <c r="M3241" i="2"/>
  <c r="O3240" i="2"/>
  <c r="N3240" i="2"/>
  <c r="M3240" i="2"/>
  <c r="O3239" i="2"/>
  <c r="N3239" i="2"/>
  <c r="M3239" i="2"/>
  <c r="O3238" i="2"/>
  <c r="N3238" i="2"/>
  <c r="M3238" i="2"/>
  <c r="O3237" i="2"/>
  <c r="N3237" i="2"/>
  <c r="M3237" i="2"/>
  <c r="O3236" i="2"/>
  <c r="N3236" i="2"/>
  <c r="M3236" i="2"/>
  <c r="O3235" i="2"/>
  <c r="N3235" i="2"/>
  <c r="M3235" i="2"/>
  <c r="O3234" i="2"/>
  <c r="N3234" i="2"/>
  <c r="M3234" i="2"/>
  <c r="O3233" i="2"/>
  <c r="N3233" i="2"/>
  <c r="M3233" i="2"/>
  <c r="O3232" i="2"/>
  <c r="N3232" i="2"/>
  <c r="M3232" i="2"/>
  <c r="O3231" i="2"/>
  <c r="N3231" i="2"/>
  <c r="M3231" i="2"/>
  <c r="O3230" i="2"/>
  <c r="N3230" i="2"/>
  <c r="M3230" i="2"/>
  <c r="O3229" i="2"/>
  <c r="N3229" i="2"/>
  <c r="M3229" i="2"/>
  <c r="O3228" i="2"/>
  <c r="N3228" i="2"/>
  <c r="M3228" i="2"/>
  <c r="O3227" i="2"/>
  <c r="N3227" i="2"/>
  <c r="M3227" i="2"/>
  <c r="O3226" i="2"/>
  <c r="N3226" i="2"/>
  <c r="M3226" i="2"/>
  <c r="O3225" i="2"/>
  <c r="N3225" i="2"/>
  <c r="M3225" i="2"/>
  <c r="O3224" i="2"/>
  <c r="N3224" i="2"/>
  <c r="M3224" i="2"/>
  <c r="O3223" i="2"/>
  <c r="N3223" i="2"/>
  <c r="M3223" i="2"/>
  <c r="O3222" i="2"/>
  <c r="N3222" i="2"/>
  <c r="M3222" i="2"/>
  <c r="O3221" i="2"/>
  <c r="N3221" i="2"/>
  <c r="M3221" i="2"/>
  <c r="O3220" i="2"/>
  <c r="N3220" i="2"/>
  <c r="M3220" i="2"/>
  <c r="O3219" i="2"/>
  <c r="N3219" i="2"/>
  <c r="M3219" i="2"/>
  <c r="O3218" i="2"/>
  <c r="N3218" i="2"/>
  <c r="M3218" i="2"/>
  <c r="O3217" i="2"/>
  <c r="N3217" i="2"/>
  <c r="M3217" i="2"/>
  <c r="O3216" i="2"/>
  <c r="N3216" i="2"/>
  <c r="M3216" i="2"/>
  <c r="O3215" i="2"/>
  <c r="N3215" i="2"/>
  <c r="M3215" i="2"/>
  <c r="O3214" i="2"/>
  <c r="N3214" i="2"/>
  <c r="M3214" i="2"/>
  <c r="O3213" i="2"/>
  <c r="N3213" i="2"/>
  <c r="M3213" i="2"/>
  <c r="O3212" i="2"/>
  <c r="N3212" i="2"/>
  <c r="M3212" i="2"/>
  <c r="O3211" i="2"/>
  <c r="N3211" i="2"/>
  <c r="M3211" i="2"/>
  <c r="O3210" i="2"/>
  <c r="N3210" i="2"/>
  <c r="M3210" i="2"/>
  <c r="O3209" i="2"/>
  <c r="N3209" i="2"/>
  <c r="M3209" i="2"/>
  <c r="O3208" i="2"/>
  <c r="N3208" i="2"/>
  <c r="M3208" i="2"/>
  <c r="O3207" i="2"/>
  <c r="N3207" i="2"/>
  <c r="M3207" i="2"/>
  <c r="O3206" i="2"/>
  <c r="N3206" i="2"/>
  <c r="M3206" i="2"/>
  <c r="O3205" i="2"/>
  <c r="N3205" i="2"/>
  <c r="M3205" i="2"/>
  <c r="O3204" i="2"/>
  <c r="N3204" i="2"/>
  <c r="M3204" i="2"/>
  <c r="O3203" i="2"/>
  <c r="N3203" i="2"/>
  <c r="M3203" i="2"/>
  <c r="O3202" i="2"/>
  <c r="N3202" i="2"/>
  <c r="M3202" i="2"/>
  <c r="O3201" i="2"/>
  <c r="N3201" i="2"/>
  <c r="M3201" i="2"/>
  <c r="O3200" i="2"/>
  <c r="N3200" i="2"/>
  <c r="M3200" i="2"/>
  <c r="O3199" i="2"/>
  <c r="N3199" i="2"/>
  <c r="M3199" i="2"/>
  <c r="O3198" i="2"/>
  <c r="N3198" i="2"/>
  <c r="M3198" i="2"/>
  <c r="O3197" i="2"/>
  <c r="N3197" i="2"/>
  <c r="M3197" i="2"/>
  <c r="O3196" i="2"/>
  <c r="N3196" i="2"/>
  <c r="M3196" i="2"/>
  <c r="O3195" i="2"/>
  <c r="N3195" i="2"/>
  <c r="M3195" i="2"/>
  <c r="O3194" i="2"/>
  <c r="N3194" i="2"/>
  <c r="M3194" i="2"/>
  <c r="O3193" i="2"/>
  <c r="N3193" i="2"/>
  <c r="M3193" i="2"/>
  <c r="O3192" i="2"/>
  <c r="N3192" i="2"/>
  <c r="M3192" i="2"/>
  <c r="O3191" i="2"/>
  <c r="N3191" i="2"/>
  <c r="M3191" i="2"/>
  <c r="O3190" i="2"/>
  <c r="N3190" i="2"/>
  <c r="M3190" i="2"/>
  <c r="O3189" i="2"/>
  <c r="N3189" i="2"/>
  <c r="M3189" i="2"/>
  <c r="O3188" i="2"/>
  <c r="N3188" i="2"/>
  <c r="M3188" i="2"/>
  <c r="O3187" i="2"/>
  <c r="N3187" i="2"/>
  <c r="M3187" i="2"/>
  <c r="O3186" i="2"/>
  <c r="N3186" i="2"/>
  <c r="M3186" i="2"/>
  <c r="O3185" i="2"/>
  <c r="N3185" i="2"/>
  <c r="M3185" i="2"/>
  <c r="O3184" i="2"/>
  <c r="N3184" i="2"/>
  <c r="M3184" i="2"/>
  <c r="O3183" i="2"/>
  <c r="N3183" i="2"/>
  <c r="M3183" i="2"/>
  <c r="O3182" i="2"/>
  <c r="N3182" i="2"/>
  <c r="M3182" i="2"/>
  <c r="O3181" i="2"/>
  <c r="N3181" i="2"/>
  <c r="M3181" i="2"/>
  <c r="O3180" i="2"/>
  <c r="N3180" i="2"/>
  <c r="M3180" i="2"/>
  <c r="O3179" i="2"/>
  <c r="N3179" i="2"/>
  <c r="M3179" i="2"/>
  <c r="O3178" i="2"/>
  <c r="N3178" i="2"/>
  <c r="M3178" i="2"/>
  <c r="O3177" i="2"/>
  <c r="N3177" i="2"/>
  <c r="M3177" i="2"/>
  <c r="O3176" i="2"/>
  <c r="N3176" i="2"/>
  <c r="M3176" i="2"/>
  <c r="O3175" i="2"/>
  <c r="N3175" i="2"/>
  <c r="M3175" i="2"/>
  <c r="O3174" i="2"/>
  <c r="N3174" i="2"/>
  <c r="M3174" i="2"/>
  <c r="O3173" i="2"/>
  <c r="N3173" i="2"/>
  <c r="M3173" i="2"/>
  <c r="O3172" i="2"/>
  <c r="N3172" i="2"/>
  <c r="M3172" i="2"/>
  <c r="O3171" i="2"/>
  <c r="N3171" i="2"/>
  <c r="M3171" i="2"/>
  <c r="O3170" i="2"/>
  <c r="N3170" i="2"/>
  <c r="M3170" i="2"/>
  <c r="O3169" i="2"/>
  <c r="N3169" i="2"/>
  <c r="M3169" i="2"/>
  <c r="O3168" i="2"/>
  <c r="N3168" i="2"/>
  <c r="M3168" i="2"/>
  <c r="O3167" i="2"/>
  <c r="N3167" i="2"/>
  <c r="M3167" i="2"/>
  <c r="O3166" i="2"/>
  <c r="N3166" i="2"/>
  <c r="M3166" i="2"/>
  <c r="O3165" i="2"/>
  <c r="N3165" i="2"/>
  <c r="M3165" i="2"/>
  <c r="O3164" i="2"/>
  <c r="N3164" i="2"/>
  <c r="M3164" i="2"/>
  <c r="O3163" i="2"/>
  <c r="N3163" i="2"/>
  <c r="M3163" i="2"/>
  <c r="O3162" i="2"/>
  <c r="N3162" i="2"/>
  <c r="M3162" i="2"/>
  <c r="O3161" i="2"/>
  <c r="N3161" i="2"/>
  <c r="M3161" i="2"/>
  <c r="O3160" i="2"/>
  <c r="N3160" i="2"/>
  <c r="M3160" i="2"/>
  <c r="O3159" i="2"/>
  <c r="N3159" i="2"/>
  <c r="M3159" i="2"/>
  <c r="O3158" i="2"/>
  <c r="N3158" i="2"/>
  <c r="M3158" i="2"/>
  <c r="O3157" i="2"/>
  <c r="N3157" i="2"/>
  <c r="M3157" i="2"/>
  <c r="O3156" i="2"/>
  <c r="N3156" i="2"/>
  <c r="M3156" i="2"/>
  <c r="O3155" i="2"/>
  <c r="N3155" i="2"/>
  <c r="M3155" i="2"/>
  <c r="O3154" i="2"/>
  <c r="N3154" i="2"/>
  <c r="M3154" i="2"/>
  <c r="O3153" i="2"/>
  <c r="N3153" i="2"/>
  <c r="M3153" i="2"/>
  <c r="O3152" i="2"/>
  <c r="N3152" i="2"/>
  <c r="M3152" i="2"/>
  <c r="O3151" i="2"/>
  <c r="N3151" i="2"/>
  <c r="M3151" i="2"/>
  <c r="O3150" i="2"/>
  <c r="N3150" i="2"/>
  <c r="M3150" i="2"/>
  <c r="O3149" i="2"/>
  <c r="N3149" i="2"/>
  <c r="M3149" i="2"/>
  <c r="O3148" i="2"/>
  <c r="N3148" i="2"/>
  <c r="M3148" i="2"/>
  <c r="O3147" i="2"/>
  <c r="N3147" i="2"/>
  <c r="M3147" i="2"/>
  <c r="O3146" i="2"/>
  <c r="N3146" i="2"/>
  <c r="M3146" i="2"/>
  <c r="O3145" i="2"/>
  <c r="N3145" i="2"/>
  <c r="M3145" i="2"/>
  <c r="O3144" i="2"/>
  <c r="N3144" i="2"/>
  <c r="M3144" i="2"/>
  <c r="O3143" i="2"/>
  <c r="N3143" i="2"/>
  <c r="M3143" i="2"/>
  <c r="O3142" i="2"/>
  <c r="N3142" i="2"/>
  <c r="M3142" i="2"/>
  <c r="O3141" i="2"/>
  <c r="N3141" i="2"/>
  <c r="M3141" i="2"/>
  <c r="O3140" i="2"/>
  <c r="N3140" i="2"/>
  <c r="M3140" i="2"/>
  <c r="O3139" i="2"/>
  <c r="N3139" i="2"/>
  <c r="M3139" i="2"/>
  <c r="O3138" i="2"/>
  <c r="N3138" i="2"/>
  <c r="M3138" i="2"/>
  <c r="O3137" i="2"/>
  <c r="N3137" i="2"/>
  <c r="M3137" i="2"/>
  <c r="O3136" i="2"/>
  <c r="N3136" i="2"/>
  <c r="M3136" i="2"/>
  <c r="O3135" i="2"/>
  <c r="N3135" i="2"/>
  <c r="M3135" i="2"/>
  <c r="O3134" i="2"/>
  <c r="N3134" i="2"/>
  <c r="M3134" i="2"/>
  <c r="O3133" i="2"/>
  <c r="N3133" i="2"/>
  <c r="M3133" i="2"/>
  <c r="O3132" i="2"/>
  <c r="N3132" i="2"/>
  <c r="M3132" i="2"/>
  <c r="O3131" i="2"/>
  <c r="N3131" i="2"/>
  <c r="M3131" i="2"/>
  <c r="O3130" i="2"/>
  <c r="N3130" i="2"/>
  <c r="M3130" i="2"/>
  <c r="O3129" i="2"/>
  <c r="N3129" i="2"/>
  <c r="M3129" i="2"/>
  <c r="O3128" i="2"/>
  <c r="N3128" i="2"/>
  <c r="M3128" i="2"/>
  <c r="O3127" i="2"/>
  <c r="N3127" i="2"/>
  <c r="M3127" i="2"/>
  <c r="O3126" i="2"/>
  <c r="N3126" i="2"/>
  <c r="M3126" i="2"/>
  <c r="O3125" i="2"/>
  <c r="N3125" i="2"/>
  <c r="M3125" i="2"/>
  <c r="O3124" i="2"/>
  <c r="N3124" i="2"/>
  <c r="M3124" i="2"/>
  <c r="O3123" i="2"/>
  <c r="N3123" i="2"/>
  <c r="M3123" i="2"/>
  <c r="O3122" i="2"/>
  <c r="N3122" i="2"/>
  <c r="M3122" i="2"/>
  <c r="O3121" i="2"/>
  <c r="N3121" i="2"/>
  <c r="M3121" i="2"/>
  <c r="O3120" i="2"/>
  <c r="N3120" i="2"/>
  <c r="M3120" i="2"/>
  <c r="O3119" i="2"/>
  <c r="N3119" i="2"/>
  <c r="M3119" i="2"/>
  <c r="O3118" i="2"/>
  <c r="N3118" i="2"/>
  <c r="M3118" i="2"/>
  <c r="O3117" i="2"/>
  <c r="N3117" i="2"/>
  <c r="M3117" i="2"/>
  <c r="O3116" i="2"/>
  <c r="N3116" i="2"/>
  <c r="M3116" i="2"/>
  <c r="O3115" i="2"/>
  <c r="N3115" i="2"/>
  <c r="M3115" i="2"/>
  <c r="O3114" i="2"/>
  <c r="N3114" i="2"/>
  <c r="M3114" i="2"/>
  <c r="O3113" i="2"/>
  <c r="N3113" i="2"/>
  <c r="M3113" i="2"/>
  <c r="O3112" i="2"/>
  <c r="N3112" i="2"/>
  <c r="M3112" i="2"/>
  <c r="O3111" i="2"/>
  <c r="N3111" i="2"/>
  <c r="M3111" i="2"/>
  <c r="O3110" i="2"/>
  <c r="N3110" i="2"/>
  <c r="M3110" i="2"/>
  <c r="O3109" i="2"/>
  <c r="N3109" i="2"/>
  <c r="M3109" i="2"/>
  <c r="O3108" i="2"/>
  <c r="N3108" i="2"/>
  <c r="M3108" i="2"/>
  <c r="O3107" i="2"/>
  <c r="N3107" i="2"/>
  <c r="M3107" i="2"/>
  <c r="O3106" i="2"/>
  <c r="N3106" i="2"/>
  <c r="M3106" i="2"/>
  <c r="O3105" i="2"/>
  <c r="N3105" i="2"/>
  <c r="M3105" i="2"/>
  <c r="O3104" i="2"/>
  <c r="N3104" i="2"/>
  <c r="M3104" i="2"/>
  <c r="O3103" i="2"/>
  <c r="N3103" i="2"/>
  <c r="M3103" i="2"/>
  <c r="O3102" i="2"/>
  <c r="N3102" i="2"/>
  <c r="M3102" i="2"/>
  <c r="O3101" i="2"/>
  <c r="N3101" i="2"/>
  <c r="M3101" i="2"/>
  <c r="O3100" i="2"/>
  <c r="N3100" i="2"/>
  <c r="M3100" i="2"/>
  <c r="O3099" i="2"/>
  <c r="N3099" i="2"/>
  <c r="M3099" i="2"/>
  <c r="O3098" i="2"/>
  <c r="N3098" i="2"/>
  <c r="M3098" i="2"/>
  <c r="O3097" i="2"/>
  <c r="N3097" i="2"/>
  <c r="M3097" i="2"/>
  <c r="O3096" i="2"/>
  <c r="N3096" i="2"/>
  <c r="M3096" i="2"/>
  <c r="O3095" i="2"/>
  <c r="N3095" i="2"/>
  <c r="M3095" i="2"/>
  <c r="O3094" i="2"/>
  <c r="N3094" i="2"/>
  <c r="M3094" i="2"/>
  <c r="O3093" i="2"/>
  <c r="N3093" i="2"/>
  <c r="M3093" i="2"/>
  <c r="O3092" i="2"/>
  <c r="N3092" i="2"/>
  <c r="M3092" i="2"/>
  <c r="O3091" i="2"/>
  <c r="N3091" i="2"/>
  <c r="M3091" i="2"/>
  <c r="O3090" i="2"/>
  <c r="N3090" i="2"/>
  <c r="M3090" i="2"/>
  <c r="O3089" i="2"/>
  <c r="N3089" i="2"/>
  <c r="M3089" i="2"/>
  <c r="O3088" i="2"/>
  <c r="N3088" i="2"/>
  <c r="M3088" i="2"/>
  <c r="O3087" i="2"/>
  <c r="N3087" i="2"/>
  <c r="M3087" i="2"/>
  <c r="O3086" i="2"/>
  <c r="N3086" i="2"/>
  <c r="M3086" i="2"/>
  <c r="O3085" i="2"/>
  <c r="N3085" i="2"/>
  <c r="M3085" i="2"/>
  <c r="O3084" i="2"/>
  <c r="N3084" i="2"/>
  <c r="M3084" i="2"/>
  <c r="O3083" i="2"/>
  <c r="N3083" i="2"/>
  <c r="M3083" i="2"/>
  <c r="O3082" i="2"/>
  <c r="N3082" i="2"/>
  <c r="M3082" i="2"/>
  <c r="O3081" i="2"/>
  <c r="N3081" i="2"/>
  <c r="M3081" i="2"/>
  <c r="O3080" i="2"/>
  <c r="N3080" i="2"/>
  <c r="M3080" i="2"/>
  <c r="O3079" i="2"/>
  <c r="N3079" i="2"/>
  <c r="M3079" i="2"/>
  <c r="O3078" i="2"/>
  <c r="N3078" i="2"/>
  <c r="M3078" i="2"/>
  <c r="O3077" i="2"/>
  <c r="N3077" i="2"/>
  <c r="M3077" i="2"/>
  <c r="O3076" i="2"/>
  <c r="N3076" i="2"/>
  <c r="M3076" i="2"/>
  <c r="O3075" i="2"/>
  <c r="N3075" i="2"/>
  <c r="M3075" i="2"/>
  <c r="O3074" i="2"/>
  <c r="N3074" i="2"/>
  <c r="M3074" i="2"/>
  <c r="O3073" i="2"/>
  <c r="N3073" i="2"/>
  <c r="M3073" i="2"/>
  <c r="O3072" i="2"/>
  <c r="N3072" i="2"/>
  <c r="M3072" i="2"/>
  <c r="O3071" i="2"/>
  <c r="N3071" i="2"/>
  <c r="M3071" i="2"/>
  <c r="O3070" i="2"/>
  <c r="N3070" i="2"/>
  <c r="M3070" i="2"/>
  <c r="O3069" i="2"/>
  <c r="N3069" i="2"/>
  <c r="M3069" i="2"/>
  <c r="O3068" i="2"/>
  <c r="N3068" i="2"/>
  <c r="M3068" i="2"/>
  <c r="O3067" i="2"/>
  <c r="N3067" i="2"/>
  <c r="M3067" i="2"/>
  <c r="O3066" i="2"/>
  <c r="N3066" i="2"/>
  <c r="M3066" i="2"/>
  <c r="O3065" i="2"/>
  <c r="N3065" i="2"/>
  <c r="M3065" i="2"/>
  <c r="O3064" i="2"/>
  <c r="N3064" i="2"/>
  <c r="M3064" i="2"/>
  <c r="O3063" i="2"/>
  <c r="N3063" i="2"/>
  <c r="M3063" i="2"/>
  <c r="O3062" i="2"/>
  <c r="N3062" i="2"/>
  <c r="M3062" i="2"/>
  <c r="O3061" i="2"/>
  <c r="N3061" i="2"/>
  <c r="M3061" i="2"/>
  <c r="O3060" i="2"/>
  <c r="N3060" i="2"/>
  <c r="M3060" i="2"/>
  <c r="O3059" i="2"/>
  <c r="N3059" i="2"/>
  <c r="M3059" i="2"/>
  <c r="O3058" i="2"/>
  <c r="N3058" i="2"/>
  <c r="M3058" i="2"/>
  <c r="O3057" i="2"/>
  <c r="N3057" i="2"/>
  <c r="M3057" i="2"/>
  <c r="O3056" i="2"/>
  <c r="N3056" i="2"/>
  <c r="M3056" i="2"/>
  <c r="O3055" i="2"/>
  <c r="N3055" i="2"/>
  <c r="M3055" i="2"/>
  <c r="O3054" i="2"/>
  <c r="N3054" i="2"/>
  <c r="M3054" i="2"/>
  <c r="O3053" i="2"/>
  <c r="N3053" i="2"/>
  <c r="M3053" i="2"/>
  <c r="O3052" i="2"/>
  <c r="N3052" i="2"/>
  <c r="M3052" i="2"/>
  <c r="O3051" i="2"/>
  <c r="N3051" i="2"/>
  <c r="M3051" i="2"/>
  <c r="O3050" i="2"/>
  <c r="N3050" i="2"/>
  <c r="M3050" i="2"/>
  <c r="O3049" i="2"/>
  <c r="N3049" i="2"/>
  <c r="M3049" i="2"/>
  <c r="O3048" i="2"/>
  <c r="N3048" i="2"/>
  <c r="M3048" i="2"/>
  <c r="O3047" i="2"/>
  <c r="N3047" i="2"/>
  <c r="M3047" i="2"/>
  <c r="O3046" i="2"/>
  <c r="N3046" i="2"/>
  <c r="M3046" i="2"/>
  <c r="O3045" i="2"/>
  <c r="N3045" i="2"/>
  <c r="M3045" i="2"/>
  <c r="O3044" i="2"/>
  <c r="N3044" i="2"/>
  <c r="M3044" i="2"/>
  <c r="O3043" i="2"/>
  <c r="N3043" i="2"/>
  <c r="M3043" i="2"/>
  <c r="O3042" i="2"/>
  <c r="N3042" i="2"/>
  <c r="M3042" i="2"/>
  <c r="O3041" i="2"/>
  <c r="N3041" i="2"/>
  <c r="M3041" i="2"/>
  <c r="O3040" i="2"/>
  <c r="N3040" i="2"/>
  <c r="M3040" i="2"/>
  <c r="O3039" i="2"/>
  <c r="N3039" i="2"/>
  <c r="M3039" i="2"/>
  <c r="O3038" i="2"/>
  <c r="N3038" i="2"/>
  <c r="M3038" i="2"/>
  <c r="O3037" i="2"/>
  <c r="N3037" i="2"/>
  <c r="M3037" i="2"/>
  <c r="O3036" i="2"/>
  <c r="N3036" i="2"/>
  <c r="M3036" i="2"/>
  <c r="O3035" i="2"/>
  <c r="N3035" i="2"/>
  <c r="M3035" i="2"/>
  <c r="O3034" i="2"/>
  <c r="N3034" i="2"/>
  <c r="M3034" i="2"/>
  <c r="O3033" i="2"/>
  <c r="N3033" i="2"/>
  <c r="M3033" i="2"/>
  <c r="O3032" i="2"/>
  <c r="N3032" i="2"/>
  <c r="M3032" i="2"/>
  <c r="O3031" i="2"/>
  <c r="N3031" i="2"/>
  <c r="M3031" i="2"/>
  <c r="O3030" i="2"/>
  <c r="N3030" i="2"/>
  <c r="M3030" i="2"/>
  <c r="O3029" i="2"/>
  <c r="N3029" i="2"/>
  <c r="M3029" i="2"/>
  <c r="O3028" i="2"/>
  <c r="N3028" i="2"/>
  <c r="M3028" i="2"/>
  <c r="O3027" i="2"/>
  <c r="N3027" i="2"/>
  <c r="M3027" i="2"/>
  <c r="O3026" i="2"/>
  <c r="N3026" i="2"/>
  <c r="M3026" i="2"/>
  <c r="O3025" i="2"/>
  <c r="N3025" i="2"/>
  <c r="M3025" i="2"/>
  <c r="O3024" i="2"/>
  <c r="N3024" i="2"/>
  <c r="M3024" i="2"/>
  <c r="O3023" i="2"/>
  <c r="N3023" i="2"/>
  <c r="M3023" i="2"/>
  <c r="O3022" i="2"/>
  <c r="N3022" i="2"/>
  <c r="M3022" i="2"/>
  <c r="O3021" i="2"/>
  <c r="N3021" i="2"/>
  <c r="M3021" i="2"/>
  <c r="O3020" i="2"/>
  <c r="N3020" i="2"/>
  <c r="M3020" i="2"/>
  <c r="O3019" i="2"/>
  <c r="N3019" i="2"/>
  <c r="M3019" i="2"/>
  <c r="O3018" i="2"/>
  <c r="N3018" i="2"/>
  <c r="M3018" i="2"/>
  <c r="O3017" i="2"/>
  <c r="N3017" i="2"/>
  <c r="M3017" i="2"/>
  <c r="O3016" i="2"/>
  <c r="N3016" i="2"/>
  <c r="M3016" i="2"/>
  <c r="O3015" i="2"/>
  <c r="N3015" i="2"/>
  <c r="M3015" i="2"/>
  <c r="O3014" i="2"/>
  <c r="N3014" i="2"/>
  <c r="M3014" i="2"/>
  <c r="O3013" i="2"/>
  <c r="N3013" i="2"/>
  <c r="M3013" i="2"/>
  <c r="O3012" i="2"/>
  <c r="N3012" i="2"/>
  <c r="M3012" i="2"/>
  <c r="O3011" i="2"/>
  <c r="N3011" i="2"/>
  <c r="M3011" i="2"/>
  <c r="O3010" i="2"/>
  <c r="N3010" i="2"/>
  <c r="M3010" i="2"/>
  <c r="O3009" i="2"/>
  <c r="N3009" i="2"/>
  <c r="M3009" i="2"/>
  <c r="O3008" i="2"/>
  <c r="N3008" i="2"/>
  <c r="M3008" i="2"/>
  <c r="O3007" i="2"/>
  <c r="N3007" i="2"/>
  <c r="M3007" i="2"/>
  <c r="O3006" i="2"/>
  <c r="N3006" i="2"/>
  <c r="M3006" i="2"/>
  <c r="O3005" i="2"/>
  <c r="N3005" i="2"/>
  <c r="M3005" i="2"/>
  <c r="O3004" i="2"/>
  <c r="N3004" i="2"/>
  <c r="M3004" i="2"/>
  <c r="O3003" i="2"/>
  <c r="N3003" i="2"/>
  <c r="M3003" i="2"/>
  <c r="O3002" i="2"/>
  <c r="N3002" i="2"/>
  <c r="M3002" i="2"/>
  <c r="O3001" i="2"/>
  <c r="N3001" i="2"/>
  <c r="M3001" i="2"/>
  <c r="O3000" i="2"/>
  <c r="N3000" i="2"/>
  <c r="M3000" i="2"/>
  <c r="O2999" i="2"/>
  <c r="N2999" i="2"/>
  <c r="M2999" i="2"/>
  <c r="O2998" i="2"/>
  <c r="N2998" i="2"/>
  <c r="M2998" i="2"/>
  <c r="O2997" i="2"/>
  <c r="N2997" i="2"/>
  <c r="M2997" i="2"/>
  <c r="O2996" i="2"/>
  <c r="N2996" i="2"/>
  <c r="M2996" i="2"/>
  <c r="O2995" i="2"/>
  <c r="N2995" i="2"/>
  <c r="M2995" i="2"/>
  <c r="O2994" i="2"/>
  <c r="N2994" i="2"/>
  <c r="M2994" i="2"/>
  <c r="O2993" i="2"/>
  <c r="N2993" i="2"/>
  <c r="M2993" i="2"/>
  <c r="O2992" i="2"/>
  <c r="N2992" i="2"/>
  <c r="M2992" i="2"/>
  <c r="O2991" i="2"/>
  <c r="N2991" i="2"/>
  <c r="M2991" i="2"/>
  <c r="O2990" i="2"/>
  <c r="N2990" i="2"/>
  <c r="M2990" i="2"/>
  <c r="O2989" i="2"/>
  <c r="N2989" i="2"/>
  <c r="M2989" i="2"/>
  <c r="O2988" i="2"/>
  <c r="N2988" i="2"/>
  <c r="M2988" i="2"/>
  <c r="O2987" i="2"/>
  <c r="N2987" i="2"/>
  <c r="M2987" i="2"/>
  <c r="O2986" i="2"/>
  <c r="N2986" i="2"/>
  <c r="M2986" i="2"/>
  <c r="O2985" i="2"/>
  <c r="N2985" i="2"/>
  <c r="M2985" i="2"/>
  <c r="O2984" i="2"/>
  <c r="N2984" i="2"/>
  <c r="M2984" i="2"/>
  <c r="O2983" i="2"/>
  <c r="N2983" i="2"/>
  <c r="M2983" i="2"/>
  <c r="O2982" i="2"/>
  <c r="N2982" i="2"/>
  <c r="M2982" i="2"/>
  <c r="O2981" i="2"/>
  <c r="N2981" i="2"/>
  <c r="M2981" i="2"/>
  <c r="O2980" i="2"/>
  <c r="N2980" i="2"/>
  <c r="M2980" i="2"/>
  <c r="O2979" i="2"/>
  <c r="N2979" i="2"/>
  <c r="M2979" i="2"/>
  <c r="O2978" i="2"/>
  <c r="N2978" i="2"/>
  <c r="M2978" i="2"/>
  <c r="O2977" i="2"/>
  <c r="N2977" i="2"/>
  <c r="M2977" i="2"/>
  <c r="O2976" i="2"/>
  <c r="N2976" i="2"/>
  <c r="M2976" i="2"/>
  <c r="O2975" i="2"/>
  <c r="N2975" i="2"/>
  <c r="M2975" i="2"/>
  <c r="O2974" i="2"/>
  <c r="N2974" i="2"/>
  <c r="M2974" i="2"/>
  <c r="O2973" i="2"/>
  <c r="N2973" i="2"/>
  <c r="M2973" i="2"/>
  <c r="O2972" i="2"/>
  <c r="N2972" i="2"/>
  <c r="M2972" i="2"/>
  <c r="O2971" i="2"/>
  <c r="N2971" i="2"/>
  <c r="M2971" i="2"/>
  <c r="O2970" i="2"/>
  <c r="N2970" i="2"/>
  <c r="M2970" i="2"/>
  <c r="O2969" i="2"/>
  <c r="N2969" i="2"/>
  <c r="M2969" i="2"/>
  <c r="O2968" i="2"/>
  <c r="N2968" i="2"/>
  <c r="M2968" i="2"/>
  <c r="O2967" i="2"/>
  <c r="N2967" i="2"/>
  <c r="M2967" i="2"/>
  <c r="O2966" i="2"/>
  <c r="N2966" i="2"/>
  <c r="M2966" i="2"/>
  <c r="O2965" i="2"/>
  <c r="N2965" i="2"/>
  <c r="M2965" i="2"/>
  <c r="O2964" i="2"/>
  <c r="N2964" i="2"/>
  <c r="M2964" i="2"/>
  <c r="O2963" i="2"/>
  <c r="N2963" i="2"/>
  <c r="M2963" i="2"/>
  <c r="O2962" i="2"/>
  <c r="N2962" i="2"/>
  <c r="M2962" i="2"/>
  <c r="O2961" i="2"/>
  <c r="N2961" i="2"/>
  <c r="M2961" i="2"/>
  <c r="O2960" i="2"/>
  <c r="N2960" i="2"/>
  <c r="M2960" i="2"/>
  <c r="O2959" i="2"/>
  <c r="N2959" i="2"/>
  <c r="M2959" i="2"/>
  <c r="O2958" i="2"/>
  <c r="N2958" i="2"/>
  <c r="M2958" i="2"/>
  <c r="O2957" i="2"/>
  <c r="N2957" i="2"/>
  <c r="M2957" i="2"/>
  <c r="O2956" i="2"/>
  <c r="N2956" i="2"/>
  <c r="M2956" i="2"/>
  <c r="O2955" i="2"/>
  <c r="N2955" i="2"/>
  <c r="M2955" i="2"/>
  <c r="O2954" i="2"/>
  <c r="N2954" i="2"/>
  <c r="M2954" i="2"/>
  <c r="O2953" i="2"/>
  <c r="N2953" i="2"/>
  <c r="M2953" i="2"/>
  <c r="O2952" i="2"/>
  <c r="N2952" i="2"/>
  <c r="M2952" i="2"/>
  <c r="O2951" i="2"/>
  <c r="N2951" i="2"/>
  <c r="M2951" i="2"/>
  <c r="O2950" i="2"/>
  <c r="N2950" i="2"/>
  <c r="M2950" i="2"/>
  <c r="O2949" i="2"/>
  <c r="N2949" i="2"/>
  <c r="M2949" i="2"/>
  <c r="O2948" i="2"/>
  <c r="N2948" i="2"/>
  <c r="M2948" i="2"/>
  <c r="O2947" i="2"/>
  <c r="N2947" i="2"/>
  <c r="M2947" i="2"/>
  <c r="O2946" i="2"/>
  <c r="N2946" i="2"/>
  <c r="M2946" i="2"/>
  <c r="O2945" i="2"/>
  <c r="N2945" i="2"/>
  <c r="M2945" i="2"/>
  <c r="O2944" i="2"/>
  <c r="N2944" i="2"/>
  <c r="M2944" i="2"/>
  <c r="O2943" i="2"/>
  <c r="N2943" i="2"/>
  <c r="M2943" i="2"/>
  <c r="O2942" i="2"/>
  <c r="N2942" i="2"/>
  <c r="M2942" i="2"/>
  <c r="O2941" i="2"/>
  <c r="N2941" i="2"/>
  <c r="M2941" i="2"/>
  <c r="O2940" i="2"/>
  <c r="N2940" i="2"/>
  <c r="M2940" i="2"/>
  <c r="O2939" i="2"/>
  <c r="N2939" i="2"/>
  <c r="M2939" i="2"/>
  <c r="O2938" i="2"/>
  <c r="N2938" i="2"/>
  <c r="M2938" i="2"/>
  <c r="O2937" i="2"/>
  <c r="N2937" i="2"/>
  <c r="M2937" i="2"/>
  <c r="O2936" i="2"/>
  <c r="N2936" i="2"/>
  <c r="M2936" i="2"/>
  <c r="O2935" i="2"/>
  <c r="N2935" i="2"/>
  <c r="M2935" i="2"/>
  <c r="O2934" i="2"/>
  <c r="N2934" i="2"/>
  <c r="M2934" i="2"/>
  <c r="O2933" i="2"/>
  <c r="N2933" i="2"/>
  <c r="M2933" i="2"/>
  <c r="O2932" i="2"/>
  <c r="N2932" i="2"/>
  <c r="M2932" i="2"/>
  <c r="O2931" i="2"/>
  <c r="N2931" i="2"/>
  <c r="M2931" i="2"/>
  <c r="O2930" i="2"/>
  <c r="N2930" i="2"/>
  <c r="M2930" i="2"/>
  <c r="O2929" i="2"/>
  <c r="N2929" i="2"/>
  <c r="M2929" i="2"/>
  <c r="O2928" i="2"/>
  <c r="N2928" i="2"/>
  <c r="M2928" i="2"/>
  <c r="O2927" i="2"/>
  <c r="N2927" i="2"/>
  <c r="M2927" i="2"/>
  <c r="O2926" i="2"/>
  <c r="N2926" i="2"/>
  <c r="M2926" i="2"/>
  <c r="O2925" i="2"/>
  <c r="N2925" i="2"/>
  <c r="M2925" i="2"/>
  <c r="O2924" i="2"/>
  <c r="N2924" i="2"/>
  <c r="M2924" i="2"/>
  <c r="O2923" i="2"/>
  <c r="N2923" i="2"/>
  <c r="M2923" i="2"/>
  <c r="O2922" i="2"/>
  <c r="N2922" i="2"/>
  <c r="M2922" i="2"/>
  <c r="O2921" i="2"/>
  <c r="N2921" i="2"/>
  <c r="M2921" i="2"/>
  <c r="O2920" i="2"/>
  <c r="N2920" i="2"/>
  <c r="M2920" i="2"/>
  <c r="O2919" i="2"/>
  <c r="N2919" i="2"/>
  <c r="M2919" i="2"/>
  <c r="O2918" i="2"/>
  <c r="N2918" i="2"/>
  <c r="M2918" i="2"/>
  <c r="O2917" i="2"/>
  <c r="N2917" i="2"/>
  <c r="M2917" i="2"/>
  <c r="O2916" i="2"/>
  <c r="N2916" i="2"/>
  <c r="M2916" i="2"/>
  <c r="O2915" i="2"/>
  <c r="N2915" i="2"/>
  <c r="M2915" i="2"/>
  <c r="O2914" i="2"/>
  <c r="N2914" i="2"/>
  <c r="M2914" i="2"/>
  <c r="O2913" i="2"/>
  <c r="N2913" i="2"/>
  <c r="M2913" i="2"/>
  <c r="O2912" i="2"/>
  <c r="N2912" i="2"/>
  <c r="M2912" i="2"/>
  <c r="O2911" i="2"/>
  <c r="N2911" i="2"/>
  <c r="M2911" i="2"/>
  <c r="O2910" i="2"/>
  <c r="N2910" i="2"/>
  <c r="M2910" i="2"/>
  <c r="O2909" i="2"/>
  <c r="N2909" i="2"/>
  <c r="M2909" i="2"/>
  <c r="O2908" i="2"/>
  <c r="N2908" i="2"/>
  <c r="M2908" i="2"/>
  <c r="O2907" i="2"/>
  <c r="N2907" i="2"/>
  <c r="M2907" i="2"/>
  <c r="O2906" i="2"/>
  <c r="N2906" i="2"/>
  <c r="M2906" i="2"/>
  <c r="O2905" i="2"/>
  <c r="N2905" i="2"/>
  <c r="M2905" i="2"/>
  <c r="O2904" i="2"/>
  <c r="N2904" i="2"/>
  <c r="M2904" i="2"/>
  <c r="O2903" i="2"/>
  <c r="N2903" i="2"/>
  <c r="M2903" i="2"/>
  <c r="O2902" i="2"/>
  <c r="N2902" i="2"/>
  <c r="M2902" i="2"/>
  <c r="O2901" i="2"/>
  <c r="N2901" i="2"/>
  <c r="M2901" i="2"/>
  <c r="O2900" i="2"/>
  <c r="N2900" i="2"/>
  <c r="M2900" i="2"/>
  <c r="O2899" i="2"/>
  <c r="N2899" i="2"/>
  <c r="M2899" i="2"/>
  <c r="O2898" i="2"/>
  <c r="N2898" i="2"/>
  <c r="M2898" i="2"/>
  <c r="O2897" i="2"/>
  <c r="N2897" i="2"/>
  <c r="M2897" i="2"/>
  <c r="O2896" i="2"/>
  <c r="N2896" i="2"/>
  <c r="M2896" i="2"/>
  <c r="O2895" i="2"/>
  <c r="N2895" i="2"/>
  <c r="M2895" i="2"/>
  <c r="O2894" i="2"/>
  <c r="N2894" i="2"/>
  <c r="M2894" i="2"/>
  <c r="O2893" i="2"/>
  <c r="N2893" i="2"/>
  <c r="M2893" i="2"/>
  <c r="O2892" i="2"/>
  <c r="N2892" i="2"/>
  <c r="M2892" i="2"/>
  <c r="O2891" i="2"/>
  <c r="N2891" i="2"/>
  <c r="M2891" i="2"/>
  <c r="O2890" i="2"/>
  <c r="N2890" i="2"/>
  <c r="M2890" i="2"/>
  <c r="O2889" i="2"/>
  <c r="N2889" i="2"/>
  <c r="M2889" i="2"/>
  <c r="O2888" i="2"/>
  <c r="N2888" i="2"/>
  <c r="M2888" i="2"/>
  <c r="O2887" i="2"/>
  <c r="N2887" i="2"/>
  <c r="M2887" i="2"/>
  <c r="O2886" i="2"/>
  <c r="N2886" i="2"/>
  <c r="M2886" i="2"/>
  <c r="O2885" i="2"/>
  <c r="N2885" i="2"/>
  <c r="M2885" i="2"/>
  <c r="O2884" i="2"/>
  <c r="N2884" i="2"/>
  <c r="M2884" i="2"/>
  <c r="O2883" i="2"/>
  <c r="N2883" i="2"/>
  <c r="M2883" i="2"/>
  <c r="O2882" i="2"/>
  <c r="N2882" i="2"/>
  <c r="M2882" i="2"/>
  <c r="O2881" i="2"/>
  <c r="N2881" i="2"/>
  <c r="M2881" i="2"/>
  <c r="O2880" i="2"/>
  <c r="N2880" i="2"/>
  <c r="M2880" i="2"/>
  <c r="O2879" i="2"/>
  <c r="N2879" i="2"/>
  <c r="M2879" i="2"/>
  <c r="O2878" i="2"/>
  <c r="N2878" i="2"/>
  <c r="M2878" i="2"/>
  <c r="O2877" i="2"/>
  <c r="N2877" i="2"/>
  <c r="M2877" i="2"/>
  <c r="O2876" i="2"/>
  <c r="N2876" i="2"/>
  <c r="M2876" i="2"/>
  <c r="O2875" i="2"/>
  <c r="N2875" i="2"/>
  <c r="M2875" i="2"/>
  <c r="O2874" i="2"/>
  <c r="N2874" i="2"/>
  <c r="M2874" i="2"/>
  <c r="O2873" i="2"/>
  <c r="N2873" i="2"/>
  <c r="M2873" i="2"/>
  <c r="O2872" i="2"/>
  <c r="N2872" i="2"/>
  <c r="M2872" i="2"/>
  <c r="O2871" i="2"/>
  <c r="N2871" i="2"/>
  <c r="M2871" i="2"/>
  <c r="O2870" i="2"/>
  <c r="N2870" i="2"/>
  <c r="M2870" i="2"/>
  <c r="O2869" i="2"/>
  <c r="N2869" i="2"/>
  <c r="M2869" i="2"/>
  <c r="O2868" i="2"/>
  <c r="N2868" i="2"/>
  <c r="M2868" i="2"/>
  <c r="O2867" i="2"/>
  <c r="N2867" i="2"/>
  <c r="M2867" i="2"/>
  <c r="O2866" i="2"/>
  <c r="N2866" i="2"/>
  <c r="M2866" i="2"/>
  <c r="O2865" i="2"/>
  <c r="N2865" i="2"/>
  <c r="M2865" i="2"/>
  <c r="O2864" i="2"/>
  <c r="N2864" i="2"/>
  <c r="M2864" i="2"/>
  <c r="O2863" i="2"/>
  <c r="N2863" i="2"/>
  <c r="M2863" i="2"/>
  <c r="O2862" i="2"/>
  <c r="N2862" i="2"/>
  <c r="M2862" i="2"/>
  <c r="O2861" i="2"/>
  <c r="N2861" i="2"/>
  <c r="M2861" i="2"/>
  <c r="O2860" i="2"/>
  <c r="N2860" i="2"/>
  <c r="M2860" i="2"/>
  <c r="O2859" i="2"/>
  <c r="N2859" i="2"/>
  <c r="M2859" i="2"/>
  <c r="O2858" i="2"/>
  <c r="N2858" i="2"/>
  <c r="M2858" i="2"/>
  <c r="O2857" i="2"/>
  <c r="N2857" i="2"/>
  <c r="M2857" i="2"/>
  <c r="O2856" i="2"/>
  <c r="N2856" i="2"/>
  <c r="M2856" i="2"/>
  <c r="O2855" i="2"/>
  <c r="N2855" i="2"/>
  <c r="M2855" i="2"/>
  <c r="O2854" i="2"/>
  <c r="N2854" i="2"/>
  <c r="M2854" i="2"/>
  <c r="O2853" i="2"/>
  <c r="N2853" i="2"/>
  <c r="M2853" i="2"/>
  <c r="O2852" i="2"/>
  <c r="N2852" i="2"/>
  <c r="M2852" i="2"/>
  <c r="O2851" i="2"/>
  <c r="N2851" i="2"/>
  <c r="M2851" i="2"/>
  <c r="O2850" i="2"/>
  <c r="N2850" i="2"/>
  <c r="M2850" i="2"/>
  <c r="O2849" i="2"/>
  <c r="N2849" i="2"/>
  <c r="M2849" i="2"/>
  <c r="O2848" i="2"/>
  <c r="N2848" i="2"/>
  <c r="M2848" i="2"/>
  <c r="O2847" i="2"/>
  <c r="N2847" i="2"/>
  <c r="M2847" i="2"/>
  <c r="O2846" i="2"/>
  <c r="N2846" i="2"/>
  <c r="M2846" i="2"/>
  <c r="O2845" i="2"/>
  <c r="N2845" i="2"/>
  <c r="M2845" i="2"/>
  <c r="O2844" i="2"/>
  <c r="N2844" i="2"/>
  <c r="M2844" i="2"/>
  <c r="O2843" i="2"/>
  <c r="N2843" i="2"/>
  <c r="M2843" i="2"/>
  <c r="O2842" i="2"/>
  <c r="N2842" i="2"/>
  <c r="M2842" i="2"/>
  <c r="O2841" i="2"/>
  <c r="N2841" i="2"/>
  <c r="M2841" i="2"/>
  <c r="O2840" i="2"/>
  <c r="N2840" i="2"/>
  <c r="M2840" i="2"/>
  <c r="O2839" i="2"/>
  <c r="N2839" i="2"/>
  <c r="M2839" i="2"/>
  <c r="O2838" i="2"/>
  <c r="N2838" i="2"/>
  <c r="M2838" i="2"/>
  <c r="O2837" i="2"/>
  <c r="N2837" i="2"/>
  <c r="M2837" i="2"/>
  <c r="O2836" i="2"/>
  <c r="N2836" i="2"/>
  <c r="M2836" i="2"/>
  <c r="O2835" i="2"/>
  <c r="N2835" i="2"/>
  <c r="M2835" i="2"/>
  <c r="O2834" i="2"/>
  <c r="N2834" i="2"/>
  <c r="M2834" i="2"/>
  <c r="O2833" i="2"/>
  <c r="N2833" i="2"/>
  <c r="M2833" i="2"/>
  <c r="O2832" i="2"/>
  <c r="N2832" i="2"/>
  <c r="M2832" i="2"/>
  <c r="O2831" i="2"/>
  <c r="N2831" i="2"/>
  <c r="M2831" i="2"/>
  <c r="O2830" i="2"/>
  <c r="N2830" i="2"/>
  <c r="M2830" i="2"/>
  <c r="O2829" i="2"/>
  <c r="N2829" i="2"/>
  <c r="M2829" i="2"/>
  <c r="O2828" i="2"/>
  <c r="N2828" i="2"/>
  <c r="M2828" i="2"/>
  <c r="O2827" i="2"/>
  <c r="N2827" i="2"/>
  <c r="M2827" i="2"/>
  <c r="O2826" i="2"/>
  <c r="N2826" i="2"/>
  <c r="M2826" i="2"/>
  <c r="O2825" i="2"/>
  <c r="N2825" i="2"/>
  <c r="M2825" i="2"/>
  <c r="O2824" i="2"/>
  <c r="N2824" i="2"/>
  <c r="M2824" i="2"/>
  <c r="O2823" i="2"/>
  <c r="N2823" i="2"/>
  <c r="M2823" i="2"/>
  <c r="O2822" i="2"/>
  <c r="N2822" i="2"/>
  <c r="M2822" i="2"/>
  <c r="O2821" i="2"/>
  <c r="N2821" i="2"/>
  <c r="M2821" i="2"/>
  <c r="O2820" i="2"/>
  <c r="N2820" i="2"/>
  <c r="M2820" i="2"/>
  <c r="O2819" i="2"/>
  <c r="N2819" i="2"/>
  <c r="M2819" i="2"/>
  <c r="O2818" i="2"/>
  <c r="N2818" i="2"/>
  <c r="M2818" i="2"/>
  <c r="O2817" i="2"/>
  <c r="N2817" i="2"/>
  <c r="M2817" i="2"/>
  <c r="O2816" i="2"/>
  <c r="N2816" i="2"/>
  <c r="M2816" i="2"/>
  <c r="O2815" i="2"/>
  <c r="N2815" i="2"/>
  <c r="M2815" i="2"/>
  <c r="O2814" i="2"/>
  <c r="N2814" i="2"/>
  <c r="M2814" i="2"/>
  <c r="O2813" i="2"/>
  <c r="N2813" i="2"/>
  <c r="M2813" i="2"/>
  <c r="O2812" i="2"/>
  <c r="N2812" i="2"/>
  <c r="M2812" i="2"/>
  <c r="O2811" i="2"/>
  <c r="N2811" i="2"/>
  <c r="M2811" i="2"/>
  <c r="O2810" i="2"/>
  <c r="N2810" i="2"/>
  <c r="M2810" i="2"/>
  <c r="O2809" i="2"/>
  <c r="N2809" i="2"/>
  <c r="M2809" i="2"/>
  <c r="O2808" i="2"/>
  <c r="N2808" i="2"/>
  <c r="M2808" i="2"/>
  <c r="O2807" i="2"/>
  <c r="N2807" i="2"/>
  <c r="M2807" i="2"/>
  <c r="O2806" i="2"/>
  <c r="N2806" i="2"/>
  <c r="M2806" i="2"/>
  <c r="O2805" i="2"/>
  <c r="N2805" i="2"/>
  <c r="M2805" i="2"/>
  <c r="O2804" i="2"/>
  <c r="N2804" i="2"/>
  <c r="M2804" i="2"/>
  <c r="O2803" i="2"/>
  <c r="N2803" i="2"/>
  <c r="M2803" i="2"/>
  <c r="O2802" i="2"/>
  <c r="N2802" i="2"/>
  <c r="M2802" i="2"/>
  <c r="O2801" i="2"/>
  <c r="N2801" i="2"/>
  <c r="M2801" i="2"/>
  <c r="O2800" i="2"/>
  <c r="N2800" i="2"/>
  <c r="M2800" i="2"/>
  <c r="O2799" i="2"/>
  <c r="N2799" i="2"/>
  <c r="M2799" i="2"/>
  <c r="O2798" i="2"/>
  <c r="N2798" i="2"/>
  <c r="M2798" i="2"/>
  <c r="O2797" i="2"/>
  <c r="N2797" i="2"/>
  <c r="M2797" i="2"/>
  <c r="O2796" i="2"/>
  <c r="N2796" i="2"/>
  <c r="M2796" i="2"/>
  <c r="O2795" i="2"/>
  <c r="N2795" i="2"/>
  <c r="M2795" i="2"/>
  <c r="O2794" i="2"/>
  <c r="N2794" i="2"/>
  <c r="M2794" i="2"/>
  <c r="O2793" i="2"/>
  <c r="N2793" i="2"/>
  <c r="M2793" i="2"/>
  <c r="O2792" i="2"/>
  <c r="N2792" i="2"/>
  <c r="M2792" i="2"/>
  <c r="O2791" i="2"/>
  <c r="N2791" i="2"/>
  <c r="M2791" i="2"/>
  <c r="O2790" i="2"/>
  <c r="N2790" i="2"/>
  <c r="M2790" i="2"/>
  <c r="O2789" i="2"/>
  <c r="N2789" i="2"/>
  <c r="M2789" i="2"/>
  <c r="O2788" i="2"/>
  <c r="N2788" i="2"/>
  <c r="M2788" i="2"/>
  <c r="O2787" i="2"/>
  <c r="N2787" i="2"/>
  <c r="M2787" i="2"/>
  <c r="O2786" i="2"/>
  <c r="N2786" i="2"/>
  <c r="M2786" i="2"/>
  <c r="O2785" i="2"/>
  <c r="N2785" i="2"/>
  <c r="M2785" i="2"/>
  <c r="O2784" i="2"/>
  <c r="N2784" i="2"/>
  <c r="M2784" i="2"/>
  <c r="O2783" i="2"/>
  <c r="N2783" i="2"/>
  <c r="M2783" i="2"/>
  <c r="O2782" i="2"/>
  <c r="N2782" i="2"/>
  <c r="M2782" i="2"/>
  <c r="O2781" i="2"/>
  <c r="N2781" i="2"/>
  <c r="M2781" i="2"/>
  <c r="O2780" i="2"/>
  <c r="N2780" i="2"/>
  <c r="M2780" i="2"/>
  <c r="O2779" i="2"/>
  <c r="N2779" i="2"/>
  <c r="M2779" i="2"/>
  <c r="O2778" i="2"/>
  <c r="N2778" i="2"/>
  <c r="M2778" i="2"/>
  <c r="O2777" i="2"/>
  <c r="N2777" i="2"/>
  <c r="M2777" i="2"/>
  <c r="O2776" i="2"/>
  <c r="N2776" i="2"/>
  <c r="M2776" i="2"/>
  <c r="O2775" i="2"/>
  <c r="N2775" i="2"/>
  <c r="M2775" i="2"/>
  <c r="O2774" i="2"/>
  <c r="N2774" i="2"/>
  <c r="M2774" i="2"/>
  <c r="O2773" i="2"/>
  <c r="N2773" i="2"/>
  <c r="M2773" i="2"/>
  <c r="O2772" i="2"/>
  <c r="N2772" i="2"/>
  <c r="M2772" i="2"/>
  <c r="O2771" i="2"/>
  <c r="N2771" i="2"/>
  <c r="M2771" i="2"/>
  <c r="O2770" i="2"/>
  <c r="N2770" i="2"/>
  <c r="M2770" i="2"/>
  <c r="O2769" i="2"/>
  <c r="N2769" i="2"/>
  <c r="M2769" i="2"/>
  <c r="O2768" i="2"/>
  <c r="N2768" i="2"/>
  <c r="M2768" i="2"/>
  <c r="O2767" i="2"/>
  <c r="N2767" i="2"/>
  <c r="M2767" i="2"/>
  <c r="O2766" i="2"/>
  <c r="N2766" i="2"/>
  <c r="M2766" i="2"/>
  <c r="O2765" i="2"/>
  <c r="N2765" i="2"/>
  <c r="M2765" i="2"/>
  <c r="O2764" i="2"/>
  <c r="N2764" i="2"/>
  <c r="M2764" i="2"/>
  <c r="O2763" i="2"/>
  <c r="N2763" i="2"/>
  <c r="M2763" i="2"/>
  <c r="O2762" i="2"/>
  <c r="N2762" i="2"/>
  <c r="M2762" i="2"/>
  <c r="O2761" i="2"/>
  <c r="N2761" i="2"/>
  <c r="M2761" i="2"/>
  <c r="O2760" i="2"/>
  <c r="N2760" i="2"/>
  <c r="M2760" i="2"/>
  <c r="O2759" i="2"/>
  <c r="N2759" i="2"/>
  <c r="M2759" i="2"/>
  <c r="O2758" i="2"/>
  <c r="N2758" i="2"/>
  <c r="M2758" i="2"/>
  <c r="O2757" i="2"/>
  <c r="N2757" i="2"/>
  <c r="M2757" i="2"/>
  <c r="O2756" i="2"/>
  <c r="N2756" i="2"/>
  <c r="M2756" i="2"/>
  <c r="O2755" i="2"/>
  <c r="N2755" i="2"/>
  <c r="M2755" i="2"/>
  <c r="O2754" i="2"/>
  <c r="N2754" i="2"/>
  <c r="M2754" i="2"/>
  <c r="O2753" i="2"/>
  <c r="N2753" i="2"/>
  <c r="M2753" i="2"/>
  <c r="O2752" i="2"/>
  <c r="N2752" i="2"/>
  <c r="M2752" i="2"/>
  <c r="O2751" i="2"/>
  <c r="N2751" i="2"/>
  <c r="M2751" i="2"/>
  <c r="O2750" i="2"/>
  <c r="N2750" i="2"/>
  <c r="M2750" i="2"/>
  <c r="O2749" i="2"/>
  <c r="N2749" i="2"/>
  <c r="M2749" i="2"/>
  <c r="O2748" i="2"/>
  <c r="N2748" i="2"/>
  <c r="M2748" i="2"/>
  <c r="O2747" i="2"/>
  <c r="N2747" i="2"/>
  <c r="M2747" i="2"/>
  <c r="O2746" i="2"/>
  <c r="N2746" i="2"/>
  <c r="M2746" i="2"/>
  <c r="O2745" i="2"/>
  <c r="N2745" i="2"/>
  <c r="M2745" i="2"/>
  <c r="O2744" i="2"/>
  <c r="N2744" i="2"/>
  <c r="M2744" i="2"/>
  <c r="O2743" i="2"/>
  <c r="N2743" i="2"/>
  <c r="M2743" i="2"/>
  <c r="O2742" i="2"/>
  <c r="N2742" i="2"/>
  <c r="M2742" i="2"/>
  <c r="O2741" i="2"/>
  <c r="N2741" i="2"/>
  <c r="M2741" i="2"/>
  <c r="O2740" i="2"/>
  <c r="N2740" i="2"/>
  <c r="M2740" i="2"/>
  <c r="O2739" i="2"/>
  <c r="N2739" i="2"/>
  <c r="M2739" i="2"/>
  <c r="O2738" i="2"/>
  <c r="N2738" i="2"/>
  <c r="M2738" i="2"/>
  <c r="O2737" i="2"/>
  <c r="N2737" i="2"/>
  <c r="M2737" i="2"/>
  <c r="O2736" i="2"/>
  <c r="N2736" i="2"/>
  <c r="M2736" i="2"/>
  <c r="O2735" i="2"/>
  <c r="N2735" i="2"/>
  <c r="M2735" i="2"/>
  <c r="O2734" i="2"/>
  <c r="N2734" i="2"/>
  <c r="M2734" i="2"/>
  <c r="O2733" i="2"/>
  <c r="N2733" i="2"/>
  <c r="M2733" i="2"/>
  <c r="O2732" i="2"/>
  <c r="N2732" i="2"/>
  <c r="M2732" i="2"/>
  <c r="O2731" i="2"/>
  <c r="N2731" i="2"/>
  <c r="M2731" i="2"/>
  <c r="O2730" i="2"/>
  <c r="N2730" i="2"/>
  <c r="M2730" i="2"/>
  <c r="O2729" i="2"/>
  <c r="N2729" i="2"/>
  <c r="M2729" i="2"/>
  <c r="O2728" i="2"/>
  <c r="N2728" i="2"/>
  <c r="M2728" i="2"/>
  <c r="O2727" i="2"/>
  <c r="N2727" i="2"/>
  <c r="M2727" i="2"/>
  <c r="O2726" i="2"/>
  <c r="N2726" i="2"/>
  <c r="M2726" i="2"/>
  <c r="O2725" i="2"/>
  <c r="N2725" i="2"/>
  <c r="M2725" i="2"/>
  <c r="O2724" i="2"/>
  <c r="N2724" i="2"/>
  <c r="M2724" i="2"/>
  <c r="O2723" i="2"/>
  <c r="N2723" i="2"/>
  <c r="M2723" i="2"/>
  <c r="O2722" i="2"/>
  <c r="N2722" i="2"/>
  <c r="M2722" i="2"/>
  <c r="O2721" i="2"/>
  <c r="N2721" i="2"/>
  <c r="M2721" i="2"/>
  <c r="O2720" i="2"/>
  <c r="N2720" i="2"/>
  <c r="M2720" i="2"/>
  <c r="O2719" i="2"/>
  <c r="N2719" i="2"/>
  <c r="M2719" i="2"/>
  <c r="O2718" i="2"/>
  <c r="N2718" i="2"/>
  <c r="M2718" i="2"/>
  <c r="O2717" i="2"/>
  <c r="N2717" i="2"/>
  <c r="M2717" i="2"/>
  <c r="O2716" i="2"/>
  <c r="N2716" i="2"/>
  <c r="M2716" i="2"/>
  <c r="O2715" i="2"/>
  <c r="N2715" i="2"/>
  <c r="M2715" i="2"/>
  <c r="O2714" i="2"/>
  <c r="N2714" i="2"/>
  <c r="M2714" i="2"/>
  <c r="O2713" i="2"/>
  <c r="N2713" i="2"/>
  <c r="M2713" i="2"/>
  <c r="O2712" i="2"/>
  <c r="N2712" i="2"/>
  <c r="M2712" i="2"/>
  <c r="O2711" i="2"/>
  <c r="N2711" i="2"/>
  <c r="M2711" i="2"/>
  <c r="O2710" i="2"/>
  <c r="N2710" i="2"/>
  <c r="M2710" i="2"/>
  <c r="O2709" i="2"/>
  <c r="N2709" i="2"/>
  <c r="M2709" i="2"/>
  <c r="O2708" i="2"/>
  <c r="N2708" i="2"/>
  <c r="M2708" i="2"/>
  <c r="O2707" i="2"/>
  <c r="N2707" i="2"/>
  <c r="M2707" i="2"/>
  <c r="O2706" i="2"/>
  <c r="N2706" i="2"/>
  <c r="M2706" i="2"/>
  <c r="O2705" i="2"/>
  <c r="N2705" i="2"/>
  <c r="M2705" i="2"/>
  <c r="O2704" i="2"/>
  <c r="N2704" i="2"/>
  <c r="M2704" i="2"/>
  <c r="O2703" i="2"/>
  <c r="N2703" i="2"/>
  <c r="M2703" i="2"/>
  <c r="O2702" i="2"/>
  <c r="N2702" i="2"/>
  <c r="M2702" i="2"/>
  <c r="O2701" i="2"/>
  <c r="N2701" i="2"/>
  <c r="M2701" i="2"/>
  <c r="O2700" i="2"/>
  <c r="N2700" i="2"/>
  <c r="M2700" i="2"/>
  <c r="O2699" i="2"/>
  <c r="N2699" i="2"/>
  <c r="M2699" i="2"/>
  <c r="O2698" i="2"/>
  <c r="N2698" i="2"/>
  <c r="M2698" i="2"/>
  <c r="O2697" i="2"/>
  <c r="N2697" i="2"/>
  <c r="M2697" i="2"/>
  <c r="O2696" i="2"/>
  <c r="N2696" i="2"/>
  <c r="M2696" i="2"/>
  <c r="O2695" i="2"/>
  <c r="N2695" i="2"/>
  <c r="M2695" i="2"/>
  <c r="O2694" i="2"/>
  <c r="N2694" i="2"/>
  <c r="M2694" i="2"/>
  <c r="O2693" i="2"/>
  <c r="N2693" i="2"/>
  <c r="M2693" i="2"/>
  <c r="O2692" i="2"/>
  <c r="N2692" i="2"/>
  <c r="M2692" i="2"/>
  <c r="O2691" i="2"/>
  <c r="N2691" i="2"/>
  <c r="M2691" i="2"/>
  <c r="O2690" i="2"/>
  <c r="N2690" i="2"/>
  <c r="M2690" i="2"/>
  <c r="O2689" i="2"/>
  <c r="N2689" i="2"/>
  <c r="M2689" i="2"/>
  <c r="O2688" i="2"/>
  <c r="N2688" i="2"/>
  <c r="M2688" i="2"/>
  <c r="O2687" i="2"/>
  <c r="N2687" i="2"/>
  <c r="M2687" i="2"/>
  <c r="O2686" i="2"/>
  <c r="N2686" i="2"/>
  <c r="M2686" i="2"/>
  <c r="O2685" i="2"/>
  <c r="N2685" i="2"/>
  <c r="M2685" i="2"/>
  <c r="O2684" i="2"/>
  <c r="N2684" i="2"/>
  <c r="M2684" i="2"/>
  <c r="O2683" i="2"/>
  <c r="N2683" i="2"/>
  <c r="M2683" i="2"/>
  <c r="O2682" i="2"/>
  <c r="N2682" i="2"/>
  <c r="M2682" i="2"/>
  <c r="O2681" i="2"/>
  <c r="N2681" i="2"/>
  <c r="M2681" i="2"/>
  <c r="O2680" i="2"/>
  <c r="N2680" i="2"/>
  <c r="M2680" i="2"/>
  <c r="O2679" i="2"/>
  <c r="N2679" i="2"/>
  <c r="M2679" i="2"/>
  <c r="O2678" i="2"/>
  <c r="N2678" i="2"/>
  <c r="M2678" i="2"/>
  <c r="O2677" i="2"/>
  <c r="N2677" i="2"/>
  <c r="M2677" i="2"/>
  <c r="O2676" i="2"/>
  <c r="N2676" i="2"/>
  <c r="M2676" i="2"/>
  <c r="O2675" i="2"/>
  <c r="N2675" i="2"/>
  <c r="M2675" i="2"/>
  <c r="O2674" i="2"/>
  <c r="N2674" i="2"/>
  <c r="M2674" i="2"/>
  <c r="O2673" i="2"/>
  <c r="N2673" i="2"/>
  <c r="M2673" i="2"/>
  <c r="O2672" i="2"/>
  <c r="N2672" i="2"/>
  <c r="M2672" i="2"/>
  <c r="O2671" i="2"/>
  <c r="N2671" i="2"/>
  <c r="M2671" i="2"/>
  <c r="O2670" i="2"/>
  <c r="N2670" i="2"/>
  <c r="M2670" i="2"/>
  <c r="O2669" i="2"/>
  <c r="N2669" i="2"/>
  <c r="M2669" i="2"/>
  <c r="O2668" i="2"/>
  <c r="N2668" i="2"/>
  <c r="M2668" i="2"/>
  <c r="O2667" i="2"/>
  <c r="N2667" i="2"/>
  <c r="M2667" i="2"/>
  <c r="O2666" i="2"/>
  <c r="N2666" i="2"/>
  <c r="M2666" i="2"/>
  <c r="O2665" i="2"/>
  <c r="N2665" i="2"/>
  <c r="M2665" i="2"/>
  <c r="O2664" i="2"/>
  <c r="N2664" i="2"/>
  <c r="M2664" i="2"/>
  <c r="O2663" i="2"/>
  <c r="N2663" i="2"/>
  <c r="M2663" i="2"/>
  <c r="O2662" i="2"/>
  <c r="N2662" i="2"/>
  <c r="M2662" i="2"/>
  <c r="O2661" i="2"/>
  <c r="N2661" i="2"/>
  <c r="M2661" i="2"/>
  <c r="O2660" i="2"/>
  <c r="N2660" i="2"/>
  <c r="M2660" i="2"/>
  <c r="O2659" i="2"/>
  <c r="N2659" i="2"/>
  <c r="M2659" i="2"/>
  <c r="O2658" i="2"/>
  <c r="N2658" i="2"/>
  <c r="M2658" i="2"/>
  <c r="O2657" i="2"/>
  <c r="N2657" i="2"/>
  <c r="M2657" i="2"/>
  <c r="O2656" i="2"/>
  <c r="N2656" i="2"/>
  <c r="M2656" i="2"/>
  <c r="O2655" i="2"/>
  <c r="N2655" i="2"/>
  <c r="M2655" i="2"/>
  <c r="O2654" i="2"/>
  <c r="N2654" i="2"/>
  <c r="M2654" i="2"/>
  <c r="O2653" i="2"/>
  <c r="N2653" i="2"/>
  <c r="M2653" i="2"/>
  <c r="O2652" i="2"/>
  <c r="N2652" i="2"/>
  <c r="M2652" i="2"/>
  <c r="O2651" i="2"/>
  <c r="N2651" i="2"/>
  <c r="M2651" i="2"/>
  <c r="O2650" i="2"/>
  <c r="N2650" i="2"/>
  <c r="M2650" i="2"/>
  <c r="O2649" i="2"/>
  <c r="N2649" i="2"/>
  <c r="M2649" i="2"/>
  <c r="O2648" i="2"/>
  <c r="N2648" i="2"/>
  <c r="M2648" i="2"/>
  <c r="O2647" i="2"/>
  <c r="N2647" i="2"/>
  <c r="M2647" i="2"/>
  <c r="O2646" i="2"/>
  <c r="N2646" i="2"/>
  <c r="M2646" i="2"/>
  <c r="O2645" i="2"/>
  <c r="N2645" i="2"/>
  <c r="M2645" i="2"/>
  <c r="O2644" i="2"/>
  <c r="N2644" i="2"/>
  <c r="M2644" i="2"/>
  <c r="O2643" i="2"/>
  <c r="N2643" i="2"/>
  <c r="M2643" i="2"/>
  <c r="O2642" i="2"/>
  <c r="N2642" i="2"/>
  <c r="M2642" i="2"/>
  <c r="O2641" i="2"/>
  <c r="N2641" i="2"/>
  <c r="M2641" i="2"/>
  <c r="O2640" i="2"/>
  <c r="N2640" i="2"/>
  <c r="M2640" i="2"/>
  <c r="O2639" i="2"/>
  <c r="N2639" i="2"/>
  <c r="M2639" i="2"/>
  <c r="O2638" i="2"/>
  <c r="N2638" i="2"/>
  <c r="M2638" i="2"/>
  <c r="O2637" i="2"/>
  <c r="N2637" i="2"/>
  <c r="M2637" i="2"/>
  <c r="O2636" i="2"/>
  <c r="N2636" i="2"/>
  <c r="M2636" i="2"/>
  <c r="O2635" i="2"/>
  <c r="N2635" i="2"/>
  <c r="M2635" i="2"/>
  <c r="O2634" i="2"/>
  <c r="N2634" i="2"/>
  <c r="M2634" i="2"/>
  <c r="O2633" i="2"/>
  <c r="N2633" i="2"/>
  <c r="M2633" i="2"/>
  <c r="O2632" i="2"/>
  <c r="N2632" i="2"/>
  <c r="M2632" i="2"/>
  <c r="O2631" i="2"/>
  <c r="N2631" i="2"/>
  <c r="M2631" i="2"/>
  <c r="O2630" i="2"/>
  <c r="N2630" i="2"/>
  <c r="M2630" i="2"/>
  <c r="O2629" i="2"/>
  <c r="N2629" i="2"/>
  <c r="M2629" i="2"/>
  <c r="O2628" i="2"/>
  <c r="N2628" i="2"/>
  <c r="M2628" i="2"/>
  <c r="O2627" i="2"/>
  <c r="N2627" i="2"/>
  <c r="M2627" i="2"/>
  <c r="O2626" i="2"/>
  <c r="N2626" i="2"/>
  <c r="M2626" i="2"/>
  <c r="O2625" i="2"/>
  <c r="N2625" i="2"/>
  <c r="M2625" i="2"/>
  <c r="O2624" i="2"/>
  <c r="N2624" i="2"/>
  <c r="M2624" i="2"/>
  <c r="O2623" i="2"/>
  <c r="N2623" i="2"/>
  <c r="M2623" i="2"/>
  <c r="O2622" i="2"/>
  <c r="N2622" i="2"/>
  <c r="M2622" i="2"/>
  <c r="O2621" i="2"/>
  <c r="N2621" i="2"/>
  <c r="M2621" i="2"/>
  <c r="O2620" i="2"/>
  <c r="N2620" i="2"/>
  <c r="M2620" i="2"/>
  <c r="O2619" i="2"/>
  <c r="N2619" i="2"/>
  <c r="M2619" i="2"/>
  <c r="O2618" i="2"/>
  <c r="N2618" i="2"/>
  <c r="M2618" i="2"/>
  <c r="O2617" i="2"/>
  <c r="N2617" i="2"/>
  <c r="M2617" i="2"/>
  <c r="O2616" i="2"/>
  <c r="N2616" i="2"/>
  <c r="M2616" i="2"/>
  <c r="O2615" i="2"/>
  <c r="N2615" i="2"/>
  <c r="M2615" i="2"/>
  <c r="O2614" i="2"/>
  <c r="N2614" i="2"/>
  <c r="M2614" i="2"/>
  <c r="O2613" i="2"/>
  <c r="N2613" i="2"/>
  <c r="M2613" i="2"/>
  <c r="O2612" i="2"/>
  <c r="N2612" i="2"/>
  <c r="M2612" i="2"/>
  <c r="O2611" i="2"/>
  <c r="N2611" i="2"/>
  <c r="M2611" i="2"/>
  <c r="O2610" i="2"/>
  <c r="N2610" i="2"/>
  <c r="M2610" i="2"/>
  <c r="O2609" i="2"/>
  <c r="N2609" i="2"/>
  <c r="M2609" i="2"/>
  <c r="O2608" i="2"/>
  <c r="N2608" i="2"/>
  <c r="M2608" i="2"/>
  <c r="O2607" i="2"/>
  <c r="N2607" i="2"/>
  <c r="M2607" i="2"/>
  <c r="O2606" i="2"/>
  <c r="N2606" i="2"/>
  <c r="M2606" i="2"/>
  <c r="O2605" i="2"/>
  <c r="N2605" i="2"/>
  <c r="M2605" i="2"/>
  <c r="O2604" i="2"/>
  <c r="N2604" i="2"/>
  <c r="M2604" i="2"/>
  <c r="O2603" i="2"/>
  <c r="N2603" i="2"/>
  <c r="M2603" i="2"/>
  <c r="O2602" i="2"/>
  <c r="N2602" i="2"/>
  <c r="M2602" i="2"/>
  <c r="O2601" i="2"/>
  <c r="N2601" i="2"/>
  <c r="M2601" i="2"/>
  <c r="O2600" i="2"/>
  <c r="N2600" i="2"/>
  <c r="M2600" i="2"/>
  <c r="O2599" i="2"/>
  <c r="N2599" i="2"/>
  <c r="M2599" i="2"/>
  <c r="O2598" i="2"/>
  <c r="N2598" i="2"/>
  <c r="M2598" i="2"/>
  <c r="O2597" i="2"/>
  <c r="N2597" i="2"/>
  <c r="M2597" i="2"/>
  <c r="O2596" i="2"/>
  <c r="N2596" i="2"/>
  <c r="M2596" i="2"/>
  <c r="O2595" i="2"/>
  <c r="N2595" i="2"/>
  <c r="M2595" i="2"/>
  <c r="O2594" i="2"/>
  <c r="N2594" i="2"/>
  <c r="M2594" i="2"/>
  <c r="O2593" i="2"/>
  <c r="N2593" i="2"/>
  <c r="M2593" i="2"/>
  <c r="O2592" i="2"/>
  <c r="N2592" i="2"/>
  <c r="M2592" i="2"/>
  <c r="O2591" i="2"/>
  <c r="N2591" i="2"/>
  <c r="M2591" i="2"/>
  <c r="O2590" i="2"/>
  <c r="N2590" i="2"/>
  <c r="M2590" i="2"/>
  <c r="O2589" i="2"/>
  <c r="N2589" i="2"/>
  <c r="M2589" i="2"/>
  <c r="O2588" i="2"/>
  <c r="N2588" i="2"/>
  <c r="M2588" i="2"/>
  <c r="O2587" i="2"/>
  <c r="N2587" i="2"/>
  <c r="M2587" i="2"/>
  <c r="O2586" i="2"/>
  <c r="N2586" i="2"/>
  <c r="M2586" i="2"/>
  <c r="O2585" i="2"/>
  <c r="N2585" i="2"/>
  <c r="M2585" i="2"/>
  <c r="O2584" i="2"/>
  <c r="N2584" i="2"/>
  <c r="M2584" i="2"/>
  <c r="O2583" i="2"/>
  <c r="N2583" i="2"/>
  <c r="M2583" i="2"/>
  <c r="O2582" i="2"/>
  <c r="N2582" i="2"/>
  <c r="M2582" i="2"/>
  <c r="O2581" i="2"/>
  <c r="N2581" i="2"/>
  <c r="M2581" i="2"/>
  <c r="O2580" i="2"/>
  <c r="N2580" i="2"/>
  <c r="M2580" i="2"/>
  <c r="O2579" i="2"/>
  <c r="N2579" i="2"/>
  <c r="M2579" i="2"/>
  <c r="O2578" i="2"/>
  <c r="N2578" i="2"/>
  <c r="M2578" i="2"/>
  <c r="O2577" i="2"/>
  <c r="N2577" i="2"/>
  <c r="M2577" i="2"/>
  <c r="O2576" i="2"/>
  <c r="N2576" i="2"/>
  <c r="M2576" i="2"/>
  <c r="O2575" i="2"/>
  <c r="N2575" i="2"/>
  <c r="M2575" i="2"/>
  <c r="O2574" i="2"/>
  <c r="N2574" i="2"/>
  <c r="M2574" i="2"/>
  <c r="O2573" i="2"/>
  <c r="N2573" i="2"/>
  <c r="M2573" i="2"/>
  <c r="O2572" i="2"/>
  <c r="N2572" i="2"/>
  <c r="M2572" i="2"/>
  <c r="O2571" i="2"/>
  <c r="N2571" i="2"/>
  <c r="M2571" i="2"/>
  <c r="O2570" i="2"/>
  <c r="N2570" i="2"/>
  <c r="M2570" i="2"/>
  <c r="O2569" i="2"/>
  <c r="N2569" i="2"/>
  <c r="M2569" i="2"/>
  <c r="O2568" i="2"/>
  <c r="N2568" i="2"/>
  <c r="M2568" i="2"/>
  <c r="O2567" i="2"/>
  <c r="N2567" i="2"/>
  <c r="M2567" i="2"/>
  <c r="O2566" i="2"/>
  <c r="N2566" i="2"/>
  <c r="M2566" i="2"/>
  <c r="O2565" i="2"/>
  <c r="N2565" i="2"/>
  <c r="M2565" i="2"/>
  <c r="O2564" i="2"/>
  <c r="N2564" i="2"/>
  <c r="M2564" i="2"/>
  <c r="O2563" i="2"/>
  <c r="N2563" i="2"/>
  <c r="M2563" i="2"/>
  <c r="O2562" i="2"/>
  <c r="N2562" i="2"/>
  <c r="M2562" i="2"/>
  <c r="O2561" i="2"/>
  <c r="N2561" i="2"/>
  <c r="M2561" i="2"/>
  <c r="O2560" i="2"/>
  <c r="N2560" i="2"/>
  <c r="M2560" i="2"/>
  <c r="O2559" i="2"/>
  <c r="N2559" i="2"/>
  <c r="M2559" i="2"/>
  <c r="O2558" i="2"/>
  <c r="N2558" i="2"/>
  <c r="M2558" i="2"/>
  <c r="O2557" i="2"/>
  <c r="N2557" i="2"/>
  <c r="M2557" i="2"/>
  <c r="O2556" i="2"/>
  <c r="N2556" i="2"/>
  <c r="M2556" i="2"/>
  <c r="O2555" i="2"/>
  <c r="N2555" i="2"/>
  <c r="M2555" i="2"/>
  <c r="O2554" i="2"/>
  <c r="N2554" i="2"/>
  <c r="M2554" i="2"/>
  <c r="O2553" i="2"/>
  <c r="N2553" i="2"/>
  <c r="M2553" i="2"/>
  <c r="O2552" i="2"/>
  <c r="N2552" i="2"/>
  <c r="M2552" i="2"/>
  <c r="O2551" i="2"/>
  <c r="N2551" i="2"/>
  <c r="M2551" i="2"/>
  <c r="O2550" i="2"/>
  <c r="N2550" i="2"/>
  <c r="M2550" i="2"/>
  <c r="O2549" i="2"/>
  <c r="N2549" i="2"/>
  <c r="M2549" i="2"/>
  <c r="O2548" i="2"/>
  <c r="N2548" i="2"/>
  <c r="M2548" i="2"/>
  <c r="O2547" i="2"/>
  <c r="N2547" i="2"/>
  <c r="M2547" i="2"/>
  <c r="O2546" i="2"/>
  <c r="N2546" i="2"/>
  <c r="M2546" i="2"/>
  <c r="O2545" i="2"/>
  <c r="N2545" i="2"/>
  <c r="M2545" i="2"/>
  <c r="O2544" i="2"/>
  <c r="N2544" i="2"/>
  <c r="M2544" i="2"/>
  <c r="O2543" i="2"/>
  <c r="N2543" i="2"/>
  <c r="M2543" i="2"/>
  <c r="O2542" i="2"/>
  <c r="N2542" i="2"/>
  <c r="M2542" i="2"/>
  <c r="O2541" i="2"/>
  <c r="N2541" i="2"/>
  <c r="M2541" i="2"/>
  <c r="O2540" i="2"/>
  <c r="N2540" i="2"/>
  <c r="M2540" i="2"/>
  <c r="O2539" i="2"/>
  <c r="N2539" i="2"/>
  <c r="M2539" i="2"/>
  <c r="O2538" i="2"/>
  <c r="N2538" i="2"/>
  <c r="M2538" i="2"/>
  <c r="O2537" i="2"/>
  <c r="N2537" i="2"/>
  <c r="M2537" i="2"/>
  <c r="O2536" i="2"/>
  <c r="N2536" i="2"/>
  <c r="M2536" i="2"/>
  <c r="O2535" i="2"/>
  <c r="N2535" i="2"/>
  <c r="M2535" i="2"/>
  <c r="O2534" i="2"/>
  <c r="N2534" i="2"/>
  <c r="M2534" i="2"/>
  <c r="O2533" i="2"/>
  <c r="N2533" i="2"/>
  <c r="M2533" i="2"/>
  <c r="O2532" i="2"/>
  <c r="N2532" i="2"/>
  <c r="M2532" i="2"/>
  <c r="O2531" i="2"/>
  <c r="N2531" i="2"/>
  <c r="M2531" i="2"/>
  <c r="O2530" i="2"/>
  <c r="N2530" i="2"/>
  <c r="M2530" i="2"/>
  <c r="O2529" i="2"/>
  <c r="N2529" i="2"/>
  <c r="M2529" i="2"/>
  <c r="O2528" i="2"/>
  <c r="N2528" i="2"/>
  <c r="M2528" i="2"/>
  <c r="O2527" i="2"/>
  <c r="N2527" i="2"/>
  <c r="M2527" i="2"/>
  <c r="O2526" i="2"/>
  <c r="N2526" i="2"/>
  <c r="M2526" i="2"/>
  <c r="O2525" i="2"/>
  <c r="N2525" i="2"/>
  <c r="M2525" i="2"/>
  <c r="O2524" i="2"/>
  <c r="N2524" i="2"/>
  <c r="M2524" i="2"/>
  <c r="O2523" i="2"/>
  <c r="N2523" i="2"/>
  <c r="M2523" i="2"/>
  <c r="O2522" i="2"/>
  <c r="N2522" i="2"/>
  <c r="M2522" i="2"/>
  <c r="O2521" i="2"/>
  <c r="N2521" i="2"/>
  <c r="M2521" i="2"/>
  <c r="O2520" i="2"/>
  <c r="N2520" i="2"/>
  <c r="M2520" i="2"/>
  <c r="O2519" i="2"/>
  <c r="N2519" i="2"/>
  <c r="M2519" i="2"/>
  <c r="O2518" i="2"/>
  <c r="N2518" i="2"/>
  <c r="M2518" i="2"/>
  <c r="O2517" i="2"/>
  <c r="N2517" i="2"/>
  <c r="M2517" i="2"/>
  <c r="O2516" i="2"/>
  <c r="N2516" i="2"/>
  <c r="M2516" i="2"/>
  <c r="O2515" i="2"/>
  <c r="N2515" i="2"/>
  <c r="M2515" i="2"/>
  <c r="O2514" i="2"/>
  <c r="N2514" i="2"/>
  <c r="M2514" i="2"/>
  <c r="O2513" i="2"/>
  <c r="N2513" i="2"/>
  <c r="M2513" i="2"/>
  <c r="O2512" i="2"/>
  <c r="N2512" i="2"/>
  <c r="M2512" i="2"/>
  <c r="O2511" i="2"/>
  <c r="N2511" i="2"/>
  <c r="M2511" i="2"/>
  <c r="O2510" i="2"/>
  <c r="N2510" i="2"/>
  <c r="M2510" i="2"/>
  <c r="O2509" i="2"/>
  <c r="N2509" i="2"/>
  <c r="M2509" i="2"/>
  <c r="O2508" i="2"/>
  <c r="N2508" i="2"/>
  <c r="M2508" i="2"/>
  <c r="O2507" i="2"/>
  <c r="N2507" i="2"/>
  <c r="M2507" i="2"/>
  <c r="O2506" i="2"/>
  <c r="N2506" i="2"/>
  <c r="M2506" i="2"/>
  <c r="O2505" i="2"/>
  <c r="N2505" i="2"/>
  <c r="M2505" i="2"/>
  <c r="O2504" i="2"/>
  <c r="N2504" i="2"/>
  <c r="M2504" i="2"/>
  <c r="O2503" i="2"/>
  <c r="N2503" i="2"/>
  <c r="M2503" i="2"/>
  <c r="O2502" i="2"/>
  <c r="N2502" i="2"/>
  <c r="M2502" i="2"/>
  <c r="O2501" i="2"/>
  <c r="N2501" i="2"/>
  <c r="M2501" i="2"/>
  <c r="O2500" i="2"/>
  <c r="N2500" i="2"/>
  <c r="M2500" i="2"/>
  <c r="O2499" i="2"/>
  <c r="N2499" i="2"/>
  <c r="M2499" i="2"/>
  <c r="O2498" i="2"/>
  <c r="N2498" i="2"/>
  <c r="M2498" i="2"/>
  <c r="O2497" i="2"/>
  <c r="N2497" i="2"/>
  <c r="M2497" i="2"/>
  <c r="O2496" i="2"/>
  <c r="N2496" i="2"/>
  <c r="M2496" i="2"/>
  <c r="O2495" i="2"/>
  <c r="N2495" i="2"/>
  <c r="M2495" i="2"/>
  <c r="O2494" i="2"/>
  <c r="N2494" i="2"/>
  <c r="M2494" i="2"/>
  <c r="O2493" i="2"/>
  <c r="N2493" i="2"/>
  <c r="M2493" i="2"/>
  <c r="O2492" i="2"/>
  <c r="N2492" i="2"/>
  <c r="M2492" i="2"/>
  <c r="O2491" i="2"/>
  <c r="N2491" i="2"/>
  <c r="M2491" i="2"/>
  <c r="O2490" i="2"/>
  <c r="N2490" i="2"/>
  <c r="M2490" i="2"/>
  <c r="O2489" i="2"/>
  <c r="N2489" i="2"/>
  <c r="M2489" i="2"/>
  <c r="O2488" i="2"/>
  <c r="N2488" i="2"/>
  <c r="M2488" i="2"/>
  <c r="O2487" i="2"/>
  <c r="N2487" i="2"/>
  <c r="M2487" i="2"/>
  <c r="O2486" i="2"/>
  <c r="N2486" i="2"/>
  <c r="M2486" i="2"/>
  <c r="O2485" i="2"/>
  <c r="N2485" i="2"/>
  <c r="M2485" i="2"/>
  <c r="O2484" i="2"/>
  <c r="N2484" i="2"/>
  <c r="M2484" i="2"/>
  <c r="O2483" i="2"/>
  <c r="N2483" i="2"/>
  <c r="M2483" i="2"/>
  <c r="O2482" i="2"/>
  <c r="N2482" i="2"/>
  <c r="M2482" i="2"/>
  <c r="O2481" i="2"/>
  <c r="N2481" i="2"/>
  <c r="M2481" i="2"/>
  <c r="O2480" i="2"/>
  <c r="N2480" i="2"/>
  <c r="M2480" i="2"/>
  <c r="O2479" i="2"/>
  <c r="N2479" i="2"/>
  <c r="M2479" i="2"/>
  <c r="O2478" i="2"/>
  <c r="N2478" i="2"/>
  <c r="M2478" i="2"/>
  <c r="O2477" i="2"/>
  <c r="N2477" i="2"/>
  <c r="M2477" i="2"/>
  <c r="O2476" i="2"/>
  <c r="N2476" i="2"/>
  <c r="M2476" i="2"/>
  <c r="O2475" i="2"/>
  <c r="N2475" i="2"/>
  <c r="M2475" i="2"/>
  <c r="O2474" i="2"/>
  <c r="N2474" i="2"/>
  <c r="M2474" i="2"/>
  <c r="O2473" i="2"/>
  <c r="N2473" i="2"/>
  <c r="M2473" i="2"/>
  <c r="O2472" i="2"/>
  <c r="N2472" i="2"/>
  <c r="M2472" i="2"/>
  <c r="O2471" i="2"/>
  <c r="N2471" i="2"/>
  <c r="M2471" i="2"/>
  <c r="O2470" i="2"/>
  <c r="N2470" i="2"/>
  <c r="M2470" i="2"/>
  <c r="O2469" i="2"/>
  <c r="N2469" i="2"/>
  <c r="M2469" i="2"/>
  <c r="O2468" i="2"/>
  <c r="N2468" i="2"/>
  <c r="M2468" i="2"/>
  <c r="O2467" i="2"/>
  <c r="N2467" i="2"/>
  <c r="M2467" i="2"/>
  <c r="O2466" i="2"/>
  <c r="N2466" i="2"/>
  <c r="M2466" i="2"/>
  <c r="O2465" i="2"/>
  <c r="N2465" i="2"/>
  <c r="M2465" i="2"/>
  <c r="O2464" i="2"/>
  <c r="N2464" i="2"/>
  <c r="M2464" i="2"/>
  <c r="O2463" i="2"/>
  <c r="N2463" i="2"/>
  <c r="M2463" i="2"/>
  <c r="O2462" i="2"/>
  <c r="N2462" i="2"/>
  <c r="M2462" i="2"/>
  <c r="O2461" i="2"/>
  <c r="N2461" i="2"/>
  <c r="M2461" i="2"/>
  <c r="O2460" i="2"/>
  <c r="N2460" i="2"/>
  <c r="M2460" i="2"/>
  <c r="O2459" i="2"/>
  <c r="N2459" i="2"/>
  <c r="M2459" i="2"/>
  <c r="O2458" i="2"/>
  <c r="N2458" i="2"/>
  <c r="M2458" i="2"/>
  <c r="O2457" i="2"/>
  <c r="N2457" i="2"/>
  <c r="M2457" i="2"/>
  <c r="O2456" i="2"/>
  <c r="N2456" i="2"/>
  <c r="M2456" i="2"/>
  <c r="O2455" i="2"/>
  <c r="N2455" i="2"/>
  <c r="M2455" i="2"/>
  <c r="O2454" i="2"/>
  <c r="N2454" i="2"/>
  <c r="M2454" i="2"/>
  <c r="O2453" i="2"/>
  <c r="N2453" i="2"/>
  <c r="M2453" i="2"/>
  <c r="O2452" i="2"/>
  <c r="N2452" i="2"/>
  <c r="M2452" i="2"/>
  <c r="O2451" i="2"/>
  <c r="N2451" i="2"/>
  <c r="M2451" i="2"/>
  <c r="O2450" i="2"/>
  <c r="N2450" i="2"/>
  <c r="M2450" i="2"/>
  <c r="O2449" i="2"/>
  <c r="N2449" i="2"/>
  <c r="M2449" i="2"/>
  <c r="O2448" i="2"/>
  <c r="N2448" i="2"/>
  <c r="M2448" i="2"/>
  <c r="O2447" i="2"/>
  <c r="N2447" i="2"/>
  <c r="M2447" i="2"/>
  <c r="O2446" i="2"/>
  <c r="N2446" i="2"/>
  <c r="M2446" i="2"/>
  <c r="O2445" i="2"/>
  <c r="N2445" i="2"/>
  <c r="M2445" i="2"/>
  <c r="O2444" i="2"/>
  <c r="N2444" i="2"/>
  <c r="M2444" i="2"/>
  <c r="O2443" i="2"/>
  <c r="N2443" i="2"/>
  <c r="M2443" i="2"/>
  <c r="O2442" i="2"/>
  <c r="N2442" i="2"/>
  <c r="M2442" i="2"/>
  <c r="O2441" i="2"/>
  <c r="N2441" i="2"/>
  <c r="M2441" i="2"/>
  <c r="O2440" i="2"/>
  <c r="N2440" i="2"/>
  <c r="M2440" i="2"/>
  <c r="O2439" i="2"/>
  <c r="N2439" i="2"/>
  <c r="M2439" i="2"/>
  <c r="O2438" i="2"/>
  <c r="N2438" i="2"/>
  <c r="M2438" i="2"/>
  <c r="O2437" i="2"/>
  <c r="N2437" i="2"/>
  <c r="M2437" i="2"/>
  <c r="O2436" i="2"/>
  <c r="N2436" i="2"/>
  <c r="M2436" i="2"/>
  <c r="O2435" i="2"/>
  <c r="N2435" i="2"/>
  <c r="M2435" i="2"/>
  <c r="O2434" i="2"/>
  <c r="N2434" i="2"/>
  <c r="M2434" i="2"/>
  <c r="O2433" i="2"/>
  <c r="N2433" i="2"/>
  <c r="M2433" i="2"/>
  <c r="O2432" i="2"/>
  <c r="N2432" i="2"/>
  <c r="M2432" i="2"/>
  <c r="O2431" i="2"/>
  <c r="N2431" i="2"/>
  <c r="M2431" i="2"/>
  <c r="O2430" i="2"/>
  <c r="N2430" i="2"/>
  <c r="M2430" i="2"/>
  <c r="O2429" i="2"/>
  <c r="N2429" i="2"/>
  <c r="M2429" i="2"/>
  <c r="O2428" i="2"/>
  <c r="N2428" i="2"/>
  <c r="M2428" i="2"/>
  <c r="O2427" i="2"/>
  <c r="N2427" i="2"/>
  <c r="M2427" i="2"/>
  <c r="O2426" i="2"/>
  <c r="N2426" i="2"/>
  <c r="M2426" i="2"/>
  <c r="O2425" i="2"/>
  <c r="N2425" i="2"/>
  <c r="M2425" i="2"/>
  <c r="O2424" i="2"/>
  <c r="N2424" i="2"/>
  <c r="M2424" i="2"/>
  <c r="O2423" i="2"/>
  <c r="N2423" i="2"/>
  <c r="M2423" i="2"/>
  <c r="O2422" i="2"/>
  <c r="N2422" i="2"/>
  <c r="M2422" i="2"/>
  <c r="O2421" i="2"/>
  <c r="N2421" i="2"/>
  <c r="M2421" i="2"/>
  <c r="O2420" i="2"/>
  <c r="N2420" i="2"/>
  <c r="M2420" i="2"/>
  <c r="O2419" i="2"/>
  <c r="N2419" i="2"/>
  <c r="M2419" i="2"/>
  <c r="O2418" i="2"/>
  <c r="N2418" i="2"/>
  <c r="M2418" i="2"/>
  <c r="O2417" i="2"/>
  <c r="N2417" i="2"/>
  <c r="M2417" i="2"/>
  <c r="O2416" i="2"/>
  <c r="N2416" i="2"/>
  <c r="M2416" i="2"/>
  <c r="O2415" i="2"/>
  <c r="N2415" i="2"/>
  <c r="M2415" i="2"/>
  <c r="O2414" i="2"/>
  <c r="N2414" i="2"/>
  <c r="M2414" i="2"/>
  <c r="O2413" i="2"/>
  <c r="N2413" i="2"/>
  <c r="M2413" i="2"/>
  <c r="O2412" i="2"/>
  <c r="N2412" i="2"/>
  <c r="M2412" i="2"/>
  <c r="O2411" i="2"/>
  <c r="N2411" i="2"/>
  <c r="M2411" i="2"/>
  <c r="O2410" i="2"/>
  <c r="N2410" i="2"/>
  <c r="M2410" i="2"/>
  <c r="O2409" i="2"/>
  <c r="N2409" i="2"/>
  <c r="M2409" i="2"/>
  <c r="O2408" i="2"/>
  <c r="N2408" i="2"/>
  <c r="M2408" i="2"/>
  <c r="O2407" i="2"/>
  <c r="N2407" i="2"/>
  <c r="M2407" i="2"/>
  <c r="O2406" i="2"/>
  <c r="N2406" i="2"/>
  <c r="M2406" i="2"/>
  <c r="O2405" i="2"/>
  <c r="N2405" i="2"/>
  <c r="M2405" i="2"/>
  <c r="O2404" i="2"/>
  <c r="N2404" i="2"/>
  <c r="M2404" i="2"/>
  <c r="O2403" i="2"/>
  <c r="N2403" i="2"/>
  <c r="M2403" i="2"/>
  <c r="O2402" i="2"/>
  <c r="N2402" i="2"/>
  <c r="M2402" i="2"/>
  <c r="O2401" i="2"/>
  <c r="N2401" i="2"/>
  <c r="M2401" i="2"/>
  <c r="O2400" i="2"/>
  <c r="N2400" i="2"/>
  <c r="M2400" i="2"/>
  <c r="O2399" i="2"/>
  <c r="N2399" i="2"/>
  <c r="M2399" i="2"/>
  <c r="O2398" i="2"/>
  <c r="N2398" i="2"/>
  <c r="M2398" i="2"/>
  <c r="O2397" i="2"/>
  <c r="N2397" i="2"/>
  <c r="M2397" i="2"/>
  <c r="O2396" i="2"/>
  <c r="N2396" i="2"/>
  <c r="M2396" i="2"/>
  <c r="O2395" i="2"/>
  <c r="N2395" i="2"/>
  <c r="M2395" i="2"/>
  <c r="O2394" i="2"/>
  <c r="N2394" i="2"/>
  <c r="M2394" i="2"/>
  <c r="O2393" i="2"/>
  <c r="N2393" i="2"/>
  <c r="M2393" i="2"/>
  <c r="O2392" i="2"/>
  <c r="N2392" i="2"/>
  <c r="M2392" i="2"/>
  <c r="O2391" i="2"/>
  <c r="N2391" i="2"/>
  <c r="M2391" i="2"/>
  <c r="O2390" i="2"/>
  <c r="N2390" i="2"/>
  <c r="M2390" i="2"/>
  <c r="O2389" i="2"/>
  <c r="N2389" i="2"/>
  <c r="M2389" i="2"/>
  <c r="O2388" i="2"/>
  <c r="N2388" i="2"/>
  <c r="M2388" i="2"/>
  <c r="O2387" i="2"/>
  <c r="N2387" i="2"/>
  <c r="M2387" i="2"/>
  <c r="O2386" i="2"/>
  <c r="N2386" i="2"/>
  <c r="M2386" i="2"/>
  <c r="O2385" i="2"/>
  <c r="N2385" i="2"/>
  <c r="M2385" i="2"/>
  <c r="O2384" i="2"/>
  <c r="N2384" i="2"/>
  <c r="M2384" i="2"/>
  <c r="O2383" i="2"/>
  <c r="N2383" i="2"/>
  <c r="M2383" i="2"/>
  <c r="O2382" i="2"/>
  <c r="N2382" i="2"/>
  <c r="M2382" i="2"/>
  <c r="O2381" i="2"/>
  <c r="N2381" i="2"/>
  <c r="M2381" i="2"/>
  <c r="O2380" i="2"/>
  <c r="N2380" i="2"/>
  <c r="M2380" i="2"/>
  <c r="O2379" i="2"/>
  <c r="N2379" i="2"/>
  <c r="M2379" i="2"/>
  <c r="O2378" i="2"/>
  <c r="N2378" i="2"/>
  <c r="M2378" i="2"/>
  <c r="O2377" i="2"/>
  <c r="N2377" i="2"/>
  <c r="M2377" i="2"/>
  <c r="O2376" i="2"/>
  <c r="N2376" i="2"/>
  <c r="M2376" i="2"/>
  <c r="O2375" i="2"/>
  <c r="N2375" i="2"/>
  <c r="M2375" i="2"/>
  <c r="O2374" i="2"/>
  <c r="N2374" i="2"/>
  <c r="M2374" i="2"/>
  <c r="O2373" i="2"/>
  <c r="N2373" i="2"/>
  <c r="M2373" i="2"/>
  <c r="O2372" i="2"/>
  <c r="N2372" i="2"/>
  <c r="M2372" i="2"/>
  <c r="O2371" i="2"/>
  <c r="N2371" i="2"/>
  <c r="M2371" i="2"/>
  <c r="O2370" i="2"/>
  <c r="N2370" i="2"/>
  <c r="M2370" i="2"/>
  <c r="O2369" i="2"/>
  <c r="N2369" i="2"/>
  <c r="M2369" i="2"/>
  <c r="O2368" i="2"/>
  <c r="N2368" i="2"/>
  <c r="M2368" i="2"/>
  <c r="O2367" i="2"/>
  <c r="N2367" i="2"/>
  <c r="M2367" i="2"/>
  <c r="O2366" i="2"/>
  <c r="N2366" i="2"/>
  <c r="M2366" i="2"/>
  <c r="O2365" i="2"/>
  <c r="N2365" i="2"/>
  <c r="M2365" i="2"/>
  <c r="O2364" i="2"/>
  <c r="N2364" i="2"/>
  <c r="M2364" i="2"/>
  <c r="O2363" i="2"/>
  <c r="N2363" i="2"/>
  <c r="M2363" i="2"/>
  <c r="O2362" i="2"/>
  <c r="N2362" i="2"/>
  <c r="M2362" i="2"/>
  <c r="O2361" i="2"/>
  <c r="N2361" i="2"/>
  <c r="M2361" i="2"/>
  <c r="O2360" i="2"/>
  <c r="N2360" i="2"/>
  <c r="M2360" i="2"/>
  <c r="O2359" i="2"/>
  <c r="N2359" i="2"/>
  <c r="M2359" i="2"/>
  <c r="O2358" i="2"/>
  <c r="N2358" i="2"/>
  <c r="M2358" i="2"/>
  <c r="O2357" i="2"/>
  <c r="N2357" i="2"/>
  <c r="M2357" i="2"/>
  <c r="O2356" i="2"/>
  <c r="N2356" i="2"/>
  <c r="M2356" i="2"/>
  <c r="O2355" i="2"/>
  <c r="N2355" i="2"/>
  <c r="M2355" i="2"/>
  <c r="O2354" i="2"/>
  <c r="N2354" i="2"/>
  <c r="M2354" i="2"/>
  <c r="O2353" i="2"/>
  <c r="N2353" i="2"/>
  <c r="M2353" i="2"/>
  <c r="O2352" i="2"/>
  <c r="N2352" i="2"/>
  <c r="M2352" i="2"/>
  <c r="O2351" i="2"/>
  <c r="N2351" i="2"/>
  <c r="M2351" i="2"/>
  <c r="O2350" i="2"/>
  <c r="N2350" i="2"/>
  <c r="M2350" i="2"/>
  <c r="O2349" i="2"/>
  <c r="N2349" i="2"/>
  <c r="M2349" i="2"/>
  <c r="O2348" i="2"/>
  <c r="N2348" i="2"/>
  <c r="M2348" i="2"/>
  <c r="O2347" i="2"/>
  <c r="N2347" i="2"/>
  <c r="M2347" i="2"/>
  <c r="O2346" i="2"/>
  <c r="N2346" i="2"/>
  <c r="M2346" i="2"/>
  <c r="O2345" i="2"/>
  <c r="N2345" i="2"/>
  <c r="M2345" i="2"/>
  <c r="O2344" i="2"/>
  <c r="N2344" i="2"/>
  <c r="M2344" i="2"/>
  <c r="O2343" i="2"/>
  <c r="N2343" i="2"/>
  <c r="M2343" i="2"/>
  <c r="O2342" i="2"/>
  <c r="N2342" i="2"/>
  <c r="M2342" i="2"/>
  <c r="O2341" i="2"/>
  <c r="N2341" i="2"/>
  <c r="M2341" i="2"/>
  <c r="O2340" i="2"/>
  <c r="N2340" i="2"/>
  <c r="M2340" i="2"/>
  <c r="O2339" i="2"/>
  <c r="N2339" i="2"/>
  <c r="M2339" i="2"/>
  <c r="O2338" i="2"/>
  <c r="N2338" i="2"/>
  <c r="M2338" i="2"/>
  <c r="O2337" i="2"/>
  <c r="N2337" i="2"/>
  <c r="M2337" i="2"/>
  <c r="O2336" i="2"/>
  <c r="N2336" i="2"/>
  <c r="M2336" i="2"/>
  <c r="O2335" i="2"/>
  <c r="N2335" i="2"/>
  <c r="M2335" i="2"/>
  <c r="O2334" i="2"/>
  <c r="N2334" i="2"/>
  <c r="M2334" i="2"/>
  <c r="O2333" i="2"/>
  <c r="N2333" i="2"/>
  <c r="M2333" i="2"/>
  <c r="O2332" i="2"/>
  <c r="N2332" i="2"/>
  <c r="M2332" i="2"/>
  <c r="O2331" i="2"/>
  <c r="N2331" i="2"/>
  <c r="M2331" i="2"/>
  <c r="O2330" i="2"/>
  <c r="N2330" i="2"/>
  <c r="M2330" i="2"/>
  <c r="O2329" i="2"/>
  <c r="N2329" i="2"/>
  <c r="M2329" i="2"/>
  <c r="O2328" i="2"/>
  <c r="N2328" i="2"/>
  <c r="M2328" i="2"/>
  <c r="O2327" i="2"/>
  <c r="N2327" i="2"/>
  <c r="M2327" i="2"/>
  <c r="O2326" i="2"/>
  <c r="N2326" i="2"/>
  <c r="M2326" i="2"/>
  <c r="O2325" i="2"/>
  <c r="N2325" i="2"/>
  <c r="M2325" i="2"/>
  <c r="O2324" i="2"/>
  <c r="N2324" i="2"/>
  <c r="M2324" i="2"/>
  <c r="O2323" i="2"/>
  <c r="N2323" i="2"/>
  <c r="M2323" i="2"/>
  <c r="O2322" i="2"/>
  <c r="N2322" i="2"/>
  <c r="M2322" i="2"/>
  <c r="O2321" i="2"/>
  <c r="N2321" i="2"/>
  <c r="M2321" i="2"/>
  <c r="O2320" i="2"/>
  <c r="N2320" i="2"/>
  <c r="M2320" i="2"/>
  <c r="O2319" i="2"/>
  <c r="N2319" i="2"/>
  <c r="M2319" i="2"/>
  <c r="O2318" i="2"/>
  <c r="N2318" i="2"/>
  <c r="M2318" i="2"/>
  <c r="O2317" i="2"/>
  <c r="N2317" i="2"/>
  <c r="M2317" i="2"/>
  <c r="O2316" i="2"/>
  <c r="N2316" i="2"/>
  <c r="M2316" i="2"/>
  <c r="O2315" i="2"/>
  <c r="N2315" i="2"/>
  <c r="M2315" i="2"/>
  <c r="O2314" i="2"/>
  <c r="N2314" i="2"/>
  <c r="M2314" i="2"/>
  <c r="O2313" i="2"/>
  <c r="N2313" i="2"/>
  <c r="M2313" i="2"/>
  <c r="O2312" i="2"/>
  <c r="N2312" i="2"/>
  <c r="M2312" i="2"/>
  <c r="O2311" i="2"/>
  <c r="N2311" i="2"/>
  <c r="M2311" i="2"/>
  <c r="O2310" i="2"/>
  <c r="N2310" i="2"/>
  <c r="M2310" i="2"/>
  <c r="O2309" i="2"/>
  <c r="N2309" i="2"/>
  <c r="M2309" i="2"/>
  <c r="O2308" i="2"/>
  <c r="N2308" i="2"/>
  <c r="M2308" i="2"/>
  <c r="O2307" i="2"/>
  <c r="N2307" i="2"/>
  <c r="M2307" i="2"/>
  <c r="O2306" i="2"/>
  <c r="N2306" i="2"/>
  <c r="M2306" i="2"/>
  <c r="O2305" i="2"/>
  <c r="N2305" i="2"/>
  <c r="M2305" i="2"/>
  <c r="O2304" i="2"/>
  <c r="N2304" i="2"/>
  <c r="M2304" i="2"/>
  <c r="O2303" i="2"/>
  <c r="N2303" i="2"/>
  <c r="M2303" i="2"/>
  <c r="O2302" i="2"/>
  <c r="N2302" i="2"/>
  <c r="M2302" i="2"/>
  <c r="O2301" i="2"/>
  <c r="N2301" i="2"/>
  <c r="M2301" i="2"/>
  <c r="O2300" i="2"/>
  <c r="N2300" i="2"/>
  <c r="M2300" i="2"/>
  <c r="O2299" i="2"/>
  <c r="N2299" i="2"/>
  <c r="M2299" i="2"/>
  <c r="O2298" i="2"/>
  <c r="N2298" i="2"/>
  <c r="M2298" i="2"/>
  <c r="O2297" i="2"/>
  <c r="N2297" i="2"/>
  <c r="M2297" i="2"/>
  <c r="O2296" i="2"/>
  <c r="N2296" i="2"/>
  <c r="M2296" i="2"/>
  <c r="O2295" i="2"/>
  <c r="N2295" i="2"/>
  <c r="M2295" i="2"/>
  <c r="O2294" i="2"/>
  <c r="N2294" i="2"/>
  <c r="M2294" i="2"/>
  <c r="O2293" i="2"/>
  <c r="N2293" i="2"/>
  <c r="M2293" i="2"/>
  <c r="O2292" i="2"/>
  <c r="N2292" i="2"/>
  <c r="M2292" i="2"/>
  <c r="O2291" i="2"/>
  <c r="N2291" i="2"/>
  <c r="M2291" i="2"/>
  <c r="O2290" i="2"/>
  <c r="N2290" i="2"/>
  <c r="M2290" i="2"/>
  <c r="O2289" i="2"/>
  <c r="N2289" i="2"/>
  <c r="M2289" i="2"/>
  <c r="O2288" i="2"/>
  <c r="N2288" i="2"/>
  <c r="M2288" i="2"/>
  <c r="O2287" i="2"/>
  <c r="N2287" i="2"/>
  <c r="M2287" i="2"/>
  <c r="O2286" i="2"/>
  <c r="N2286" i="2"/>
  <c r="M2286" i="2"/>
  <c r="O2285" i="2"/>
  <c r="N2285" i="2"/>
  <c r="M2285" i="2"/>
  <c r="O2284" i="2"/>
  <c r="N2284" i="2"/>
  <c r="M2284" i="2"/>
  <c r="O2283" i="2"/>
  <c r="N2283" i="2"/>
  <c r="M2283" i="2"/>
  <c r="O2282" i="2"/>
  <c r="N2282" i="2"/>
  <c r="M2282" i="2"/>
  <c r="O2281" i="2"/>
  <c r="N2281" i="2"/>
  <c r="M2281" i="2"/>
  <c r="O2280" i="2"/>
  <c r="N2280" i="2"/>
  <c r="M2280" i="2"/>
  <c r="O2279" i="2"/>
  <c r="N2279" i="2"/>
  <c r="M2279" i="2"/>
  <c r="O2278" i="2"/>
  <c r="N2278" i="2"/>
  <c r="M2278" i="2"/>
  <c r="O2277" i="2"/>
  <c r="N2277" i="2"/>
  <c r="M2277" i="2"/>
  <c r="O2276" i="2"/>
  <c r="N2276" i="2"/>
  <c r="M2276" i="2"/>
  <c r="O2275" i="2"/>
  <c r="N2275" i="2"/>
  <c r="M2275" i="2"/>
  <c r="O2274" i="2"/>
  <c r="N2274" i="2"/>
  <c r="M2274" i="2"/>
  <c r="O2273" i="2"/>
  <c r="N2273" i="2"/>
  <c r="M2273" i="2"/>
  <c r="O2272" i="2"/>
  <c r="N2272" i="2"/>
  <c r="M2272" i="2"/>
  <c r="O2271" i="2"/>
  <c r="N2271" i="2"/>
  <c r="M2271" i="2"/>
  <c r="O2270" i="2"/>
  <c r="N2270" i="2"/>
  <c r="M2270" i="2"/>
  <c r="O2269" i="2"/>
  <c r="N2269" i="2"/>
  <c r="M2269" i="2"/>
  <c r="O2268" i="2"/>
  <c r="N2268" i="2"/>
  <c r="M2268" i="2"/>
  <c r="O2267" i="2"/>
  <c r="N2267" i="2"/>
  <c r="M2267" i="2"/>
  <c r="O2266" i="2"/>
  <c r="N2266" i="2"/>
  <c r="M2266" i="2"/>
  <c r="O2265" i="2"/>
  <c r="N2265" i="2"/>
  <c r="M2265" i="2"/>
  <c r="O2264" i="2"/>
  <c r="N2264" i="2"/>
  <c r="M2264" i="2"/>
  <c r="O2263" i="2"/>
  <c r="N2263" i="2"/>
  <c r="M2263" i="2"/>
  <c r="O2262" i="2"/>
  <c r="N2262" i="2"/>
  <c r="M2262" i="2"/>
  <c r="O2261" i="2"/>
  <c r="N2261" i="2"/>
  <c r="M2261" i="2"/>
  <c r="O2260" i="2"/>
  <c r="N2260" i="2"/>
  <c r="M2260" i="2"/>
  <c r="O2259" i="2"/>
  <c r="N2259" i="2"/>
  <c r="M2259" i="2"/>
  <c r="O2258" i="2"/>
  <c r="N2258" i="2"/>
  <c r="M2258" i="2"/>
  <c r="O2257" i="2"/>
  <c r="N2257" i="2"/>
  <c r="M2257" i="2"/>
  <c r="O2256" i="2"/>
  <c r="N2256" i="2"/>
  <c r="M2256" i="2"/>
  <c r="O2255" i="2"/>
  <c r="N2255" i="2"/>
  <c r="M2255" i="2"/>
  <c r="O2254" i="2"/>
  <c r="N2254" i="2"/>
  <c r="M2254" i="2"/>
  <c r="O2253" i="2"/>
  <c r="N2253" i="2"/>
  <c r="M2253" i="2"/>
  <c r="O2252" i="2"/>
  <c r="N2252" i="2"/>
  <c r="M2252" i="2"/>
  <c r="O2251" i="2"/>
  <c r="N2251" i="2"/>
  <c r="M2251" i="2"/>
  <c r="O2250" i="2"/>
  <c r="N2250" i="2"/>
  <c r="M2250" i="2"/>
  <c r="O2249" i="2"/>
  <c r="N2249" i="2"/>
  <c r="M2249" i="2"/>
  <c r="O2248" i="2"/>
  <c r="N2248" i="2"/>
  <c r="M2248" i="2"/>
  <c r="O2247" i="2"/>
  <c r="N2247" i="2"/>
  <c r="M2247" i="2"/>
  <c r="O2246" i="2"/>
  <c r="N2246" i="2"/>
  <c r="M2246" i="2"/>
  <c r="O2245" i="2"/>
  <c r="N2245" i="2"/>
  <c r="M2245" i="2"/>
  <c r="O2244" i="2"/>
  <c r="N2244" i="2"/>
  <c r="M2244" i="2"/>
  <c r="O2243" i="2"/>
  <c r="N2243" i="2"/>
  <c r="M2243" i="2"/>
  <c r="O2242" i="2"/>
  <c r="N2242" i="2"/>
  <c r="M2242" i="2"/>
  <c r="O2241" i="2"/>
  <c r="N2241" i="2"/>
  <c r="M2241" i="2"/>
  <c r="O2240" i="2"/>
  <c r="N2240" i="2"/>
  <c r="M2240" i="2"/>
  <c r="O2239" i="2"/>
  <c r="N2239" i="2"/>
  <c r="M2239" i="2"/>
  <c r="O2238" i="2"/>
  <c r="N2238" i="2"/>
  <c r="M2238" i="2"/>
  <c r="O2237" i="2"/>
  <c r="N2237" i="2"/>
  <c r="M2237" i="2"/>
  <c r="O2236" i="2"/>
  <c r="N2236" i="2"/>
  <c r="M2236" i="2"/>
  <c r="O2235" i="2"/>
  <c r="N2235" i="2"/>
  <c r="M2235" i="2"/>
  <c r="O2234" i="2"/>
  <c r="N2234" i="2"/>
  <c r="M2234" i="2"/>
  <c r="O2233" i="2"/>
  <c r="N2233" i="2"/>
  <c r="M2233" i="2"/>
  <c r="O2232" i="2"/>
  <c r="N2232" i="2"/>
  <c r="M2232" i="2"/>
  <c r="O2231" i="2"/>
  <c r="N2231" i="2"/>
  <c r="M2231" i="2"/>
  <c r="O2230" i="2"/>
  <c r="N2230" i="2"/>
  <c r="M2230" i="2"/>
  <c r="O2229" i="2"/>
  <c r="N2229" i="2"/>
  <c r="M2229" i="2"/>
  <c r="O2228" i="2"/>
  <c r="N2228" i="2"/>
  <c r="M2228" i="2"/>
  <c r="O2227" i="2"/>
  <c r="N2227" i="2"/>
  <c r="M2227" i="2"/>
  <c r="O2226" i="2"/>
  <c r="N2226" i="2"/>
  <c r="M2226" i="2"/>
  <c r="O2225" i="2"/>
  <c r="N2225" i="2"/>
  <c r="M2225" i="2"/>
  <c r="O2224" i="2"/>
  <c r="N2224" i="2"/>
  <c r="M2224" i="2"/>
  <c r="O2223" i="2"/>
  <c r="N2223" i="2"/>
  <c r="M2223" i="2"/>
  <c r="O2222" i="2"/>
  <c r="N2222" i="2"/>
  <c r="M2222" i="2"/>
  <c r="O2221" i="2"/>
  <c r="N2221" i="2"/>
  <c r="M2221" i="2"/>
  <c r="O2220" i="2"/>
  <c r="N2220" i="2"/>
  <c r="M2220" i="2"/>
  <c r="O2219" i="2"/>
  <c r="N2219" i="2"/>
  <c r="M2219" i="2"/>
  <c r="O2218" i="2"/>
  <c r="N2218" i="2"/>
  <c r="M2218" i="2"/>
  <c r="O2217" i="2"/>
  <c r="N2217" i="2"/>
  <c r="M2217" i="2"/>
  <c r="O2216" i="2"/>
  <c r="N2216" i="2"/>
  <c r="M2216" i="2"/>
  <c r="O2215" i="2"/>
  <c r="N2215" i="2"/>
  <c r="M2215" i="2"/>
  <c r="O2214" i="2"/>
  <c r="N2214" i="2"/>
  <c r="M2214" i="2"/>
  <c r="O2213" i="2"/>
  <c r="N2213" i="2"/>
  <c r="M2213" i="2"/>
  <c r="O2212" i="2"/>
  <c r="N2212" i="2"/>
  <c r="M2212" i="2"/>
  <c r="O2211" i="2"/>
  <c r="N2211" i="2"/>
  <c r="M2211" i="2"/>
  <c r="O2210" i="2"/>
  <c r="N2210" i="2"/>
  <c r="M2210" i="2"/>
  <c r="O2209" i="2"/>
  <c r="N2209" i="2"/>
  <c r="M2209" i="2"/>
  <c r="O2208" i="2"/>
  <c r="N2208" i="2"/>
  <c r="M2208" i="2"/>
  <c r="O2207" i="2"/>
  <c r="N2207" i="2"/>
  <c r="M2207" i="2"/>
  <c r="O2206" i="2"/>
  <c r="N2206" i="2"/>
  <c r="M2206" i="2"/>
  <c r="O2205" i="2"/>
  <c r="N2205" i="2"/>
  <c r="M2205" i="2"/>
  <c r="O2204" i="2"/>
  <c r="N2204" i="2"/>
  <c r="M2204" i="2"/>
  <c r="O2203" i="2"/>
  <c r="N2203" i="2"/>
  <c r="M2203" i="2"/>
  <c r="O2202" i="2"/>
  <c r="N2202" i="2"/>
  <c r="M2202" i="2"/>
  <c r="O2201" i="2"/>
  <c r="N2201" i="2"/>
  <c r="M2201" i="2"/>
  <c r="O2200" i="2"/>
  <c r="N2200" i="2"/>
  <c r="M2200" i="2"/>
  <c r="O2199" i="2"/>
  <c r="N2199" i="2"/>
  <c r="M2199" i="2"/>
  <c r="O2198" i="2"/>
  <c r="N2198" i="2"/>
  <c r="M2198" i="2"/>
  <c r="O2197" i="2"/>
  <c r="N2197" i="2"/>
  <c r="M2197" i="2"/>
  <c r="O2196" i="2"/>
  <c r="N2196" i="2"/>
  <c r="M2196" i="2"/>
  <c r="O2195" i="2"/>
  <c r="N2195" i="2"/>
  <c r="M2195" i="2"/>
  <c r="O2194" i="2"/>
  <c r="N2194" i="2"/>
  <c r="M2194" i="2"/>
  <c r="O2193" i="2"/>
  <c r="N2193" i="2"/>
  <c r="M2193" i="2"/>
  <c r="O2192" i="2"/>
  <c r="N2192" i="2"/>
  <c r="M2192" i="2"/>
  <c r="O2191" i="2"/>
  <c r="N2191" i="2"/>
  <c r="M2191" i="2"/>
  <c r="O2190" i="2"/>
  <c r="N2190" i="2"/>
  <c r="M2190" i="2"/>
  <c r="O2189" i="2"/>
  <c r="N2189" i="2"/>
  <c r="M2189" i="2"/>
  <c r="O2188" i="2"/>
  <c r="N2188" i="2"/>
  <c r="M2188" i="2"/>
  <c r="O2187" i="2"/>
  <c r="N2187" i="2"/>
  <c r="M2187" i="2"/>
  <c r="O2186" i="2"/>
  <c r="N2186" i="2"/>
  <c r="M2186" i="2"/>
  <c r="O2185" i="2"/>
  <c r="N2185" i="2"/>
  <c r="M2185" i="2"/>
  <c r="O2184" i="2"/>
  <c r="N2184" i="2"/>
  <c r="M2184" i="2"/>
  <c r="O2183" i="2"/>
  <c r="N2183" i="2"/>
  <c r="M2183" i="2"/>
  <c r="O2182" i="2"/>
  <c r="N2182" i="2"/>
  <c r="M2182" i="2"/>
  <c r="O2181" i="2"/>
  <c r="N2181" i="2"/>
  <c r="M2181" i="2"/>
  <c r="O2180" i="2"/>
  <c r="N2180" i="2"/>
  <c r="M2180" i="2"/>
  <c r="O2179" i="2"/>
  <c r="N2179" i="2"/>
  <c r="M2179" i="2"/>
  <c r="O2178" i="2"/>
  <c r="N2178" i="2"/>
  <c r="M2178" i="2"/>
  <c r="O2177" i="2"/>
  <c r="N2177" i="2"/>
  <c r="M2177" i="2"/>
  <c r="O2176" i="2"/>
  <c r="N2176" i="2"/>
  <c r="M2176" i="2"/>
  <c r="O2175" i="2"/>
  <c r="N2175" i="2"/>
  <c r="M2175" i="2"/>
  <c r="O2174" i="2"/>
  <c r="N2174" i="2"/>
  <c r="M2174" i="2"/>
  <c r="O2173" i="2"/>
  <c r="N2173" i="2"/>
  <c r="M2173" i="2"/>
  <c r="O2172" i="2"/>
  <c r="N2172" i="2"/>
  <c r="M2172" i="2"/>
  <c r="O2171" i="2"/>
  <c r="N2171" i="2"/>
  <c r="M2171" i="2"/>
  <c r="O2170" i="2"/>
  <c r="N2170" i="2"/>
  <c r="M2170" i="2"/>
  <c r="O2169" i="2"/>
  <c r="N2169" i="2"/>
  <c r="M2169" i="2"/>
  <c r="O2168" i="2"/>
  <c r="N2168" i="2"/>
  <c r="M2168" i="2"/>
  <c r="O2167" i="2"/>
  <c r="N2167" i="2"/>
  <c r="M2167" i="2"/>
  <c r="O2166" i="2"/>
  <c r="N2166" i="2"/>
  <c r="M2166" i="2"/>
  <c r="O2165" i="2"/>
  <c r="N2165" i="2"/>
  <c r="M2165" i="2"/>
  <c r="O2164" i="2"/>
  <c r="N2164" i="2"/>
  <c r="M2164" i="2"/>
  <c r="O2163" i="2"/>
  <c r="N2163" i="2"/>
  <c r="M2163" i="2"/>
  <c r="O2162" i="2"/>
  <c r="N2162" i="2"/>
  <c r="M2162" i="2"/>
  <c r="O2161" i="2"/>
  <c r="N2161" i="2"/>
  <c r="M2161" i="2"/>
  <c r="O2160" i="2"/>
  <c r="N2160" i="2"/>
  <c r="M2160" i="2"/>
  <c r="O2159" i="2"/>
  <c r="N2159" i="2"/>
  <c r="M2159" i="2"/>
  <c r="O2158" i="2"/>
  <c r="N2158" i="2"/>
  <c r="M2158" i="2"/>
  <c r="O2157" i="2"/>
  <c r="N2157" i="2"/>
  <c r="M2157" i="2"/>
  <c r="O2156" i="2"/>
  <c r="N2156" i="2"/>
  <c r="M2156" i="2"/>
  <c r="O2155" i="2"/>
  <c r="N2155" i="2"/>
  <c r="M2155" i="2"/>
  <c r="O2154" i="2"/>
  <c r="N2154" i="2"/>
  <c r="M2154" i="2"/>
  <c r="O2153" i="2"/>
  <c r="N2153" i="2"/>
  <c r="M2153" i="2"/>
  <c r="O2152" i="2"/>
  <c r="N2152" i="2"/>
  <c r="M2152" i="2"/>
  <c r="O2151" i="2"/>
  <c r="N2151" i="2"/>
  <c r="M2151" i="2"/>
  <c r="O2150" i="2"/>
  <c r="N2150" i="2"/>
  <c r="M2150" i="2"/>
  <c r="O2149" i="2"/>
  <c r="N2149" i="2"/>
  <c r="M2149" i="2"/>
  <c r="O2148" i="2"/>
  <c r="N2148" i="2"/>
  <c r="M2148" i="2"/>
  <c r="O2147" i="2"/>
  <c r="N2147" i="2"/>
  <c r="M2147" i="2"/>
  <c r="O2146" i="2"/>
  <c r="N2146" i="2"/>
  <c r="M2146" i="2"/>
  <c r="O2145" i="2"/>
  <c r="N2145" i="2"/>
  <c r="M2145" i="2"/>
  <c r="O2144" i="2"/>
  <c r="N2144" i="2"/>
  <c r="M2144" i="2"/>
  <c r="O2143" i="2"/>
  <c r="N2143" i="2"/>
  <c r="M2143" i="2"/>
  <c r="O2142" i="2"/>
  <c r="N2142" i="2"/>
  <c r="M2142" i="2"/>
  <c r="O2141" i="2"/>
  <c r="N2141" i="2"/>
  <c r="M2141" i="2"/>
  <c r="O2140" i="2"/>
  <c r="N2140" i="2"/>
  <c r="M2140" i="2"/>
  <c r="O2139" i="2"/>
  <c r="N2139" i="2"/>
  <c r="M2139" i="2"/>
  <c r="O2138" i="2"/>
  <c r="N2138" i="2"/>
  <c r="M2138" i="2"/>
  <c r="O2137" i="2"/>
  <c r="N2137" i="2"/>
  <c r="M2137" i="2"/>
  <c r="O2136" i="2"/>
  <c r="N2136" i="2"/>
  <c r="M2136" i="2"/>
  <c r="O2135" i="2"/>
  <c r="N2135" i="2"/>
  <c r="M2135" i="2"/>
  <c r="O2134" i="2"/>
  <c r="N2134" i="2"/>
  <c r="M2134" i="2"/>
  <c r="O2133" i="2"/>
  <c r="N2133" i="2"/>
  <c r="M2133" i="2"/>
  <c r="O2132" i="2"/>
  <c r="N2132" i="2"/>
  <c r="M2132" i="2"/>
  <c r="O2131" i="2"/>
  <c r="N2131" i="2"/>
  <c r="M2131" i="2"/>
  <c r="O2130" i="2"/>
  <c r="N2130" i="2"/>
  <c r="M2130" i="2"/>
  <c r="O2129" i="2"/>
  <c r="N2129" i="2"/>
  <c r="M2129" i="2"/>
  <c r="O2128" i="2"/>
  <c r="N2128" i="2"/>
  <c r="M2128" i="2"/>
  <c r="O2127" i="2"/>
  <c r="N2127" i="2"/>
  <c r="M2127" i="2"/>
  <c r="O2126" i="2"/>
  <c r="N2126" i="2"/>
  <c r="M2126" i="2"/>
  <c r="O2125" i="2"/>
  <c r="N2125" i="2"/>
  <c r="M2125" i="2"/>
  <c r="O2124" i="2"/>
  <c r="N2124" i="2"/>
  <c r="M2124" i="2"/>
  <c r="O2123" i="2"/>
  <c r="N2123" i="2"/>
  <c r="M2123" i="2"/>
  <c r="O2122" i="2"/>
  <c r="N2122" i="2"/>
  <c r="M2122" i="2"/>
  <c r="O2121" i="2"/>
  <c r="N2121" i="2"/>
  <c r="M2121" i="2"/>
  <c r="O2120" i="2"/>
  <c r="N2120" i="2"/>
  <c r="M2120" i="2"/>
  <c r="O2119" i="2"/>
  <c r="N2119" i="2"/>
  <c r="M2119" i="2"/>
  <c r="O2118" i="2"/>
  <c r="N2118" i="2"/>
  <c r="M2118" i="2"/>
  <c r="O2117" i="2"/>
  <c r="N2117" i="2"/>
  <c r="M2117" i="2"/>
  <c r="O2116" i="2"/>
  <c r="N2116" i="2"/>
  <c r="M2116" i="2"/>
  <c r="O2115" i="2"/>
  <c r="N2115" i="2"/>
  <c r="M2115" i="2"/>
  <c r="O2114" i="2"/>
  <c r="N2114" i="2"/>
  <c r="M2114" i="2"/>
  <c r="O2113" i="2"/>
  <c r="N2113" i="2"/>
  <c r="M2113" i="2"/>
  <c r="O2112" i="2"/>
  <c r="N2112" i="2"/>
  <c r="M2112" i="2"/>
  <c r="O2111" i="2"/>
  <c r="N2111" i="2"/>
  <c r="M2111" i="2"/>
  <c r="O2110" i="2"/>
  <c r="N2110" i="2"/>
  <c r="M2110" i="2"/>
  <c r="O2109" i="2"/>
  <c r="N2109" i="2"/>
  <c r="M2109" i="2"/>
  <c r="O2108" i="2"/>
  <c r="N2108" i="2"/>
  <c r="M2108" i="2"/>
  <c r="O2107" i="2"/>
  <c r="N2107" i="2"/>
  <c r="M2107" i="2"/>
  <c r="O2106" i="2"/>
  <c r="N2106" i="2"/>
  <c r="M2106" i="2"/>
  <c r="O2105" i="2"/>
  <c r="N2105" i="2"/>
  <c r="M2105" i="2"/>
  <c r="O2104" i="2"/>
  <c r="N2104" i="2"/>
  <c r="M2104" i="2"/>
  <c r="O2103" i="2"/>
  <c r="N2103" i="2"/>
  <c r="M2103" i="2"/>
  <c r="O2102" i="2"/>
  <c r="N2102" i="2"/>
  <c r="M2102" i="2"/>
  <c r="O2101" i="2"/>
  <c r="N2101" i="2"/>
  <c r="M2101" i="2"/>
  <c r="O2100" i="2"/>
  <c r="N2100" i="2"/>
  <c r="M2100" i="2"/>
  <c r="O2099" i="2"/>
  <c r="N2099" i="2"/>
  <c r="M2099" i="2"/>
  <c r="O2098" i="2"/>
  <c r="N2098" i="2"/>
  <c r="M2098" i="2"/>
  <c r="O2097" i="2"/>
  <c r="N2097" i="2"/>
  <c r="M2097" i="2"/>
  <c r="O2096" i="2"/>
  <c r="N2096" i="2"/>
  <c r="M2096" i="2"/>
  <c r="O2095" i="2"/>
  <c r="N2095" i="2"/>
  <c r="M2095" i="2"/>
  <c r="O2094" i="2"/>
  <c r="N2094" i="2"/>
  <c r="M2094" i="2"/>
  <c r="O2093" i="2"/>
  <c r="N2093" i="2"/>
  <c r="M2093" i="2"/>
  <c r="O2092" i="2"/>
  <c r="N2092" i="2"/>
  <c r="M2092" i="2"/>
  <c r="O2091" i="2"/>
  <c r="N2091" i="2"/>
  <c r="M2091" i="2"/>
  <c r="O2090" i="2"/>
  <c r="N2090" i="2"/>
  <c r="M2090" i="2"/>
  <c r="O2089" i="2"/>
  <c r="N2089" i="2"/>
  <c r="M2089" i="2"/>
  <c r="O2088" i="2"/>
  <c r="N2088" i="2"/>
  <c r="M2088" i="2"/>
  <c r="O2087" i="2"/>
  <c r="N2087" i="2"/>
  <c r="M2087" i="2"/>
  <c r="O2086" i="2"/>
  <c r="N2086" i="2"/>
  <c r="M2086" i="2"/>
  <c r="O2085" i="2"/>
  <c r="N2085" i="2"/>
  <c r="M2085" i="2"/>
  <c r="O2084" i="2"/>
  <c r="N2084" i="2"/>
  <c r="M2084" i="2"/>
  <c r="O2083" i="2"/>
  <c r="N2083" i="2"/>
  <c r="M2083" i="2"/>
  <c r="O2082" i="2"/>
  <c r="N2082" i="2"/>
  <c r="M2082" i="2"/>
  <c r="O2081" i="2"/>
  <c r="N2081" i="2"/>
  <c r="M2081" i="2"/>
  <c r="O2080" i="2"/>
  <c r="N2080" i="2"/>
  <c r="M2080" i="2"/>
  <c r="O2079" i="2"/>
  <c r="N2079" i="2"/>
  <c r="M2079" i="2"/>
  <c r="O2078" i="2"/>
  <c r="N2078" i="2"/>
  <c r="M2078" i="2"/>
  <c r="O2077" i="2"/>
  <c r="N2077" i="2"/>
  <c r="M2077" i="2"/>
  <c r="O2076" i="2"/>
  <c r="N2076" i="2"/>
  <c r="M2076" i="2"/>
  <c r="O2075" i="2"/>
  <c r="N2075" i="2"/>
  <c r="M2075" i="2"/>
  <c r="O2074" i="2"/>
  <c r="N2074" i="2"/>
  <c r="M2074" i="2"/>
  <c r="O2073" i="2"/>
  <c r="N2073" i="2"/>
  <c r="M2073" i="2"/>
  <c r="O2072" i="2"/>
  <c r="N2072" i="2"/>
  <c r="M2072" i="2"/>
  <c r="O2071" i="2"/>
  <c r="N2071" i="2"/>
  <c r="M2071" i="2"/>
  <c r="O2070" i="2"/>
  <c r="N2070" i="2"/>
  <c r="M2070" i="2"/>
  <c r="O2069" i="2"/>
  <c r="N2069" i="2"/>
  <c r="M2069" i="2"/>
  <c r="O2068" i="2"/>
  <c r="N2068" i="2"/>
  <c r="M2068" i="2"/>
  <c r="O2067" i="2"/>
  <c r="N2067" i="2"/>
  <c r="M2067" i="2"/>
  <c r="O2066" i="2"/>
  <c r="N2066" i="2"/>
  <c r="M2066" i="2"/>
  <c r="O2065" i="2"/>
  <c r="N2065" i="2"/>
  <c r="M2065" i="2"/>
  <c r="O2064" i="2"/>
  <c r="N2064" i="2"/>
  <c r="M2064" i="2"/>
  <c r="O2063" i="2"/>
  <c r="N2063" i="2"/>
  <c r="M2063" i="2"/>
  <c r="O2062" i="2"/>
  <c r="N2062" i="2"/>
  <c r="M2062" i="2"/>
  <c r="O2061" i="2"/>
  <c r="N2061" i="2"/>
  <c r="M2061" i="2"/>
  <c r="O2060" i="2"/>
  <c r="N2060" i="2"/>
  <c r="M2060" i="2"/>
  <c r="O2059" i="2"/>
  <c r="N2059" i="2"/>
  <c r="M2059" i="2"/>
  <c r="O2058" i="2"/>
  <c r="N2058" i="2"/>
  <c r="M2058" i="2"/>
  <c r="O2057" i="2"/>
  <c r="N2057" i="2"/>
  <c r="M2057" i="2"/>
  <c r="O2056" i="2"/>
  <c r="N2056" i="2"/>
  <c r="M2056" i="2"/>
  <c r="O2055" i="2"/>
  <c r="N2055" i="2"/>
  <c r="M2055" i="2"/>
  <c r="O2054" i="2"/>
  <c r="N2054" i="2"/>
  <c r="M2054" i="2"/>
  <c r="O2053" i="2"/>
  <c r="N2053" i="2"/>
  <c r="M2053" i="2"/>
  <c r="O2052" i="2"/>
  <c r="N2052" i="2"/>
  <c r="M2052" i="2"/>
  <c r="O2051" i="2"/>
  <c r="N2051" i="2"/>
  <c r="M2051" i="2"/>
  <c r="O2050" i="2"/>
  <c r="N2050" i="2"/>
  <c r="M2050" i="2"/>
  <c r="O2049" i="2"/>
  <c r="N2049" i="2"/>
  <c r="M2049" i="2"/>
  <c r="O2048" i="2"/>
  <c r="N2048" i="2"/>
  <c r="M2048" i="2"/>
  <c r="O2047" i="2"/>
  <c r="N2047" i="2"/>
  <c r="M2047" i="2"/>
  <c r="O2046" i="2"/>
  <c r="N2046" i="2"/>
  <c r="M2046" i="2"/>
  <c r="O2045" i="2"/>
  <c r="N2045" i="2"/>
  <c r="M2045" i="2"/>
  <c r="O2044" i="2"/>
  <c r="N2044" i="2"/>
  <c r="M2044" i="2"/>
  <c r="O2043" i="2"/>
  <c r="N2043" i="2"/>
  <c r="M2043" i="2"/>
  <c r="O2042" i="2"/>
  <c r="N2042" i="2"/>
  <c r="M2042" i="2"/>
  <c r="O2041" i="2"/>
  <c r="N2041" i="2"/>
  <c r="M2041" i="2"/>
  <c r="O2040" i="2"/>
  <c r="N2040" i="2"/>
  <c r="M2040" i="2"/>
  <c r="O2039" i="2"/>
  <c r="N2039" i="2"/>
  <c r="M2039" i="2"/>
  <c r="O2038" i="2"/>
  <c r="N2038" i="2"/>
  <c r="M2038" i="2"/>
  <c r="O2037" i="2"/>
  <c r="N2037" i="2"/>
  <c r="M2037" i="2"/>
  <c r="O2036" i="2"/>
  <c r="N2036" i="2"/>
  <c r="M2036" i="2"/>
  <c r="O2035" i="2"/>
  <c r="N2035" i="2"/>
  <c r="M2035" i="2"/>
  <c r="O2034" i="2"/>
  <c r="N2034" i="2"/>
  <c r="M2034" i="2"/>
  <c r="O2033" i="2"/>
  <c r="N2033" i="2"/>
  <c r="M2033" i="2"/>
  <c r="O2032" i="2"/>
  <c r="N2032" i="2"/>
  <c r="M2032" i="2"/>
  <c r="O2031" i="2"/>
  <c r="N2031" i="2"/>
  <c r="M2031" i="2"/>
  <c r="O2030" i="2"/>
  <c r="N2030" i="2"/>
  <c r="M2030" i="2"/>
  <c r="O2029" i="2"/>
  <c r="N2029" i="2"/>
  <c r="M2029" i="2"/>
  <c r="O2028" i="2"/>
  <c r="N2028" i="2"/>
  <c r="M2028" i="2"/>
  <c r="O2027" i="2"/>
  <c r="N2027" i="2"/>
  <c r="M2027" i="2"/>
  <c r="O2026" i="2"/>
  <c r="N2026" i="2"/>
  <c r="M2026" i="2"/>
  <c r="O2025" i="2"/>
  <c r="N2025" i="2"/>
  <c r="M2025" i="2"/>
  <c r="O2024" i="2"/>
  <c r="N2024" i="2"/>
  <c r="M2024" i="2"/>
  <c r="O2023" i="2"/>
  <c r="N2023" i="2"/>
  <c r="M2023" i="2"/>
  <c r="O2022" i="2"/>
  <c r="N2022" i="2"/>
  <c r="M2022" i="2"/>
  <c r="O2021" i="2"/>
  <c r="N2021" i="2"/>
  <c r="M2021" i="2"/>
  <c r="O2020" i="2"/>
  <c r="N2020" i="2"/>
  <c r="M2020" i="2"/>
  <c r="O2019" i="2"/>
  <c r="N2019" i="2"/>
  <c r="M2019" i="2"/>
  <c r="O2018" i="2"/>
  <c r="N2018" i="2"/>
  <c r="M2018" i="2"/>
  <c r="O2017" i="2"/>
  <c r="N2017" i="2"/>
  <c r="M2017" i="2"/>
  <c r="O2016" i="2"/>
  <c r="N2016" i="2"/>
  <c r="M2016" i="2"/>
  <c r="O2015" i="2"/>
  <c r="N2015" i="2"/>
  <c r="M2015" i="2"/>
  <c r="O2014" i="2"/>
  <c r="N2014" i="2"/>
  <c r="M2014" i="2"/>
  <c r="O2013" i="2"/>
  <c r="N2013" i="2"/>
  <c r="M2013" i="2"/>
  <c r="O2012" i="2"/>
  <c r="N2012" i="2"/>
  <c r="M2012" i="2"/>
  <c r="O2011" i="2"/>
  <c r="N2011" i="2"/>
  <c r="M2011" i="2"/>
  <c r="O2010" i="2"/>
  <c r="N2010" i="2"/>
  <c r="M2010" i="2"/>
  <c r="O2009" i="2"/>
  <c r="N2009" i="2"/>
  <c r="M2009" i="2"/>
  <c r="O2008" i="2"/>
  <c r="N2008" i="2"/>
  <c r="M2008" i="2"/>
  <c r="O2007" i="2"/>
  <c r="N2007" i="2"/>
  <c r="M2007" i="2"/>
  <c r="O2006" i="2"/>
  <c r="N2006" i="2"/>
  <c r="M2006" i="2"/>
  <c r="O2005" i="2"/>
  <c r="N2005" i="2"/>
  <c r="M2005" i="2"/>
  <c r="O2004" i="2"/>
  <c r="N2004" i="2"/>
  <c r="M2004" i="2"/>
  <c r="O2003" i="2"/>
  <c r="N2003" i="2"/>
  <c r="M2003" i="2"/>
  <c r="O2002" i="2"/>
  <c r="N2002" i="2"/>
  <c r="M2002" i="2"/>
  <c r="O2001" i="2"/>
  <c r="N2001" i="2"/>
  <c r="M2001" i="2"/>
  <c r="O2000" i="2"/>
  <c r="N2000" i="2"/>
  <c r="M2000" i="2"/>
  <c r="O1999" i="2"/>
  <c r="N1999" i="2"/>
  <c r="M1999" i="2"/>
  <c r="O1998" i="2"/>
  <c r="N1998" i="2"/>
  <c r="M1998" i="2"/>
  <c r="O1997" i="2"/>
  <c r="N1997" i="2"/>
  <c r="M1997" i="2"/>
  <c r="O1996" i="2"/>
  <c r="N1996" i="2"/>
  <c r="M1996" i="2"/>
  <c r="O1995" i="2"/>
  <c r="N1995" i="2"/>
  <c r="M1995" i="2"/>
  <c r="O1994" i="2"/>
  <c r="N1994" i="2"/>
  <c r="M1994" i="2"/>
  <c r="O1993" i="2"/>
  <c r="N1993" i="2"/>
  <c r="M1993" i="2"/>
  <c r="O1992" i="2"/>
  <c r="N1992" i="2"/>
  <c r="M1992" i="2"/>
  <c r="O1991" i="2"/>
  <c r="N1991" i="2"/>
  <c r="M1991" i="2"/>
  <c r="O1990" i="2"/>
  <c r="N1990" i="2"/>
  <c r="M1990" i="2"/>
  <c r="O1989" i="2"/>
  <c r="N1989" i="2"/>
  <c r="M1989" i="2"/>
  <c r="O1988" i="2"/>
  <c r="N1988" i="2"/>
  <c r="M1988" i="2"/>
  <c r="O1987" i="2"/>
  <c r="N1987" i="2"/>
  <c r="M1987" i="2"/>
  <c r="O1986" i="2"/>
  <c r="N1986" i="2"/>
  <c r="M1986" i="2"/>
  <c r="O1985" i="2"/>
  <c r="N1985" i="2"/>
  <c r="M1985" i="2"/>
  <c r="O1984" i="2"/>
  <c r="N1984" i="2"/>
  <c r="M1984" i="2"/>
  <c r="O1983" i="2"/>
  <c r="N1983" i="2"/>
  <c r="M1983" i="2"/>
  <c r="O1982" i="2"/>
  <c r="N1982" i="2"/>
  <c r="M1982" i="2"/>
  <c r="O1981" i="2"/>
  <c r="N1981" i="2"/>
  <c r="M1981" i="2"/>
  <c r="O1980" i="2"/>
  <c r="N1980" i="2"/>
  <c r="M1980" i="2"/>
  <c r="O1979" i="2"/>
  <c r="N1979" i="2"/>
  <c r="M1979" i="2"/>
  <c r="O1978" i="2"/>
  <c r="N1978" i="2"/>
  <c r="M1978" i="2"/>
  <c r="O1977" i="2"/>
  <c r="N1977" i="2"/>
  <c r="M1977" i="2"/>
  <c r="O1976" i="2"/>
  <c r="N1976" i="2"/>
  <c r="M1976" i="2"/>
  <c r="O1975" i="2"/>
  <c r="N1975" i="2"/>
  <c r="M1975" i="2"/>
  <c r="O1974" i="2"/>
  <c r="N1974" i="2"/>
  <c r="M1974" i="2"/>
  <c r="O1973" i="2"/>
  <c r="N1973" i="2"/>
  <c r="M1973" i="2"/>
  <c r="O1972" i="2"/>
  <c r="N1972" i="2"/>
  <c r="M1972" i="2"/>
  <c r="O1971" i="2"/>
  <c r="N1971" i="2"/>
  <c r="M1971" i="2"/>
  <c r="O1970" i="2"/>
  <c r="N1970" i="2"/>
  <c r="M1970" i="2"/>
  <c r="O1969" i="2"/>
  <c r="N1969" i="2"/>
  <c r="M1969" i="2"/>
  <c r="O1968" i="2"/>
  <c r="N1968" i="2"/>
  <c r="M1968" i="2"/>
  <c r="O1967" i="2"/>
  <c r="N1967" i="2"/>
  <c r="M1967" i="2"/>
  <c r="O1966" i="2"/>
  <c r="N1966" i="2"/>
  <c r="M1966" i="2"/>
  <c r="O1965" i="2"/>
  <c r="N1965" i="2"/>
  <c r="M1965" i="2"/>
  <c r="O1964" i="2"/>
  <c r="N1964" i="2"/>
  <c r="M1964" i="2"/>
  <c r="O1963" i="2"/>
  <c r="N1963" i="2"/>
  <c r="M1963" i="2"/>
  <c r="O1962" i="2"/>
  <c r="N1962" i="2"/>
  <c r="M1962" i="2"/>
  <c r="O1961" i="2"/>
  <c r="N1961" i="2"/>
  <c r="M1961" i="2"/>
  <c r="O1960" i="2"/>
  <c r="N1960" i="2"/>
  <c r="M1960" i="2"/>
  <c r="O1959" i="2"/>
  <c r="N1959" i="2"/>
  <c r="M1959" i="2"/>
  <c r="O1958" i="2"/>
  <c r="N1958" i="2"/>
  <c r="M1958" i="2"/>
  <c r="O1957" i="2"/>
  <c r="N1957" i="2"/>
  <c r="M1957" i="2"/>
  <c r="O1956" i="2"/>
  <c r="N1956" i="2"/>
  <c r="M1956" i="2"/>
  <c r="O1955" i="2"/>
  <c r="N1955" i="2"/>
  <c r="M1955" i="2"/>
  <c r="O1954" i="2"/>
  <c r="N1954" i="2"/>
  <c r="M1954" i="2"/>
  <c r="O1953" i="2"/>
  <c r="N1953" i="2"/>
  <c r="M1953" i="2"/>
  <c r="O1952" i="2"/>
  <c r="N1952" i="2"/>
  <c r="M1952" i="2"/>
  <c r="O1951" i="2"/>
  <c r="N1951" i="2"/>
  <c r="M1951" i="2"/>
  <c r="O1950" i="2"/>
  <c r="N1950" i="2"/>
  <c r="M1950" i="2"/>
  <c r="O1949" i="2"/>
  <c r="N1949" i="2"/>
  <c r="M1949" i="2"/>
  <c r="O1948" i="2"/>
  <c r="N1948" i="2"/>
  <c r="M1948" i="2"/>
  <c r="O1947" i="2"/>
  <c r="N1947" i="2"/>
  <c r="M1947" i="2"/>
  <c r="O1946" i="2"/>
  <c r="N1946" i="2"/>
  <c r="M1946" i="2"/>
  <c r="O1945" i="2"/>
  <c r="N1945" i="2"/>
  <c r="M1945" i="2"/>
  <c r="O1944" i="2"/>
  <c r="N1944" i="2"/>
  <c r="M1944" i="2"/>
  <c r="O1943" i="2"/>
  <c r="N1943" i="2"/>
  <c r="M1943" i="2"/>
  <c r="O1942" i="2"/>
  <c r="N1942" i="2"/>
  <c r="M1942" i="2"/>
  <c r="O1941" i="2"/>
  <c r="N1941" i="2"/>
  <c r="M1941" i="2"/>
  <c r="O1940" i="2"/>
  <c r="N1940" i="2"/>
  <c r="M1940" i="2"/>
  <c r="O1939" i="2"/>
  <c r="N1939" i="2"/>
  <c r="M1939" i="2"/>
  <c r="O1938" i="2"/>
  <c r="N1938" i="2"/>
  <c r="M1938" i="2"/>
  <c r="O1937" i="2"/>
  <c r="N1937" i="2"/>
  <c r="M1937" i="2"/>
  <c r="O1936" i="2"/>
  <c r="N1936" i="2"/>
  <c r="M1936" i="2"/>
  <c r="O1935" i="2"/>
  <c r="N1935" i="2"/>
  <c r="M1935" i="2"/>
  <c r="O1934" i="2"/>
  <c r="N1934" i="2"/>
  <c r="M1934" i="2"/>
  <c r="O1933" i="2"/>
  <c r="N1933" i="2"/>
  <c r="M1933" i="2"/>
  <c r="O1932" i="2"/>
  <c r="N1932" i="2"/>
  <c r="M1932" i="2"/>
  <c r="O1931" i="2"/>
  <c r="N1931" i="2"/>
  <c r="M1931" i="2"/>
  <c r="O1930" i="2"/>
  <c r="N1930" i="2"/>
  <c r="M1930" i="2"/>
  <c r="O1929" i="2"/>
  <c r="N1929" i="2"/>
  <c r="M1929" i="2"/>
  <c r="O1928" i="2"/>
  <c r="N1928" i="2"/>
  <c r="M1928" i="2"/>
  <c r="O1927" i="2"/>
  <c r="N1927" i="2"/>
  <c r="M1927" i="2"/>
  <c r="O1926" i="2"/>
  <c r="N1926" i="2"/>
  <c r="M1926" i="2"/>
  <c r="O1925" i="2"/>
  <c r="N1925" i="2"/>
  <c r="M1925" i="2"/>
  <c r="O1924" i="2"/>
  <c r="N1924" i="2"/>
  <c r="M1924" i="2"/>
  <c r="O1923" i="2"/>
  <c r="N1923" i="2"/>
  <c r="M1923" i="2"/>
  <c r="O1922" i="2"/>
  <c r="N1922" i="2"/>
  <c r="M1922" i="2"/>
  <c r="O1921" i="2"/>
  <c r="N1921" i="2"/>
  <c r="M1921" i="2"/>
  <c r="O1920" i="2"/>
  <c r="N1920" i="2"/>
  <c r="M1920" i="2"/>
  <c r="O1919" i="2"/>
  <c r="N1919" i="2"/>
  <c r="M1919" i="2"/>
  <c r="O1918" i="2"/>
  <c r="N1918" i="2"/>
  <c r="M1918" i="2"/>
  <c r="O1917" i="2"/>
  <c r="N1917" i="2"/>
  <c r="M1917" i="2"/>
  <c r="O1916" i="2"/>
  <c r="N1916" i="2"/>
  <c r="M1916" i="2"/>
  <c r="O1915" i="2"/>
  <c r="N1915" i="2"/>
  <c r="M1915" i="2"/>
  <c r="O1914" i="2"/>
  <c r="N1914" i="2"/>
  <c r="M1914" i="2"/>
  <c r="O1913" i="2"/>
  <c r="N1913" i="2"/>
  <c r="M1913" i="2"/>
  <c r="O1912" i="2"/>
  <c r="N1912" i="2"/>
  <c r="M1912" i="2"/>
  <c r="O1911" i="2"/>
  <c r="N1911" i="2"/>
  <c r="M1911" i="2"/>
  <c r="O1910" i="2"/>
  <c r="N1910" i="2"/>
  <c r="M1910" i="2"/>
  <c r="O1909" i="2"/>
  <c r="N1909" i="2"/>
  <c r="M1909" i="2"/>
  <c r="O1908" i="2"/>
  <c r="N1908" i="2"/>
  <c r="M1908" i="2"/>
  <c r="O1907" i="2"/>
  <c r="N1907" i="2"/>
  <c r="M1907" i="2"/>
  <c r="O1906" i="2"/>
  <c r="N1906" i="2"/>
  <c r="M1906" i="2"/>
  <c r="O1905" i="2"/>
  <c r="N1905" i="2"/>
  <c r="M1905" i="2"/>
  <c r="O1904" i="2"/>
  <c r="N1904" i="2"/>
  <c r="M1904" i="2"/>
  <c r="O1903" i="2"/>
  <c r="N1903" i="2"/>
  <c r="M1903" i="2"/>
  <c r="O1902" i="2"/>
  <c r="N1902" i="2"/>
  <c r="M1902" i="2"/>
  <c r="O1901" i="2"/>
  <c r="N1901" i="2"/>
  <c r="M1901" i="2"/>
  <c r="O1900" i="2"/>
  <c r="N1900" i="2"/>
  <c r="M1900" i="2"/>
  <c r="O1899" i="2"/>
  <c r="N1899" i="2"/>
  <c r="M1899" i="2"/>
  <c r="O1898" i="2"/>
  <c r="N1898" i="2"/>
  <c r="M1898" i="2"/>
  <c r="O1897" i="2"/>
  <c r="N1897" i="2"/>
  <c r="M1897" i="2"/>
  <c r="O1896" i="2"/>
  <c r="N1896" i="2"/>
  <c r="M1896" i="2"/>
  <c r="O1895" i="2"/>
  <c r="N1895" i="2"/>
  <c r="M1895" i="2"/>
  <c r="O1894" i="2"/>
  <c r="N1894" i="2"/>
  <c r="M1894" i="2"/>
  <c r="O1893" i="2"/>
  <c r="N1893" i="2"/>
  <c r="M1893" i="2"/>
  <c r="O1892" i="2"/>
  <c r="N1892" i="2"/>
  <c r="M1892" i="2"/>
  <c r="O1891" i="2"/>
  <c r="N1891" i="2"/>
  <c r="M1891" i="2"/>
  <c r="O1890" i="2"/>
  <c r="N1890" i="2"/>
  <c r="M1890" i="2"/>
  <c r="O1889" i="2"/>
  <c r="N1889" i="2"/>
  <c r="M1889" i="2"/>
  <c r="O1888" i="2"/>
  <c r="N1888" i="2"/>
  <c r="M1888" i="2"/>
  <c r="O1887" i="2"/>
  <c r="N1887" i="2"/>
  <c r="M1887" i="2"/>
  <c r="O1886" i="2"/>
  <c r="N1886" i="2"/>
  <c r="M1886" i="2"/>
  <c r="O1885" i="2"/>
  <c r="N1885" i="2"/>
  <c r="M1885" i="2"/>
  <c r="O1884" i="2"/>
  <c r="N1884" i="2"/>
  <c r="M1884" i="2"/>
  <c r="O1883" i="2"/>
  <c r="N1883" i="2"/>
  <c r="M1883" i="2"/>
  <c r="O1882" i="2"/>
  <c r="N1882" i="2"/>
  <c r="M1882" i="2"/>
  <c r="O1881" i="2"/>
  <c r="N1881" i="2"/>
  <c r="M1881" i="2"/>
  <c r="O1880" i="2"/>
  <c r="N1880" i="2"/>
  <c r="M1880" i="2"/>
  <c r="O1879" i="2"/>
  <c r="N1879" i="2"/>
  <c r="M1879" i="2"/>
  <c r="O1878" i="2"/>
  <c r="N1878" i="2"/>
  <c r="M1878" i="2"/>
  <c r="O1877" i="2"/>
  <c r="N1877" i="2"/>
  <c r="M1877" i="2"/>
  <c r="O1876" i="2"/>
  <c r="N1876" i="2"/>
  <c r="M1876" i="2"/>
  <c r="O1875" i="2"/>
  <c r="N1875" i="2"/>
  <c r="M1875" i="2"/>
  <c r="O1874" i="2"/>
  <c r="N1874" i="2"/>
  <c r="M1874" i="2"/>
  <c r="O1873" i="2"/>
  <c r="N1873" i="2"/>
  <c r="M1873" i="2"/>
  <c r="O1872" i="2"/>
  <c r="N1872" i="2"/>
  <c r="M1872" i="2"/>
  <c r="O1871" i="2"/>
  <c r="N1871" i="2"/>
  <c r="M1871" i="2"/>
  <c r="O1870" i="2"/>
  <c r="N1870" i="2"/>
  <c r="M1870" i="2"/>
  <c r="O1869" i="2"/>
  <c r="N1869" i="2"/>
  <c r="M1869" i="2"/>
  <c r="O1868" i="2"/>
  <c r="N1868" i="2"/>
  <c r="M1868" i="2"/>
  <c r="O1867" i="2"/>
  <c r="N1867" i="2"/>
  <c r="M1867" i="2"/>
  <c r="O1866" i="2"/>
  <c r="N1866" i="2"/>
  <c r="M1866" i="2"/>
  <c r="O1865" i="2"/>
  <c r="N1865" i="2"/>
  <c r="M1865" i="2"/>
  <c r="O1864" i="2"/>
  <c r="N1864" i="2"/>
  <c r="M1864" i="2"/>
  <c r="O1863" i="2"/>
  <c r="N1863" i="2"/>
  <c r="M1863" i="2"/>
  <c r="O1862" i="2"/>
  <c r="N1862" i="2"/>
  <c r="M1862" i="2"/>
  <c r="O1861" i="2"/>
  <c r="N1861" i="2"/>
  <c r="M1861" i="2"/>
  <c r="O1860" i="2"/>
  <c r="N1860" i="2"/>
  <c r="M1860" i="2"/>
  <c r="O1859" i="2"/>
  <c r="N1859" i="2"/>
  <c r="M1859" i="2"/>
  <c r="O1858" i="2"/>
  <c r="N1858" i="2"/>
  <c r="M1858" i="2"/>
  <c r="O1857" i="2"/>
  <c r="N1857" i="2"/>
  <c r="M1857" i="2"/>
  <c r="O1856" i="2"/>
  <c r="N1856" i="2"/>
  <c r="M1856" i="2"/>
  <c r="O1855" i="2"/>
  <c r="N1855" i="2"/>
  <c r="M1855" i="2"/>
  <c r="O1854" i="2"/>
  <c r="N1854" i="2"/>
  <c r="M1854" i="2"/>
  <c r="O1853" i="2"/>
  <c r="N1853" i="2"/>
  <c r="M1853" i="2"/>
  <c r="O1852" i="2"/>
  <c r="N1852" i="2"/>
  <c r="M1852" i="2"/>
  <c r="O1851" i="2"/>
  <c r="N1851" i="2"/>
  <c r="M1851" i="2"/>
  <c r="O1850" i="2"/>
  <c r="N1850" i="2"/>
  <c r="M1850" i="2"/>
  <c r="O1849" i="2"/>
  <c r="N1849" i="2"/>
  <c r="M1849" i="2"/>
  <c r="O1848" i="2"/>
  <c r="N1848" i="2"/>
  <c r="M1848" i="2"/>
  <c r="O1847" i="2"/>
  <c r="N1847" i="2"/>
  <c r="M1847" i="2"/>
  <c r="O1846" i="2"/>
  <c r="N1846" i="2"/>
  <c r="M1846" i="2"/>
  <c r="O1845" i="2"/>
  <c r="N1845" i="2"/>
  <c r="M1845" i="2"/>
  <c r="O1844" i="2"/>
  <c r="N1844" i="2"/>
  <c r="M1844" i="2"/>
  <c r="O1843" i="2"/>
  <c r="N1843" i="2"/>
  <c r="M1843" i="2"/>
  <c r="O1842" i="2"/>
  <c r="N1842" i="2"/>
  <c r="M1842" i="2"/>
  <c r="O1841" i="2"/>
  <c r="N1841" i="2"/>
  <c r="M1841" i="2"/>
  <c r="O1840" i="2"/>
  <c r="N1840" i="2"/>
  <c r="M1840" i="2"/>
  <c r="O1839" i="2"/>
  <c r="N1839" i="2"/>
  <c r="M1839" i="2"/>
  <c r="O1838" i="2"/>
  <c r="N1838" i="2"/>
  <c r="M1838" i="2"/>
  <c r="O1837" i="2"/>
  <c r="N1837" i="2"/>
  <c r="M1837" i="2"/>
  <c r="O1836" i="2"/>
  <c r="N1836" i="2"/>
  <c r="M1836" i="2"/>
  <c r="O1835" i="2"/>
  <c r="N1835" i="2"/>
  <c r="M1835" i="2"/>
  <c r="O1834" i="2"/>
  <c r="N1834" i="2"/>
  <c r="M1834" i="2"/>
  <c r="O1833" i="2"/>
  <c r="N1833" i="2"/>
  <c r="M1833" i="2"/>
  <c r="O1832" i="2"/>
  <c r="N1832" i="2"/>
  <c r="M1832" i="2"/>
  <c r="O1831" i="2"/>
  <c r="N1831" i="2"/>
  <c r="M1831" i="2"/>
  <c r="O1830" i="2"/>
  <c r="N1830" i="2"/>
  <c r="M1830" i="2"/>
  <c r="O1829" i="2"/>
  <c r="N1829" i="2"/>
  <c r="M1829" i="2"/>
  <c r="O1828" i="2"/>
  <c r="N1828" i="2"/>
  <c r="M1828" i="2"/>
  <c r="O1827" i="2"/>
  <c r="N1827" i="2"/>
  <c r="M1827" i="2"/>
  <c r="O1826" i="2"/>
  <c r="N1826" i="2"/>
  <c r="M1826" i="2"/>
  <c r="O1825" i="2"/>
  <c r="N1825" i="2"/>
  <c r="M1825" i="2"/>
  <c r="O1824" i="2"/>
  <c r="N1824" i="2"/>
  <c r="M1824" i="2"/>
  <c r="O1823" i="2"/>
  <c r="N1823" i="2"/>
  <c r="M1823" i="2"/>
  <c r="O1822" i="2"/>
  <c r="N1822" i="2"/>
  <c r="M1822" i="2"/>
  <c r="O1821" i="2"/>
  <c r="N1821" i="2"/>
  <c r="M1821" i="2"/>
  <c r="O1820" i="2"/>
  <c r="N1820" i="2"/>
  <c r="M1820" i="2"/>
  <c r="O1819" i="2"/>
  <c r="N1819" i="2"/>
  <c r="M1819" i="2"/>
  <c r="O1818" i="2"/>
  <c r="N1818" i="2"/>
  <c r="M1818" i="2"/>
  <c r="O1817" i="2"/>
  <c r="N1817" i="2"/>
  <c r="M1817" i="2"/>
  <c r="O1816" i="2"/>
  <c r="N1816" i="2"/>
  <c r="M1816" i="2"/>
  <c r="O1815" i="2"/>
  <c r="N1815" i="2"/>
  <c r="M1815" i="2"/>
  <c r="O1814" i="2"/>
  <c r="N1814" i="2"/>
  <c r="M1814" i="2"/>
  <c r="O1813" i="2"/>
  <c r="N1813" i="2"/>
  <c r="M1813" i="2"/>
  <c r="O1812" i="2"/>
  <c r="N1812" i="2"/>
  <c r="M1812" i="2"/>
  <c r="O1811" i="2"/>
  <c r="N1811" i="2"/>
  <c r="M1811" i="2"/>
  <c r="O1810" i="2"/>
  <c r="N1810" i="2"/>
  <c r="M1810" i="2"/>
  <c r="O1809" i="2"/>
  <c r="N1809" i="2"/>
  <c r="M1809" i="2"/>
  <c r="O1808" i="2"/>
  <c r="N1808" i="2"/>
  <c r="M1808" i="2"/>
  <c r="O1807" i="2"/>
  <c r="N1807" i="2"/>
  <c r="M1807" i="2"/>
  <c r="O1806" i="2"/>
  <c r="N1806" i="2"/>
  <c r="M1806" i="2"/>
  <c r="O1805" i="2"/>
  <c r="N1805" i="2"/>
  <c r="M1805" i="2"/>
  <c r="O1804" i="2"/>
  <c r="N1804" i="2"/>
  <c r="M1804" i="2"/>
  <c r="O1803" i="2"/>
  <c r="N1803" i="2"/>
  <c r="M1803" i="2"/>
  <c r="O1802" i="2"/>
  <c r="N1802" i="2"/>
  <c r="M1802" i="2"/>
  <c r="O1801" i="2"/>
  <c r="N1801" i="2"/>
  <c r="M1801" i="2"/>
  <c r="O1800" i="2"/>
  <c r="N1800" i="2"/>
  <c r="M1800" i="2"/>
  <c r="O1799" i="2"/>
  <c r="N1799" i="2"/>
  <c r="M1799" i="2"/>
  <c r="O1798" i="2"/>
  <c r="N1798" i="2"/>
  <c r="M1798" i="2"/>
  <c r="O1797" i="2"/>
  <c r="N1797" i="2"/>
  <c r="M1797" i="2"/>
  <c r="O1796" i="2"/>
  <c r="N1796" i="2"/>
  <c r="M1796" i="2"/>
  <c r="O1795" i="2"/>
  <c r="N1795" i="2"/>
  <c r="M1795" i="2"/>
  <c r="O1794" i="2"/>
  <c r="N1794" i="2"/>
  <c r="M1794" i="2"/>
  <c r="O1793" i="2"/>
  <c r="N1793" i="2"/>
  <c r="M1793" i="2"/>
  <c r="O1792" i="2"/>
  <c r="N1792" i="2"/>
  <c r="M1792" i="2"/>
  <c r="O1791" i="2"/>
  <c r="N1791" i="2"/>
  <c r="M1791" i="2"/>
  <c r="O1790" i="2"/>
  <c r="N1790" i="2"/>
  <c r="M1790" i="2"/>
  <c r="O1789" i="2"/>
  <c r="N1789" i="2"/>
  <c r="M1789" i="2"/>
  <c r="O1788" i="2"/>
  <c r="N1788" i="2"/>
  <c r="M1788" i="2"/>
  <c r="O1787" i="2"/>
  <c r="N1787" i="2"/>
  <c r="M1787" i="2"/>
  <c r="O1786" i="2"/>
  <c r="N1786" i="2"/>
  <c r="M1786" i="2"/>
  <c r="O1785" i="2"/>
  <c r="N1785" i="2"/>
  <c r="M1785" i="2"/>
  <c r="O1784" i="2"/>
  <c r="N1784" i="2"/>
  <c r="M1784" i="2"/>
  <c r="O1783" i="2"/>
  <c r="N1783" i="2"/>
  <c r="M1783" i="2"/>
  <c r="O1782" i="2"/>
  <c r="N1782" i="2"/>
  <c r="M1782" i="2"/>
  <c r="O1781" i="2"/>
  <c r="N1781" i="2"/>
  <c r="M1781" i="2"/>
  <c r="O1780" i="2"/>
  <c r="N1780" i="2"/>
  <c r="M1780" i="2"/>
  <c r="O1779" i="2"/>
  <c r="N1779" i="2"/>
  <c r="M1779" i="2"/>
  <c r="O1778" i="2"/>
  <c r="N1778" i="2"/>
  <c r="M1778" i="2"/>
  <c r="O1777" i="2"/>
  <c r="N1777" i="2"/>
  <c r="M1777" i="2"/>
  <c r="O1776" i="2"/>
  <c r="N1776" i="2"/>
  <c r="M1776" i="2"/>
  <c r="O1775" i="2"/>
  <c r="N1775" i="2"/>
  <c r="M1775" i="2"/>
  <c r="O1774" i="2"/>
  <c r="N1774" i="2"/>
  <c r="M1774" i="2"/>
  <c r="O1773" i="2"/>
  <c r="N1773" i="2"/>
  <c r="M1773" i="2"/>
  <c r="O1772" i="2"/>
  <c r="N1772" i="2"/>
  <c r="M1772" i="2"/>
  <c r="O1771" i="2"/>
  <c r="N1771" i="2"/>
  <c r="M1771" i="2"/>
  <c r="O1770" i="2"/>
  <c r="N1770" i="2"/>
  <c r="M1770" i="2"/>
  <c r="O1769" i="2"/>
  <c r="N1769" i="2"/>
  <c r="M1769" i="2"/>
  <c r="O1768" i="2"/>
  <c r="N1768" i="2"/>
  <c r="M1768" i="2"/>
  <c r="O1767" i="2"/>
  <c r="N1767" i="2"/>
  <c r="M1767" i="2"/>
  <c r="O1766" i="2"/>
  <c r="N1766" i="2"/>
  <c r="M1766" i="2"/>
  <c r="O1765" i="2"/>
  <c r="N1765" i="2"/>
  <c r="M1765" i="2"/>
  <c r="O1764" i="2"/>
  <c r="N1764" i="2"/>
  <c r="M1764" i="2"/>
  <c r="O1763" i="2"/>
  <c r="N1763" i="2"/>
  <c r="M1763" i="2"/>
  <c r="O1762" i="2"/>
  <c r="N1762" i="2"/>
  <c r="M1762" i="2"/>
  <c r="O1761" i="2"/>
  <c r="N1761" i="2"/>
  <c r="M1761" i="2"/>
  <c r="O1760" i="2"/>
  <c r="N1760" i="2"/>
  <c r="M1760" i="2"/>
  <c r="O1759" i="2"/>
  <c r="N1759" i="2"/>
  <c r="M1759" i="2"/>
  <c r="O1758" i="2"/>
  <c r="N1758" i="2"/>
  <c r="M1758" i="2"/>
  <c r="O1757" i="2"/>
  <c r="N1757" i="2"/>
  <c r="M1757" i="2"/>
  <c r="O1756" i="2"/>
  <c r="N1756" i="2"/>
  <c r="M1756" i="2"/>
  <c r="O1755" i="2"/>
  <c r="N1755" i="2"/>
  <c r="M1755" i="2"/>
  <c r="O1754" i="2"/>
  <c r="N1754" i="2"/>
  <c r="M1754" i="2"/>
  <c r="O1753" i="2"/>
  <c r="N1753" i="2"/>
  <c r="M1753" i="2"/>
  <c r="O1752" i="2"/>
  <c r="N1752" i="2"/>
  <c r="M1752" i="2"/>
  <c r="O1751" i="2"/>
  <c r="N1751" i="2"/>
  <c r="M1751" i="2"/>
  <c r="O1750" i="2"/>
  <c r="N1750" i="2"/>
  <c r="M1750" i="2"/>
  <c r="O1749" i="2"/>
  <c r="N1749" i="2"/>
  <c r="M1749" i="2"/>
  <c r="O1748" i="2"/>
  <c r="N1748" i="2"/>
  <c r="M1748" i="2"/>
  <c r="O1747" i="2"/>
  <c r="N1747" i="2"/>
  <c r="M1747" i="2"/>
  <c r="O1746" i="2"/>
  <c r="N1746" i="2"/>
  <c r="M1746" i="2"/>
  <c r="O1745" i="2"/>
  <c r="N1745" i="2"/>
  <c r="M1745" i="2"/>
  <c r="O1744" i="2"/>
  <c r="N1744" i="2"/>
  <c r="M1744" i="2"/>
  <c r="O1743" i="2"/>
  <c r="N1743" i="2"/>
  <c r="M1743" i="2"/>
  <c r="O1742" i="2"/>
  <c r="N1742" i="2"/>
  <c r="M1742" i="2"/>
  <c r="O1741" i="2"/>
  <c r="N1741" i="2"/>
  <c r="M1741" i="2"/>
  <c r="O1740" i="2"/>
  <c r="N1740" i="2"/>
  <c r="M1740" i="2"/>
  <c r="O1739" i="2"/>
  <c r="N1739" i="2"/>
  <c r="M1739" i="2"/>
  <c r="O1738" i="2"/>
  <c r="N1738" i="2"/>
  <c r="M1738" i="2"/>
  <c r="O1737" i="2"/>
  <c r="N1737" i="2"/>
  <c r="M1737" i="2"/>
  <c r="O1736" i="2"/>
  <c r="N1736" i="2"/>
  <c r="M1736" i="2"/>
  <c r="O1735" i="2"/>
  <c r="N1735" i="2"/>
  <c r="M1735" i="2"/>
  <c r="O1734" i="2"/>
  <c r="N1734" i="2"/>
  <c r="M1734" i="2"/>
  <c r="O1733" i="2"/>
  <c r="N1733" i="2"/>
  <c r="M1733" i="2"/>
  <c r="O1732" i="2"/>
  <c r="N1732" i="2"/>
  <c r="M1732" i="2"/>
  <c r="O1731" i="2"/>
  <c r="N1731" i="2"/>
  <c r="M1731" i="2"/>
  <c r="O1730" i="2"/>
  <c r="N1730" i="2"/>
  <c r="M1730" i="2"/>
  <c r="O1729" i="2"/>
  <c r="N1729" i="2"/>
  <c r="M1729" i="2"/>
  <c r="O1728" i="2"/>
  <c r="N1728" i="2"/>
  <c r="M1728" i="2"/>
  <c r="O1727" i="2"/>
  <c r="N1727" i="2"/>
  <c r="M1727" i="2"/>
  <c r="O1726" i="2"/>
  <c r="N1726" i="2"/>
  <c r="M1726" i="2"/>
  <c r="O1725" i="2"/>
  <c r="N1725" i="2"/>
  <c r="M1725" i="2"/>
  <c r="O1724" i="2"/>
  <c r="N1724" i="2"/>
  <c r="M1724" i="2"/>
  <c r="O1723" i="2"/>
  <c r="N1723" i="2"/>
  <c r="M1723" i="2"/>
  <c r="O1722" i="2"/>
  <c r="N1722" i="2"/>
  <c r="M1722" i="2"/>
  <c r="O1721" i="2"/>
  <c r="N1721" i="2"/>
  <c r="M1721" i="2"/>
  <c r="O1720" i="2"/>
  <c r="N1720" i="2"/>
  <c r="M1720" i="2"/>
  <c r="O1719" i="2"/>
  <c r="N1719" i="2"/>
  <c r="M1719" i="2"/>
  <c r="O1718" i="2"/>
  <c r="N1718" i="2"/>
  <c r="M1718" i="2"/>
  <c r="O1717" i="2"/>
  <c r="N1717" i="2"/>
  <c r="M1717" i="2"/>
  <c r="O1716" i="2"/>
  <c r="N1716" i="2"/>
  <c r="M1716" i="2"/>
  <c r="O1715" i="2"/>
  <c r="N1715" i="2"/>
  <c r="M1715" i="2"/>
  <c r="O1714" i="2"/>
  <c r="N1714" i="2"/>
  <c r="M1714" i="2"/>
  <c r="O1713" i="2"/>
  <c r="N1713" i="2"/>
  <c r="M1713" i="2"/>
  <c r="O1712" i="2"/>
  <c r="N1712" i="2"/>
  <c r="M1712" i="2"/>
  <c r="O1711" i="2"/>
  <c r="N1711" i="2"/>
  <c r="M1711" i="2"/>
  <c r="O1710" i="2"/>
  <c r="N1710" i="2"/>
  <c r="M1710" i="2"/>
  <c r="O1709" i="2"/>
  <c r="N1709" i="2"/>
  <c r="M1709" i="2"/>
  <c r="O1708" i="2"/>
  <c r="N1708" i="2"/>
  <c r="M1708" i="2"/>
  <c r="O1707" i="2"/>
  <c r="N1707" i="2"/>
  <c r="M1707" i="2"/>
  <c r="O1706" i="2"/>
  <c r="N1706" i="2"/>
  <c r="M1706" i="2"/>
  <c r="O1705" i="2"/>
  <c r="N1705" i="2"/>
  <c r="M1705" i="2"/>
  <c r="O1704" i="2"/>
  <c r="N1704" i="2"/>
  <c r="M1704" i="2"/>
  <c r="O1703" i="2"/>
  <c r="N1703" i="2"/>
  <c r="M1703" i="2"/>
  <c r="O1702" i="2"/>
  <c r="N1702" i="2"/>
  <c r="M1702" i="2"/>
  <c r="O1701" i="2"/>
  <c r="N1701" i="2"/>
  <c r="M1701" i="2"/>
  <c r="O1700" i="2"/>
  <c r="N1700" i="2"/>
  <c r="M1700" i="2"/>
  <c r="O1699" i="2"/>
  <c r="N1699" i="2"/>
  <c r="M1699" i="2"/>
  <c r="O1698" i="2"/>
  <c r="N1698" i="2"/>
  <c r="M1698" i="2"/>
  <c r="O1697" i="2"/>
  <c r="N1697" i="2"/>
  <c r="M1697" i="2"/>
  <c r="O1696" i="2"/>
  <c r="N1696" i="2"/>
  <c r="M1696" i="2"/>
  <c r="O1695" i="2"/>
  <c r="N1695" i="2"/>
  <c r="M1695" i="2"/>
  <c r="O1694" i="2"/>
  <c r="N1694" i="2"/>
  <c r="M1694" i="2"/>
  <c r="O1693" i="2"/>
  <c r="N1693" i="2"/>
  <c r="M1693" i="2"/>
  <c r="O1692" i="2"/>
  <c r="N1692" i="2"/>
  <c r="M1692" i="2"/>
  <c r="O1691" i="2"/>
  <c r="N1691" i="2"/>
  <c r="M1691" i="2"/>
  <c r="O1690" i="2"/>
  <c r="N1690" i="2"/>
  <c r="M1690" i="2"/>
  <c r="O1689" i="2"/>
  <c r="N1689" i="2"/>
  <c r="M1689" i="2"/>
  <c r="O1688" i="2"/>
  <c r="N1688" i="2"/>
  <c r="M1688" i="2"/>
  <c r="O1687" i="2"/>
  <c r="N1687" i="2"/>
  <c r="M1687" i="2"/>
  <c r="O1686" i="2"/>
  <c r="N1686" i="2"/>
  <c r="M1686" i="2"/>
  <c r="O1685" i="2"/>
  <c r="N1685" i="2"/>
  <c r="M1685" i="2"/>
  <c r="O1684" i="2"/>
  <c r="N1684" i="2"/>
  <c r="M1684" i="2"/>
  <c r="O1683" i="2"/>
  <c r="N1683" i="2"/>
  <c r="M1683" i="2"/>
  <c r="O1682" i="2"/>
  <c r="N1682" i="2"/>
  <c r="M1682" i="2"/>
  <c r="O1681" i="2"/>
  <c r="N1681" i="2"/>
  <c r="M1681" i="2"/>
  <c r="O1680" i="2"/>
  <c r="N1680" i="2"/>
  <c r="M1680" i="2"/>
  <c r="O1679" i="2"/>
  <c r="N1679" i="2"/>
  <c r="M1679" i="2"/>
  <c r="O1678" i="2"/>
  <c r="N1678" i="2"/>
  <c r="M1678" i="2"/>
  <c r="O1677" i="2"/>
  <c r="N1677" i="2"/>
  <c r="M1677" i="2"/>
  <c r="O1676" i="2"/>
  <c r="N1676" i="2"/>
  <c r="M1676" i="2"/>
  <c r="O1675" i="2"/>
  <c r="N1675" i="2"/>
  <c r="M1675" i="2"/>
  <c r="O1674" i="2"/>
  <c r="N1674" i="2"/>
  <c r="M1674" i="2"/>
  <c r="O1673" i="2"/>
  <c r="N1673" i="2"/>
  <c r="M1673" i="2"/>
  <c r="O1672" i="2"/>
  <c r="N1672" i="2"/>
  <c r="M1672" i="2"/>
  <c r="O1671" i="2"/>
  <c r="N1671" i="2"/>
  <c r="M1671" i="2"/>
  <c r="O1670" i="2"/>
  <c r="N1670" i="2"/>
  <c r="M1670" i="2"/>
  <c r="O1669" i="2"/>
  <c r="N1669" i="2"/>
  <c r="M1669" i="2"/>
  <c r="O1668" i="2"/>
  <c r="N1668" i="2"/>
  <c r="M1668" i="2"/>
  <c r="O1667" i="2"/>
  <c r="N1667" i="2"/>
  <c r="M1667" i="2"/>
  <c r="O1666" i="2"/>
  <c r="N1666" i="2"/>
  <c r="M1666" i="2"/>
  <c r="O1665" i="2"/>
  <c r="N1665" i="2"/>
  <c r="M1665" i="2"/>
  <c r="O1664" i="2"/>
  <c r="N1664" i="2"/>
  <c r="M1664" i="2"/>
  <c r="O1663" i="2"/>
  <c r="N1663" i="2"/>
  <c r="M1663" i="2"/>
  <c r="O1662" i="2"/>
  <c r="N1662" i="2"/>
  <c r="M1662" i="2"/>
  <c r="O1661" i="2"/>
  <c r="N1661" i="2"/>
  <c r="M1661" i="2"/>
  <c r="O1660" i="2"/>
  <c r="N1660" i="2"/>
  <c r="M1660" i="2"/>
  <c r="O1659" i="2"/>
  <c r="N1659" i="2"/>
  <c r="M1659" i="2"/>
  <c r="O1658" i="2"/>
  <c r="N1658" i="2"/>
  <c r="M1658" i="2"/>
  <c r="O1657" i="2"/>
  <c r="N1657" i="2"/>
  <c r="M1657" i="2"/>
  <c r="O1656" i="2"/>
  <c r="N1656" i="2"/>
  <c r="M1656" i="2"/>
  <c r="O1655" i="2"/>
  <c r="N1655" i="2"/>
  <c r="M1655" i="2"/>
  <c r="O1654" i="2"/>
  <c r="N1654" i="2"/>
  <c r="M1654" i="2"/>
  <c r="O1653" i="2"/>
  <c r="N1653" i="2"/>
  <c r="M1653" i="2"/>
  <c r="O1652" i="2"/>
  <c r="N1652" i="2"/>
  <c r="M1652" i="2"/>
  <c r="O1651" i="2"/>
  <c r="N1651" i="2"/>
  <c r="M1651" i="2"/>
  <c r="O1650" i="2"/>
  <c r="N1650" i="2"/>
  <c r="M1650" i="2"/>
  <c r="O1649" i="2"/>
  <c r="N1649" i="2"/>
  <c r="M1649" i="2"/>
  <c r="O1648" i="2"/>
  <c r="N1648" i="2"/>
  <c r="M1648" i="2"/>
  <c r="O1647" i="2"/>
  <c r="N1647" i="2"/>
  <c r="M1647" i="2"/>
  <c r="O1646" i="2"/>
  <c r="N1646" i="2"/>
  <c r="M1646" i="2"/>
  <c r="O1645" i="2"/>
  <c r="N1645" i="2"/>
  <c r="M1645" i="2"/>
  <c r="O1644" i="2"/>
  <c r="N1644" i="2"/>
  <c r="M1644" i="2"/>
  <c r="O1643" i="2"/>
  <c r="N1643" i="2"/>
  <c r="M1643" i="2"/>
  <c r="O1642" i="2"/>
  <c r="N1642" i="2"/>
  <c r="M1642" i="2"/>
  <c r="O1641" i="2"/>
  <c r="N1641" i="2"/>
  <c r="M1641" i="2"/>
  <c r="O1640" i="2"/>
  <c r="N1640" i="2"/>
  <c r="M1640" i="2"/>
  <c r="O1639" i="2"/>
  <c r="N1639" i="2"/>
  <c r="M1639" i="2"/>
  <c r="O1638" i="2"/>
  <c r="N1638" i="2"/>
  <c r="M1638" i="2"/>
  <c r="O1637" i="2"/>
  <c r="N1637" i="2"/>
  <c r="M1637" i="2"/>
  <c r="O1636" i="2"/>
  <c r="N1636" i="2"/>
  <c r="M1636" i="2"/>
  <c r="O1635" i="2"/>
  <c r="N1635" i="2"/>
  <c r="M1635" i="2"/>
  <c r="O1634" i="2"/>
  <c r="N1634" i="2"/>
  <c r="M1634" i="2"/>
  <c r="O1633" i="2"/>
  <c r="N1633" i="2"/>
  <c r="M1633" i="2"/>
  <c r="O1632" i="2"/>
  <c r="N1632" i="2"/>
  <c r="M1632" i="2"/>
  <c r="O1631" i="2"/>
  <c r="N1631" i="2"/>
  <c r="M1631" i="2"/>
  <c r="O1630" i="2"/>
  <c r="N1630" i="2"/>
  <c r="M1630" i="2"/>
  <c r="O1629" i="2"/>
  <c r="N1629" i="2"/>
  <c r="M1629" i="2"/>
  <c r="O1628" i="2"/>
  <c r="N1628" i="2"/>
  <c r="M1628" i="2"/>
  <c r="O1627" i="2"/>
  <c r="N1627" i="2"/>
  <c r="M1627" i="2"/>
  <c r="O1626" i="2"/>
  <c r="N1626" i="2"/>
  <c r="M1626" i="2"/>
  <c r="O1625" i="2"/>
  <c r="N1625" i="2"/>
  <c r="M1625" i="2"/>
  <c r="O1624" i="2"/>
  <c r="N1624" i="2"/>
  <c r="M1624" i="2"/>
  <c r="O1623" i="2"/>
  <c r="N1623" i="2"/>
  <c r="M1623" i="2"/>
  <c r="O1622" i="2"/>
  <c r="N1622" i="2"/>
  <c r="M1622" i="2"/>
  <c r="O1621" i="2"/>
  <c r="N1621" i="2"/>
  <c r="M1621" i="2"/>
  <c r="O1620" i="2"/>
  <c r="N1620" i="2"/>
  <c r="M1620" i="2"/>
  <c r="O1619" i="2"/>
  <c r="N1619" i="2"/>
  <c r="M1619" i="2"/>
  <c r="O1618" i="2"/>
  <c r="N1618" i="2"/>
  <c r="M1618" i="2"/>
  <c r="O1617" i="2"/>
  <c r="N1617" i="2"/>
  <c r="M1617" i="2"/>
  <c r="O1616" i="2"/>
  <c r="N1616" i="2"/>
  <c r="M1616" i="2"/>
  <c r="O1615" i="2"/>
  <c r="N1615" i="2"/>
  <c r="M1615" i="2"/>
  <c r="O1614" i="2"/>
  <c r="N1614" i="2"/>
  <c r="M1614" i="2"/>
  <c r="O1613" i="2"/>
  <c r="N1613" i="2"/>
  <c r="M1613" i="2"/>
  <c r="O1612" i="2"/>
  <c r="N1612" i="2"/>
  <c r="M1612" i="2"/>
  <c r="O1611" i="2"/>
  <c r="N1611" i="2"/>
  <c r="M1611" i="2"/>
  <c r="O1610" i="2"/>
  <c r="N1610" i="2"/>
  <c r="M1610" i="2"/>
  <c r="O1609" i="2"/>
  <c r="N1609" i="2"/>
  <c r="M1609" i="2"/>
  <c r="O1608" i="2"/>
  <c r="N1608" i="2"/>
  <c r="M1608" i="2"/>
  <c r="O1607" i="2"/>
  <c r="N1607" i="2"/>
  <c r="M1607" i="2"/>
  <c r="O1606" i="2"/>
  <c r="N1606" i="2"/>
  <c r="M1606" i="2"/>
  <c r="O1605" i="2"/>
  <c r="N1605" i="2"/>
  <c r="M1605" i="2"/>
  <c r="O1604" i="2"/>
  <c r="N1604" i="2"/>
  <c r="M1604" i="2"/>
  <c r="O1603" i="2"/>
  <c r="N1603" i="2"/>
  <c r="M1603" i="2"/>
  <c r="O1602" i="2"/>
  <c r="N1602" i="2"/>
  <c r="M1602" i="2"/>
  <c r="O1601" i="2"/>
  <c r="N1601" i="2"/>
  <c r="M1601" i="2"/>
  <c r="O1600" i="2"/>
  <c r="N1600" i="2"/>
  <c r="M1600" i="2"/>
  <c r="O1599" i="2"/>
  <c r="N1599" i="2"/>
  <c r="M1599" i="2"/>
  <c r="O1598" i="2"/>
  <c r="N1598" i="2"/>
  <c r="M1598" i="2"/>
  <c r="O1597" i="2"/>
  <c r="N1597" i="2"/>
  <c r="M1597" i="2"/>
  <c r="O1596" i="2"/>
  <c r="N1596" i="2"/>
  <c r="M1596" i="2"/>
  <c r="O1595" i="2"/>
  <c r="N1595" i="2"/>
  <c r="M1595" i="2"/>
  <c r="O1594" i="2"/>
  <c r="N1594" i="2"/>
  <c r="M1594" i="2"/>
  <c r="O1593" i="2"/>
  <c r="N1593" i="2"/>
  <c r="M1593" i="2"/>
  <c r="O1592" i="2"/>
  <c r="N1592" i="2"/>
  <c r="M1592" i="2"/>
  <c r="O1591" i="2"/>
  <c r="N1591" i="2"/>
  <c r="M1591" i="2"/>
  <c r="O1590" i="2"/>
  <c r="N1590" i="2"/>
  <c r="M1590" i="2"/>
  <c r="O1589" i="2"/>
  <c r="N1589" i="2"/>
  <c r="M1589" i="2"/>
  <c r="O1588" i="2"/>
  <c r="N1588" i="2"/>
  <c r="M1588" i="2"/>
  <c r="O1587" i="2"/>
  <c r="N1587" i="2"/>
  <c r="M1587" i="2"/>
  <c r="O1586" i="2"/>
  <c r="N1586" i="2"/>
  <c r="M1586" i="2"/>
  <c r="O1585" i="2"/>
  <c r="N1585" i="2"/>
  <c r="M1585" i="2"/>
  <c r="O1584" i="2"/>
  <c r="N1584" i="2"/>
  <c r="M1584" i="2"/>
  <c r="O1583" i="2"/>
  <c r="N1583" i="2"/>
  <c r="M1583" i="2"/>
  <c r="O1582" i="2"/>
  <c r="N1582" i="2"/>
  <c r="M1582" i="2"/>
  <c r="O1581" i="2"/>
  <c r="N1581" i="2"/>
  <c r="M1581" i="2"/>
  <c r="O1580" i="2"/>
  <c r="N1580" i="2"/>
  <c r="M1580" i="2"/>
  <c r="O1579" i="2"/>
  <c r="N1579" i="2"/>
  <c r="M1579" i="2"/>
  <c r="O1578" i="2"/>
  <c r="N1578" i="2"/>
  <c r="M1578" i="2"/>
  <c r="O1577" i="2"/>
  <c r="N1577" i="2"/>
  <c r="M1577" i="2"/>
  <c r="O1576" i="2"/>
  <c r="N1576" i="2"/>
  <c r="M1576" i="2"/>
  <c r="O1575" i="2"/>
  <c r="N1575" i="2"/>
  <c r="M1575" i="2"/>
  <c r="O1574" i="2"/>
  <c r="N1574" i="2"/>
  <c r="M1574" i="2"/>
  <c r="O1573" i="2"/>
  <c r="N1573" i="2"/>
  <c r="M1573" i="2"/>
  <c r="O1572" i="2"/>
  <c r="N1572" i="2"/>
  <c r="M1572" i="2"/>
  <c r="O1571" i="2"/>
  <c r="N1571" i="2"/>
  <c r="M1571" i="2"/>
  <c r="O1570" i="2"/>
  <c r="N1570" i="2"/>
  <c r="M1570" i="2"/>
  <c r="O1569" i="2"/>
  <c r="N1569" i="2"/>
  <c r="M1569" i="2"/>
  <c r="O1568" i="2"/>
  <c r="N1568" i="2"/>
  <c r="M1568" i="2"/>
  <c r="O1567" i="2"/>
  <c r="N1567" i="2"/>
  <c r="M1567" i="2"/>
  <c r="O1566" i="2"/>
  <c r="N1566" i="2"/>
  <c r="M1566" i="2"/>
  <c r="O1565" i="2"/>
  <c r="N1565" i="2"/>
  <c r="M1565" i="2"/>
  <c r="O1564" i="2"/>
  <c r="N1564" i="2"/>
  <c r="M1564" i="2"/>
  <c r="O1563" i="2"/>
  <c r="N1563" i="2"/>
  <c r="M1563" i="2"/>
  <c r="O1562" i="2"/>
  <c r="N1562" i="2"/>
  <c r="M1562" i="2"/>
  <c r="O1561" i="2"/>
  <c r="N1561" i="2"/>
  <c r="M1561" i="2"/>
  <c r="O1560" i="2"/>
  <c r="N1560" i="2"/>
  <c r="M1560" i="2"/>
  <c r="O1559" i="2"/>
  <c r="N1559" i="2"/>
  <c r="M1559" i="2"/>
  <c r="O1558" i="2"/>
  <c r="N1558" i="2"/>
  <c r="M1558" i="2"/>
  <c r="O1557" i="2"/>
  <c r="N1557" i="2"/>
  <c r="M1557" i="2"/>
  <c r="O1556" i="2"/>
  <c r="N1556" i="2"/>
  <c r="M1556" i="2"/>
  <c r="O1555" i="2"/>
  <c r="N1555" i="2"/>
  <c r="M1555" i="2"/>
  <c r="O1554" i="2"/>
  <c r="N1554" i="2"/>
  <c r="M1554" i="2"/>
  <c r="O1553" i="2"/>
  <c r="N1553" i="2"/>
  <c r="M1553" i="2"/>
  <c r="O1552" i="2"/>
  <c r="N1552" i="2"/>
  <c r="M1552" i="2"/>
  <c r="O1551" i="2"/>
  <c r="N1551" i="2"/>
  <c r="M1551" i="2"/>
  <c r="O1550" i="2"/>
  <c r="N1550" i="2"/>
  <c r="M1550" i="2"/>
  <c r="O1549" i="2"/>
  <c r="N1549" i="2"/>
  <c r="M1549" i="2"/>
  <c r="O1548" i="2"/>
  <c r="N1548" i="2"/>
  <c r="M1548" i="2"/>
  <c r="O1547" i="2"/>
  <c r="N1547" i="2"/>
  <c r="M1547" i="2"/>
  <c r="O1546" i="2"/>
  <c r="N1546" i="2"/>
  <c r="M1546" i="2"/>
  <c r="O1545" i="2"/>
  <c r="N1545" i="2"/>
  <c r="M1545" i="2"/>
  <c r="O1544" i="2"/>
  <c r="N1544" i="2"/>
  <c r="M1544" i="2"/>
  <c r="O1543" i="2"/>
  <c r="N1543" i="2"/>
  <c r="M1543" i="2"/>
  <c r="O1542" i="2"/>
  <c r="N1542" i="2"/>
  <c r="M1542" i="2"/>
  <c r="O1541" i="2"/>
  <c r="N1541" i="2"/>
  <c r="M1541" i="2"/>
  <c r="O1540" i="2"/>
  <c r="N1540" i="2"/>
  <c r="M1540" i="2"/>
  <c r="O1539" i="2"/>
  <c r="N1539" i="2"/>
  <c r="M1539" i="2"/>
  <c r="O1538" i="2"/>
  <c r="N1538" i="2"/>
  <c r="M1538" i="2"/>
  <c r="O1537" i="2"/>
  <c r="N1537" i="2"/>
  <c r="M1537" i="2"/>
  <c r="O1536" i="2"/>
  <c r="N1536" i="2"/>
  <c r="M1536" i="2"/>
  <c r="O1535" i="2"/>
  <c r="N1535" i="2"/>
  <c r="M1535" i="2"/>
  <c r="O1534" i="2"/>
  <c r="N1534" i="2"/>
  <c r="M1534" i="2"/>
  <c r="O1533" i="2"/>
  <c r="N1533" i="2"/>
  <c r="M1533" i="2"/>
  <c r="O1532" i="2"/>
  <c r="N1532" i="2"/>
  <c r="M1532" i="2"/>
  <c r="O1531" i="2"/>
  <c r="N1531" i="2"/>
  <c r="M1531" i="2"/>
  <c r="O1530" i="2"/>
  <c r="N1530" i="2"/>
  <c r="M1530" i="2"/>
  <c r="O1529" i="2"/>
  <c r="N1529" i="2"/>
  <c r="M1529" i="2"/>
  <c r="O1528" i="2"/>
  <c r="N1528" i="2"/>
  <c r="M1528" i="2"/>
  <c r="O1527" i="2"/>
  <c r="N1527" i="2"/>
  <c r="M1527" i="2"/>
  <c r="O1526" i="2"/>
  <c r="N1526" i="2"/>
  <c r="M1526" i="2"/>
  <c r="O1525" i="2"/>
  <c r="N1525" i="2"/>
  <c r="M1525" i="2"/>
  <c r="O1524" i="2"/>
  <c r="N1524" i="2"/>
  <c r="M1524" i="2"/>
  <c r="O1523" i="2"/>
  <c r="N1523" i="2"/>
  <c r="M1523" i="2"/>
  <c r="O1522" i="2"/>
  <c r="N1522" i="2"/>
  <c r="M1522" i="2"/>
  <c r="O1521" i="2"/>
  <c r="N1521" i="2"/>
  <c r="M1521" i="2"/>
  <c r="O1520" i="2"/>
  <c r="N1520" i="2"/>
  <c r="M1520" i="2"/>
  <c r="O1519" i="2"/>
  <c r="N1519" i="2"/>
  <c r="M1519" i="2"/>
  <c r="O1518" i="2"/>
  <c r="N1518" i="2"/>
  <c r="M1518" i="2"/>
  <c r="O1517" i="2"/>
  <c r="N1517" i="2"/>
  <c r="M1517" i="2"/>
  <c r="O1516" i="2"/>
  <c r="N1516" i="2"/>
  <c r="M1516" i="2"/>
  <c r="O1515" i="2"/>
  <c r="N1515" i="2"/>
  <c r="M1515" i="2"/>
  <c r="O1514" i="2"/>
  <c r="N1514" i="2"/>
  <c r="M1514" i="2"/>
  <c r="O1513" i="2"/>
  <c r="N1513" i="2"/>
  <c r="M1513" i="2"/>
  <c r="O1512" i="2"/>
  <c r="N1512" i="2"/>
  <c r="M1512" i="2"/>
  <c r="O1511" i="2"/>
  <c r="N1511" i="2"/>
  <c r="M1511" i="2"/>
  <c r="O1510" i="2"/>
  <c r="N1510" i="2"/>
  <c r="M1510" i="2"/>
  <c r="O1509" i="2"/>
  <c r="N1509" i="2"/>
  <c r="M1509" i="2"/>
  <c r="O1508" i="2"/>
  <c r="N1508" i="2"/>
  <c r="M1508" i="2"/>
  <c r="O1507" i="2"/>
  <c r="N1507" i="2"/>
  <c r="M1507" i="2"/>
  <c r="O1506" i="2"/>
  <c r="N1506" i="2"/>
  <c r="M1506" i="2"/>
  <c r="O1505" i="2"/>
  <c r="N1505" i="2"/>
  <c r="M1505" i="2"/>
  <c r="O1504" i="2"/>
  <c r="N1504" i="2"/>
  <c r="M1504" i="2"/>
  <c r="O1503" i="2"/>
  <c r="N1503" i="2"/>
  <c r="M1503" i="2"/>
  <c r="O1502" i="2"/>
  <c r="N1502" i="2"/>
  <c r="M1502" i="2"/>
  <c r="O1501" i="2"/>
  <c r="N1501" i="2"/>
  <c r="M1501" i="2"/>
  <c r="O1500" i="2"/>
  <c r="N1500" i="2"/>
  <c r="M1500" i="2"/>
  <c r="O1499" i="2"/>
  <c r="N1499" i="2"/>
  <c r="M1499" i="2"/>
  <c r="O1498" i="2"/>
  <c r="N1498" i="2"/>
  <c r="M1498" i="2"/>
  <c r="O1497" i="2"/>
  <c r="N1497" i="2"/>
  <c r="M1497" i="2"/>
  <c r="O1496" i="2"/>
  <c r="N1496" i="2"/>
  <c r="M1496" i="2"/>
  <c r="O1495" i="2"/>
  <c r="N1495" i="2"/>
  <c r="M1495" i="2"/>
  <c r="O1494" i="2"/>
  <c r="N1494" i="2"/>
  <c r="M1494" i="2"/>
  <c r="O1493" i="2"/>
  <c r="N1493" i="2"/>
  <c r="M1493" i="2"/>
  <c r="O1492" i="2"/>
  <c r="N1492" i="2"/>
  <c r="M1492" i="2"/>
  <c r="O1491" i="2"/>
  <c r="N1491" i="2"/>
  <c r="M1491" i="2"/>
  <c r="O1490" i="2"/>
  <c r="N1490" i="2"/>
  <c r="M1490" i="2"/>
  <c r="O1489" i="2"/>
  <c r="N1489" i="2"/>
  <c r="M1489" i="2"/>
  <c r="O1488" i="2"/>
  <c r="N1488" i="2"/>
  <c r="M1488" i="2"/>
  <c r="O1487" i="2"/>
  <c r="N1487" i="2"/>
  <c r="M1487" i="2"/>
  <c r="O1486" i="2"/>
  <c r="N1486" i="2"/>
  <c r="M1486" i="2"/>
  <c r="O1485" i="2"/>
  <c r="N1485" i="2"/>
  <c r="M1485" i="2"/>
  <c r="O1484" i="2"/>
  <c r="N1484" i="2"/>
  <c r="M1484" i="2"/>
  <c r="O1483" i="2"/>
  <c r="N1483" i="2"/>
  <c r="M1483" i="2"/>
  <c r="O1482" i="2"/>
  <c r="N1482" i="2"/>
  <c r="M1482" i="2"/>
  <c r="O1481" i="2"/>
  <c r="N1481" i="2"/>
  <c r="M1481" i="2"/>
  <c r="O1480" i="2"/>
  <c r="N1480" i="2"/>
  <c r="M1480" i="2"/>
  <c r="O1479" i="2"/>
  <c r="N1479" i="2"/>
  <c r="M1479" i="2"/>
  <c r="O1478" i="2"/>
  <c r="N1478" i="2"/>
  <c r="M1478" i="2"/>
  <c r="O1477" i="2"/>
  <c r="N1477" i="2"/>
  <c r="M1477" i="2"/>
  <c r="O1476" i="2"/>
  <c r="N1476" i="2"/>
  <c r="M1476" i="2"/>
  <c r="O1475" i="2"/>
  <c r="N1475" i="2"/>
  <c r="M1475" i="2"/>
  <c r="O1474" i="2"/>
  <c r="N1474" i="2"/>
  <c r="M1474" i="2"/>
  <c r="O1473" i="2"/>
  <c r="N1473" i="2"/>
  <c r="M1473" i="2"/>
  <c r="O1472" i="2"/>
  <c r="N1472" i="2"/>
  <c r="M1472" i="2"/>
  <c r="O1471" i="2"/>
  <c r="N1471" i="2"/>
  <c r="M1471" i="2"/>
  <c r="O1470" i="2"/>
  <c r="N1470" i="2"/>
  <c r="M1470" i="2"/>
  <c r="O1469" i="2"/>
  <c r="N1469" i="2"/>
  <c r="M1469" i="2"/>
  <c r="O1468" i="2"/>
  <c r="N1468" i="2"/>
  <c r="M1468" i="2"/>
  <c r="O1467" i="2"/>
  <c r="N1467" i="2"/>
  <c r="M1467" i="2"/>
  <c r="O1466" i="2"/>
  <c r="N1466" i="2"/>
  <c r="M1466" i="2"/>
  <c r="O1465" i="2"/>
  <c r="N1465" i="2"/>
  <c r="M1465" i="2"/>
  <c r="O1464" i="2"/>
  <c r="N1464" i="2"/>
  <c r="M1464" i="2"/>
  <c r="O1463" i="2"/>
  <c r="N1463" i="2"/>
  <c r="M1463" i="2"/>
  <c r="O1462" i="2"/>
  <c r="N1462" i="2"/>
  <c r="M1462" i="2"/>
  <c r="O1461" i="2"/>
  <c r="N1461" i="2"/>
  <c r="M1461" i="2"/>
  <c r="O1460" i="2"/>
  <c r="N1460" i="2"/>
  <c r="M1460" i="2"/>
  <c r="O1459" i="2"/>
  <c r="N1459" i="2"/>
  <c r="M1459" i="2"/>
  <c r="O1458" i="2"/>
  <c r="N1458" i="2"/>
  <c r="M1458" i="2"/>
  <c r="O1457" i="2"/>
  <c r="N1457" i="2"/>
  <c r="M1457" i="2"/>
  <c r="O1456" i="2"/>
  <c r="N1456" i="2"/>
  <c r="M1456" i="2"/>
  <c r="O1455" i="2"/>
  <c r="N1455" i="2"/>
  <c r="M1455" i="2"/>
  <c r="O1454" i="2"/>
  <c r="N1454" i="2"/>
  <c r="M1454" i="2"/>
  <c r="O1453" i="2"/>
  <c r="N1453" i="2"/>
  <c r="M1453" i="2"/>
  <c r="O1452" i="2"/>
  <c r="N1452" i="2"/>
  <c r="M1452" i="2"/>
  <c r="O1451" i="2"/>
  <c r="N1451" i="2"/>
  <c r="M1451" i="2"/>
  <c r="O1450" i="2"/>
  <c r="N1450" i="2"/>
  <c r="M1450" i="2"/>
  <c r="O1449" i="2"/>
  <c r="N1449" i="2"/>
  <c r="M1449" i="2"/>
  <c r="O1448" i="2"/>
  <c r="N1448" i="2"/>
  <c r="M1448" i="2"/>
  <c r="O1447" i="2"/>
  <c r="N1447" i="2"/>
  <c r="M1447" i="2"/>
  <c r="O1446" i="2"/>
  <c r="N1446" i="2"/>
  <c r="M1446" i="2"/>
  <c r="O1445" i="2"/>
  <c r="N1445" i="2"/>
  <c r="M1445" i="2"/>
  <c r="O1444" i="2"/>
  <c r="N1444" i="2"/>
  <c r="M1444" i="2"/>
  <c r="O1443" i="2"/>
  <c r="N1443" i="2"/>
  <c r="M1443" i="2"/>
  <c r="O1442" i="2"/>
  <c r="N1442" i="2"/>
  <c r="M1442" i="2"/>
  <c r="O1441" i="2"/>
  <c r="N1441" i="2"/>
  <c r="M1441" i="2"/>
  <c r="O1440" i="2"/>
  <c r="N1440" i="2"/>
  <c r="M1440" i="2"/>
  <c r="O1439" i="2"/>
  <c r="N1439" i="2"/>
  <c r="M1439" i="2"/>
  <c r="O1438" i="2"/>
  <c r="N1438" i="2"/>
  <c r="M1438" i="2"/>
  <c r="O1437" i="2"/>
  <c r="N1437" i="2"/>
  <c r="M1437" i="2"/>
  <c r="O1436" i="2"/>
  <c r="N1436" i="2"/>
  <c r="M1436" i="2"/>
  <c r="O1435" i="2"/>
  <c r="N1435" i="2"/>
  <c r="M1435" i="2"/>
  <c r="O1434" i="2"/>
  <c r="N1434" i="2"/>
  <c r="M1434" i="2"/>
  <c r="O1433" i="2"/>
  <c r="N1433" i="2"/>
  <c r="M1433" i="2"/>
  <c r="O1432" i="2"/>
  <c r="N1432" i="2"/>
  <c r="M1432" i="2"/>
  <c r="O1431" i="2"/>
  <c r="N1431" i="2"/>
  <c r="M1431" i="2"/>
  <c r="O1430" i="2"/>
  <c r="N1430" i="2"/>
  <c r="M1430" i="2"/>
  <c r="O1429" i="2"/>
  <c r="N1429" i="2"/>
  <c r="M1429" i="2"/>
  <c r="O1428" i="2"/>
  <c r="N1428" i="2"/>
  <c r="M1428" i="2"/>
  <c r="O1427" i="2"/>
  <c r="N1427" i="2"/>
  <c r="M1427" i="2"/>
  <c r="O1426" i="2"/>
  <c r="N1426" i="2"/>
  <c r="M1426" i="2"/>
  <c r="O1425" i="2"/>
  <c r="N1425" i="2"/>
  <c r="M1425" i="2"/>
  <c r="O1424" i="2"/>
  <c r="N1424" i="2"/>
  <c r="M1424" i="2"/>
  <c r="O1423" i="2"/>
  <c r="N1423" i="2"/>
  <c r="M1423" i="2"/>
  <c r="O1422" i="2"/>
  <c r="N1422" i="2"/>
  <c r="M1422" i="2"/>
  <c r="O1421" i="2"/>
  <c r="N1421" i="2"/>
  <c r="M1421" i="2"/>
  <c r="O1420" i="2"/>
  <c r="N1420" i="2"/>
  <c r="M1420" i="2"/>
  <c r="O1419" i="2"/>
  <c r="N1419" i="2"/>
  <c r="M1419" i="2"/>
  <c r="O1418" i="2"/>
  <c r="N1418" i="2"/>
  <c r="M1418" i="2"/>
  <c r="O1417" i="2"/>
  <c r="N1417" i="2"/>
  <c r="M1417" i="2"/>
  <c r="O1416" i="2"/>
  <c r="N1416" i="2"/>
  <c r="M1416" i="2"/>
  <c r="O1415" i="2"/>
  <c r="N1415" i="2"/>
  <c r="M1415" i="2"/>
  <c r="O1414" i="2"/>
  <c r="N1414" i="2"/>
  <c r="M1414" i="2"/>
  <c r="O1413" i="2"/>
  <c r="N1413" i="2"/>
  <c r="M1413" i="2"/>
  <c r="O1412" i="2"/>
  <c r="N1412" i="2"/>
  <c r="M1412" i="2"/>
  <c r="O1411" i="2"/>
  <c r="N1411" i="2"/>
  <c r="M1411" i="2"/>
  <c r="O1410" i="2"/>
  <c r="N1410" i="2"/>
  <c r="M1410" i="2"/>
  <c r="O1409" i="2"/>
  <c r="N1409" i="2"/>
  <c r="M1409" i="2"/>
  <c r="O1408" i="2"/>
  <c r="N1408" i="2"/>
  <c r="M1408" i="2"/>
  <c r="O1407" i="2"/>
  <c r="N1407" i="2"/>
  <c r="M1407" i="2"/>
  <c r="O1406" i="2"/>
  <c r="N1406" i="2"/>
  <c r="M1406" i="2"/>
  <c r="O1405" i="2"/>
  <c r="N1405" i="2"/>
  <c r="M1405" i="2"/>
  <c r="O1404" i="2"/>
  <c r="N1404" i="2"/>
  <c r="M1404" i="2"/>
  <c r="O1403" i="2"/>
  <c r="N1403" i="2"/>
  <c r="M1403" i="2"/>
  <c r="O1402" i="2"/>
  <c r="N1402" i="2"/>
  <c r="M1402" i="2"/>
  <c r="O1401" i="2"/>
  <c r="N1401" i="2"/>
  <c r="M1401" i="2"/>
  <c r="O1400" i="2"/>
  <c r="N1400" i="2"/>
  <c r="M1400" i="2"/>
  <c r="O1399" i="2"/>
  <c r="N1399" i="2"/>
  <c r="M1399" i="2"/>
  <c r="O1398" i="2"/>
  <c r="N1398" i="2"/>
  <c r="M1398" i="2"/>
  <c r="O1397" i="2"/>
  <c r="N1397" i="2"/>
  <c r="M1397" i="2"/>
  <c r="O1396" i="2"/>
  <c r="N1396" i="2"/>
  <c r="M1396" i="2"/>
  <c r="O1395" i="2"/>
  <c r="N1395" i="2"/>
  <c r="M1395" i="2"/>
  <c r="O1394" i="2"/>
  <c r="N1394" i="2"/>
  <c r="M1394" i="2"/>
  <c r="O1393" i="2"/>
  <c r="N1393" i="2"/>
  <c r="M1393" i="2"/>
  <c r="O1392" i="2"/>
  <c r="N1392" i="2"/>
  <c r="M1392" i="2"/>
  <c r="O1391" i="2"/>
  <c r="N1391" i="2"/>
  <c r="M1391" i="2"/>
  <c r="O1390" i="2"/>
  <c r="N1390" i="2"/>
  <c r="M1390" i="2"/>
  <c r="O1389" i="2"/>
  <c r="N1389" i="2"/>
  <c r="M1389" i="2"/>
  <c r="O1388" i="2"/>
  <c r="N1388" i="2"/>
  <c r="M1388" i="2"/>
  <c r="O1387" i="2"/>
  <c r="N1387" i="2"/>
  <c r="M1387" i="2"/>
  <c r="O1386" i="2"/>
  <c r="N1386" i="2"/>
  <c r="M1386" i="2"/>
  <c r="O1385" i="2"/>
  <c r="N1385" i="2"/>
  <c r="M1385" i="2"/>
  <c r="O1384" i="2"/>
  <c r="N1384" i="2"/>
  <c r="M1384" i="2"/>
  <c r="O1383" i="2"/>
  <c r="N1383" i="2"/>
  <c r="M1383" i="2"/>
  <c r="O1382" i="2"/>
  <c r="N1382" i="2"/>
  <c r="M1382" i="2"/>
  <c r="O1381" i="2"/>
  <c r="N1381" i="2"/>
  <c r="M1381" i="2"/>
  <c r="O1380" i="2"/>
  <c r="N1380" i="2"/>
  <c r="M1380" i="2"/>
  <c r="O1379" i="2"/>
  <c r="N1379" i="2"/>
  <c r="M1379" i="2"/>
  <c r="O1378" i="2"/>
  <c r="N1378" i="2"/>
  <c r="M1378" i="2"/>
  <c r="O1377" i="2"/>
  <c r="N1377" i="2"/>
  <c r="M1377" i="2"/>
  <c r="O1376" i="2"/>
  <c r="N1376" i="2"/>
  <c r="M1376" i="2"/>
  <c r="O1375" i="2"/>
  <c r="N1375" i="2"/>
  <c r="M1375" i="2"/>
  <c r="O1374" i="2"/>
  <c r="N1374" i="2"/>
  <c r="M1374" i="2"/>
  <c r="O1373" i="2"/>
  <c r="N1373" i="2"/>
  <c r="M1373" i="2"/>
  <c r="O1372" i="2"/>
  <c r="N1372" i="2"/>
  <c r="M1372" i="2"/>
  <c r="O1371" i="2"/>
  <c r="N1371" i="2"/>
  <c r="M1371" i="2"/>
  <c r="O1370" i="2"/>
  <c r="N1370" i="2"/>
  <c r="M1370" i="2"/>
  <c r="O1369" i="2"/>
  <c r="N1369" i="2"/>
  <c r="M1369" i="2"/>
  <c r="O1368" i="2"/>
  <c r="N1368" i="2"/>
  <c r="M1368" i="2"/>
  <c r="O1367" i="2"/>
  <c r="N1367" i="2"/>
  <c r="M1367" i="2"/>
  <c r="O1366" i="2"/>
  <c r="N1366" i="2"/>
  <c r="M1366" i="2"/>
  <c r="O1365" i="2"/>
  <c r="N1365" i="2"/>
  <c r="M1365" i="2"/>
  <c r="O1364" i="2"/>
  <c r="N1364" i="2"/>
  <c r="M1364" i="2"/>
  <c r="O1363" i="2"/>
  <c r="N1363" i="2"/>
  <c r="M1363" i="2"/>
  <c r="O1362" i="2"/>
  <c r="N1362" i="2"/>
  <c r="M1362" i="2"/>
  <c r="O1361" i="2"/>
  <c r="N1361" i="2"/>
  <c r="M1361" i="2"/>
  <c r="O1360" i="2"/>
  <c r="N1360" i="2"/>
  <c r="M1360" i="2"/>
  <c r="O1359" i="2"/>
  <c r="N1359" i="2"/>
  <c r="M1359" i="2"/>
  <c r="O1358" i="2"/>
  <c r="N1358" i="2"/>
  <c r="M1358" i="2"/>
  <c r="O1357" i="2"/>
  <c r="N1357" i="2"/>
  <c r="M1357" i="2"/>
  <c r="O1356" i="2"/>
  <c r="N1356" i="2"/>
  <c r="M1356" i="2"/>
  <c r="O1355" i="2"/>
  <c r="N1355" i="2"/>
  <c r="M1355" i="2"/>
  <c r="O1354" i="2"/>
  <c r="N1354" i="2"/>
  <c r="M1354" i="2"/>
  <c r="O1353" i="2"/>
  <c r="N1353" i="2"/>
  <c r="M1353" i="2"/>
  <c r="O1352" i="2"/>
  <c r="N1352" i="2"/>
  <c r="M1352" i="2"/>
  <c r="O1351" i="2"/>
  <c r="N1351" i="2"/>
  <c r="M1351" i="2"/>
  <c r="O1350" i="2"/>
  <c r="N1350" i="2"/>
  <c r="M1350" i="2"/>
  <c r="O1349" i="2"/>
  <c r="N1349" i="2"/>
  <c r="M1349" i="2"/>
  <c r="O1348" i="2"/>
  <c r="N1348" i="2"/>
  <c r="M1348" i="2"/>
  <c r="O1347" i="2"/>
  <c r="N1347" i="2"/>
  <c r="M1347" i="2"/>
  <c r="O1346" i="2"/>
  <c r="N1346" i="2"/>
  <c r="M1346" i="2"/>
  <c r="O1345" i="2"/>
  <c r="N1345" i="2"/>
  <c r="M1345" i="2"/>
  <c r="O1344" i="2"/>
  <c r="N1344" i="2"/>
  <c r="M1344" i="2"/>
  <c r="O1343" i="2"/>
  <c r="N1343" i="2"/>
  <c r="M1343" i="2"/>
  <c r="O1342" i="2"/>
  <c r="N1342" i="2"/>
  <c r="M1342" i="2"/>
  <c r="O1341" i="2"/>
  <c r="N1341" i="2"/>
  <c r="M1341" i="2"/>
  <c r="O1340" i="2"/>
  <c r="N1340" i="2"/>
  <c r="M1340" i="2"/>
  <c r="O1339" i="2"/>
  <c r="N1339" i="2"/>
  <c r="M1339" i="2"/>
  <c r="O1338" i="2"/>
  <c r="N1338" i="2"/>
  <c r="M1338" i="2"/>
  <c r="O1337" i="2"/>
  <c r="N1337" i="2"/>
  <c r="M1337" i="2"/>
  <c r="O1336" i="2"/>
  <c r="N1336" i="2"/>
  <c r="M1336" i="2"/>
  <c r="O1335" i="2"/>
  <c r="N1335" i="2"/>
  <c r="M1335" i="2"/>
  <c r="O1334" i="2"/>
  <c r="N1334" i="2"/>
  <c r="M1334" i="2"/>
  <c r="O1333" i="2"/>
  <c r="N1333" i="2"/>
  <c r="M1333" i="2"/>
  <c r="O1332" i="2"/>
  <c r="N1332" i="2"/>
  <c r="M1332" i="2"/>
  <c r="O1331" i="2"/>
  <c r="N1331" i="2"/>
  <c r="M1331" i="2"/>
  <c r="O1330" i="2"/>
  <c r="N1330" i="2"/>
  <c r="M1330" i="2"/>
  <c r="O1329" i="2"/>
  <c r="N1329" i="2"/>
  <c r="M1329" i="2"/>
  <c r="O1328" i="2"/>
  <c r="N1328" i="2"/>
  <c r="M1328" i="2"/>
  <c r="O1327" i="2"/>
  <c r="N1327" i="2"/>
  <c r="M1327" i="2"/>
  <c r="O1326" i="2"/>
  <c r="N1326" i="2"/>
  <c r="M1326" i="2"/>
  <c r="O1325" i="2"/>
  <c r="N1325" i="2"/>
  <c r="M1325" i="2"/>
  <c r="O1324" i="2"/>
  <c r="N1324" i="2"/>
  <c r="M1324" i="2"/>
  <c r="O1323" i="2"/>
  <c r="N1323" i="2"/>
  <c r="M1323" i="2"/>
  <c r="O1322" i="2"/>
  <c r="N1322" i="2"/>
  <c r="M1322" i="2"/>
  <c r="O1321" i="2"/>
  <c r="N1321" i="2"/>
  <c r="M1321" i="2"/>
  <c r="O1320" i="2"/>
  <c r="N1320" i="2"/>
  <c r="M1320" i="2"/>
  <c r="O1319" i="2"/>
  <c r="N1319" i="2"/>
  <c r="M1319" i="2"/>
  <c r="O1318" i="2"/>
  <c r="N1318" i="2"/>
  <c r="M1318" i="2"/>
  <c r="O1317" i="2"/>
  <c r="N1317" i="2"/>
  <c r="M1317" i="2"/>
  <c r="O1316" i="2"/>
  <c r="N1316" i="2"/>
  <c r="M1316" i="2"/>
  <c r="O1315" i="2"/>
  <c r="N1315" i="2"/>
  <c r="M1315" i="2"/>
  <c r="O1314" i="2"/>
  <c r="N1314" i="2"/>
  <c r="M1314" i="2"/>
  <c r="O1313" i="2"/>
  <c r="N1313" i="2"/>
  <c r="M1313" i="2"/>
  <c r="O1312" i="2"/>
  <c r="N1312" i="2"/>
  <c r="M1312" i="2"/>
  <c r="O1311" i="2"/>
  <c r="N1311" i="2"/>
  <c r="M1311" i="2"/>
  <c r="O1310" i="2"/>
  <c r="N1310" i="2"/>
  <c r="M1310" i="2"/>
  <c r="O1309" i="2"/>
  <c r="N1309" i="2"/>
  <c r="M1309" i="2"/>
  <c r="O1308" i="2"/>
  <c r="N1308" i="2"/>
  <c r="M1308" i="2"/>
  <c r="O1307" i="2"/>
  <c r="N1307" i="2"/>
  <c r="M1307" i="2"/>
  <c r="O1306" i="2"/>
  <c r="N1306" i="2"/>
  <c r="M1306" i="2"/>
  <c r="O1305" i="2"/>
  <c r="N1305" i="2"/>
  <c r="M1305" i="2"/>
  <c r="O1304" i="2"/>
  <c r="N1304" i="2"/>
  <c r="M1304" i="2"/>
  <c r="O1303" i="2"/>
  <c r="N1303" i="2"/>
  <c r="M1303" i="2"/>
  <c r="O1302" i="2"/>
  <c r="N1302" i="2"/>
  <c r="M1302" i="2"/>
  <c r="O1301" i="2"/>
  <c r="N1301" i="2"/>
  <c r="M1301" i="2"/>
  <c r="O1300" i="2"/>
  <c r="N1300" i="2"/>
  <c r="M1300" i="2"/>
  <c r="O1299" i="2"/>
  <c r="N1299" i="2"/>
  <c r="M1299" i="2"/>
  <c r="O1298" i="2"/>
  <c r="N1298" i="2"/>
  <c r="M1298" i="2"/>
  <c r="O1297" i="2"/>
  <c r="N1297" i="2"/>
  <c r="M1297" i="2"/>
  <c r="O1296" i="2"/>
  <c r="N1296" i="2"/>
  <c r="M1296" i="2"/>
  <c r="O1295" i="2"/>
  <c r="N1295" i="2"/>
  <c r="M1295" i="2"/>
  <c r="O1294" i="2"/>
  <c r="N1294" i="2"/>
  <c r="M1294" i="2"/>
  <c r="O1293" i="2"/>
  <c r="N1293" i="2"/>
  <c r="M1293" i="2"/>
  <c r="O1292" i="2"/>
  <c r="N1292" i="2"/>
  <c r="M1292" i="2"/>
  <c r="O1291" i="2"/>
  <c r="N1291" i="2"/>
  <c r="M1291" i="2"/>
  <c r="O1290" i="2"/>
  <c r="N1290" i="2"/>
  <c r="M1290" i="2"/>
  <c r="O1289" i="2"/>
  <c r="N1289" i="2"/>
  <c r="M1289" i="2"/>
  <c r="O1288" i="2"/>
  <c r="N1288" i="2"/>
  <c r="M1288" i="2"/>
  <c r="O1287" i="2"/>
  <c r="N1287" i="2"/>
  <c r="M1287" i="2"/>
  <c r="O1286" i="2"/>
  <c r="N1286" i="2"/>
  <c r="M1286" i="2"/>
  <c r="O1285" i="2"/>
  <c r="N1285" i="2"/>
  <c r="M1285" i="2"/>
  <c r="O1284" i="2"/>
  <c r="N1284" i="2"/>
  <c r="M1284" i="2"/>
  <c r="O1283" i="2"/>
  <c r="N1283" i="2"/>
  <c r="M1283" i="2"/>
  <c r="O1282" i="2"/>
  <c r="N1282" i="2"/>
  <c r="M1282" i="2"/>
  <c r="O1281" i="2"/>
  <c r="N1281" i="2"/>
  <c r="M1281" i="2"/>
  <c r="O1280" i="2"/>
  <c r="N1280" i="2"/>
  <c r="M1280" i="2"/>
  <c r="O1279" i="2"/>
  <c r="N1279" i="2"/>
  <c r="M1279" i="2"/>
  <c r="O1278" i="2"/>
  <c r="N1278" i="2"/>
  <c r="M1278" i="2"/>
  <c r="O1277" i="2"/>
  <c r="N1277" i="2"/>
  <c r="M1277" i="2"/>
  <c r="O1276" i="2"/>
  <c r="N1276" i="2"/>
  <c r="M1276" i="2"/>
  <c r="O1275" i="2"/>
  <c r="N1275" i="2"/>
  <c r="M1275" i="2"/>
  <c r="O1274" i="2"/>
  <c r="N1274" i="2"/>
  <c r="M1274" i="2"/>
  <c r="O1273" i="2"/>
  <c r="N1273" i="2"/>
  <c r="M1273" i="2"/>
  <c r="O1272" i="2"/>
  <c r="N1272" i="2"/>
  <c r="M1272" i="2"/>
  <c r="O1271" i="2"/>
  <c r="N1271" i="2"/>
  <c r="M1271" i="2"/>
  <c r="O1270" i="2"/>
  <c r="N1270" i="2"/>
  <c r="M1270" i="2"/>
  <c r="O1269" i="2"/>
  <c r="N1269" i="2"/>
  <c r="M1269" i="2"/>
  <c r="O1268" i="2"/>
  <c r="N1268" i="2"/>
  <c r="M1268" i="2"/>
  <c r="O1267" i="2"/>
  <c r="N1267" i="2"/>
  <c r="M1267" i="2"/>
  <c r="O1266" i="2"/>
  <c r="N1266" i="2"/>
  <c r="M1266" i="2"/>
  <c r="O1265" i="2"/>
  <c r="N1265" i="2"/>
  <c r="M1265" i="2"/>
  <c r="O1264" i="2"/>
  <c r="N1264" i="2"/>
  <c r="M1264" i="2"/>
  <c r="O1263" i="2"/>
  <c r="N1263" i="2"/>
  <c r="M1263" i="2"/>
  <c r="O1262" i="2"/>
  <c r="N1262" i="2"/>
  <c r="M1262" i="2"/>
  <c r="O1261" i="2"/>
  <c r="N1261" i="2"/>
  <c r="M1261" i="2"/>
  <c r="O1260" i="2"/>
  <c r="N1260" i="2"/>
  <c r="M1260" i="2"/>
  <c r="O1259" i="2"/>
  <c r="N1259" i="2"/>
  <c r="M1259" i="2"/>
  <c r="O1258" i="2"/>
  <c r="N1258" i="2"/>
  <c r="M1258" i="2"/>
  <c r="O1257" i="2"/>
  <c r="N1257" i="2"/>
  <c r="M1257" i="2"/>
  <c r="O1256" i="2"/>
  <c r="N1256" i="2"/>
  <c r="M1256" i="2"/>
  <c r="O1255" i="2"/>
  <c r="N1255" i="2"/>
  <c r="M1255" i="2"/>
  <c r="O1254" i="2"/>
  <c r="N1254" i="2"/>
  <c r="M1254" i="2"/>
  <c r="O1253" i="2"/>
  <c r="N1253" i="2"/>
  <c r="M1253" i="2"/>
  <c r="O1252" i="2"/>
  <c r="N1252" i="2"/>
  <c r="M1252" i="2"/>
  <c r="O1251" i="2"/>
  <c r="N1251" i="2"/>
  <c r="M1251" i="2"/>
  <c r="O1250" i="2"/>
  <c r="N1250" i="2"/>
  <c r="M1250" i="2"/>
  <c r="O1249" i="2"/>
  <c r="N1249" i="2"/>
  <c r="M1249" i="2"/>
  <c r="O1248" i="2"/>
  <c r="N1248" i="2"/>
  <c r="M1248" i="2"/>
  <c r="O1247" i="2"/>
  <c r="N1247" i="2"/>
  <c r="M1247" i="2"/>
  <c r="O1246" i="2"/>
  <c r="N1246" i="2"/>
  <c r="M1246" i="2"/>
  <c r="O1245" i="2"/>
  <c r="N1245" i="2"/>
  <c r="M1245" i="2"/>
  <c r="O1244" i="2"/>
  <c r="N1244" i="2"/>
  <c r="M1244" i="2"/>
  <c r="O1243" i="2"/>
  <c r="N1243" i="2"/>
  <c r="M1243" i="2"/>
  <c r="O1242" i="2"/>
  <c r="N1242" i="2"/>
  <c r="M1242" i="2"/>
  <c r="O1241" i="2"/>
  <c r="N1241" i="2"/>
  <c r="M1241" i="2"/>
  <c r="O1240" i="2"/>
  <c r="N1240" i="2"/>
  <c r="M1240" i="2"/>
  <c r="O1239" i="2"/>
  <c r="N1239" i="2"/>
  <c r="M1239" i="2"/>
  <c r="O1238" i="2"/>
  <c r="N1238" i="2"/>
  <c r="M1238" i="2"/>
  <c r="O1237" i="2"/>
  <c r="N1237" i="2"/>
  <c r="M1237" i="2"/>
  <c r="O1236" i="2"/>
  <c r="N1236" i="2"/>
  <c r="M1236" i="2"/>
  <c r="O1235" i="2"/>
  <c r="N1235" i="2"/>
  <c r="M1235" i="2"/>
  <c r="O1234" i="2"/>
  <c r="N1234" i="2"/>
  <c r="M1234" i="2"/>
  <c r="O1233" i="2"/>
  <c r="N1233" i="2"/>
  <c r="M1233" i="2"/>
  <c r="O1232" i="2"/>
  <c r="N1232" i="2"/>
  <c r="M1232" i="2"/>
  <c r="O1231" i="2"/>
  <c r="N1231" i="2"/>
  <c r="M1231" i="2"/>
  <c r="O1230" i="2"/>
  <c r="N1230" i="2"/>
  <c r="M1230" i="2"/>
  <c r="O1229" i="2"/>
  <c r="N1229" i="2"/>
  <c r="M1229" i="2"/>
  <c r="O1228" i="2"/>
  <c r="N1228" i="2"/>
  <c r="M1228" i="2"/>
  <c r="O1227" i="2"/>
  <c r="N1227" i="2"/>
  <c r="M1227" i="2"/>
  <c r="O1226" i="2"/>
  <c r="N1226" i="2"/>
  <c r="M1226" i="2"/>
  <c r="O1225" i="2"/>
  <c r="N1225" i="2"/>
  <c r="M1225" i="2"/>
  <c r="O1224" i="2"/>
  <c r="N1224" i="2"/>
  <c r="M1224" i="2"/>
  <c r="O1223" i="2"/>
  <c r="N1223" i="2"/>
  <c r="M1223" i="2"/>
  <c r="O1222" i="2"/>
  <c r="N1222" i="2"/>
  <c r="M1222" i="2"/>
  <c r="O1221" i="2"/>
  <c r="N1221" i="2"/>
  <c r="M1221" i="2"/>
  <c r="O1220" i="2"/>
  <c r="N1220" i="2"/>
  <c r="M1220" i="2"/>
  <c r="O1219" i="2"/>
  <c r="N1219" i="2"/>
  <c r="M1219" i="2"/>
  <c r="O1218" i="2"/>
  <c r="N1218" i="2"/>
  <c r="M1218" i="2"/>
  <c r="O1217" i="2"/>
  <c r="N1217" i="2"/>
  <c r="M1217" i="2"/>
  <c r="O1216" i="2"/>
  <c r="N1216" i="2"/>
  <c r="M1216" i="2"/>
  <c r="O1215" i="2"/>
  <c r="N1215" i="2"/>
  <c r="M1215" i="2"/>
  <c r="O1214" i="2"/>
  <c r="N1214" i="2"/>
  <c r="M1214" i="2"/>
  <c r="O1213" i="2"/>
  <c r="N1213" i="2"/>
  <c r="M1213" i="2"/>
  <c r="O1212" i="2"/>
  <c r="N1212" i="2"/>
  <c r="M1212" i="2"/>
  <c r="O1211" i="2"/>
  <c r="N1211" i="2"/>
  <c r="M1211" i="2"/>
  <c r="O1210" i="2"/>
  <c r="N1210" i="2"/>
  <c r="M1210" i="2"/>
  <c r="O1209" i="2"/>
  <c r="N1209" i="2"/>
  <c r="M1209" i="2"/>
  <c r="O1208" i="2"/>
  <c r="N1208" i="2"/>
  <c r="M1208" i="2"/>
  <c r="O1207" i="2"/>
  <c r="N1207" i="2"/>
  <c r="M1207" i="2"/>
  <c r="O1206" i="2"/>
  <c r="N1206" i="2"/>
  <c r="M1206" i="2"/>
  <c r="O1205" i="2"/>
  <c r="N1205" i="2"/>
  <c r="M1205" i="2"/>
  <c r="O1204" i="2"/>
  <c r="N1204" i="2"/>
  <c r="M1204" i="2"/>
  <c r="O1203" i="2"/>
  <c r="N1203" i="2"/>
  <c r="M1203" i="2"/>
  <c r="O1202" i="2"/>
  <c r="N1202" i="2"/>
  <c r="M1202" i="2"/>
  <c r="O1201" i="2"/>
  <c r="N1201" i="2"/>
  <c r="M1201" i="2"/>
  <c r="O1200" i="2"/>
  <c r="N1200" i="2"/>
  <c r="M1200" i="2"/>
  <c r="O1199" i="2"/>
  <c r="N1199" i="2"/>
  <c r="M1199" i="2"/>
  <c r="O1198" i="2"/>
  <c r="N1198" i="2"/>
  <c r="M1198" i="2"/>
  <c r="O1197" i="2"/>
  <c r="N1197" i="2"/>
  <c r="M1197" i="2"/>
  <c r="O1196" i="2"/>
  <c r="N1196" i="2"/>
  <c r="M1196" i="2"/>
  <c r="O1195" i="2"/>
  <c r="N1195" i="2"/>
  <c r="M1195" i="2"/>
  <c r="O1194" i="2"/>
  <c r="N1194" i="2"/>
  <c r="M1194" i="2"/>
  <c r="O1193" i="2"/>
  <c r="N1193" i="2"/>
  <c r="M1193" i="2"/>
  <c r="O1192" i="2"/>
  <c r="N1192" i="2"/>
  <c r="M1192" i="2"/>
  <c r="O1191" i="2"/>
  <c r="N1191" i="2"/>
  <c r="M1191" i="2"/>
  <c r="O1190" i="2"/>
  <c r="N1190" i="2"/>
  <c r="M1190" i="2"/>
  <c r="O1189" i="2"/>
  <c r="N1189" i="2"/>
  <c r="M1189" i="2"/>
  <c r="O1188" i="2"/>
  <c r="N1188" i="2"/>
  <c r="M1188" i="2"/>
  <c r="O1187" i="2"/>
  <c r="N1187" i="2"/>
  <c r="M1187" i="2"/>
  <c r="O1186" i="2"/>
  <c r="N1186" i="2"/>
  <c r="M1186" i="2"/>
  <c r="O1185" i="2"/>
  <c r="N1185" i="2"/>
  <c r="M1185" i="2"/>
  <c r="O1184" i="2"/>
  <c r="N1184" i="2"/>
  <c r="M1184" i="2"/>
  <c r="O1183" i="2"/>
  <c r="N1183" i="2"/>
  <c r="M1183" i="2"/>
  <c r="O1182" i="2"/>
  <c r="N1182" i="2"/>
  <c r="M1182" i="2"/>
  <c r="O1181" i="2"/>
  <c r="N1181" i="2"/>
  <c r="M1181" i="2"/>
  <c r="O1180" i="2"/>
  <c r="N1180" i="2"/>
  <c r="M1180" i="2"/>
  <c r="O1179" i="2"/>
  <c r="N1179" i="2"/>
  <c r="M1179" i="2"/>
  <c r="O1178" i="2"/>
  <c r="N1178" i="2"/>
  <c r="M1178" i="2"/>
  <c r="O1177" i="2"/>
  <c r="N1177" i="2"/>
  <c r="M1177" i="2"/>
  <c r="O1176" i="2"/>
  <c r="N1176" i="2"/>
  <c r="M1176" i="2"/>
  <c r="O1175" i="2"/>
  <c r="N1175" i="2"/>
  <c r="M1175" i="2"/>
  <c r="O1174" i="2"/>
  <c r="N1174" i="2"/>
  <c r="M1174" i="2"/>
  <c r="O1173" i="2"/>
  <c r="N1173" i="2"/>
  <c r="M1173" i="2"/>
  <c r="O1172" i="2"/>
  <c r="N1172" i="2"/>
  <c r="M1172" i="2"/>
  <c r="O1171" i="2"/>
  <c r="N1171" i="2"/>
  <c r="M1171" i="2"/>
  <c r="O1170" i="2"/>
  <c r="N1170" i="2"/>
  <c r="M1170" i="2"/>
  <c r="O1169" i="2"/>
  <c r="N1169" i="2"/>
  <c r="M1169" i="2"/>
  <c r="O1168" i="2"/>
  <c r="N1168" i="2"/>
  <c r="M1168" i="2"/>
  <c r="O1167" i="2"/>
  <c r="N1167" i="2"/>
  <c r="M1167" i="2"/>
  <c r="O1166" i="2"/>
  <c r="N1166" i="2"/>
  <c r="M1166" i="2"/>
  <c r="O1165" i="2"/>
  <c r="N1165" i="2"/>
  <c r="M1165" i="2"/>
  <c r="O1164" i="2"/>
  <c r="N1164" i="2"/>
  <c r="M1164" i="2"/>
  <c r="O1163" i="2"/>
  <c r="N1163" i="2"/>
  <c r="M1163" i="2"/>
  <c r="O1162" i="2"/>
  <c r="N1162" i="2"/>
  <c r="M1162" i="2"/>
  <c r="O1161" i="2"/>
  <c r="N1161" i="2"/>
  <c r="M1161" i="2"/>
  <c r="O1160" i="2"/>
  <c r="N1160" i="2"/>
  <c r="M1160" i="2"/>
  <c r="O1159" i="2"/>
  <c r="N1159" i="2"/>
  <c r="M1159" i="2"/>
  <c r="O1158" i="2"/>
  <c r="N1158" i="2"/>
  <c r="M1158" i="2"/>
  <c r="O1157" i="2"/>
  <c r="N1157" i="2"/>
  <c r="M1157" i="2"/>
  <c r="O1156" i="2"/>
  <c r="N1156" i="2"/>
  <c r="M1156" i="2"/>
  <c r="O1155" i="2"/>
  <c r="N1155" i="2"/>
  <c r="M1155" i="2"/>
  <c r="O1154" i="2"/>
  <c r="N1154" i="2"/>
  <c r="M1154" i="2"/>
  <c r="O1153" i="2"/>
  <c r="N1153" i="2"/>
  <c r="M1153" i="2"/>
  <c r="O1152" i="2"/>
  <c r="N1152" i="2"/>
  <c r="M1152" i="2"/>
  <c r="O1151" i="2"/>
  <c r="N1151" i="2"/>
  <c r="M1151" i="2"/>
  <c r="O1150" i="2"/>
  <c r="N1150" i="2"/>
  <c r="M1150" i="2"/>
  <c r="O1149" i="2"/>
  <c r="N1149" i="2"/>
  <c r="M1149" i="2"/>
  <c r="O1148" i="2"/>
  <c r="N1148" i="2"/>
  <c r="M1148" i="2"/>
  <c r="O1147" i="2"/>
  <c r="N1147" i="2"/>
  <c r="M1147" i="2"/>
  <c r="O1146" i="2"/>
  <c r="N1146" i="2"/>
  <c r="M1146" i="2"/>
  <c r="O1145" i="2"/>
  <c r="N1145" i="2"/>
  <c r="M1145" i="2"/>
  <c r="O1144" i="2"/>
  <c r="N1144" i="2"/>
  <c r="M1144" i="2"/>
  <c r="O1143" i="2"/>
  <c r="N1143" i="2"/>
  <c r="M1143" i="2"/>
  <c r="O1142" i="2"/>
  <c r="N1142" i="2"/>
  <c r="M1142" i="2"/>
  <c r="O1141" i="2"/>
  <c r="N1141" i="2"/>
  <c r="M1141" i="2"/>
  <c r="O1140" i="2"/>
  <c r="N1140" i="2"/>
  <c r="M1140" i="2"/>
  <c r="O1139" i="2"/>
  <c r="N1139" i="2"/>
  <c r="M1139" i="2"/>
  <c r="O1138" i="2"/>
  <c r="N1138" i="2"/>
  <c r="M1138" i="2"/>
  <c r="O1137" i="2"/>
  <c r="N1137" i="2"/>
  <c r="M1137" i="2"/>
  <c r="O1136" i="2"/>
  <c r="N1136" i="2"/>
  <c r="M1136" i="2"/>
  <c r="O1135" i="2"/>
  <c r="N1135" i="2"/>
  <c r="M1135" i="2"/>
  <c r="O1134" i="2"/>
  <c r="N1134" i="2"/>
  <c r="M1134" i="2"/>
  <c r="O1133" i="2"/>
  <c r="N1133" i="2"/>
  <c r="M1133" i="2"/>
  <c r="O1132" i="2"/>
  <c r="N1132" i="2"/>
  <c r="M1132" i="2"/>
  <c r="O1131" i="2"/>
  <c r="N1131" i="2"/>
  <c r="M1131" i="2"/>
  <c r="O1130" i="2"/>
  <c r="N1130" i="2"/>
  <c r="M1130" i="2"/>
  <c r="O1129" i="2"/>
  <c r="N1129" i="2"/>
  <c r="M1129" i="2"/>
  <c r="O1128" i="2"/>
  <c r="N1128" i="2"/>
  <c r="M1128" i="2"/>
  <c r="O1127" i="2"/>
  <c r="N1127" i="2"/>
  <c r="M1127" i="2"/>
  <c r="O1126" i="2"/>
  <c r="N1126" i="2"/>
  <c r="M1126" i="2"/>
  <c r="O1125" i="2"/>
  <c r="N1125" i="2"/>
  <c r="M1125" i="2"/>
  <c r="O1124" i="2"/>
  <c r="N1124" i="2"/>
  <c r="M1124" i="2"/>
  <c r="O1123" i="2"/>
  <c r="N1123" i="2"/>
  <c r="M1123" i="2"/>
  <c r="O1122" i="2"/>
  <c r="N1122" i="2"/>
  <c r="M1122" i="2"/>
  <c r="O1121" i="2"/>
  <c r="N1121" i="2"/>
  <c r="M1121" i="2"/>
  <c r="O1120" i="2"/>
  <c r="N1120" i="2"/>
  <c r="M1120" i="2"/>
  <c r="O1119" i="2"/>
  <c r="N1119" i="2"/>
  <c r="M1119" i="2"/>
  <c r="O1118" i="2"/>
  <c r="N1118" i="2"/>
  <c r="M1118" i="2"/>
  <c r="O1117" i="2"/>
  <c r="N1117" i="2"/>
  <c r="M1117" i="2"/>
  <c r="O1116" i="2"/>
  <c r="N1116" i="2"/>
  <c r="M1116" i="2"/>
  <c r="O1115" i="2"/>
  <c r="N1115" i="2"/>
  <c r="M1115" i="2"/>
  <c r="O1114" i="2"/>
  <c r="N1114" i="2"/>
  <c r="M1114" i="2"/>
  <c r="O1113" i="2"/>
  <c r="N1113" i="2"/>
  <c r="M1113" i="2"/>
  <c r="O1112" i="2"/>
  <c r="N1112" i="2"/>
  <c r="M1112" i="2"/>
  <c r="O1111" i="2"/>
  <c r="N1111" i="2"/>
  <c r="M1111" i="2"/>
  <c r="O1110" i="2"/>
  <c r="N1110" i="2"/>
  <c r="M1110" i="2"/>
  <c r="O1109" i="2"/>
  <c r="N1109" i="2"/>
  <c r="M1109" i="2"/>
  <c r="O1108" i="2"/>
  <c r="N1108" i="2"/>
  <c r="M1108" i="2"/>
  <c r="O1107" i="2"/>
  <c r="N1107" i="2"/>
  <c r="M1107" i="2"/>
  <c r="O1106" i="2"/>
  <c r="N1106" i="2"/>
  <c r="M1106" i="2"/>
  <c r="O1105" i="2"/>
  <c r="N1105" i="2"/>
  <c r="M1105" i="2"/>
  <c r="O1104" i="2"/>
  <c r="N1104" i="2"/>
  <c r="M1104" i="2"/>
  <c r="O1103" i="2"/>
  <c r="N1103" i="2"/>
  <c r="M1103" i="2"/>
  <c r="O1102" i="2"/>
  <c r="N1102" i="2"/>
  <c r="M1102" i="2"/>
  <c r="O1101" i="2"/>
  <c r="N1101" i="2"/>
  <c r="M1101" i="2"/>
  <c r="O1100" i="2"/>
  <c r="N1100" i="2"/>
  <c r="M1100" i="2"/>
  <c r="O1099" i="2"/>
  <c r="N1099" i="2"/>
  <c r="M1099" i="2"/>
  <c r="O1098" i="2"/>
  <c r="N1098" i="2"/>
  <c r="M1098" i="2"/>
  <c r="O1097" i="2"/>
  <c r="N1097" i="2"/>
  <c r="M1097" i="2"/>
  <c r="O1096" i="2"/>
  <c r="N1096" i="2"/>
  <c r="M1096" i="2"/>
  <c r="O1095" i="2"/>
  <c r="N1095" i="2"/>
  <c r="M1095" i="2"/>
  <c r="O1094" i="2"/>
  <c r="N1094" i="2"/>
  <c r="M1094" i="2"/>
  <c r="O1093" i="2"/>
  <c r="N1093" i="2"/>
  <c r="M1093" i="2"/>
  <c r="O1092" i="2"/>
  <c r="N1092" i="2"/>
  <c r="M1092" i="2"/>
  <c r="O1091" i="2"/>
  <c r="N1091" i="2"/>
  <c r="M1091" i="2"/>
  <c r="O1090" i="2"/>
  <c r="N1090" i="2"/>
  <c r="M1090" i="2"/>
  <c r="O1089" i="2"/>
  <c r="N1089" i="2"/>
  <c r="M1089" i="2"/>
  <c r="O1088" i="2"/>
  <c r="N1088" i="2"/>
  <c r="M1088" i="2"/>
  <c r="O1087" i="2"/>
  <c r="N1087" i="2"/>
  <c r="M1087" i="2"/>
  <c r="O1086" i="2"/>
  <c r="N1086" i="2"/>
  <c r="M1086" i="2"/>
  <c r="O1085" i="2"/>
  <c r="N1085" i="2"/>
  <c r="M1085" i="2"/>
  <c r="O1084" i="2"/>
  <c r="N1084" i="2"/>
  <c r="M1084" i="2"/>
  <c r="O1083" i="2"/>
  <c r="N1083" i="2"/>
  <c r="M1083" i="2"/>
  <c r="O1082" i="2"/>
  <c r="N1082" i="2"/>
  <c r="M1082" i="2"/>
  <c r="O1081" i="2"/>
  <c r="N1081" i="2"/>
  <c r="M1081" i="2"/>
  <c r="O1080" i="2"/>
  <c r="N1080" i="2"/>
  <c r="M1080" i="2"/>
  <c r="O1079" i="2"/>
  <c r="N1079" i="2"/>
  <c r="M1079" i="2"/>
  <c r="O1078" i="2"/>
  <c r="N1078" i="2"/>
  <c r="M1078" i="2"/>
  <c r="O1077" i="2"/>
  <c r="N1077" i="2"/>
  <c r="M1077" i="2"/>
  <c r="O1076" i="2"/>
  <c r="N1076" i="2"/>
  <c r="M1076" i="2"/>
  <c r="O1075" i="2"/>
  <c r="N1075" i="2"/>
  <c r="M1075" i="2"/>
  <c r="O1074" i="2"/>
  <c r="N1074" i="2"/>
  <c r="M1074" i="2"/>
  <c r="O1073" i="2"/>
  <c r="N1073" i="2"/>
  <c r="M1073" i="2"/>
  <c r="O1072" i="2"/>
  <c r="N1072" i="2"/>
  <c r="M1072" i="2"/>
  <c r="O1071" i="2"/>
  <c r="N1071" i="2"/>
  <c r="M1071" i="2"/>
  <c r="O1070" i="2"/>
  <c r="N1070" i="2"/>
  <c r="M1070" i="2"/>
  <c r="O1069" i="2"/>
  <c r="N1069" i="2"/>
  <c r="M1069" i="2"/>
  <c r="O1068" i="2"/>
  <c r="N1068" i="2"/>
  <c r="M1068" i="2"/>
  <c r="O1067" i="2"/>
  <c r="N1067" i="2"/>
  <c r="M1067" i="2"/>
  <c r="O1066" i="2"/>
  <c r="N1066" i="2"/>
  <c r="M1066" i="2"/>
  <c r="O1065" i="2"/>
  <c r="N1065" i="2"/>
  <c r="M1065" i="2"/>
  <c r="O1064" i="2"/>
  <c r="N1064" i="2"/>
  <c r="M1064" i="2"/>
  <c r="O1063" i="2"/>
  <c r="N1063" i="2"/>
  <c r="M1063" i="2"/>
  <c r="O1062" i="2"/>
  <c r="N1062" i="2"/>
  <c r="M1062" i="2"/>
  <c r="O1061" i="2"/>
  <c r="N1061" i="2"/>
  <c r="M1061" i="2"/>
  <c r="O1060" i="2"/>
  <c r="N1060" i="2"/>
  <c r="M1060" i="2"/>
  <c r="O1059" i="2"/>
  <c r="N1059" i="2"/>
  <c r="M1059" i="2"/>
  <c r="O1058" i="2"/>
  <c r="N1058" i="2"/>
  <c r="M1058" i="2"/>
  <c r="O1057" i="2"/>
  <c r="N1057" i="2"/>
  <c r="M1057" i="2"/>
  <c r="O1056" i="2"/>
  <c r="N1056" i="2"/>
  <c r="M1056" i="2"/>
  <c r="O1055" i="2"/>
  <c r="N1055" i="2"/>
  <c r="M1055" i="2"/>
  <c r="O1054" i="2"/>
  <c r="N1054" i="2"/>
  <c r="M1054" i="2"/>
  <c r="O1053" i="2"/>
  <c r="N1053" i="2"/>
  <c r="M1053" i="2"/>
  <c r="O1052" i="2"/>
  <c r="N1052" i="2"/>
  <c r="M1052" i="2"/>
  <c r="O1051" i="2"/>
  <c r="N1051" i="2"/>
  <c r="M1051" i="2"/>
  <c r="O1050" i="2"/>
  <c r="N1050" i="2"/>
  <c r="M1050" i="2"/>
  <c r="O1049" i="2"/>
  <c r="N1049" i="2"/>
  <c r="M1049" i="2"/>
  <c r="O1048" i="2"/>
  <c r="N1048" i="2"/>
  <c r="M1048" i="2"/>
  <c r="O1047" i="2"/>
  <c r="N1047" i="2"/>
  <c r="M1047" i="2"/>
  <c r="O1046" i="2"/>
  <c r="N1046" i="2"/>
  <c r="M1046" i="2"/>
  <c r="O1045" i="2"/>
  <c r="N1045" i="2"/>
  <c r="M1045" i="2"/>
  <c r="O1044" i="2"/>
  <c r="N1044" i="2"/>
  <c r="M1044" i="2"/>
  <c r="O1043" i="2"/>
  <c r="N1043" i="2"/>
  <c r="M1043" i="2"/>
  <c r="O1042" i="2"/>
  <c r="N1042" i="2"/>
  <c r="M1042" i="2"/>
  <c r="O1041" i="2"/>
  <c r="N1041" i="2"/>
  <c r="M1041" i="2"/>
  <c r="O1040" i="2"/>
  <c r="N1040" i="2"/>
  <c r="M1040" i="2"/>
  <c r="O1039" i="2"/>
  <c r="N1039" i="2"/>
  <c r="M1039" i="2"/>
  <c r="O1038" i="2"/>
  <c r="N1038" i="2"/>
  <c r="M1038" i="2"/>
  <c r="O1037" i="2"/>
  <c r="N1037" i="2"/>
  <c r="M1037" i="2"/>
  <c r="O1036" i="2"/>
  <c r="N1036" i="2"/>
  <c r="M1036" i="2"/>
  <c r="O1035" i="2"/>
  <c r="N1035" i="2"/>
  <c r="M1035" i="2"/>
  <c r="O1034" i="2"/>
  <c r="N1034" i="2"/>
  <c r="M1034" i="2"/>
  <c r="O1033" i="2"/>
  <c r="N1033" i="2"/>
  <c r="M1033" i="2"/>
  <c r="O1032" i="2"/>
  <c r="N1032" i="2"/>
  <c r="M1032" i="2"/>
  <c r="O1031" i="2"/>
  <c r="N1031" i="2"/>
  <c r="M1031" i="2"/>
  <c r="O1030" i="2"/>
  <c r="N1030" i="2"/>
  <c r="M1030" i="2"/>
  <c r="O1029" i="2"/>
  <c r="N1029" i="2"/>
  <c r="M1029" i="2"/>
  <c r="O1028" i="2"/>
  <c r="N1028" i="2"/>
  <c r="M1028" i="2"/>
  <c r="O1027" i="2"/>
  <c r="N1027" i="2"/>
  <c r="M1027" i="2"/>
  <c r="O1026" i="2"/>
  <c r="N1026" i="2"/>
  <c r="M1026" i="2"/>
  <c r="O1025" i="2"/>
  <c r="N1025" i="2"/>
  <c r="M1025" i="2"/>
  <c r="O1024" i="2"/>
  <c r="N1024" i="2"/>
  <c r="M1024" i="2"/>
  <c r="O1023" i="2"/>
  <c r="N1023" i="2"/>
  <c r="M1023" i="2"/>
  <c r="O1022" i="2"/>
  <c r="N1022" i="2"/>
  <c r="M1022" i="2"/>
  <c r="O1021" i="2"/>
  <c r="N1021" i="2"/>
  <c r="M1021" i="2"/>
  <c r="O1020" i="2"/>
  <c r="N1020" i="2"/>
  <c r="M1020" i="2"/>
  <c r="O1019" i="2"/>
  <c r="N1019" i="2"/>
  <c r="M1019" i="2"/>
  <c r="O1018" i="2"/>
  <c r="N1018" i="2"/>
  <c r="M1018" i="2"/>
  <c r="O1017" i="2"/>
  <c r="N1017" i="2"/>
  <c r="M1017" i="2"/>
  <c r="O1016" i="2"/>
  <c r="N1016" i="2"/>
  <c r="M1016" i="2"/>
  <c r="O1015" i="2"/>
  <c r="N1015" i="2"/>
  <c r="M1015" i="2"/>
  <c r="O1014" i="2"/>
  <c r="N1014" i="2"/>
  <c r="M1014" i="2"/>
  <c r="O1013" i="2"/>
  <c r="N1013" i="2"/>
  <c r="M1013" i="2"/>
  <c r="O1012" i="2"/>
  <c r="N1012" i="2"/>
  <c r="M1012" i="2"/>
  <c r="O1011" i="2"/>
  <c r="N1011" i="2"/>
  <c r="M1011" i="2"/>
  <c r="O1010" i="2"/>
  <c r="N1010" i="2"/>
  <c r="M1010" i="2"/>
  <c r="O1009" i="2"/>
  <c r="N1009" i="2"/>
  <c r="M1009" i="2"/>
  <c r="O1008" i="2"/>
  <c r="N1008" i="2"/>
  <c r="M1008" i="2"/>
  <c r="O1007" i="2"/>
  <c r="N1007" i="2"/>
  <c r="M1007" i="2"/>
  <c r="O1006" i="2"/>
  <c r="N1006" i="2"/>
  <c r="M1006" i="2"/>
  <c r="O1005" i="2"/>
  <c r="N1005" i="2"/>
  <c r="M1005" i="2"/>
  <c r="O1004" i="2"/>
  <c r="N1004" i="2"/>
  <c r="M1004" i="2"/>
  <c r="O1003" i="2"/>
  <c r="N1003" i="2"/>
  <c r="M1003" i="2"/>
  <c r="O1002" i="2"/>
  <c r="N1002" i="2"/>
  <c r="M1002" i="2"/>
  <c r="O1001" i="2"/>
  <c r="N1001" i="2"/>
  <c r="M1001" i="2"/>
  <c r="O1000" i="2"/>
  <c r="N1000" i="2"/>
  <c r="M1000" i="2"/>
  <c r="O999" i="2"/>
  <c r="N999" i="2"/>
  <c r="M999" i="2"/>
  <c r="O998" i="2"/>
  <c r="N998" i="2"/>
  <c r="M998" i="2"/>
  <c r="O997" i="2"/>
  <c r="N997" i="2"/>
  <c r="M997" i="2"/>
  <c r="O996" i="2"/>
  <c r="N996" i="2"/>
  <c r="M996" i="2"/>
  <c r="O995" i="2"/>
  <c r="N995" i="2"/>
  <c r="M995" i="2"/>
  <c r="O994" i="2"/>
  <c r="N994" i="2"/>
  <c r="M994" i="2"/>
  <c r="O993" i="2"/>
  <c r="N993" i="2"/>
  <c r="M993" i="2"/>
  <c r="O992" i="2"/>
  <c r="N992" i="2"/>
  <c r="M992" i="2"/>
  <c r="O991" i="2"/>
  <c r="N991" i="2"/>
  <c r="M991" i="2"/>
  <c r="O990" i="2"/>
  <c r="N990" i="2"/>
  <c r="M990" i="2"/>
  <c r="O989" i="2"/>
  <c r="N989" i="2"/>
  <c r="M989" i="2"/>
  <c r="O988" i="2"/>
  <c r="N988" i="2"/>
  <c r="M988" i="2"/>
  <c r="O987" i="2"/>
  <c r="N987" i="2"/>
  <c r="M987" i="2"/>
  <c r="O986" i="2"/>
  <c r="N986" i="2"/>
  <c r="M986" i="2"/>
  <c r="O985" i="2"/>
  <c r="N985" i="2"/>
  <c r="M985" i="2"/>
  <c r="O984" i="2"/>
  <c r="N984" i="2"/>
  <c r="M984" i="2"/>
  <c r="O983" i="2"/>
  <c r="N983" i="2"/>
  <c r="M983" i="2"/>
  <c r="O982" i="2"/>
  <c r="N982" i="2"/>
  <c r="M982" i="2"/>
  <c r="O981" i="2"/>
  <c r="N981" i="2"/>
  <c r="M981" i="2"/>
  <c r="O980" i="2"/>
  <c r="N980" i="2"/>
  <c r="M980" i="2"/>
  <c r="O979" i="2"/>
  <c r="N979" i="2"/>
  <c r="M979" i="2"/>
  <c r="O978" i="2"/>
  <c r="N978" i="2"/>
  <c r="M978" i="2"/>
  <c r="O977" i="2"/>
  <c r="N977" i="2"/>
  <c r="M977" i="2"/>
  <c r="O976" i="2"/>
  <c r="N976" i="2"/>
  <c r="M976" i="2"/>
  <c r="O975" i="2"/>
  <c r="N975" i="2"/>
  <c r="M975" i="2"/>
  <c r="O974" i="2"/>
  <c r="N974" i="2"/>
  <c r="M974" i="2"/>
  <c r="O973" i="2"/>
  <c r="N973" i="2"/>
  <c r="M973" i="2"/>
  <c r="O972" i="2"/>
  <c r="N972" i="2"/>
  <c r="M972" i="2"/>
  <c r="O971" i="2"/>
  <c r="N971" i="2"/>
  <c r="M971" i="2"/>
  <c r="O970" i="2"/>
  <c r="N970" i="2"/>
  <c r="M970" i="2"/>
  <c r="O969" i="2"/>
  <c r="N969" i="2"/>
  <c r="M969" i="2"/>
  <c r="O968" i="2"/>
  <c r="N968" i="2"/>
  <c r="M968" i="2"/>
  <c r="O967" i="2"/>
  <c r="N967" i="2"/>
  <c r="M967" i="2"/>
  <c r="O966" i="2"/>
  <c r="N966" i="2"/>
  <c r="M966" i="2"/>
  <c r="O965" i="2"/>
  <c r="N965" i="2"/>
  <c r="M965" i="2"/>
  <c r="O964" i="2"/>
  <c r="N964" i="2"/>
  <c r="M964" i="2"/>
  <c r="O963" i="2"/>
  <c r="N963" i="2"/>
  <c r="M963" i="2"/>
  <c r="O962" i="2"/>
  <c r="N962" i="2"/>
  <c r="M962" i="2"/>
  <c r="O961" i="2"/>
  <c r="N961" i="2"/>
  <c r="M961" i="2"/>
  <c r="O960" i="2"/>
  <c r="N960" i="2"/>
  <c r="M960" i="2"/>
  <c r="O959" i="2"/>
  <c r="N959" i="2"/>
  <c r="M959" i="2"/>
  <c r="O958" i="2"/>
  <c r="N958" i="2"/>
  <c r="M958" i="2"/>
  <c r="O957" i="2"/>
  <c r="N957" i="2"/>
  <c r="M957" i="2"/>
  <c r="O956" i="2"/>
  <c r="N956" i="2"/>
  <c r="M956" i="2"/>
  <c r="O955" i="2"/>
  <c r="N955" i="2"/>
  <c r="M955" i="2"/>
  <c r="O954" i="2"/>
  <c r="N954" i="2"/>
  <c r="M954" i="2"/>
  <c r="O953" i="2"/>
  <c r="N953" i="2"/>
  <c r="M953" i="2"/>
  <c r="O952" i="2"/>
  <c r="N952" i="2"/>
  <c r="M952" i="2"/>
  <c r="O951" i="2"/>
  <c r="N951" i="2"/>
  <c r="M951" i="2"/>
  <c r="O950" i="2"/>
  <c r="N950" i="2"/>
  <c r="M950" i="2"/>
  <c r="O949" i="2"/>
  <c r="N949" i="2"/>
  <c r="M949" i="2"/>
  <c r="O948" i="2"/>
  <c r="N948" i="2"/>
  <c r="M948" i="2"/>
  <c r="O947" i="2"/>
  <c r="N947" i="2"/>
  <c r="M947" i="2"/>
  <c r="O946" i="2"/>
  <c r="N946" i="2"/>
  <c r="M946" i="2"/>
  <c r="O945" i="2"/>
  <c r="N945" i="2"/>
  <c r="M945" i="2"/>
  <c r="O944" i="2"/>
  <c r="N944" i="2"/>
  <c r="M944" i="2"/>
  <c r="O943" i="2"/>
  <c r="N943" i="2"/>
  <c r="M943" i="2"/>
  <c r="O942" i="2"/>
  <c r="N942" i="2"/>
  <c r="M942" i="2"/>
  <c r="O941" i="2"/>
  <c r="N941" i="2"/>
  <c r="M941" i="2"/>
  <c r="O940" i="2"/>
  <c r="N940" i="2"/>
  <c r="M940" i="2"/>
  <c r="O939" i="2"/>
  <c r="N939" i="2"/>
  <c r="M939" i="2"/>
  <c r="O938" i="2"/>
  <c r="N938" i="2"/>
  <c r="M938" i="2"/>
  <c r="O937" i="2"/>
  <c r="N937" i="2"/>
  <c r="M937" i="2"/>
  <c r="O936" i="2"/>
  <c r="N936" i="2"/>
  <c r="M936" i="2"/>
  <c r="O935" i="2"/>
  <c r="N935" i="2"/>
  <c r="M935" i="2"/>
  <c r="O934" i="2"/>
  <c r="N934" i="2"/>
  <c r="M934" i="2"/>
  <c r="O933" i="2"/>
  <c r="N933" i="2"/>
  <c r="M933" i="2"/>
  <c r="O932" i="2"/>
  <c r="N932" i="2"/>
  <c r="M932" i="2"/>
  <c r="O931" i="2"/>
  <c r="N931" i="2"/>
  <c r="M931" i="2"/>
  <c r="O930" i="2"/>
  <c r="N930" i="2"/>
  <c r="M930" i="2"/>
  <c r="O929" i="2"/>
  <c r="N929" i="2"/>
  <c r="M929" i="2"/>
  <c r="O928" i="2"/>
  <c r="N928" i="2"/>
  <c r="M928" i="2"/>
  <c r="O927" i="2"/>
  <c r="N927" i="2"/>
  <c r="M927" i="2"/>
  <c r="O926" i="2"/>
  <c r="N926" i="2"/>
  <c r="M926" i="2"/>
  <c r="O925" i="2"/>
  <c r="N925" i="2"/>
  <c r="M925" i="2"/>
  <c r="O924" i="2"/>
  <c r="N924" i="2"/>
  <c r="M924" i="2"/>
  <c r="O923" i="2"/>
  <c r="N923" i="2"/>
  <c r="M923" i="2"/>
  <c r="O922" i="2"/>
  <c r="N922" i="2"/>
  <c r="M922" i="2"/>
  <c r="O921" i="2"/>
  <c r="N921" i="2"/>
  <c r="M921" i="2"/>
  <c r="O920" i="2"/>
  <c r="N920" i="2"/>
  <c r="M920" i="2"/>
  <c r="O919" i="2"/>
  <c r="N919" i="2"/>
  <c r="M919" i="2"/>
  <c r="O918" i="2"/>
  <c r="N918" i="2"/>
  <c r="M918" i="2"/>
  <c r="O917" i="2"/>
  <c r="N917" i="2"/>
  <c r="M917" i="2"/>
  <c r="O916" i="2"/>
  <c r="N916" i="2"/>
  <c r="M916" i="2"/>
  <c r="O915" i="2"/>
  <c r="N915" i="2"/>
  <c r="M915" i="2"/>
  <c r="O914" i="2"/>
  <c r="N914" i="2"/>
  <c r="M914" i="2"/>
  <c r="O913" i="2"/>
  <c r="N913" i="2"/>
  <c r="M913" i="2"/>
  <c r="O912" i="2"/>
  <c r="N912" i="2"/>
  <c r="M912" i="2"/>
  <c r="O911" i="2"/>
  <c r="N911" i="2"/>
  <c r="M911" i="2"/>
  <c r="O910" i="2"/>
  <c r="N910" i="2"/>
  <c r="M910" i="2"/>
  <c r="O909" i="2"/>
  <c r="N909" i="2"/>
  <c r="M909" i="2"/>
  <c r="O908" i="2"/>
  <c r="N908" i="2"/>
  <c r="M908" i="2"/>
  <c r="O907" i="2"/>
  <c r="N907" i="2"/>
  <c r="M907" i="2"/>
  <c r="O906" i="2"/>
  <c r="N906" i="2"/>
  <c r="M906" i="2"/>
  <c r="O905" i="2"/>
  <c r="N905" i="2"/>
  <c r="M905" i="2"/>
  <c r="O904" i="2"/>
  <c r="N904" i="2"/>
  <c r="M904" i="2"/>
  <c r="O903" i="2"/>
  <c r="N903" i="2"/>
  <c r="M903" i="2"/>
  <c r="O902" i="2"/>
  <c r="N902" i="2"/>
  <c r="M902" i="2"/>
  <c r="O901" i="2"/>
  <c r="N901" i="2"/>
  <c r="M901" i="2"/>
  <c r="O900" i="2"/>
  <c r="N900" i="2"/>
  <c r="M900" i="2"/>
  <c r="O899" i="2"/>
  <c r="N899" i="2"/>
  <c r="M899" i="2"/>
  <c r="O898" i="2"/>
  <c r="N898" i="2"/>
  <c r="M898" i="2"/>
  <c r="O897" i="2"/>
  <c r="N897" i="2"/>
  <c r="M897" i="2"/>
  <c r="O896" i="2"/>
  <c r="N896" i="2"/>
  <c r="M896" i="2"/>
  <c r="O895" i="2"/>
  <c r="N895" i="2"/>
  <c r="M895" i="2"/>
  <c r="O894" i="2"/>
  <c r="N894" i="2"/>
  <c r="M894" i="2"/>
  <c r="O893" i="2"/>
  <c r="N893" i="2"/>
  <c r="M893" i="2"/>
  <c r="O892" i="2"/>
  <c r="N892" i="2"/>
  <c r="M892" i="2"/>
  <c r="O891" i="2"/>
  <c r="N891" i="2"/>
  <c r="M891" i="2"/>
  <c r="O890" i="2"/>
  <c r="N890" i="2"/>
  <c r="M890" i="2"/>
  <c r="O889" i="2"/>
  <c r="N889" i="2"/>
  <c r="M889" i="2"/>
  <c r="O888" i="2"/>
  <c r="N888" i="2"/>
  <c r="M888" i="2"/>
  <c r="O887" i="2"/>
  <c r="N887" i="2"/>
  <c r="M887" i="2"/>
  <c r="O886" i="2"/>
  <c r="N886" i="2"/>
  <c r="M886" i="2"/>
  <c r="O885" i="2"/>
  <c r="N885" i="2"/>
  <c r="M885" i="2"/>
  <c r="O884" i="2"/>
  <c r="N884" i="2"/>
  <c r="M884" i="2"/>
  <c r="O883" i="2"/>
  <c r="N883" i="2"/>
  <c r="M883" i="2"/>
  <c r="O882" i="2"/>
  <c r="N882" i="2"/>
  <c r="M882" i="2"/>
  <c r="O881" i="2"/>
  <c r="N881" i="2"/>
  <c r="M881" i="2"/>
  <c r="O880" i="2"/>
  <c r="N880" i="2"/>
  <c r="M880" i="2"/>
  <c r="O879" i="2"/>
  <c r="N879" i="2"/>
  <c r="M879" i="2"/>
  <c r="O878" i="2"/>
  <c r="N878" i="2"/>
  <c r="M878" i="2"/>
  <c r="O877" i="2"/>
  <c r="N877" i="2"/>
  <c r="M877" i="2"/>
  <c r="O876" i="2"/>
  <c r="N876" i="2"/>
  <c r="M876" i="2"/>
  <c r="O875" i="2"/>
  <c r="N875" i="2"/>
  <c r="M875" i="2"/>
  <c r="O874" i="2"/>
  <c r="N874" i="2"/>
  <c r="M874" i="2"/>
  <c r="O873" i="2"/>
  <c r="N873" i="2"/>
  <c r="M873" i="2"/>
  <c r="O872" i="2"/>
  <c r="N872" i="2"/>
  <c r="M872" i="2"/>
  <c r="O871" i="2"/>
  <c r="N871" i="2"/>
  <c r="M871" i="2"/>
  <c r="O870" i="2"/>
  <c r="N870" i="2"/>
  <c r="M870" i="2"/>
  <c r="O869" i="2"/>
  <c r="N869" i="2"/>
  <c r="M869" i="2"/>
  <c r="O868" i="2"/>
  <c r="N868" i="2"/>
  <c r="M868" i="2"/>
  <c r="O867" i="2"/>
  <c r="N867" i="2"/>
  <c r="M867" i="2"/>
  <c r="O866" i="2"/>
  <c r="N866" i="2"/>
  <c r="M866" i="2"/>
  <c r="O865" i="2"/>
  <c r="N865" i="2"/>
  <c r="M865" i="2"/>
  <c r="O864" i="2"/>
  <c r="N864" i="2"/>
  <c r="M864" i="2"/>
  <c r="O863" i="2"/>
  <c r="N863" i="2"/>
  <c r="M863" i="2"/>
  <c r="O862" i="2"/>
  <c r="N862" i="2"/>
  <c r="M862" i="2"/>
  <c r="O861" i="2"/>
  <c r="N861" i="2"/>
  <c r="M861" i="2"/>
  <c r="O860" i="2"/>
  <c r="N860" i="2"/>
  <c r="M860" i="2"/>
  <c r="O859" i="2"/>
  <c r="N859" i="2"/>
  <c r="M859" i="2"/>
  <c r="O858" i="2"/>
  <c r="N858" i="2"/>
  <c r="M858" i="2"/>
  <c r="O857" i="2"/>
  <c r="N857" i="2"/>
  <c r="M857" i="2"/>
  <c r="O856" i="2"/>
  <c r="N856" i="2"/>
  <c r="M856" i="2"/>
  <c r="O855" i="2"/>
  <c r="N855" i="2"/>
  <c r="M855" i="2"/>
  <c r="O854" i="2"/>
  <c r="N854" i="2"/>
  <c r="M854" i="2"/>
  <c r="O853" i="2"/>
  <c r="N853" i="2"/>
  <c r="M853" i="2"/>
  <c r="O852" i="2"/>
  <c r="N852" i="2"/>
  <c r="M852" i="2"/>
  <c r="O851" i="2"/>
  <c r="N851" i="2"/>
  <c r="M851" i="2"/>
  <c r="O850" i="2"/>
  <c r="N850" i="2"/>
  <c r="M850" i="2"/>
  <c r="O849" i="2"/>
  <c r="N849" i="2"/>
  <c r="M849" i="2"/>
  <c r="O848" i="2"/>
  <c r="N848" i="2"/>
  <c r="M848" i="2"/>
  <c r="O847" i="2"/>
  <c r="N847" i="2"/>
  <c r="M847" i="2"/>
  <c r="O846" i="2"/>
  <c r="N846" i="2"/>
  <c r="M846" i="2"/>
  <c r="O845" i="2"/>
  <c r="N845" i="2"/>
  <c r="M845" i="2"/>
  <c r="O844" i="2"/>
  <c r="N844" i="2"/>
  <c r="M844" i="2"/>
  <c r="O843" i="2"/>
  <c r="N843" i="2"/>
  <c r="M843" i="2"/>
  <c r="O842" i="2"/>
  <c r="N842" i="2"/>
  <c r="M842" i="2"/>
  <c r="O841" i="2"/>
  <c r="N841" i="2"/>
  <c r="M841" i="2"/>
  <c r="O840" i="2"/>
  <c r="N840" i="2"/>
  <c r="M840" i="2"/>
  <c r="O839" i="2"/>
  <c r="N839" i="2"/>
  <c r="M839" i="2"/>
  <c r="O838" i="2"/>
  <c r="N838" i="2"/>
  <c r="M838" i="2"/>
  <c r="O837" i="2"/>
  <c r="N837" i="2"/>
  <c r="M837" i="2"/>
  <c r="O836" i="2"/>
  <c r="N836" i="2"/>
  <c r="M836" i="2"/>
  <c r="O835" i="2"/>
  <c r="N835" i="2"/>
  <c r="M835" i="2"/>
  <c r="O834" i="2"/>
  <c r="N834" i="2"/>
  <c r="M834" i="2"/>
  <c r="O833" i="2"/>
  <c r="N833" i="2"/>
  <c r="M833" i="2"/>
  <c r="O832" i="2"/>
  <c r="N832" i="2"/>
  <c r="M832" i="2"/>
  <c r="O831" i="2"/>
  <c r="N831" i="2"/>
  <c r="M831" i="2"/>
  <c r="O830" i="2"/>
  <c r="N830" i="2"/>
  <c r="M830" i="2"/>
  <c r="O829" i="2"/>
  <c r="N829" i="2"/>
  <c r="M829" i="2"/>
  <c r="O828" i="2"/>
  <c r="N828" i="2"/>
  <c r="M828" i="2"/>
  <c r="O827" i="2"/>
  <c r="N827" i="2"/>
  <c r="M827" i="2"/>
  <c r="O826" i="2"/>
  <c r="N826" i="2"/>
  <c r="M826" i="2"/>
  <c r="O825" i="2"/>
  <c r="N825" i="2"/>
  <c r="M825" i="2"/>
  <c r="O824" i="2"/>
  <c r="N824" i="2"/>
  <c r="M824" i="2"/>
  <c r="O823" i="2"/>
  <c r="N823" i="2"/>
  <c r="M823" i="2"/>
  <c r="O822" i="2"/>
  <c r="N822" i="2"/>
  <c r="M822" i="2"/>
  <c r="O821" i="2"/>
  <c r="N821" i="2"/>
  <c r="M821" i="2"/>
  <c r="O820" i="2"/>
  <c r="N820" i="2"/>
  <c r="M820" i="2"/>
  <c r="O819" i="2"/>
  <c r="N819" i="2"/>
  <c r="M819" i="2"/>
  <c r="O818" i="2"/>
  <c r="N818" i="2"/>
  <c r="M818" i="2"/>
  <c r="O817" i="2"/>
  <c r="N817" i="2"/>
  <c r="M817" i="2"/>
  <c r="O816" i="2"/>
  <c r="N816" i="2"/>
  <c r="M816" i="2"/>
  <c r="O815" i="2"/>
  <c r="N815" i="2"/>
  <c r="M815" i="2"/>
  <c r="O814" i="2"/>
  <c r="N814" i="2"/>
  <c r="M814" i="2"/>
  <c r="O813" i="2"/>
  <c r="N813" i="2"/>
  <c r="M813" i="2"/>
  <c r="O812" i="2"/>
  <c r="N812" i="2"/>
  <c r="M812" i="2"/>
  <c r="O811" i="2"/>
  <c r="N811" i="2"/>
  <c r="M811" i="2"/>
  <c r="O810" i="2"/>
  <c r="N810" i="2"/>
  <c r="M810" i="2"/>
  <c r="O809" i="2"/>
  <c r="N809" i="2"/>
  <c r="M809" i="2"/>
  <c r="O808" i="2"/>
  <c r="N808" i="2"/>
  <c r="M808" i="2"/>
  <c r="O807" i="2"/>
  <c r="N807" i="2"/>
  <c r="M807" i="2"/>
  <c r="O806" i="2"/>
  <c r="N806" i="2"/>
  <c r="M806" i="2"/>
  <c r="O805" i="2"/>
  <c r="N805" i="2"/>
  <c r="M805" i="2"/>
  <c r="O804" i="2"/>
  <c r="N804" i="2"/>
  <c r="M804" i="2"/>
  <c r="O803" i="2"/>
  <c r="N803" i="2"/>
  <c r="M803" i="2"/>
  <c r="O802" i="2"/>
  <c r="N802" i="2"/>
  <c r="M802" i="2"/>
  <c r="O801" i="2"/>
  <c r="N801" i="2"/>
  <c r="M801" i="2"/>
  <c r="O800" i="2"/>
  <c r="N800" i="2"/>
  <c r="M800" i="2"/>
  <c r="O799" i="2"/>
  <c r="N799" i="2"/>
  <c r="M799" i="2"/>
  <c r="O798" i="2"/>
  <c r="N798" i="2"/>
  <c r="M798" i="2"/>
  <c r="O797" i="2"/>
  <c r="N797" i="2"/>
  <c r="M797" i="2"/>
  <c r="O796" i="2"/>
  <c r="N796" i="2"/>
  <c r="M796" i="2"/>
  <c r="O795" i="2"/>
  <c r="N795" i="2"/>
  <c r="M795" i="2"/>
  <c r="O794" i="2"/>
  <c r="N794" i="2"/>
  <c r="M794" i="2"/>
  <c r="O793" i="2"/>
  <c r="N793" i="2"/>
  <c r="M793" i="2"/>
  <c r="O792" i="2"/>
  <c r="N792" i="2"/>
  <c r="M792" i="2"/>
  <c r="O791" i="2"/>
  <c r="N791" i="2"/>
  <c r="M791" i="2"/>
  <c r="O790" i="2"/>
  <c r="N790" i="2"/>
  <c r="M790" i="2"/>
  <c r="O789" i="2"/>
  <c r="N789" i="2"/>
  <c r="M789" i="2"/>
  <c r="O788" i="2"/>
  <c r="N788" i="2"/>
  <c r="M788" i="2"/>
  <c r="O787" i="2"/>
  <c r="N787" i="2"/>
  <c r="M787" i="2"/>
  <c r="O786" i="2"/>
  <c r="N786" i="2"/>
  <c r="M786" i="2"/>
  <c r="O785" i="2"/>
  <c r="N785" i="2"/>
  <c r="M785" i="2"/>
  <c r="O784" i="2"/>
  <c r="N784" i="2"/>
  <c r="M784" i="2"/>
  <c r="O783" i="2"/>
  <c r="N783" i="2"/>
  <c r="M783" i="2"/>
  <c r="O782" i="2"/>
  <c r="N782" i="2"/>
  <c r="M782" i="2"/>
  <c r="O781" i="2"/>
  <c r="N781" i="2"/>
  <c r="M781" i="2"/>
  <c r="O780" i="2"/>
  <c r="N780" i="2"/>
  <c r="M780" i="2"/>
  <c r="O779" i="2"/>
  <c r="N779" i="2"/>
  <c r="M779" i="2"/>
  <c r="O778" i="2"/>
  <c r="N778" i="2"/>
  <c r="M778" i="2"/>
  <c r="O777" i="2"/>
  <c r="N777" i="2"/>
  <c r="M777" i="2"/>
  <c r="O776" i="2"/>
  <c r="N776" i="2"/>
  <c r="M776" i="2"/>
  <c r="O775" i="2"/>
  <c r="N775" i="2"/>
  <c r="M775" i="2"/>
  <c r="O774" i="2"/>
  <c r="N774" i="2"/>
  <c r="M774" i="2"/>
  <c r="O773" i="2"/>
  <c r="N773" i="2"/>
  <c r="M773" i="2"/>
  <c r="O772" i="2"/>
  <c r="N772" i="2"/>
  <c r="M772" i="2"/>
  <c r="O771" i="2"/>
  <c r="N771" i="2"/>
  <c r="M771" i="2"/>
  <c r="O770" i="2"/>
  <c r="N770" i="2"/>
  <c r="M770" i="2"/>
  <c r="O769" i="2"/>
  <c r="N769" i="2"/>
  <c r="M769" i="2"/>
  <c r="O768" i="2"/>
  <c r="N768" i="2"/>
  <c r="M768" i="2"/>
  <c r="O767" i="2"/>
  <c r="N767" i="2"/>
  <c r="M767" i="2"/>
  <c r="O766" i="2"/>
  <c r="N766" i="2"/>
  <c r="M766" i="2"/>
  <c r="O765" i="2"/>
  <c r="N765" i="2"/>
  <c r="M765" i="2"/>
  <c r="O764" i="2"/>
  <c r="N764" i="2"/>
  <c r="M764" i="2"/>
  <c r="O763" i="2"/>
  <c r="N763" i="2"/>
  <c r="M763" i="2"/>
  <c r="O762" i="2"/>
  <c r="N762" i="2"/>
  <c r="M762" i="2"/>
  <c r="O761" i="2"/>
  <c r="N761" i="2"/>
  <c r="M761" i="2"/>
  <c r="O760" i="2"/>
  <c r="N760" i="2"/>
  <c r="M760" i="2"/>
  <c r="O759" i="2"/>
  <c r="N759" i="2"/>
  <c r="M759" i="2"/>
  <c r="O758" i="2"/>
  <c r="N758" i="2"/>
  <c r="M758" i="2"/>
  <c r="O757" i="2"/>
  <c r="N757" i="2"/>
  <c r="M757" i="2"/>
  <c r="O756" i="2"/>
  <c r="N756" i="2"/>
  <c r="M756" i="2"/>
  <c r="O755" i="2"/>
  <c r="N755" i="2"/>
  <c r="M755" i="2"/>
  <c r="O754" i="2"/>
  <c r="N754" i="2"/>
  <c r="M754" i="2"/>
  <c r="O753" i="2"/>
  <c r="N753" i="2"/>
  <c r="M753" i="2"/>
  <c r="O752" i="2"/>
  <c r="N752" i="2"/>
  <c r="M752" i="2"/>
  <c r="O751" i="2"/>
  <c r="N751" i="2"/>
  <c r="M751" i="2"/>
  <c r="O750" i="2"/>
  <c r="N750" i="2"/>
  <c r="M750" i="2"/>
  <c r="O749" i="2"/>
  <c r="N749" i="2"/>
  <c r="M749" i="2"/>
  <c r="O748" i="2"/>
  <c r="N748" i="2"/>
  <c r="M748" i="2"/>
  <c r="O747" i="2"/>
  <c r="N747" i="2"/>
  <c r="M747" i="2"/>
  <c r="O746" i="2"/>
  <c r="N746" i="2"/>
  <c r="M746" i="2"/>
  <c r="O745" i="2"/>
  <c r="N745" i="2"/>
  <c r="M745" i="2"/>
  <c r="O744" i="2"/>
  <c r="N744" i="2"/>
  <c r="M744" i="2"/>
  <c r="O743" i="2"/>
  <c r="N743" i="2"/>
  <c r="M743" i="2"/>
  <c r="O742" i="2"/>
  <c r="N742" i="2"/>
  <c r="M742" i="2"/>
  <c r="O741" i="2"/>
  <c r="N741" i="2"/>
  <c r="M741" i="2"/>
  <c r="O740" i="2"/>
  <c r="N740" i="2"/>
  <c r="M740" i="2"/>
  <c r="O739" i="2"/>
  <c r="N739" i="2"/>
  <c r="M739" i="2"/>
  <c r="O738" i="2"/>
  <c r="N738" i="2"/>
  <c r="M738" i="2"/>
  <c r="O737" i="2"/>
  <c r="N737" i="2"/>
  <c r="M737" i="2"/>
  <c r="O736" i="2"/>
  <c r="N736" i="2"/>
  <c r="M736" i="2"/>
  <c r="O735" i="2"/>
  <c r="N735" i="2"/>
  <c r="M735" i="2"/>
  <c r="O734" i="2"/>
  <c r="N734" i="2"/>
  <c r="M734" i="2"/>
  <c r="O733" i="2"/>
  <c r="N733" i="2"/>
  <c r="M733" i="2"/>
  <c r="O732" i="2"/>
  <c r="N732" i="2"/>
  <c r="M732" i="2"/>
  <c r="O731" i="2"/>
  <c r="N731" i="2"/>
  <c r="M731" i="2"/>
  <c r="O730" i="2"/>
  <c r="N730" i="2"/>
  <c r="M730" i="2"/>
  <c r="O729" i="2"/>
  <c r="N729" i="2"/>
  <c r="M729" i="2"/>
  <c r="O728" i="2"/>
  <c r="N728" i="2"/>
  <c r="M728" i="2"/>
  <c r="O727" i="2"/>
  <c r="N727" i="2"/>
  <c r="M727" i="2"/>
  <c r="O726" i="2"/>
  <c r="N726" i="2"/>
  <c r="M726" i="2"/>
  <c r="O725" i="2"/>
  <c r="N725" i="2"/>
  <c r="M725" i="2"/>
  <c r="O724" i="2"/>
  <c r="N724" i="2"/>
  <c r="M724" i="2"/>
  <c r="O723" i="2"/>
  <c r="N723" i="2"/>
  <c r="M723" i="2"/>
  <c r="O722" i="2"/>
  <c r="N722" i="2"/>
  <c r="M722" i="2"/>
  <c r="O721" i="2"/>
  <c r="N721" i="2"/>
  <c r="M721" i="2"/>
  <c r="O720" i="2"/>
  <c r="N720" i="2"/>
  <c r="M720" i="2"/>
  <c r="O719" i="2"/>
  <c r="N719" i="2"/>
  <c r="M719" i="2"/>
  <c r="O718" i="2"/>
  <c r="N718" i="2"/>
  <c r="M718" i="2"/>
  <c r="O717" i="2"/>
  <c r="N717" i="2"/>
  <c r="M717" i="2"/>
  <c r="O716" i="2"/>
  <c r="N716" i="2"/>
  <c r="M716" i="2"/>
  <c r="O715" i="2"/>
  <c r="N715" i="2"/>
  <c r="M715" i="2"/>
  <c r="O714" i="2"/>
  <c r="N714" i="2"/>
  <c r="M714" i="2"/>
  <c r="O713" i="2"/>
  <c r="N713" i="2"/>
  <c r="M713" i="2"/>
  <c r="O712" i="2"/>
  <c r="N712" i="2"/>
  <c r="M712" i="2"/>
  <c r="O711" i="2"/>
  <c r="N711" i="2"/>
  <c r="M711" i="2"/>
  <c r="O710" i="2"/>
  <c r="N710" i="2"/>
  <c r="M710" i="2"/>
  <c r="O709" i="2"/>
  <c r="N709" i="2"/>
  <c r="M709" i="2"/>
  <c r="O708" i="2"/>
  <c r="N708" i="2"/>
  <c r="M708" i="2"/>
  <c r="O707" i="2"/>
  <c r="N707" i="2"/>
  <c r="M707" i="2"/>
  <c r="O706" i="2"/>
  <c r="N706" i="2"/>
  <c r="M706" i="2"/>
  <c r="O705" i="2"/>
  <c r="N705" i="2"/>
  <c r="M705" i="2"/>
  <c r="O704" i="2"/>
  <c r="N704" i="2"/>
  <c r="M704" i="2"/>
  <c r="O703" i="2"/>
  <c r="N703" i="2"/>
  <c r="M703" i="2"/>
  <c r="O702" i="2"/>
  <c r="N702" i="2"/>
  <c r="M702" i="2"/>
  <c r="O701" i="2"/>
  <c r="N701" i="2"/>
  <c r="M701" i="2"/>
  <c r="O700" i="2"/>
  <c r="N700" i="2"/>
  <c r="M700" i="2"/>
  <c r="O699" i="2"/>
  <c r="N699" i="2"/>
  <c r="M699" i="2"/>
  <c r="O698" i="2"/>
  <c r="N698" i="2"/>
  <c r="M698" i="2"/>
  <c r="O697" i="2"/>
  <c r="N697" i="2"/>
  <c r="M697" i="2"/>
  <c r="O696" i="2"/>
  <c r="N696" i="2"/>
  <c r="M696" i="2"/>
  <c r="O695" i="2"/>
  <c r="N695" i="2"/>
  <c r="M695" i="2"/>
  <c r="O694" i="2"/>
  <c r="N694" i="2"/>
  <c r="M694" i="2"/>
  <c r="O693" i="2"/>
  <c r="N693" i="2"/>
  <c r="M693" i="2"/>
  <c r="O692" i="2"/>
  <c r="N692" i="2"/>
  <c r="M692" i="2"/>
  <c r="O691" i="2"/>
  <c r="N691" i="2"/>
  <c r="M691" i="2"/>
  <c r="O690" i="2"/>
  <c r="N690" i="2"/>
  <c r="M690" i="2"/>
  <c r="O689" i="2"/>
  <c r="N689" i="2"/>
  <c r="M689" i="2"/>
  <c r="O688" i="2"/>
  <c r="N688" i="2"/>
  <c r="M688" i="2"/>
  <c r="O687" i="2"/>
  <c r="N687" i="2"/>
  <c r="M687" i="2"/>
  <c r="O686" i="2"/>
  <c r="N686" i="2"/>
  <c r="M686" i="2"/>
  <c r="O685" i="2"/>
  <c r="N685" i="2"/>
  <c r="M685" i="2"/>
  <c r="O684" i="2"/>
  <c r="N684" i="2"/>
  <c r="M684" i="2"/>
  <c r="O683" i="2"/>
  <c r="N683" i="2"/>
  <c r="M683" i="2"/>
  <c r="O682" i="2"/>
  <c r="N682" i="2"/>
  <c r="M682" i="2"/>
  <c r="O681" i="2"/>
  <c r="N681" i="2"/>
  <c r="M681" i="2"/>
  <c r="O680" i="2"/>
  <c r="N680" i="2"/>
  <c r="M680" i="2"/>
  <c r="O679" i="2"/>
  <c r="N679" i="2"/>
  <c r="M679" i="2"/>
  <c r="O678" i="2"/>
  <c r="N678" i="2"/>
  <c r="M678" i="2"/>
  <c r="O677" i="2"/>
  <c r="N677" i="2"/>
  <c r="M677" i="2"/>
  <c r="O676" i="2"/>
  <c r="N676" i="2"/>
  <c r="M676" i="2"/>
  <c r="O675" i="2"/>
  <c r="N675" i="2"/>
  <c r="M675" i="2"/>
  <c r="O674" i="2"/>
  <c r="N674" i="2"/>
  <c r="M674" i="2"/>
  <c r="O673" i="2"/>
  <c r="N673" i="2"/>
  <c r="M673" i="2"/>
  <c r="O672" i="2"/>
  <c r="N672" i="2"/>
  <c r="M672" i="2"/>
  <c r="O671" i="2"/>
  <c r="N671" i="2"/>
  <c r="M671" i="2"/>
  <c r="O670" i="2"/>
  <c r="N670" i="2"/>
  <c r="M670" i="2"/>
  <c r="O669" i="2"/>
  <c r="N669" i="2"/>
  <c r="M669" i="2"/>
  <c r="O668" i="2"/>
  <c r="N668" i="2"/>
  <c r="M668" i="2"/>
  <c r="O667" i="2"/>
  <c r="N667" i="2"/>
  <c r="M667" i="2"/>
  <c r="O666" i="2"/>
  <c r="N666" i="2"/>
  <c r="M666" i="2"/>
  <c r="O665" i="2"/>
  <c r="N665" i="2"/>
  <c r="M665" i="2"/>
  <c r="O664" i="2"/>
  <c r="N664" i="2"/>
  <c r="M664" i="2"/>
  <c r="O663" i="2"/>
  <c r="N663" i="2"/>
  <c r="M663" i="2"/>
  <c r="O662" i="2"/>
  <c r="N662" i="2"/>
  <c r="M662" i="2"/>
  <c r="O661" i="2"/>
  <c r="N661" i="2"/>
  <c r="M661" i="2"/>
  <c r="O660" i="2"/>
  <c r="N660" i="2"/>
  <c r="M660" i="2"/>
  <c r="O659" i="2"/>
  <c r="N659" i="2"/>
  <c r="M659" i="2"/>
  <c r="O658" i="2"/>
  <c r="N658" i="2"/>
  <c r="M658" i="2"/>
  <c r="O657" i="2"/>
  <c r="N657" i="2"/>
  <c r="M657" i="2"/>
  <c r="O656" i="2"/>
  <c r="N656" i="2"/>
  <c r="M656" i="2"/>
  <c r="O655" i="2"/>
  <c r="N655" i="2"/>
  <c r="M655" i="2"/>
  <c r="O654" i="2"/>
  <c r="N654" i="2"/>
  <c r="M654" i="2"/>
  <c r="O653" i="2"/>
  <c r="N653" i="2"/>
  <c r="M653" i="2"/>
  <c r="O652" i="2"/>
  <c r="N652" i="2"/>
  <c r="M652" i="2"/>
  <c r="O651" i="2"/>
  <c r="N651" i="2"/>
  <c r="M651" i="2"/>
  <c r="O650" i="2"/>
  <c r="N650" i="2"/>
  <c r="M650" i="2"/>
  <c r="O649" i="2"/>
  <c r="N649" i="2"/>
  <c r="M649" i="2"/>
  <c r="O648" i="2"/>
  <c r="N648" i="2"/>
  <c r="M648" i="2"/>
  <c r="O647" i="2"/>
  <c r="N647" i="2"/>
  <c r="M647" i="2"/>
  <c r="O646" i="2"/>
  <c r="N646" i="2"/>
  <c r="M646" i="2"/>
  <c r="O645" i="2"/>
  <c r="N645" i="2"/>
  <c r="M645" i="2"/>
  <c r="O644" i="2"/>
  <c r="N644" i="2"/>
  <c r="M644" i="2"/>
  <c r="O643" i="2"/>
  <c r="N643" i="2"/>
  <c r="M643" i="2"/>
  <c r="O642" i="2"/>
  <c r="N642" i="2"/>
  <c r="M642" i="2"/>
  <c r="O641" i="2"/>
  <c r="N641" i="2"/>
  <c r="M641" i="2"/>
  <c r="O640" i="2"/>
  <c r="N640" i="2"/>
  <c r="M640" i="2"/>
  <c r="O639" i="2"/>
  <c r="N639" i="2"/>
  <c r="M639" i="2"/>
  <c r="O638" i="2"/>
  <c r="N638" i="2"/>
  <c r="M638" i="2"/>
  <c r="O637" i="2"/>
  <c r="N637" i="2"/>
  <c r="M637" i="2"/>
  <c r="O636" i="2"/>
  <c r="N636" i="2"/>
  <c r="M636" i="2"/>
  <c r="O635" i="2"/>
  <c r="N635" i="2"/>
  <c r="M635" i="2"/>
  <c r="O634" i="2"/>
  <c r="N634" i="2"/>
  <c r="M634" i="2"/>
  <c r="O633" i="2"/>
  <c r="N633" i="2"/>
  <c r="M633" i="2"/>
  <c r="O632" i="2"/>
  <c r="N632" i="2"/>
  <c r="M632" i="2"/>
  <c r="O631" i="2"/>
  <c r="N631" i="2"/>
  <c r="M631" i="2"/>
  <c r="O630" i="2"/>
  <c r="N630" i="2"/>
  <c r="M630" i="2"/>
  <c r="O629" i="2"/>
  <c r="N629" i="2"/>
  <c r="M629" i="2"/>
  <c r="O628" i="2"/>
  <c r="N628" i="2"/>
  <c r="M628" i="2"/>
  <c r="O627" i="2"/>
  <c r="N627" i="2"/>
  <c r="M627" i="2"/>
  <c r="O626" i="2"/>
  <c r="N626" i="2"/>
  <c r="M626" i="2"/>
  <c r="O625" i="2"/>
  <c r="N625" i="2"/>
  <c r="M625" i="2"/>
  <c r="O624" i="2"/>
  <c r="N624" i="2"/>
  <c r="M624" i="2"/>
  <c r="O623" i="2"/>
  <c r="N623" i="2"/>
  <c r="M623" i="2"/>
  <c r="O622" i="2"/>
  <c r="N622" i="2"/>
  <c r="M622" i="2"/>
  <c r="O621" i="2"/>
  <c r="N621" i="2"/>
  <c r="M621" i="2"/>
  <c r="O620" i="2"/>
  <c r="N620" i="2"/>
  <c r="M620" i="2"/>
  <c r="O619" i="2"/>
  <c r="N619" i="2"/>
  <c r="M619" i="2"/>
  <c r="O618" i="2"/>
  <c r="N618" i="2"/>
  <c r="M618" i="2"/>
  <c r="O617" i="2"/>
  <c r="N617" i="2"/>
  <c r="M617" i="2"/>
  <c r="O616" i="2"/>
  <c r="N616" i="2"/>
  <c r="M616" i="2"/>
  <c r="O615" i="2"/>
  <c r="N615" i="2"/>
  <c r="M615" i="2"/>
  <c r="O614" i="2"/>
  <c r="N614" i="2"/>
  <c r="M614" i="2"/>
  <c r="O613" i="2"/>
  <c r="N613" i="2"/>
  <c r="M613" i="2"/>
  <c r="O612" i="2"/>
  <c r="N612" i="2"/>
  <c r="M612" i="2"/>
  <c r="O611" i="2"/>
  <c r="N611" i="2"/>
  <c r="M611" i="2"/>
  <c r="O610" i="2"/>
  <c r="N610" i="2"/>
  <c r="M610" i="2"/>
  <c r="O609" i="2"/>
  <c r="N609" i="2"/>
  <c r="M609" i="2"/>
  <c r="O608" i="2"/>
  <c r="N608" i="2"/>
  <c r="M608" i="2"/>
  <c r="O607" i="2"/>
  <c r="N607" i="2"/>
  <c r="M607" i="2"/>
  <c r="O606" i="2"/>
  <c r="N606" i="2"/>
  <c r="M606" i="2"/>
  <c r="O605" i="2"/>
  <c r="N605" i="2"/>
  <c r="M605" i="2"/>
  <c r="O604" i="2"/>
  <c r="N604" i="2"/>
  <c r="M604" i="2"/>
  <c r="O603" i="2"/>
  <c r="N603" i="2"/>
  <c r="M603" i="2"/>
  <c r="O602" i="2"/>
  <c r="N602" i="2"/>
  <c r="M602" i="2"/>
  <c r="O601" i="2"/>
  <c r="N601" i="2"/>
  <c r="M601" i="2"/>
  <c r="O600" i="2"/>
  <c r="N600" i="2"/>
  <c r="M600" i="2"/>
  <c r="O599" i="2"/>
  <c r="N599" i="2"/>
  <c r="M599" i="2"/>
  <c r="O598" i="2"/>
  <c r="N598" i="2"/>
  <c r="M598" i="2"/>
  <c r="O597" i="2"/>
  <c r="N597" i="2"/>
  <c r="M597" i="2"/>
  <c r="O596" i="2"/>
  <c r="N596" i="2"/>
  <c r="M596" i="2"/>
  <c r="O595" i="2"/>
  <c r="N595" i="2"/>
  <c r="M595" i="2"/>
  <c r="O594" i="2"/>
  <c r="N594" i="2"/>
  <c r="M594" i="2"/>
  <c r="O593" i="2"/>
  <c r="N593" i="2"/>
  <c r="M593" i="2"/>
  <c r="O592" i="2"/>
  <c r="N592" i="2"/>
  <c r="M592" i="2"/>
  <c r="O591" i="2"/>
  <c r="N591" i="2"/>
  <c r="M591" i="2"/>
  <c r="O590" i="2"/>
  <c r="N590" i="2"/>
  <c r="M590" i="2"/>
  <c r="O589" i="2"/>
  <c r="N589" i="2"/>
  <c r="M589" i="2"/>
  <c r="O588" i="2"/>
  <c r="N588" i="2"/>
  <c r="M588" i="2"/>
  <c r="O587" i="2"/>
  <c r="N587" i="2"/>
  <c r="M587" i="2"/>
  <c r="O586" i="2"/>
  <c r="N586" i="2"/>
  <c r="M586" i="2"/>
  <c r="O585" i="2"/>
  <c r="N585" i="2"/>
  <c r="M585" i="2"/>
  <c r="O584" i="2"/>
  <c r="N584" i="2"/>
  <c r="M584" i="2"/>
  <c r="O583" i="2"/>
  <c r="N583" i="2"/>
  <c r="M583" i="2"/>
  <c r="O582" i="2"/>
  <c r="N582" i="2"/>
  <c r="M582" i="2"/>
  <c r="O581" i="2"/>
  <c r="N581" i="2"/>
  <c r="M581" i="2"/>
  <c r="O580" i="2"/>
  <c r="N580" i="2"/>
  <c r="M580" i="2"/>
  <c r="O579" i="2"/>
  <c r="N579" i="2"/>
  <c r="M579" i="2"/>
  <c r="O578" i="2"/>
  <c r="N578" i="2"/>
  <c r="M578" i="2"/>
  <c r="O577" i="2"/>
  <c r="N577" i="2"/>
  <c r="M577" i="2"/>
  <c r="O576" i="2"/>
  <c r="N576" i="2"/>
  <c r="M576" i="2"/>
  <c r="O575" i="2"/>
  <c r="N575" i="2"/>
  <c r="M575" i="2"/>
  <c r="O574" i="2"/>
  <c r="N574" i="2"/>
  <c r="M574" i="2"/>
  <c r="O573" i="2"/>
  <c r="N573" i="2"/>
  <c r="M573" i="2"/>
  <c r="O572" i="2"/>
  <c r="N572" i="2"/>
  <c r="M572" i="2"/>
  <c r="O571" i="2"/>
  <c r="N571" i="2"/>
  <c r="M571" i="2"/>
  <c r="O570" i="2"/>
  <c r="N570" i="2"/>
  <c r="M570" i="2"/>
  <c r="O569" i="2"/>
  <c r="N569" i="2"/>
  <c r="M569" i="2"/>
  <c r="O568" i="2"/>
  <c r="N568" i="2"/>
  <c r="M568" i="2"/>
  <c r="O567" i="2"/>
  <c r="N567" i="2"/>
  <c r="M567" i="2"/>
  <c r="O566" i="2"/>
  <c r="N566" i="2"/>
  <c r="M566" i="2"/>
  <c r="O565" i="2"/>
  <c r="N565" i="2"/>
  <c r="M565" i="2"/>
  <c r="O564" i="2"/>
  <c r="N564" i="2"/>
  <c r="M564" i="2"/>
  <c r="O563" i="2"/>
  <c r="N563" i="2"/>
  <c r="M563" i="2"/>
  <c r="O562" i="2"/>
  <c r="N562" i="2"/>
  <c r="M562" i="2"/>
  <c r="O561" i="2"/>
  <c r="N561" i="2"/>
  <c r="M561" i="2"/>
  <c r="O560" i="2"/>
  <c r="N560" i="2"/>
  <c r="M560" i="2"/>
  <c r="O559" i="2"/>
  <c r="N559" i="2"/>
  <c r="M559" i="2"/>
  <c r="O558" i="2"/>
  <c r="N558" i="2"/>
  <c r="M558" i="2"/>
  <c r="O557" i="2"/>
  <c r="N557" i="2"/>
  <c r="M557" i="2"/>
  <c r="O556" i="2"/>
  <c r="N556" i="2"/>
  <c r="M556" i="2"/>
  <c r="O555" i="2"/>
  <c r="N555" i="2"/>
  <c r="M555" i="2"/>
  <c r="O554" i="2"/>
  <c r="N554" i="2"/>
  <c r="M554" i="2"/>
  <c r="O553" i="2"/>
  <c r="N553" i="2"/>
  <c r="M553" i="2"/>
  <c r="O552" i="2"/>
  <c r="N552" i="2"/>
  <c r="M552" i="2"/>
  <c r="O551" i="2"/>
  <c r="N551" i="2"/>
  <c r="M551" i="2"/>
  <c r="O550" i="2"/>
  <c r="N550" i="2"/>
  <c r="M550" i="2"/>
  <c r="O549" i="2"/>
  <c r="N549" i="2"/>
  <c r="M549" i="2"/>
  <c r="O548" i="2"/>
  <c r="N548" i="2"/>
  <c r="M548" i="2"/>
  <c r="O547" i="2"/>
  <c r="N547" i="2"/>
  <c r="M547" i="2"/>
  <c r="O546" i="2"/>
  <c r="N546" i="2"/>
  <c r="M546" i="2"/>
  <c r="O545" i="2"/>
  <c r="N545" i="2"/>
  <c r="M545" i="2"/>
  <c r="O544" i="2"/>
  <c r="N544" i="2"/>
  <c r="M544" i="2"/>
  <c r="O543" i="2"/>
  <c r="N543" i="2"/>
  <c r="M543" i="2"/>
  <c r="O542" i="2"/>
  <c r="N542" i="2"/>
  <c r="M542" i="2"/>
  <c r="O541" i="2"/>
  <c r="N541" i="2"/>
  <c r="M541" i="2"/>
  <c r="O540" i="2"/>
  <c r="N540" i="2"/>
  <c r="M540" i="2"/>
  <c r="O539" i="2"/>
  <c r="N539" i="2"/>
  <c r="M539" i="2"/>
  <c r="O538" i="2"/>
  <c r="N538" i="2"/>
  <c r="M538" i="2"/>
  <c r="O537" i="2"/>
  <c r="N537" i="2"/>
  <c r="M537" i="2"/>
  <c r="O536" i="2"/>
  <c r="N536" i="2"/>
  <c r="M536" i="2"/>
  <c r="O535" i="2"/>
  <c r="N535" i="2"/>
  <c r="M535" i="2"/>
  <c r="O534" i="2"/>
  <c r="N534" i="2"/>
  <c r="M534" i="2"/>
  <c r="O533" i="2"/>
  <c r="N533" i="2"/>
  <c r="M533" i="2"/>
  <c r="O532" i="2"/>
  <c r="N532" i="2"/>
  <c r="M532" i="2"/>
  <c r="O531" i="2"/>
  <c r="N531" i="2"/>
  <c r="M531" i="2"/>
  <c r="O530" i="2"/>
  <c r="N530" i="2"/>
  <c r="M530" i="2"/>
  <c r="O529" i="2"/>
  <c r="N529" i="2"/>
  <c r="M529" i="2"/>
  <c r="O528" i="2"/>
  <c r="N528" i="2"/>
  <c r="M528" i="2"/>
  <c r="O527" i="2"/>
  <c r="N527" i="2"/>
  <c r="M527" i="2"/>
  <c r="O526" i="2"/>
  <c r="N526" i="2"/>
  <c r="M526" i="2"/>
  <c r="O525" i="2"/>
  <c r="N525" i="2"/>
  <c r="M525" i="2"/>
  <c r="O524" i="2"/>
  <c r="N524" i="2"/>
  <c r="M524" i="2"/>
  <c r="O523" i="2"/>
  <c r="N523" i="2"/>
  <c r="M523" i="2"/>
  <c r="O522" i="2"/>
  <c r="N522" i="2"/>
  <c r="M522" i="2"/>
  <c r="O521" i="2"/>
  <c r="N521" i="2"/>
  <c r="M521" i="2"/>
  <c r="O520" i="2"/>
  <c r="N520" i="2"/>
  <c r="M520" i="2"/>
  <c r="O519" i="2"/>
  <c r="N519" i="2"/>
  <c r="M519" i="2"/>
  <c r="O518" i="2"/>
  <c r="N518" i="2"/>
  <c r="M518" i="2"/>
  <c r="O517" i="2"/>
  <c r="N517" i="2"/>
  <c r="M517" i="2"/>
  <c r="O516" i="2"/>
  <c r="N516" i="2"/>
  <c r="M516" i="2"/>
  <c r="O515" i="2"/>
  <c r="N515" i="2"/>
  <c r="M515" i="2"/>
  <c r="O514" i="2"/>
  <c r="N514" i="2"/>
  <c r="M514" i="2"/>
  <c r="O513" i="2"/>
  <c r="N513" i="2"/>
  <c r="M513" i="2"/>
  <c r="O512" i="2"/>
  <c r="N512" i="2"/>
  <c r="M512" i="2"/>
  <c r="O511" i="2"/>
  <c r="N511" i="2"/>
  <c r="M511" i="2"/>
  <c r="O510" i="2"/>
  <c r="N510" i="2"/>
  <c r="M510" i="2"/>
  <c r="O509" i="2"/>
  <c r="N509" i="2"/>
  <c r="M509" i="2"/>
  <c r="O508" i="2"/>
  <c r="N508" i="2"/>
  <c r="M508" i="2"/>
  <c r="O507" i="2"/>
  <c r="N507" i="2"/>
  <c r="M507" i="2"/>
  <c r="O506" i="2"/>
  <c r="N506" i="2"/>
  <c r="M506" i="2"/>
  <c r="O505" i="2"/>
  <c r="N505" i="2"/>
  <c r="M505" i="2"/>
  <c r="O504" i="2"/>
  <c r="N504" i="2"/>
  <c r="M504" i="2"/>
  <c r="O503" i="2"/>
  <c r="N503" i="2"/>
  <c r="M503" i="2"/>
  <c r="O502" i="2"/>
  <c r="N502" i="2"/>
  <c r="M502" i="2"/>
  <c r="O501" i="2"/>
  <c r="N501" i="2"/>
  <c r="M501" i="2"/>
  <c r="O500" i="2"/>
  <c r="N500" i="2"/>
  <c r="M500" i="2"/>
  <c r="O499" i="2"/>
  <c r="N499" i="2"/>
  <c r="M499" i="2"/>
  <c r="O498" i="2"/>
  <c r="N498" i="2"/>
  <c r="M498" i="2"/>
  <c r="O497" i="2"/>
  <c r="N497" i="2"/>
  <c r="M497" i="2"/>
  <c r="O496" i="2"/>
  <c r="N496" i="2"/>
  <c r="M496" i="2"/>
  <c r="O495" i="2"/>
  <c r="N495" i="2"/>
  <c r="M495" i="2"/>
  <c r="O494" i="2"/>
  <c r="N494" i="2"/>
  <c r="M494" i="2"/>
  <c r="O493" i="2"/>
  <c r="N493" i="2"/>
  <c r="M493" i="2"/>
  <c r="O492" i="2"/>
  <c r="N492" i="2"/>
  <c r="M492" i="2"/>
  <c r="O491" i="2"/>
  <c r="N491" i="2"/>
  <c r="M491" i="2"/>
  <c r="O490" i="2"/>
  <c r="N490" i="2"/>
  <c r="M490" i="2"/>
  <c r="O489" i="2"/>
  <c r="N489" i="2"/>
  <c r="M489" i="2"/>
  <c r="O488" i="2"/>
  <c r="N488" i="2"/>
  <c r="M488" i="2"/>
  <c r="O487" i="2"/>
  <c r="N487" i="2"/>
  <c r="M487" i="2"/>
  <c r="O486" i="2"/>
  <c r="N486" i="2"/>
  <c r="M486" i="2"/>
  <c r="O485" i="2"/>
  <c r="N485" i="2"/>
  <c r="M485" i="2"/>
  <c r="O484" i="2"/>
  <c r="N484" i="2"/>
  <c r="M484" i="2"/>
  <c r="O483" i="2"/>
  <c r="N483" i="2"/>
  <c r="M483" i="2"/>
  <c r="O482" i="2"/>
  <c r="N482" i="2"/>
  <c r="M482" i="2"/>
  <c r="O481" i="2"/>
  <c r="N481" i="2"/>
  <c r="M481" i="2"/>
  <c r="O480" i="2"/>
  <c r="N480" i="2"/>
  <c r="M480" i="2"/>
  <c r="O479" i="2"/>
  <c r="N479" i="2"/>
  <c r="M479" i="2"/>
  <c r="O478" i="2"/>
  <c r="N478" i="2"/>
  <c r="M478" i="2"/>
  <c r="O477" i="2"/>
  <c r="N477" i="2"/>
  <c r="M477" i="2"/>
  <c r="O476" i="2"/>
  <c r="N476" i="2"/>
  <c r="M476" i="2"/>
  <c r="O475" i="2"/>
  <c r="N475" i="2"/>
  <c r="M475" i="2"/>
  <c r="O474" i="2"/>
  <c r="N474" i="2"/>
  <c r="M474" i="2"/>
  <c r="O473" i="2"/>
  <c r="N473" i="2"/>
  <c r="M473" i="2"/>
  <c r="O472" i="2"/>
  <c r="N472" i="2"/>
  <c r="M472" i="2"/>
  <c r="O471" i="2"/>
  <c r="N471" i="2"/>
  <c r="M471" i="2"/>
  <c r="O470" i="2"/>
  <c r="N470" i="2"/>
  <c r="M470" i="2"/>
  <c r="O469" i="2"/>
  <c r="N469" i="2"/>
  <c r="M469" i="2"/>
  <c r="O468" i="2"/>
  <c r="N468" i="2"/>
  <c r="M468" i="2"/>
  <c r="O467" i="2"/>
  <c r="N467" i="2"/>
  <c r="M467" i="2"/>
  <c r="O466" i="2"/>
  <c r="N466" i="2"/>
  <c r="M466" i="2"/>
  <c r="O465" i="2"/>
  <c r="N465" i="2"/>
  <c r="M465" i="2"/>
  <c r="O464" i="2"/>
  <c r="N464" i="2"/>
  <c r="M464" i="2"/>
  <c r="O463" i="2"/>
  <c r="N463" i="2"/>
  <c r="M463" i="2"/>
  <c r="O462" i="2"/>
  <c r="N462" i="2"/>
  <c r="M462" i="2"/>
  <c r="O461" i="2"/>
  <c r="N461" i="2"/>
  <c r="M461" i="2"/>
  <c r="O460" i="2"/>
  <c r="N460" i="2"/>
  <c r="M460" i="2"/>
  <c r="O459" i="2"/>
  <c r="N459" i="2"/>
  <c r="M459" i="2"/>
  <c r="O458" i="2"/>
  <c r="N458" i="2"/>
  <c r="M458" i="2"/>
  <c r="O457" i="2"/>
  <c r="N457" i="2"/>
  <c r="M457" i="2"/>
  <c r="O456" i="2"/>
  <c r="N456" i="2"/>
  <c r="M456" i="2"/>
  <c r="O455" i="2"/>
  <c r="N455" i="2"/>
  <c r="M455" i="2"/>
  <c r="O454" i="2"/>
  <c r="N454" i="2"/>
  <c r="M454" i="2"/>
  <c r="O453" i="2"/>
  <c r="N453" i="2"/>
  <c r="M453" i="2"/>
  <c r="O452" i="2"/>
  <c r="N452" i="2"/>
  <c r="M452" i="2"/>
  <c r="O451" i="2"/>
  <c r="N451" i="2"/>
  <c r="M451" i="2"/>
  <c r="O450" i="2"/>
  <c r="N450" i="2"/>
  <c r="M450" i="2"/>
  <c r="O449" i="2"/>
  <c r="N449" i="2"/>
  <c r="M449" i="2"/>
  <c r="O448" i="2"/>
  <c r="N448" i="2"/>
  <c r="M448" i="2"/>
  <c r="O447" i="2"/>
  <c r="N447" i="2"/>
  <c r="M447" i="2"/>
  <c r="O446" i="2"/>
  <c r="N446" i="2"/>
  <c r="M446" i="2"/>
  <c r="O445" i="2"/>
  <c r="N445" i="2"/>
  <c r="M445" i="2"/>
  <c r="O444" i="2"/>
  <c r="N444" i="2"/>
  <c r="M444" i="2"/>
  <c r="O443" i="2"/>
  <c r="N443" i="2"/>
  <c r="M443" i="2"/>
  <c r="O442" i="2"/>
  <c r="N442" i="2"/>
  <c r="M442" i="2"/>
  <c r="O441" i="2"/>
  <c r="N441" i="2"/>
  <c r="M441" i="2"/>
  <c r="O440" i="2"/>
  <c r="N440" i="2"/>
  <c r="M440" i="2"/>
  <c r="O439" i="2"/>
  <c r="N439" i="2"/>
  <c r="M439" i="2"/>
  <c r="O438" i="2"/>
  <c r="N438" i="2"/>
  <c r="M438" i="2"/>
  <c r="O437" i="2"/>
  <c r="N437" i="2"/>
  <c r="M437" i="2"/>
  <c r="O436" i="2"/>
  <c r="N436" i="2"/>
  <c r="M436" i="2"/>
  <c r="O435" i="2"/>
  <c r="N435" i="2"/>
  <c r="M435" i="2"/>
  <c r="O434" i="2"/>
  <c r="N434" i="2"/>
  <c r="M434" i="2"/>
  <c r="O433" i="2"/>
  <c r="N433" i="2"/>
  <c r="M433" i="2"/>
  <c r="O432" i="2"/>
  <c r="N432" i="2"/>
  <c r="M432" i="2"/>
  <c r="O431" i="2"/>
  <c r="N431" i="2"/>
  <c r="M431" i="2"/>
  <c r="O430" i="2"/>
  <c r="N430" i="2"/>
  <c r="M430" i="2"/>
  <c r="O429" i="2"/>
  <c r="N429" i="2"/>
  <c r="M429" i="2"/>
  <c r="O428" i="2"/>
  <c r="N428" i="2"/>
  <c r="M428" i="2"/>
  <c r="O427" i="2"/>
  <c r="N427" i="2"/>
  <c r="M427" i="2"/>
  <c r="O426" i="2"/>
  <c r="N426" i="2"/>
  <c r="M426" i="2"/>
  <c r="O425" i="2"/>
  <c r="N425" i="2"/>
  <c r="M425" i="2"/>
  <c r="O424" i="2"/>
  <c r="N424" i="2"/>
  <c r="M424" i="2"/>
  <c r="O423" i="2"/>
  <c r="N423" i="2"/>
  <c r="M423" i="2"/>
  <c r="O422" i="2"/>
  <c r="N422" i="2"/>
  <c r="M422" i="2"/>
  <c r="O421" i="2"/>
  <c r="N421" i="2"/>
  <c r="M421" i="2"/>
  <c r="O420" i="2"/>
  <c r="N420" i="2"/>
  <c r="M420" i="2"/>
  <c r="O419" i="2"/>
  <c r="N419" i="2"/>
  <c r="M419" i="2"/>
  <c r="O418" i="2"/>
  <c r="N418" i="2"/>
  <c r="M418" i="2"/>
  <c r="O417" i="2"/>
  <c r="N417" i="2"/>
  <c r="M417" i="2"/>
  <c r="O416" i="2"/>
  <c r="N416" i="2"/>
  <c r="M416" i="2"/>
  <c r="O415" i="2"/>
  <c r="N415" i="2"/>
  <c r="M415" i="2"/>
  <c r="O414" i="2"/>
  <c r="N414" i="2"/>
  <c r="M414" i="2"/>
  <c r="O413" i="2"/>
  <c r="N413" i="2"/>
  <c r="M413" i="2"/>
  <c r="O412" i="2"/>
  <c r="N412" i="2"/>
  <c r="M412" i="2"/>
  <c r="O411" i="2"/>
  <c r="N411" i="2"/>
  <c r="M411" i="2"/>
  <c r="O410" i="2"/>
  <c r="N410" i="2"/>
  <c r="M410" i="2"/>
  <c r="O409" i="2"/>
  <c r="N409" i="2"/>
  <c r="M409" i="2"/>
  <c r="O408" i="2"/>
  <c r="N408" i="2"/>
  <c r="M408" i="2"/>
  <c r="O407" i="2"/>
  <c r="N407" i="2"/>
  <c r="M407" i="2"/>
  <c r="O406" i="2"/>
  <c r="N406" i="2"/>
  <c r="M406" i="2"/>
  <c r="O405" i="2"/>
  <c r="N405" i="2"/>
  <c r="M405" i="2"/>
  <c r="O404" i="2"/>
  <c r="N404" i="2"/>
  <c r="M404" i="2"/>
  <c r="O403" i="2"/>
  <c r="N403" i="2"/>
  <c r="M403" i="2"/>
  <c r="O402" i="2"/>
  <c r="N402" i="2"/>
  <c r="M402" i="2"/>
  <c r="O401" i="2"/>
  <c r="N401" i="2"/>
  <c r="M401" i="2"/>
  <c r="O400" i="2"/>
  <c r="N400" i="2"/>
  <c r="M400" i="2"/>
  <c r="O399" i="2"/>
  <c r="N399" i="2"/>
  <c r="M399" i="2"/>
  <c r="O398" i="2"/>
  <c r="N398" i="2"/>
  <c r="M398" i="2"/>
  <c r="O397" i="2"/>
  <c r="N397" i="2"/>
  <c r="M397" i="2"/>
  <c r="O396" i="2"/>
  <c r="N396" i="2"/>
  <c r="M396" i="2"/>
  <c r="O395" i="2"/>
  <c r="N395" i="2"/>
  <c r="M395" i="2"/>
  <c r="O394" i="2"/>
  <c r="N394" i="2"/>
  <c r="M394" i="2"/>
  <c r="O393" i="2"/>
  <c r="N393" i="2"/>
  <c r="M393" i="2"/>
  <c r="O392" i="2"/>
  <c r="N392" i="2"/>
  <c r="M392" i="2"/>
  <c r="O391" i="2"/>
  <c r="N391" i="2"/>
  <c r="M391" i="2"/>
  <c r="O390" i="2"/>
  <c r="N390" i="2"/>
  <c r="M390" i="2"/>
  <c r="O389" i="2"/>
  <c r="N389" i="2"/>
  <c r="M389" i="2"/>
  <c r="O388" i="2"/>
  <c r="N388" i="2"/>
  <c r="M388" i="2"/>
  <c r="O387" i="2"/>
  <c r="N387" i="2"/>
  <c r="M387" i="2"/>
  <c r="O386" i="2"/>
  <c r="N386" i="2"/>
  <c r="M386" i="2"/>
  <c r="O385" i="2"/>
  <c r="N385" i="2"/>
  <c r="M385" i="2"/>
  <c r="O384" i="2"/>
  <c r="N384" i="2"/>
  <c r="M384" i="2"/>
  <c r="O383" i="2"/>
  <c r="N383" i="2"/>
  <c r="M383" i="2"/>
  <c r="O382" i="2"/>
  <c r="N382" i="2"/>
  <c r="M382" i="2"/>
  <c r="O381" i="2"/>
  <c r="N381" i="2"/>
  <c r="M381" i="2"/>
  <c r="O380" i="2"/>
  <c r="N380" i="2"/>
  <c r="M380" i="2"/>
  <c r="O379" i="2"/>
  <c r="N379" i="2"/>
  <c r="M379" i="2"/>
  <c r="O378" i="2"/>
  <c r="N378" i="2"/>
  <c r="M378" i="2"/>
  <c r="O377" i="2"/>
  <c r="N377" i="2"/>
  <c r="M377" i="2"/>
  <c r="O376" i="2"/>
  <c r="N376" i="2"/>
  <c r="M376" i="2"/>
  <c r="O375" i="2"/>
  <c r="N375" i="2"/>
  <c r="M375" i="2"/>
  <c r="O374" i="2"/>
  <c r="N374" i="2"/>
  <c r="M374" i="2"/>
  <c r="O373" i="2"/>
  <c r="N373" i="2"/>
  <c r="M373" i="2"/>
  <c r="O372" i="2"/>
  <c r="N372" i="2"/>
  <c r="M372" i="2"/>
  <c r="O371" i="2"/>
  <c r="N371" i="2"/>
  <c r="M371" i="2"/>
  <c r="O370" i="2"/>
  <c r="N370" i="2"/>
  <c r="M370" i="2"/>
  <c r="O369" i="2"/>
  <c r="N369" i="2"/>
  <c r="M369" i="2"/>
  <c r="O368" i="2"/>
  <c r="N368" i="2"/>
  <c r="M368" i="2"/>
  <c r="O367" i="2"/>
  <c r="N367" i="2"/>
  <c r="M367" i="2"/>
  <c r="O366" i="2"/>
  <c r="N366" i="2"/>
  <c r="M366" i="2"/>
  <c r="O365" i="2"/>
  <c r="N365" i="2"/>
  <c r="M365" i="2"/>
  <c r="O364" i="2"/>
  <c r="N364" i="2"/>
  <c r="M364" i="2"/>
  <c r="O363" i="2"/>
  <c r="N363" i="2"/>
  <c r="M363" i="2"/>
  <c r="O362" i="2"/>
  <c r="N362" i="2"/>
  <c r="M362" i="2"/>
  <c r="O361" i="2"/>
  <c r="N361" i="2"/>
  <c r="M361" i="2"/>
  <c r="O360" i="2"/>
  <c r="N360" i="2"/>
  <c r="M360" i="2"/>
  <c r="O359" i="2"/>
  <c r="N359" i="2"/>
  <c r="M359" i="2"/>
  <c r="O358" i="2"/>
  <c r="N358" i="2"/>
  <c r="M358" i="2"/>
  <c r="O357" i="2"/>
  <c r="N357" i="2"/>
  <c r="M357" i="2"/>
  <c r="O356" i="2"/>
  <c r="N356" i="2"/>
  <c r="M356" i="2"/>
  <c r="O355" i="2"/>
  <c r="N355" i="2"/>
  <c r="M355" i="2"/>
  <c r="O354" i="2"/>
  <c r="N354" i="2"/>
  <c r="M354" i="2"/>
  <c r="O353" i="2"/>
  <c r="N353" i="2"/>
  <c r="M353" i="2"/>
  <c r="O352" i="2"/>
  <c r="N352" i="2"/>
  <c r="M352" i="2"/>
  <c r="O351" i="2"/>
  <c r="N351" i="2"/>
  <c r="M351" i="2"/>
  <c r="O350" i="2"/>
  <c r="N350" i="2"/>
  <c r="M350" i="2"/>
  <c r="O349" i="2"/>
  <c r="N349" i="2"/>
  <c r="M349" i="2"/>
  <c r="O348" i="2"/>
  <c r="N348" i="2"/>
  <c r="M348" i="2"/>
  <c r="O347" i="2"/>
  <c r="N347" i="2"/>
  <c r="M347" i="2"/>
  <c r="O346" i="2"/>
  <c r="N346" i="2"/>
  <c r="M346" i="2"/>
  <c r="O345" i="2"/>
  <c r="N345" i="2"/>
  <c r="M345" i="2"/>
  <c r="O344" i="2"/>
  <c r="N344" i="2"/>
  <c r="M344" i="2"/>
  <c r="O343" i="2"/>
  <c r="N343" i="2"/>
  <c r="M343" i="2"/>
  <c r="O342" i="2"/>
  <c r="N342" i="2"/>
  <c r="M342" i="2"/>
  <c r="O341" i="2"/>
  <c r="N341" i="2"/>
  <c r="M341" i="2"/>
  <c r="O340" i="2"/>
  <c r="N340" i="2"/>
  <c r="M340" i="2"/>
  <c r="O339" i="2"/>
  <c r="N339" i="2"/>
  <c r="M339" i="2"/>
  <c r="O338" i="2"/>
  <c r="N338" i="2"/>
  <c r="M338" i="2"/>
  <c r="O337" i="2"/>
  <c r="N337" i="2"/>
  <c r="M337" i="2"/>
  <c r="O336" i="2"/>
  <c r="N336" i="2"/>
  <c r="M336" i="2"/>
  <c r="O335" i="2"/>
  <c r="N335" i="2"/>
  <c r="M335" i="2"/>
  <c r="O334" i="2"/>
  <c r="N334" i="2"/>
  <c r="M334" i="2"/>
  <c r="O333" i="2"/>
  <c r="N333" i="2"/>
  <c r="M333" i="2"/>
  <c r="O332" i="2"/>
  <c r="N332" i="2"/>
  <c r="M332" i="2"/>
  <c r="O331" i="2"/>
  <c r="N331" i="2"/>
  <c r="M331" i="2"/>
  <c r="O330" i="2"/>
  <c r="N330" i="2"/>
  <c r="M330" i="2"/>
  <c r="O329" i="2"/>
  <c r="N329" i="2"/>
  <c r="M329" i="2"/>
  <c r="O328" i="2"/>
  <c r="N328" i="2"/>
  <c r="M328" i="2"/>
  <c r="O327" i="2"/>
  <c r="N327" i="2"/>
  <c r="M327" i="2"/>
  <c r="O326" i="2"/>
  <c r="N326" i="2"/>
  <c r="M326" i="2"/>
  <c r="O325" i="2"/>
  <c r="N325" i="2"/>
  <c r="M325" i="2"/>
  <c r="O324" i="2"/>
  <c r="N324" i="2"/>
  <c r="M324" i="2"/>
  <c r="O323" i="2"/>
  <c r="N323" i="2"/>
  <c r="M323" i="2"/>
  <c r="O322" i="2"/>
  <c r="N322" i="2"/>
  <c r="M322" i="2"/>
  <c r="O321" i="2"/>
  <c r="N321" i="2"/>
  <c r="M321" i="2"/>
  <c r="O320" i="2"/>
  <c r="N320" i="2"/>
  <c r="M320" i="2"/>
  <c r="O319" i="2"/>
  <c r="N319" i="2"/>
  <c r="M319" i="2"/>
  <c r="O318" i="2"/>
  <c r="N318" i="2"/>
  <c r="M318" i="2"/>
  <c r="O317" i="2"/>
  <c r="N317" i="2"/>
  <c r="M317" i="2"/>
  <c r="O316" i="2"/>
  <c r="N316" i="2"/>
  <c r="M316" i="2"/>
  <c r="O315" i="2"/>
  <c r="N315" i="2"/>
  <c r="M315" i="2"/>
  <c r="O314" i="2"/>
  <c r="N314" i="2"/>
  <c r="M314" i="2"/>
  <c r="O313" i="2"/>
  <c r="N313" i="2"/>
  <c r="M313" i="2"/>
  <c r="O312" i="2"/>
  <c r="N312" i="2"/>
  <c r="M312" i="2"/>
  <c r="O311" i="2"/>
  <c r="N311" i="2"/>
  <c r="M311" i="2"/>
  <c r="O310" i="2"/>
  <c r="N310" i="2"/>
  <c r="M310" i="2"/>
  <c r="O309" i="2"/>
  <c r="N309" i="2"/>
  <c r="M309" i="2"/>
  <c r="O308" i="2"/>
  <c r="N308" i="2"/>
  <c r="M308" i="2"/>
  <c r="O307" i="2"/>
  <c r="N307" i="2"/>
  <c r="M307" i="2"/>
  <c r="O306" i="2"/>
  <c r="N306" i="2"/>
  <c r="M306" i="2"/>
  <c r="O305" i="2"/>
  <c r="N305" i="2"/>
  <c r="M305" i="2"/>
  <c r="O304" i="2"/>
  <c r="N304" i="2"/>
  <c r="M304" i="2"/>
  <c r="O303" i="2"/>
  <c r="N303" i="2"/>
  <c r="M303" i="2"/>
  <c r="O302" i="2"/>
  <c r="N302" i="2"/>
  <c r="M302" i="2"/>
  <c r="O301" i="2"/>
  <c r="N301" i="2"/>
  <c r="M301" i="2"/>
  <c r="O300" i="2"/>
  <c r="N300" i="2"/>
  <c r="M300" i="2"/>
  <c r="O299" i="2"/>
  <c r="N299" i="2"/>
  <c r="M299" i="2"/>
  <c r="O298" i="2"/>
  <c r="N298" i="2"/>
  <c r="M298" i="2"/>
  <c r="O297" i="2"/>
  <c r="N297" i="2"/>
  <c r="M297" i="2"/>
  <c r="O296" i="2"/>
  <c r="N296" i="2"/>
  <c r="M296" i="2"/>
  <c r="O295" i="2"/>
  <c r="N295" i="2"/>
  <c r="M295" i="2"/>
  <c r="O294" i="2"/>
  <c r="N294" i="2"/>
  <c r="M294" i="2"/>
  <c r="O293" i="2"/>
  <c r="N293" i="2"/>
  <c r="M293" i="2"/>
  <c r="O292" i="2"/>
  <c r="N292" i="2"/>
  <c r="M292" i="2"/>
  <c r="O291" i="2"/>
  <c r="N291" i="2"/>
  <c r="M291" i="2"/>
  <c r="O290" i="2"/>
  <c r="N290" i="2"/>
  <c r="M290" i="2"/>
  <c r="O289" i="2"/>
  <c r="N289" i="2"/>
  <c r="M289" i="2"/>
  <c r="O288" i="2"/>
  <c r="N288" i="2"/>
  <c r="M288" i="2"/>
  <c r="O287" i="2"/>
  <c r="N287" i="2"/>
  <c r="M287" i="2"/>
  <c r="O286" i="2"/>
  <c r="N286" i="2"/>
  <c r="M286" i="2"/>
  <c r="O285" i="2"/>
  <c r="N285" i="2"/>
  <c r="M285" i="2"/>
  <c r="O284" i="2"/>
  <c r="N284" i="2"/>
  <c r="M284" i="2"/>
  <c r="O283" i="2"/>
  <c r="N283" i="2"/>
  <c r="M283" i="2"/>
  <c r="O282" i="2"/>
  <c r="N282" i="2"/>
  <c r="M282" i="2"/>
  <c r="O281" i="2"/>
  <c r="N281" i="2"/>
  <c r="M281" i="2"/>
  <c r="O280" i="2"/>
  <c r="N280" i="2"/>
  <c r="M280" i="2"/>
  <c r="O279" i="2"/>
  <c r="N279" i="2"/>
  <c r="M279" i="2"/>
  <c r="O278" i="2"/>
  <c r="N278" i="2"/>
  <c r="M278" i="2"/>
  <c r="O277" i="2"/>
  <c r="N277" i="2"/>
  <c r="M277" i="2"/>
  <c r="O276" i="2"/>
  <c r="N276" i="2"/>
  <c r="M276" i="2"/>
  <c r="O275" i="2"/>
  <c r="N275" i="2"/>
  <c r="M275" i="2"/>
  <c r="O274" i="2"/>
  <c r="N274" i="2"/>
  <c r="M274" i="2"/>
  <c r="O273" i="2"/>
  <c r="N273" i="2"/>
  <c r="M273" i="2"/>
  <c r="O272" i="2"/>
  <c r="N272" i="2"/>
  <c r="M272" i="2"/>
  <c r="O271" i="2"/>
  <c r="N271" i="2"/>
  <c r="M271" i="2"/>
  <c r="O270" i="2"/>
  <c r="N270" i="2"/>
  <c r="M270" i="2"/>
  <c r="O269" i="2"/>
  <c r="N269" i="2"/>
  <c r="M269" i="2"/>
  <c r="O268" i="2"/>
  <c r="N268" i="2"/>
  <c r="M268" i="2"/>
  <c r="O267" i="2"/>
  <c r="N267" i="2"/>
  <c r="M267" i="2"/>
  <c r="O266" i="2"/>
  <c r="N266" i="2"/>
  <c r="M266" i="2"/>
  <c r="O265" i="2"/>
  <c r="N265" i="2"/>
  <c r="M265" i="2"/>
  <c r="O264" i="2"/>
  <c r="N264" i="2"/>
  <c r="M264" i="2"/>
  <c r="O263" i="2"/>
  <c r="N263" i="2"/>
  <c r="M263" i="2"/>
  <c r="O262" i="2"/>
  <c r="N262" i="2"/>
  <c r="M262" i="2"/>
  <c r="O261" i="2"/>
  <c r="N261" i="2"/>
  <c r="M261" i="2"/>
  <c r="O260" i="2"/>
  <c r="N260" i="2"/>
  <c r="M260" i="2"/>
  <c r="O259" i="2"/>
  <c r="N259" i="2"/>
  <c r="M259" i="2"/>
  <c r="O258" i="2"/>
  <c r="N258" i="2"/>
  <c r="M258" i="2"/>
  <c r="O257" i="2"/>
  <c r="N257" i="2"/>
  <c r="M257" i="2"/>
  <c r="O256" i="2"/>
  <c r="N256" i="2"/>
  <c r="M256" i="2"/>
  <c r="O255" i="2"/>
  <c r="N255" i="2"/>
  <c r="M255" i="2"/>
  <c r="O254" i="2"/>
  <c r="N254" i="2"/>
  <c r="M254" i="2"/>
  <c r="O253" i="2"/>
  <c r="N253" i="2"/>
  <c r="M253" i="2"/>
  <c r="O252" i="2"/>
  <c r="N252" i="2"/>
  <c r="M252" i="2"/>
  <c r="O251" i="2"/>
  <c r="N251" i="2"/>
  <c r="M251" i="2"/>
  <c r="O250" i="2"/>
  <c r="N250" i="2"/>
  <c r="M250" i="2"/>
  <c r="O249" i="2"/>
  <c r="N249" i="2"/>
  <c r="M249" i="2"/>
  <c r="O248" i="2"/>
  <c r="N248" i="2"/>
  <c r="M248" i="2"/>
  <c r="O247" i="2"/>
  <c r="N247" i="2"/>
  <c r="M247" i="2"/>
  <c r="O246" i="2"/>
  <c r="N246" i="2"/>
  <c r="M246" i="2"/>
  <c r="O245" i="2"/>
  <c r="N245" i="2"/>
  <c r="M245" i="2"/>
  <c r="O244" i="2"/>
  <c r="N244" i="2"/>
  <c r="M244" i="2"/>
  <c r="O243" i="2"/>
  <c r="N243" i="2"/>
  <c r="M243" i="2"/>
  <c r="O242" i="2"/>
  <c r="N242" i="2"/>
  <c r="M242" i="2"/>
  <c r="O241" i="2"/>
  <c r="N241" i="2"/>
  <c r="M241" i="2"/>
  <c r="O240" i="2"/>
  <c r="N240" i="2"/>
  <c r="M240" i="2"/>
  <c r="O239" i="2"/>
  <c r="N239" i="2"/>
  <c r="M239" i="2"/>
  <c r="O238" i="2"/>
  <c r="N238" i="2"/>
  <c r="M238" i="2"/>
  <c r="O237" i="2"/>
  <c r="N237" i="2"/>
  <c r="M237" i="2"/>
  <c r="O236" i="2"/>
  <c r="N236" i="2"/>
  <c r="M236" i="2"/>
  <c r="O235" i="2"/>
  <c r="N235" i="2"/>
  <c r="M235" i="2"/>
  <c r="O234" i="2"/>
  <c r="N234" i="2"/>
  <c r="M234" i="2"/>
  <c r="O233" i="2"/>
  <c r="N233" i="2"/>
  <c r="M233" i="2"/>
  <c r="O232" i="2"/>
  <c r="N232" i="2"/>
  <c r="M232" i="2"/>
  <c r="O231" i="2"/>
  <c r="N231" i="2"/>
  <c r="M231" i="2"/>
  <c r="O230" i="2"/>
  <c r="N230" i="2"/>
  <c r="M230" i="2"/>
  <c r="O229" i="2"/>
  <c r="N229" i="2"/>
  <c r="M229" i="2"/>
  <c r="O228" i="2"/>
  <c r="N228" i="2"/>
  <c r="M228" i="2"/>
  <c r="O227" i="2"/>
  <c r="N227" i="2"/>
  <c r="M227" i="2"/>
  <c r="O226" i="2"/>
  <c r="N226" i="2"/>
  <c r="M226" i="2"/>
  <c r="O225" i="2"/>
  <c r="N225" i="2"/>
  <c r="M225" i="2"/>
  <c r="O224" i="2"/>
  <c r="N224" i="2"/>
  <c r="M224" i="2"/>
  <c r="O223" i="2"/>
  <c r="N223" i="2"/>
  <c r="M223" i="2"/>
  <c r="O222" i="2"/>
  <c r="N222" i="2"/>
  <c r="M222" i="2"/>
  <c r="O221" i="2"/>
  <c r="N221" i="2"/>
  <c r="M221" i="2"/>
  <c r="O220" i="2"/>
  <c r="N220" i="2"/>
  <c r="M220" i="2"/>
  <c r="O219" i="2"/>
  <c r="N219" i="2"/>
  <c r="M219" i="2"/>
  <c r="O218" i="2"/>
  <c r="N218" i="2"/>
  <c r="M218" i="2"/>
  <c r="O217" i="2"/>
  <c r="N217" i="2"/>
  <c r="M217" i="2"/>
  <c r="O216" i="2"/>
  <c r="N216" i="2"/>
  <c r="M216" i="2"/>
  <c r="O215" i="2"/>
  <c r="N215" i="2"/>
  <c r="M215" i="2"/>
  <c r="O214" i="2"/>
  <c r="N214" i="2"/>
  <c r="M214" i="2"/>
  <c r="O213" i="2"/>
  <c r="N213" i="2"/>
  <c r="M213" i="2"/>
  <c r="O212" i="2"/>
  <c r="N212" i="2"/>
  <c r="M212" i="2"/>
  <c r="O211" i="2"/>
  <c r="N211" i="2"/>
  <c r="M211" i="2"/>
  <c r="O210" i="2"/>
  <c r="N210" i="2"/>
  <c r="M210" i="2"/>
  <c r="O209" i="2"/>
  <c r="N209" i="2"/>
  <c r="M209" i="2"/>
  <c r="O208" i="2"/>
  <c r="N208" i="2"/>
  <c r="M208" i="2"/>
  <c r="O207" i="2"/>
  <c r="N207" i="2"/>
  <c r="M207" i="2"/>
  <c r="O206" i="2"/>
  <c r="N206" i="2"/>
  <c r="M206" i="2"/>
  <c r="O205" i="2"/>
  <c r="N205" i="2"/>
  <c r="M205" i="2"/>
  <c r="O204" i="2"/>
  <c r="N204" i="2"/>
  <c r="M204" i="2"/>
  <c r="O203" i="2"/>
  <c r="N203" i="2"/>
  <c r="M203" i="2"/>
  <c r="O202" i="2"/>
  <c r="N202" i="2"/>
  <c r="M202" i="2"/>
  <c r="O201" i="2"/>
  <c r="N201" i="2"/>
  <c r="M201" i="2"/>
  <c r="O200" i="2"/>
  <c r="N200" i="2"/>
  <c r="M200" i="2"/>
  <c r="O199" i="2"/>
  <c r="N199" i="2"/>
  <c r="M199" i="2"/>
  <c r="O198" i="2"/>
  <c r="N198" i="2"/>
  <c r="M198" i="2"/>
  <c r="O197" i="2"/>
  <c r="N197" i="2"/>
  <c r="M197" i="2"/>
  <c r="O196" i="2"/>
  <c r="N196" i="2"/>
  <c r="M196" i="2"/>
  <c r="O195" i="2"/>
  <c r="N195" i="2"/>
  <c r="M195" i="2"/>
  <c r="O194" i="2"/>
  <c r="N194" i="2"/>
  <c r="M194" i="2"/>
  <c r="O193" i="2"/>
  <c r="N193" i="2"/>
  <c r="M193" i="2"/>
  <c r="O192" i="2"/>
  <c r="N192" i="2"/>
  <c r="M192" i="2"/>
  <c r="O191" i="2"/>
  <c r="N191" i="2"/>
  <c r="M191" i="2"/>
  <c r="O190" i="2"/>
  <c r="N190" i="2"/>
  <c r="M190" i="2"/>
  <c r="O189" i="2"/>
  <c r="N189" i="2"/>
  <c r="M189" i="2"/>
  <c r="O188" i="2"/>
  <c r="N188" i="2"/>
  <c r="M188" i="2"/>
  <c r="O187" i="2"/>
  <c r="N187" i="2"/>
  <c r="M187" i="2"/>
  <c r="O186" i="2"/>
  <c r="N186" i="2"/>
  <c r="M186" i="2"/>
  <c r="O185" i="2"/>
  <c r="N185" i="2"/>
  <c r="M185" i="2"/>
  <c r="O184" i="2"/>
  <c r="N184" i="2"/>
  <c r="M184" i="2"/>
  <c r="O183" i="2"/>
  <c r="N183" i="2"/>
  <c r="M183" i="2"/>
  <c r="O182" i="2"/>
  <c r="N182" i="2"/>
  <c r="M182" i="2"/>
  <c r="O181" i="2"/>
  <c r="N181" i="2"/>
  <c r="M181" i="2"/>
  <c r="O180" i="2"/>
  <c r="N180" i="2"/>
  <c r="M180" i="2"/>
  <c r="O179" i="2"/>
  <c r="N179" i="2"/>
  <c r="M179" i="2"/>
  <c r="O178" i="2"/>
  <c r="N178" i="2"/>
  <c r="M178" i="2"/>
  <c r="O177" i="2"/>
  <c r="N177" i="2"/>
  <c r="M177" i="2"/>
  <c r="O176" i="2"/>
  <c r="N176" i="2"/>
  <c r="M176" i="2"/>
  <c r="O175" i="2"/>
  <c r="N175" i="2"/>
  <c r="M175" i="2"/>
  <c r="O174" i="2"/>
  <c r="N174" i="2"/>
  <c r="M174" i="2"/>
  <c r="O173" i="2"/>
  <c r="N173" i="2"/>
  <c r="M173" i="2"/>
  <c r="O172" i="2"/>
  <c r="N172" i="2"/>
  <c r="M172" i="2"/>
  <c r="O171" i="2"/>
  <c r="N171" i="2"/>
  <c r="M171" i="2"/>
  <c r="O170" i="2"/>
  <c r="N170" i="2"/>
  <c r="M170" i="2"/>
  <c r="O169" i="2"/>
  <c r="N169" i="2"/>
  <c r="M169" i="2"/>
  <c r="O168" i="2"/>
  <c r="N168" i="2"/>
  <c r="M168" i="2"/>
  <c r="O167" i="2"/>
  <c r="N167" i="2"/>
  <c r="M167" i="2"/>
  <c r="O166" i="2"/>
  <c r="N166" i="2"/>
  <c r="M166" i="2"/>
  <c r="O165" i="2"/>
  <c r="N165" i="2"/>
  <c r="M165" i="2"/>
  <c r="O164" i="2"/>
  <c r="N164" i="2"/>
  <c r="M164" i="2"/>
  <c r="O163" i="2"/>
  <c r="N163" i="2"/>
  <c r="M163" i="2"/>
  <c r="O162" i="2"/>
  <c r="N162" i="2"/>
  <c r="M162" i="2"/>
  <c r="O161" i="2"/>
  <c r="N161" i="2"/>
  <c r="M161" i="2"/>
  <c r="O160" i="2"/>
  <c r="N160" i="2"/>
  <c r="M160" i="2"/>
  <c r="O159" i="2"/>
  <c r="N159" i="2"/>
  <c r="M159" i="2"/>
  <c r="O158" i="2"/>
  <c r="N158" i="2"/>
  <c r="M158" i="2"/>
  <c r="O157" i="2"/>
  <c r="N157" i="2"/>
  <c r="M157" i="2"/>
  <c r="O156" i="2"/>
  <c r="N156" i="2"/>
  <c r="M156" i="2"/>
  <c r="O155" i="2"/>
  <c r="N155" i="2"/>
  <c r="M155" i="2"/>
  <c r="O154" i="2"/>
  <c r="N154" i="2"/>
  <c r="M154" i="2"/>
  <c r="O153" i="2"/>
  <c r="N153" i="2"/>
  <c r="M153" i="2"/>
  <c r="O152" i="2"/>
  <c r="N152" i="2"/>
  <c r="M152" i="2"/>
  <c r="O151" i="2"/>
  <c r="N151" i="2"/>
  <c r="M151" i="2"/>
  <c r="O150" i="2"/>
  <c r="N150" i="2"/>
  <c r="M150" i="2"/>
  <c r="O149" i="2"/>
  <c r="N149" i="2"/>
  <c r="M149" i="2"/>
  <c r="O148" i="2"/>
  <c r="N148" i="2"/>
  <c r="M148" i="2"/>
  <c r="O147" i="2"/>
  <c r="N147" i="2"/>
  <c r="M147" i="2"/>
  <c r="O146" i="2"/>
  <c r="N146" i="2"/>
  <c r="M146" i="2"/>
  <c r="O145" i="2"/>
  <c r="N145" i="2"/>
  <c r="M145" i="2"/>
  <c r="O144" i="2"/>
  <c r="N144" i="2"/>
  <c r="M144" i="2"/>
  <c r="O143" i="2"/>
  <c r="N143" i="2"/>
  <c r="M143" i="2"/>
  <c r="O142" i="2"/>
  <c r="N142" i="2"/>
  <c r="M142" i="2"/>
  <c r="O141" i="2"/>
  <c r="N141" i="2"/>
  <c r="M141" i="2"/>
  <c r="O140" i="2"/>
  <c r="N140" i="2"/>
  <c r="M140" i="2"/>
  <c r="O139" i="2"/>
  <c r="N139" i="2"/>
  <c r="M139" i="2"/>
  <c r="O138" i="2"/>
  <c r="N138" i="2"/>
  <c r="M138" i="2"/>
  <c r="O137" i="2"/>
  <c r="N137" i="2"/>
  <c r="M137" i="2"/>
  <c r="O136" i="2"/>
  <c r="N136" i="2"/>
  <c r="M136" i="2"/>
  <c r="O135" i="2"/>
  <c r="N135" i="2"/>
  <c r="M135" i="2"/>
  <c r="O134" i="2"/>
  <c r="N134" i="2"/>
  <c r="M134" i="2"/>
  <c r="O133" i="2"/>
  <c r="N133" i="2"/>
  <c r="M133" i="2"/>
  <c r="O132" i="2"/>
  <c r="N132" i="2"/>
  <c r="M132" i="2"/>
  <c r="O131" i="2"/>
  <c r="N131" i="2"/>
  <c r="M131" i="2"/>
  <c r="O130" i="2"/>
  <c r="N130" i="2"/>
  <c r="M130" i="2"/>
  <c r="O129" i="2"/>
  <c r="N129" i="2"/>
  <c r="M129" i="2"/>
  <c r="O128" i="2"/>
  <c r="N128" i="2"/>
  <c r="M128" i="2"/>
  <c r="O127" i="2"/>
  <c r="N127" i="2"/>
  <c r="M127" i="2"/>
  <c r="O126" i="2"/>
  <c r="N126" i="2"/>
  <c r="M126" i="2"/>
  <c r="O125" i="2"/>
  <c r="N125" i="2"/>
  <c r="M125" i="2"/>
  <c r="O124" i="2"/>
  <c r="N124" i="2"/>
  <c r="M124" i="2"/>
  <c r="O123" i="2"/>
  <c r="N123" i="2"/>
  <c r="M123" i="2"/>
  <c r="O122" i="2"/>
  <c r="N122" i="2"/>
  <c r="M122" i="2"/>
  <c r="O121" i="2"/>
  <c r="N121" i="2"/>
  <c r="M121" i="2"/>
  <c r="O120" i="2"/>
  <c r="N120" i="2"/>
  <c r="M120" i="2"/>
  <c r="O119" i="2"/>
  <c r="N119" i="2"/>
  <c r="M119" i="2"/>
  <c r="O118" i="2"/>
  <c r="N118" i="2"/>
  <c r="M118" i="2"/>
  <c r="O117" i="2"/>
  <c r="N117" i="2"/>
  <c r="M117" i="2"/>
  <c r="O116" i="2"/>
  <c r="N116" i="2"/>
  <c r="M116" i="2"/>
  <c r="O115" i="2"/>
  <c r="N115" i="2"/>
  <c r="M115" i="2"/>
  <c r="O114" i="2"/>
  <c r="N114" i="2"/>
  <c r="M114" i="2"/>
  <c r="O113" i="2"/>
  <c r="N113" i="2"/>
  <c r="M113" i="2"/>
  <c r="O112" i="2"/>
  <c r="N112" i="2"/>
  <c r="M112" i="2"/>
  <c r="O111" i="2"/>
  <c r="N111" i="2"/>
  <c r="M111" i="2"/>
  <c r="O110" i="2"/>
  <c r="N110" i="2"/>
  <c r="M110" i="2"/>
  <c r="O109" i="2"/>
  <c r="N109" i="2"/>
  <c r="M109" i="2"/>
  <c r="O108" i="2"/>
  <c r="N108" i="2"/>
  <c r="M108" i="2"/>
  <c r="O107" i="2"/>
  <c r="N107" i="2"/>
  <c r="M107" i="2"/>
  <c r="O106" i="2"/>
  <c r="N106" i="2"/>
  <c r="M106" i="2"/>
  <c r="O105" i="2"/>
  <c r="N105" i="2"/>
  <c r="M105" i="2"/>
  <c r="O104" i="2"/>
  <c r="N104" i="2"/>
  <c r="M104" i="2"/>
  <c r="O103" i="2"/>
  <c r="N103" i="2"/>
  <c r="M103" i="2"/>
  <c r="O102" i="2"/>
  <c r="N102" i="2"/>
  <c r="M102" i="2"/>
  <c r="O101" i="2"/>
  <c r="N101" i="2"/>
  <c r="M101" i="2"/>
  <c r="O100" i="2"/>
  <c r="N100" i="2"/>
  <c r="M100" i="2"/>
  <c r="O99" i="2"/>
  <c r="N99" i="2"/>
  <c r="M99" i="2"/>
  <c r="O98" i="2"/>
  <c r="N98" i="2"/>
  <c r="M98" i="2"/>
  <c r="O97" i="2"/>
  <c r="N97" i="2"/>
  <c r="M97" i="2"/>
  <c r="O96" i="2"/>
  <c r="N96" i="2"/>
  <c r="M96" i="2"/>
  <c r="O95" i="2"/>
  <c r="N95" i="2"/>
  <c r="M95" i="2"/>
  <c r="O94" i="2"/>
  <c r="N94" i="2"/>
  <c r="M94" i="2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8" i="2"/>
  <c r="N88" i="2"/>
  <c r="M88" i="2"/>
  <c r="O87" i="2"/>
  <c r="N87" i="2"/>
  <c r="M87" i="2"/>
  <c r="O86" i="2"/>
  <c r="N86" i="2"/>
  <c r="M86" i="2"/>
  <c r="O85" i="2"/>
  <c r="N85" i="2"/>
  <c r="M85" i="2"/>
  <c r="O84" i="2"/>
  <c r="N84" i="2"/>
  <c r="M84" i="2"/>
  <c r="O83" i="2"/>
  <c r="N83" i="2"/>
  <c r="M83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O77" i="2"/>
  <c r="N77" i="2"/>
  <c r="M77" i="2"/>
  <c r="O76" i="2"/>
  <c r="N76" i="2"/>
  <c r="M76" i="2"/>
  <c r="O75" i="2"/>
  <c r="N75" i="2"/>
  <c r="M75" i="2"/>
  <c r="O74" i="2"/>
  <c r="N74" i="2"/>
  <c r="M74" i="2"/>
  <c r="O73" i="2"/>
  <c r="N73" i="2"/>
  <c r="M73" i="2"/>
  <c r="O72" i="2"/>
  <c r="N72" i="2"/>
  <c r="M72" i="2"/>
  <c r="O71" i="2"/>
  <c r="N71" i="2"/>
  <c r="M71" i="2"/>
  <c r="O70" i="2"/>
  <c r="N70" i="2"/>
  <c r="M70" i="2"/>
  <c r="O69" i="2"/>
  <c r="N69" i="2"/>
  <c r="M69" i="2"/>
  <c r="O68" i="2"/>
  <c r="N68" i="2"/>
  <c r="M68" i="2"/>
  <c r="O67" i="2"/>
  <c r="N67" i="2"/>
  <c r="M67" i="2"/>
  <c r="O66" i="2"/>
  <c r="N66" i="2"/>
  <c r="M66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B19" i="9" s="1"/>
  <c r="C19" i="9" s="1"/>
  <c r="N5" i="2"/>
  <c r="M5" i="2"/>
  <c r="O4" i="2"/>
  <c r="N4" i="2"/>
  <c r="M4" i="2"/>
  <c r="O3" i="2"/>
  <c r="N3" i="2"/>
  <c r="M3" i="2"/>
  <c r="O2" i="2"/>
  <c r="B13" i="9" s="1"/>
  <c r="C13" i="9" s="1"/>
  <c r="N2" i="2"/>
  <c r="B2" i="6" s="1"/>
  <c r="M2" i="2"/>
  <c r="C7" i="4" s="1"/>
  <c r="D7" i="4" s="1"/>
  <c r="E8" i="1"/>
  <c r="D5" i="1"/>
  <c r="C5" i="1"/>
  <c r="A5" i="1"/>
  <c r="B5" i="1" s="1"/>
  <c r="A8" i="1" l="1"/>
  <c r="D2" i="6"/>
  <c r="C3" i="4"/>
  <c r="D3" i="4" s="1"/>
  <c r="B3" i="6"/>
  <c r="B2" i="9"/>
  <c r="C2" i="9" s="1"/>
  <c r="B8" i="9"/>
  <c r="C8" i="9" s="1"/>
  <c r="B14" i="9"/>
  <c r="C14" i="9" s="1"/>
  <c r="C3" i="6"/>
  <c r="C4" i="4"/>
  <c r="D4" i="4" s="1"/>
  <c r="B3" i="9"/>
  <c r="C3" i="9" s="1"/>
  <c r="B9" i="9"/>
  <c r="C9" i="9" s="1"/>
  <c r="B15" i="9"/>
  <c r="C15" i="9" s="1"/>
  <c r="B4" i="6"/>
  <c r="C5" i="4"/>
  <c r="D5" i="4" s="1"/>
  <c r="C4" i="6"/>
  <c r="D4" i="6" s="1"/>
  <c r="B4" i="9"/>
  <c r="C4" i="9" s="1"/>
  <c r="B10" i="9"/>
  <c r="C10" i="9" s="1"/>
  <c r="C2" i="4"/>
  <c r="D2" i="4" s="1"/>
  <c r="C6" i="4"/>
  <c r="D6" i="4" s="1"/>
  <c r="B5" i="6"/>
  <c r="B5" i="9"/>
  <c r="C5" i="9" s="1"/>
  <c r="B11" i="9"/>
  <c r="C11" i="9" s="1"/>
  <c r="B17" i="9"/>
  <c r="C17" i="9" s="1"/>
  <c r="C5" i="6"/>
  <c r="D5" i="6" s="1"/>
  <c r="C8" i="4"/>
  <c r="D8" i="4" s="1"/>
  <c r="B6" i="9"/>
  <c r="C6" i="9" s="1"/>
  <c r="B12" i="9"/>
  <c r="C12" i="9" s="1"/>
  <c r="B18" i="9"/>
  <c r="C18" i="9" s="1"/>
  <c r="B7" i="9"/>
  <c r="C7" i="9" s="1"/>
  <c r="D3" i="6" l="1"/>
</calcChain>
</file>

<file path=xl/sharedStrings.xml><?xml version="1.0" encoding="utf-8"?>
<sst xmlns="http://schemas.openxmlformats.org/spreadsheetml/2006/main" count="60076" uniqueCount="16496">
  <si>
    <t>Sales Funnel Analytics</t>
  </si>
  <si>
    <t>Key metrics computed live from the Data sheet - change a row there and these update.</t>
  </si>
  <si>
    <t>Total Leads</t>
  </si>
  <si>
    <t>Win Rate</t>
  </si>
  <si>
    <t>Revenue Won</t>
  </si>
  <si>
    <t>Avg Deal Size</t>
  </si>
  <si>
    <t>Top Source by Win Rate</t>
  </si>
  <si>
    <t>Top Lost Reason by Value</t>
  </si>
  <si>
    <t>Top Rep by Revenue</t>
  </si>
  <si>
    <t>Top Funnel Drop-off Stage (biggest % lost vs. previous stage)</t>
  </si>
  <si>
    <t>See the Funnel sheet - stage-by-stage percentages are listed there.</t>
  </si>
  <si>
    <t>lead_id</t>
  </si>
  <si>
    <t>created_at</t>
  </si>
  <si>
    <t>source</t>
  </si>
  <si>
    <t>product</t>
  </si>
  <si>
    <t>region</t>
  </si>
  <si>
    <t>rep</t>
  </si>
  <si>
    <t>response_time_hours</t>
  </si>
  <si>
    <t>stage_reached</t>
  </si>
  <si>
    <t>status</t>
  </si>
  <si>
    <t>lost_reason</t>
  </si>
  <si>
    <t>deal_value</t>
  </si>
  <si>
    <t>closed_at</t>
  </si>
  <si>
    <t>stage_num</t>
  </si>
  <si>
    <t>response_bucket</t>
  </si>
  <si>
    <t>created_month</t>
  </si>
  <si>
    <t>LD-300000</t>
  </si>
  <si>
    <t>2025-11-14 14:30:00</t>
  </si>
  <si>
    <t>Webinar</t>
  </si>
  <si>
    <t>Coding for Kids</t>
  </si>
  <si>
    <t>International</t>
  </si>
  <si>
    <t>Rep_15</t>
  </si>
  <si>
    <t>Closed</t>
  </si>
  <si>
    <t>Won</t>
  </si>
  <si>
    <t>2025-12-15 09:41:11.226466</t>
  </si>
  <si>
    <t>LD-300001</t>
  </si>
  <si>
    <t>2026-06-12 16:52:00</t>
  </si>
  <si>
    <t>Organic Search</t>
  </si>
  <si>
    <t>Language Learning</t>
  </si>
  <si>
    <t>North Region</t>
  </si>
  <si>
    <t>Rep_01</t>
  </si>
  <si>
    <t>Contacted</t>
  </si>
  <si>
    <t>Open</t>
  </si>
  <si>
    <t>LD-300002</t>
  </si>
  <si>
    <t>2026-01-21 15:02:00</t>
  </si>
  <si>
    <t>South Region</t>
  </si>
  <si>
    <t>Rep_12</t>
  </si>
  <si>
    <t>Demo Completed</t>
  </si>
  <si>
    <t>Lost</t>
  </si>
  <si>
    <t>Went With Competitor</t>
  </si>
  <si>
    <t>2026-02-25 19:23:42.793161</t>
  </si>
  <si>
    <t>LD-300003</t>
  </si>
  <si>
    <t>2025-08-28 15:26:00</t>
  </si>
  <si>
    <t>Referral</t>
  </si>
  <si>
    <t>K-12 Math</t>
  </si>
  <si>
    <t>Rep_07</t>
  </si>
  <si>
    <t>LD-300004</t>
  </si>
  <si>
    <t>2026-06-03 10:00:00</t>
  </si>
  <si>
    <t>Paid Search</t>
  </si>
  <si>
    <t>West Region</t>
  </si>
  <si>
    <t>Rep_13</t>
  </si>
  <si>
    <t>Lead</t>
  </si>
  <si>
    <t>LD-300005</t>
  </si>
  <si>
    <t>2025-09-19 20:36:00</t>
  </si>
  <si>
    <t>LD-300006</t>
  </si>
  <si>
    <t>2025-11-14 14:03:00</t>
  </si>
  <si>
    <t>Rep_06</t>
  </si>
  <si>
    <t>LD-300007</t>
  </si>
  <si>
    <t>2025-09-01 17:03:00</t>
  </si>
  <si>
    <t>LD-300008</t>
  </si>
  <si>
    <t>2025-08-25 19:40:00</t>
  </si>
  <si>
    <t>2025-10-16 20:41:44.872095</t>
  </si>
  <si>
    <t>LD-300009</t>
  </si>
  <si>
    <t>2026-06-03 14:05:00</t>
  </si>
  <si>
    <t>LD-300010</t>
  </si>
  <si>
    <t>2026-06-22 11:08:00</t>
  </si>
  <si>
    <t>Partner Channel</t>
  </si>
  <si>
    <t>Competitive Exam Prep</t>
  </si>
  <si>
    <t>Rep_05</t>
  </si>
  <si>
    <t>LD-300011</t>
  </si>
  <si>
    <t>2025-11-11 15:49:00</t>
  </si>
  <si>
    <t>Cold Outreach</t>
  </si>
  <si>
    <t>Rep_10</t>
  </si>
  <si>
    <t>LD-300012</t>
  </si>
  <si>
    <t>2025-03-28 14:32:00</t>
  </si>
  <si>
    <t>2025-05-02 11:58:34.056521</t>
  </si>
  <si>
    <t>LD-300013</t>
  </si>
  <si>
    <t>2025-03-10 20:45:00</t>
  </si>
  <si>
    <t>LD-300014</t>
  </si>
  <si>
    <t>2026-05-04 17:50:00</t>
  </si>
  <si>
    <t>East Region</t>
  </si>
  <si>
    <t>Rep_04</t>
  </si>
  <si>
    <t>LD-300015</t>
  </si>
  <si>
    <t>2025-06-11 07:10:00</t>
  </si>
  <si>
    <t>Rep_02</t>
  </si>
  <si>
    <t>LD-300016</t>
  </si>
  <si>
    <t>2025-02-28 09:06:00</t>
  </si>
  <si>
    <t>Study Abroad Prep</t>
  </si>
  <si>
    <t>No Response / Ghosted</t>
  </si>
  <si>
    <t>2025-03-28 10:20:43.782866</t>
  </si>
  <si>
    <t>LD-300017</t>
  </si>
  <si>
    <t>2026-04-04 11:09:00</t>
  </si>
  <si>
    <t>LD-300018</t>
  </si>
  <si>
    <t>2025-09-29 09:35:00</t>
  </si>
  <si>
    <t>LD-300019</t>
  </si>
  <si>
    <t>2025-07-17 11:05:00</t>
  </si>
  <si>
    <t>Rep_11</t>
  </si>
  <si>
    <t>LD-300020</t>
  </si>
  <si>
    <t>2025-12-27 10:09:00</t>
  </si>
  <si>
    <t>2026-01-31 19:29:05.287792</t>
  </si>
  <si>
    <t>LD-300021</t>
  </si>
  <si>
    <t>2025-07-07 17:46:00</t>
  </si>
  <si>
    <t>Rep_09</t>
  </si>
  <si>
    <t>Bad Timing</t>
  </si>
  <si>
    <t>2025-07-31 00:34:05.025358</t>
  </si>
  <si>
    <t>LD-300022</t>
  </si>
  <si>
    <t>2025-04-09 19:52:00</t>
  </si>
  <si>
    <t>Rep_08</t>
  </si>
  <si>
    <t>2025-05-14 21:34:45.733557</t>
  </si>
  <si>
    <t>LD-300023</t>
  </si>
  <si>
    <t>2025-01-30 18:27:00</t>
  </si>
  <si>
    <t>LD-300024</t>
  </si>
  <si>
    <t>2025-04-18 09:52:00</t>
  </si>
  <si>
    <t>LD-300025</t>
  </si>
  <si>
    <t>2025-08-25 14:06:00</t>
  </si>
  <si>
    <t>Social Media</t>
  </si>
  <si>
    <t>LD-300026</t>
  </si>
  <si>
    <t>2025-07-18 12:47:00</t>
  </si>
  <si>
    <t>Demo Scheduled</t>
  </si>
  <si>
    <t>LD-300027</t>
  </si>
  <si>
    <t>2025-02-28 08:10:00</t>
  </si>
  <si>
    <t>LD-300028</t>
  </si>
  <si>
    <t>2026-02-13 10:50:00</t>
  </si>
  <si>
    <t>LD-300029</t>
  </si>
  <si>
    <t>2025-05-16 19:39:00</t>
  </si>
  <si>
    <t>LD-300030</t>
  </si>
  <si>
    <t>2025-11-27 13:56:00</t>
  </si>
  <si>
    <t>Rep_03</t>
  </si>
  <si>
    <t>Negotiation</t>
  </si>
  <si>
    <t>Price Objection</t>
  </si>
  <si>
    <t>2026-01-24 08:30:40.903513</t>
  </si>
  <si>
    <t>LD-300031</t>
  </si>
  <si>
    <t>2026-02-06 14:26:00</t>
  </si>
  <si>
    <t>LD-300032</t>
  </si>
  <si>
    <t>2026-04-12 19:06:00</t>
  </si>
  <si>
    <t>Rep_14</t>
  </si>
  <si>
    <t>Proposal Sent</t>
  </si>
  <si>
    <t>2026-05-23 18:53:38.125827</t>
  </si>
  <si>
    <t>LD-300033</t>
  </si>
  <si>
    <t>2025-04-03 20:22:00</t>
  </si>
  <si>
    <t>2025-05-31 22:08:19.446724</t>
  </si>
  <si>
    <t>LD-300034</t>
  </si>
  <si>
    <t>2025-12-24 20:45:00</t>
  </si>
  <si>
    <t>LD-300035</t>
  </si>
  <si>
    <t>2025-01-20 20:37:00</t>
  </si>
  <si>
    <t>2025-02-21 23:44:22.327292</t>
  </si>
  <si>
    <t>LD-300036</t>
  </si>
  <si>
    <t>2025-03-25 13:49:00</t>
  </si>
  <si>
    <t>2025-05-04 10:39:20.298738</t>
  </si>
  <si>
    <t>LD-300037</t>
  </si>
  <si>
    <t>2026-05-04 07:42:00</t>
  </si>
  <si>
    <t>LD-300038</t>
  </si>
  <si>
    <t>2025-05-16 15:22:00</t>
  </si>
  <si>
    <t>LD-300039</t>
  </si>
  <si>
    <t>2026-02-26 20:16:00</t>
  </si>
  <si>
    <t>LD-300040</t>
  </si>
  <si>
    <t>2025-03-13 08:13:00</t>
  </si>
  <si>
    <t>LD-300041</t>
  </si>
  <si>
    <t>2026-03-18 17:40:00</t>
  </si>
  <si>
    <t>LD-300042</t>
  </si>
  <si>
    <t>2026-03-14 17:30:00</t>
  </si>
  <si>
    <t>2026-04-30 00:05:39.115725</t>
  </si>
  <si>
    <t>LD-300043</t>
  </si>
  <si>
    <t>2025-08-05 07:38:00</t>
  </si>
  <si>
    <t>LD-300044</t>
  </si>
  <si>
    <t>2026-02-23 19:16:00</t>
  </si>
  <si>
    <t>2026-03-24 04:39:50.403026</t>
  </si>
  <si>
    <t>LD-300045</t>
  </si>
  <si>
    <t>2026-06-05 13:50:00</t>
  </si>
  <si>
    <t>LD-300046</t>
  </si>
  <si>
    <t>2025-09-14 18:40:00</t>
  </si>
  <si>
    <t>LD-300047</t>
  </si>
  <si>
    <t>2025-07-15 17:56:00</t>
  </si>
  <si>
    <t>LD-300048</t>
  </si>
  <si>
    <t>2026-05-27 20:22:00</t>
  </si>
  <si>
    <t>2026-06-29 01:06:46.159443</t>
  </si>
  <si>
    <t>LD-300049</t>
  </si>
  <si>
    <t>2025-05-28 11:58:00</t>
  </si>
  <si>
    <t>2025-06-21 00:50:06.965092</t>
  </si>
  <si>
    <t>LD-300050</t>
  </si>
  <si>
    <t>2026-02-18 20:45:00</t>
  </si>
  <si>
    <t>2026-04-01 16:27:38.559368</t>
  </si>
  <si>
    <t>LD-300051</t>
  </si>
  <si>
    <t>2026-01-27 17:56:00</t>
  </si>
  <si>
    <t>LD-300052</t>
  </si>
  <si>
    <t>2025-11-02 16:13:00</t>
  </si>
  <si>
    <t>2025-12-11 05:57:50.501004</t>
  </si>
  <si>
    <t>LD-300053</t>
  </si>
  <si>
    <t>2025-10-14 08:23:00</t>
  </si>
  <si>
    <t>LD-300054</t>
  </si>
  <si>
    <t>2025-09-02 19:57:00</t>
  </si>
  <si>
    <t>LD-300055</t>
  </si>
  <si>
    <t>2025-08-22 13:58:00</t>
  </si>
  <si>
    <t>LD-300056</t>
  </si>
  <si>
    <t>2025-05-08 20:34:00</t>
  </si>
  <si>
    <t>2025-06-16 17:50:27.592409</t>
  </si>
  <si>
    <t>LD-300057</t>
  </si>
  <si>
    <t>2025-08-13 10:46:00</t>
  </si>
  <si>
    <t>2025-09-16 07:25:05.485357</t>
  </si>
  <si>
    <t>LD-300058</t>
  </si>
  <si>
    <t>2025-09-26 13:29:00</t>
  </si>
  <si>
    <t>LD-300059</t>
  </si>
  <si>
    <t>2026-02-20 17:48:00</t>
  </si>
  <si>
    <t>LD-300060</t>
  </si>
  <si>
    <t>2025-11-26 16:14:00</t>
  </si>
  <si>
    <t>2025-12-22 02:45:06.304175</t>
  </si>
  <si>
    <t>LD-300061</t>
  </si>
  <si>
    <t>2026-04-17 12:12:00</t>
  </si>
  <si>
    <t>LD-300062</t>
  </si>
  <si>
    <t>2026-03-10 20:40:00</t>
  </si>
  <si>
    <t>LD-300063</t>
  </si>
  <si>
    <t>2026-06-19 08:42:00</t>
  </si>
  <si>
    <t>LD-300064</t>
  </si>
  <si>
    <t>2026-05-19 13:50:00</t>
  </si>
  <si>
    <t>LD-300065</t>
  </si>
  <si>
    <t>2026-01-19 19:04:00</t>
  </si>
  <si>
    <t>LD-300066</t>
  </si>
  <si>
    <t>2026-02-12 12:13:00</t>
  </si>
  <si>
    <t>LD-300067</t>
  </si>
  <si>
    <t>2025-01-24 14:28:00</t>
  </si>
  <si>
    <t>2025-02-24 23:37:36.990452</t>
  </si>
  <si>
    <t>LD-300068</t>
  </si>
  <si>
    <t>2026-05-15 15:56:00</t>
  </si>
  <si>
    <t>LD-300069</t>
  </si>
  <si>
    <t>2025-06-19 09:43:00</t>
  </si>
  <si>
    <t>LD-300070</t>
  </si>
  <si>
    <t>2025-09-18 20:47:00</t>
  </si>
  <si>
    <t>2025-10-28 04:15:35.442355</t>
  </si>
  <si>
    <t>LD-300071</t>
  </si>
  <si>
    <t>2025-11-21 10:23:00</t>
  </si>
  <si>
    <t>LD-300072</t>
  </si>
  <si>
    <t>2025-04-22 08:15:00</t>
  </si>
  <si>
    <t>LD-300073</t>
  </si>
  <si>
    <t>2025-10-11 16:06:00</t>
  </si>
  <si>
    <t>2025-11-13 01:28:41.921589</t>
  </si>
  <si>
    <t>LD-300074</t>
  </si>
  <si>
    <t>2025-05-02 18:19:00</t>
  </si>
  <si>
    <t>2025-06-04 05:01:54.067642</t>
  </si>
  <si>
    <t>LD-300075</t>
  </si>
  <si>
    <t>2025-08-28 14:07:00</t>
  </si>
  <si>
    <t>LD-300076</t>
  </si>
  <si>
    <t>2026-05-18 20:21:00</t>
  </si>
  <si>
    <t>LD-300077</t>
  </si>
  <si>
    <t>2025-03-06 09:24:00</t>
  </si>
  <si>
    <t>LD-300078</t>
  </si>
  <si>
    <t>2025-08-06 14:15:00</t>
  </si>
  <si>
    <t>LD-300079</t>
  </si>
  <si>
    <t>2026-04-26 14:59:00</t>
  </si>
  <si>
    <t>2026-06-19 09:03:14.537196</t>
  </si>
  <si>
    <t>LD-300080</t>
  </si>
  <si>
    <t>2025-09-26 12:56:00</t>
  </si>
  <si>
    <t>LD-300081</t>
  </si>
  <si>
    <t>2025-08-27 20:08:00</t>
  </si>
  <si>
    <t>LD-300082</t>
  </si>
  <si>
    <t>2025-07-24 14:36:00</t>
  </si>
  <si>
    <t>LD-300083</t>
  </si>
  <si>
    <t>2026-05-08 19:43:00</t>
  </si>
  <si>
    <t>2026-06-12 00:03:20.076902</t>
  </si>
  <si>
    <t>LD-300084</t>
  </si>
  <si>
    <t>2025-12-04 19:27:00</t>
  </si>
  <si>
    <t>2026-01-05 05:54:32.836208</t>
  </si>
  <si>
    <t>LD-300085</t>
  </si>
  <si>
    <t>2026-03-18 18:31:00</t>
  </si>
  <si>
    <t>LD-300086</t>
  </si>
  <si>
    <t>2026-03-20 14:44:00</t>
  </si>
  <si>
    <t>LD-300087</t>
  </si>
  <si>
    <t>2025-10-09 17:46:00</t>
  </si>
  <si>
    <t>LD-300088</t>
  </si>
  <si>
    <t>2026-06-26 14:23:00</t>
  </si>
  <si>
    <t>LD-300089</t>
  </si>
  <si>
    <t>2025-12-04 20:54:00</t>
  </si>
  <si>
    <t>LD-300090</t>
  </si>
  <si>
    <t>2026-02-23 09:31:00</t>
  </si>
  <si>
    <t>LD-300091</t>
  </si>
  <si>
    <t>2025-08-07 08:26:00</t>
  </si>
  <si>
    <t>2025-09-16 10:00:49.420102</t>
  </si>
  <si>
    <t>LD-300092</t>
  </si>
  <si>
    <t>2025-01-17 13:02:00</t>
  </si>
  <si>
    <t>LD-300093</t>
  </si>
  <si>
    <t>2025-09-05 07:05:00</t>
  </si>
  <si>
    <t>2025-10-16 12:05:33.132715</t>
  </si>
  <si>
    <t>LD-300094</t>
  </si>
  <si>
    <t>2025-08-14 19:49:00</t>
  </si>
  <si>
    <t>2025-10-07 02:50:04.365043</t>
  </si>
  <si>
    <t>LD-300095</t>
  </si>
  <si>
    <t>2025-02-04 08:16:00</t>
  </si>
  <si>
    <t>LD-300096</t>
  </si>
  <si>
    <t>2025-06-05 11:09:00</t>
  </si>
  <si>
    <t>LD-300097</t>
  </si>
  <si>
    <t>2025-11-26 19:33:00</t>
  </si>
  <si>
    <t>LD-300098</t>
  </si>
  <si>
    <t>2025-04-03 12:49:00</t>
  </si>
  <si>
    <t>LD-300099</t>
  </si>
  <si>
    <t>2025-01-19 11:49:00</t>
  </si>
  <si>
    <t>2025-03-14 19:33:26.178526</t>
  </si>
  <si>
    <t>LD-300100</t>
  </si>
  <si>
    <t>2026-01-06 12:47:00</t>
  </si>
  <si>
    <t>LD-300101</t>
  </si>
  <si>
    <t>2026-03-06 19:14:00</t>
  </si>
  <si>
    <t>LD-300102</t>
  </si>
  <si>
    <t>2025-01-10 15:21:00</t>
  </si>
  <si>
    <t>LD-300103</t>
  </si>
  <si>
    <t>2026-03-27 15:41:00</t>
  </si>
  <si>
    <t>LD-300104</t>
  </si>
  <si>
    <t>LD-300105</t>
  </si>
  <si>
    <t>2026-02-16 20:25:00</t>
  </si>
  <si>
    <t>LD-300106</t>
  </si>
  <si>
    <t>2025-12-29 12:38:00</t>
  </si>
  <si>
    <t>2026-01-31 10:46:27.534180</t>
  </si>
  <si>
    <t>LD-300107</t>
  </si>
  <si>
    <t>2026-04-24 12:11:00</t>
  </si>
  <si>
    <t>LD-300108</t>
  </si>
  <si>
    <t>2026-03-16 16:15:00</t>
  </si>
  <si>
    <t>2026-04-30 10:57:30.587351</t>
  </si>
  <si>
    <t>LD-300109</t>
  </si>
  <si>
    <t>2025-03-31 15:13:00</t>
  </si>
  <si>
    <t>LD-300110</t>
  </si>
  <si>
    <t>2026-01-31 15:13:00</t>
  </si>
  <si>
    <t>2026-03-14 06:13:13.093744</t>
  </si>
  <si>
    <t>LD-300111</t>
  </si>
  <si>
    <t>2025-02-03 13:50:00</t>
  </si>
  <si>
    <t>LD-300112</t>
  </si>
  <si>
    <t>2025-12-26 08:15:00</t>
  </si>
  <si>
    <t>LD-300113</t>
  </si>
  <si>
    <t>2025-07-04 20:29:00</t>
  </si>
  <si>
    <t>2025-08-14 05:35:53.477437</t>
  </si>
  <si>
    <t>LD-300114</t>
  </si>
  <si>
    <t>2026-03-06 17:56:00</t>
  </si>
  <si>
    <t>LD-300115</t>
  </si>
  <si>
    <t>2025-08-15 13:56:00</t>
  </si>
  <si>
    <t>2025-09-22 16:20:26.051770</t>
  </si>
  <si>
    <t>LD-300116</t>
  </si>
  <si>
    <t>2026-03-28 17:10:00</t>
  </si>
  <si>
    <t>2026-04-28 17:46:14.907042</t>
  </si>
  <si>
    <t>LD-300117</t>
  </si>
  <si>
    <t>2025-08-06 10:08:00</t>
  </si>
  <si>
    <t>LD-300118</t>
  </si>
  <si>
    <t>2026-01-30 18:35:00</t>
  </si>
  <si>
    <t>LD-300119</t>
  </si>
  <si>
    <t>2025-07-31 11:23:00</t>
  </si>
  <si>
    <t>2025-09-17 06:39:05.328985</t>
  </si>
  <si>
    <t>LD-300120</t>
  </si>
  <si>
    <t>2026-01-02 07:59:00</t>
  </si>
  <si>
    <t>2026-02-08 09:23:26.333811</t>
  </si>
  <si>
    <t>LD-300121</t>
  </si>
  <si>
    <t>2025-08-15 10:12:00</t>
  </si>
  <si>
    <t>LD-300122</t>
  </si>
  <si>
    <t>2025-05-09 11:54:00</t>
  </si>
  <si>
    <t>LD-300123</t>
  </si>
  <si>
    <t>2025-10-17 16:18:00</t>
  </si>
  <si>
    <t>LD-300124</t>
  </si>
  <si>
    <t>2026-04-18 07:09:00</t>
  </si>
  <si>
    <t>2026-05-21 00:42:56.478330</t>
  </si>
  <si>
    <t>LD-300125</t>
  </si>
  <si>
    <t>2025-10-23 16:30:00</t>
  </si>
  <si>
    <t>LD-300126</t>
  </si>
  <si>
    <t>2025-04-08 17:38:00</t>
  </si>
  <si>
    <t>LD-300127</t>
  </si>
  <si>
    <t>2025-07-19 07:11:00</t>
  </si>
  <si>
    <t>LD-300128</t>
  </si>
  <si>
    <t>2025-12-19 11:51:00</t>
  </si>
  <si>
    <t>LD-300129</t>
  </si>
  <si>
    <t>2025-12-07 19:48:00</t>
  </si>
  <si>
    <t>LD-300130</t>
  </si>
  <si>
    <t>2026-02-06 18:15:00</t>
  </si>
  <si>
    <t>LD-300131</t>
  </si>
  <si>
    <t>2025-04-28 17:02:00</t>
  </si>
  <si>
    <t>2025-05-29 03:59:37.554165</t>
  </si>
  <si>
    <t>LD-300132</t>
  </si>
  <si>
    <t>2025-02-25 19:43:00</t>
  </si>
  <si>
    <t>LD-300133</t>
  </si>
  <si>
    <t>2025-03-07 11:27:00</t>
  </si>
  <si>
    <t>LD-300134</t>
  </si>
  <si>
    <t>2025-05-01 16:22:00</t>
  </si>
  <si>
    <t>LD-300135</t>
  </si>
  <si>
    <t>2025-11-05 10:35:00</t>
  </si>
  <si>
    <t>LD-300136</t>
  </si>
  <si>
    <t>2025-03-10 18:34:00</t>
  </si>
  <si>
    <t>LD-300137</t>
  </si>
  <si>
    <t>2026-06-29 14:58:00</t>
  </si>
  <si>
    <t>LD-300138</t>
  </si>
  <si>
    <t>2026-02-25 10:21:00</t>
  </si>
  <si>
    <t>LD-300139</t>
  </si>
  <si>
    <t>2025-11-10 07:24:00</t>
  </si>
  <si>
    <t>LD-300140</t>
  </si>
  <si>
    <t>2026-04-08 09:09:00</t>
  </si>
  <si>
    <t>2026-05-11 21:49:35.040118</t>
  </si>
  <si>
    <t>LD-300141</t>
  </si>
  <si>
    <t>2026-04-07 20:55:00</t>
  </si>
  <si>
    <t>LD-300142</t>
  </si>
  <si>
    <t>2026-03-20 09:28:00</t>
  </si>
  <si>
    <t>LD-300143</t>
  </si>
  <si>
    <t>2025-12-09 13:14:00</t>
  </si>
  <si>
    <t>2026-01-07 16:32:10.563562</t>
  </si>
  <si>
    <t>LD-300144</t>
  </si>
  <si>
    <t>2026-03-09 16:41:00</t>
  </si>
  <si>
    <t>LD-300145</t>
  </si>
  <si>
    <t>2026-06-02 15:07:00</t>
  </si>
  <si>
    <t>2026-06-29 09:56:55.168991</t>
  </si>
  <si>
    <t>LD-300146</t>
  </si>
  <si>
    <t>2025-06-09 07:15:00</t>
  </si>
  <si>
    <t>LD-300147</t>
  </si>
  <si>
    <t>2025-07-02 16:09:00</t>
  </si>
  <si>
    <t>LD-300148</t>
  </si>
  <si>
    <t>2025-03-14 15:06:00</t>
  </si>
  <si>
    <t>LD-300149</t>
  </si>
  <si>
    <t>2025-01-30 16:53:00</t>
  </si>
  <si>
    <t>LD-300150</t>
  </si>
  <si>
    <t>2025-06-30 20:11:00</t>
  </si>
  <si>
    <t>LD-300151</t>
  </si>
  <si>
    <t>2025-12-07 08:53:00</t>
  </si>
  <si>
    <t>2026-01-11 07:04:40.118489</t>
  </si>
  <si>
    <t>LD-300152</t>
  </si>
  <si>
    <t>2025-01-21 10:18:00</t>
  </si>
  <si>
    <t>2025-03-11 05:50:06.615876</t>
  </si>
  <si>
    <t>LD-300153</t>
  </si>
  <si>
    <t>2026-04-09 14:07:00</t>
  </si>
  <si>
    <t>2026-05-16 13:41:15.429469</t>
  </si>
  <si>
    <t>LD-300154</t>
  </si>
  <si>
    <t>2026-01-30 12:12:00</t>
  </si>
  <si>
    <t>2026-03-24 08:28:33.181285</t>
  </si>
  <si>
    <t>LD-300155</t>
  </si>
  <si>
    <t>2025-03-07 08:51:00</t>
  </si>
  <si>
    <t>LD-300156</t>
  </si>
  <si>
    <t>2025-03-01 10:26:00</t>
  </si>
  <si>
    <t>2025-04-09 13:59:19.728308</t>
  </si>
  <si>
    <t>LD-300157</t>
  </si>
  <si>
    <t>2026-06-29 14:28:00</t>
  </si>
  <si>
    <t>LD-300158</t>
  </si>
  <si>
    <t>2025-04-09 13:40:00</t>
  </si>
  <si>
    <t>LD-300159</t>
  </si>
  <si>
    <t>2025-11-15 19:42:00</t>
  </si>
  <si>
    <t>LD-300160</t>
  </si>
  <si>
    <t>2026-04-21 07:09:00</t>
  </si>
  <si>
    <t>2026-05-10 12:00:02.146823</t>
  </si>
  <si>
    <t>LD-300161</t>
  </si>
  <si>
    <t>2025-03-21 16:35:00</t>
  </si>
  <si>
    <t>LD-300162</t>
  </si>
  <si>
    <t>2025-10-31 17:15:00</t>
  </si>
  <si>
    <t>LD-300163</t>
  </si>
  <si>
    <t>2025-01-10 09:07:00</t>
  </si>
  <si>
    <t>2025-02-12 23:49:00.342015</t>
  </si>
  <si>
    <t>LD-300164</t>
  </si>
  <si>
    <t>2026-03-15 16:06:00</t>
  </si>
  <si>
    <t>LD-300165</t>
  </si>
  <si>
    <t>2026-05-03 15:45:00</t>
  </si>
  <si>
    <t>LD-300166</t>
  </si>
  <si>
    <t>2025-12-26 07:37:00</t>
  </si>
  <si>
    <t>2026-02-02 09:33:15.998939</t>
  </si>
  <si>
    <t>LD-300167</t>
  </si>
  <si>
    <t>2025-11-23 09:21:00</t>
  </si>
  <si>
    <t>2026-01-04 05:41:41.938970</t>
  </si>
  <si>
    <t>LD-300168</t>
  </si>
  <si>
    <t>2025-02-27 17:27:00</t>
  </si>
  <si>
    <t>2025-03-31 12:53:27.572940</t>
  </si>
  <si>
    <t>LD-300169</t>
  </si>
  <si>
    <t>2025-03-08 09:58:00</t>
  </si>
  <si>
    <t>LD-300170</t>
  </si>
  <si>
    <t>2025-03-28 11:41:00</t>
  </si>
  <si>
    <t>LD-300171</t>
  </si>
  <si>
    <t>2025-05-04 14:46:00</t>
  </si>
  <si>
    <t>2025-06-14 04:49:31.884130</t>
  </si>
  <si>
    <t>LD-300172</t>
  </si>
  <si>
    <t>2025-06-27 19:12:00</t>
  </si>
  <si>
    <t>2025-08-11 02:27:25.542150</t>
  </si>
  <si>
    <t>LD-300173</t>
  </si>
  <si>
    <t>2025-05-02 11:06:00</t>
  </si>
  <si>
    <t>LD-300174</t>
  </si>
  <si>
    <t>2025-06-13 18:14:00</t>
  </si>
  <si>
    <t>2025-07-12 09:00:24.522141</t>
  </si>
  <si>
    <t>LD-300175</t>
  </si>
  <si>
    <t>2026-04-05 08:56:00</t>
  </si>
  <si>
    <t>2026-05-04 14:37:45.454412</t>
  </si>
  <si>
    <t>LD-300176</t>
  </si>
  <si>
    <t>2025-06-20 17:30:00</t>
  </si>
  <si>
    <t>LD-300177</t>
  </si>
  <si>
    <t>2025-07-24 16:31:00</t>
  </si>
  <si>
    <t>2025-08-26 04:26:19.838031</t>
  </si>
  <si>
    <t>LD-300178</t>
  </si>
  <si>
    <t>2025-06-04 13:10:00</t>
  </si>
  <si>
    <t>LD-300179</t>
  </si>
  <si>
    <t>2026-03-31 11:13:00</t>
  </si>
  <si>
    <t>LD-300180</t>
  </si>
  <si>
    <t>2026-04-24 18:36:00</t>
  </si>
  <si>
    <t>LD-300181</t>
  </si>
  <si>
    <t>2026-06-16 10:15:00</t>
  </si>
  <si>
    <t>LD-300182</t>
  </si>
  <si>
    <t>2025-07-10 07:53:00</t>
  </si>
  <si>
    <t>LD-300183</t>
  </si>
  <si>
    <t>2025-09-16 18:57:00</t>
  </si>
  <si>
    <t>2025-10-28 01:05:53.679192</t>
  </si>
  <si>
    <t>LD-300184</t>
  </si>
  <si>
    <t>2025-08-12 11:11:00</t>
  </si>
  <si>
    <t>LD-300185</t>
  </si>
  <si>
    <t>2025-02-07 10:09:00</t>
  </si>
  <si>
    <t>2025-03-14 17:53:46.518614</t>
  </si>
  <si>
    <t>LD-300186</t>
  </si>
  <si>
    <t>2026-04-28 09:22:00</t>
  </si>
  <si>
    <t>LD-300187</t>
  </si>
  <si>
    <t>2026-05-20 16:56:00</t>
  </si>
  <si>
    <t>LD-300188</t>
  </si>
  <si>
    <t>2026-03-27 15:56:00</t>
  </si>
  <si>
    <t>LD-300189</t>
  </si>
  <si>
    <t>2026-03-23 08:03:00</t>
  </si>
  <si>
    <t>2026-05-19 06:14:29.251920</t>
  </si>
  <si>
    <t>LD-300190</t>
  </si>
  <si>
    <t>2025-07-04 07:15:00</t>
  </si>
  <si>
    <t>2025-08-18 20:19:34.155664</t>
  </si>
  <si>
    <t>LD-300191</t>
  </si>
  <si>
    <t>2026-06-18 12:21:00</t>
  </si>
  <si>
    <t>LD-300192</t>
  </si>
  <si>
    <t>2025-08-28 14:27:00</t>
  </si>
  <si>
    <t>2025-10-23 22:07:50.507283</t>
  </si>
  <si>
    <t>LD-300193</t>
  </si>
  <si>
    <t>2026-02-05 10:50:00</t>
  </si>
  <si>
    <t>LD-300194</t>
  </si>
  <si>
    <t>2026-03-10 17:09:00</t>
  </si>
  <si>
    <t>2026-04-18 11:14:30.564780</t>
  </si>
  <si>
    <t>LD-300195</t>
  </si>
  <si>
    <t>2025-08-23 09:50:00</t>
  </si>
  <si>
    <t>LD-300196</t>
  </si>
  <si>
    <t>2025-04-15 11:57:00</t>
  </si>
  <si>
    <t>LD-300197</t>
  </si>
  <si>
    <t>2026-06-29 18:11:00</t>
  </si>
  <si>
    <t>LD-300198</t>
  </si>
  <si>
    <t>2025-09-05 19:44:00</t>
  </si>
  <si>
    <t>LD-300199</t>
  </si>
  <si>
    <t>2025-11-11 12:37:00</t>
  </si>
  <si>
    <t>2025-12-17 00:07:14.208179</t>
  </si>
  <si>
    <t>LD-300200</t>
  </si>
  <si>
    <t>2026-04-21 14:19:00</t>
  </si>
  <si>
    <t>LD-300201</t>
  </si>
  <si>
    <t>2025-08-01 16:36:00</t>
  </si>
  <si>
    <t>2025-10-03 17:43:04.642955</t>
  </si>
  <si>
    <t>LD-300202</t>
  </si>
  <si>
    <t>2026-02-19 07:42:00</t>
  </si>
  <si>
    <t>2026-03-22 04:59:31.173606</t>
  </si>
  <si>
    <t>LD-300203</t>
  </si>
  <si>
    <t>2025-06-16 19:50:00</t>
  </si>
  <si>
    <t>2025-07-29 06:13:51.025540</t>
  </si>
  <si>
    <t>LD-300204</t>
  </si>
  <si>
    <t>2025-04-21 10:47:00</t>
  </si>
  <si>
    <t>LD-300205</t>
  </si>
  <si>
    <t>2025-03-22 19:39:00</t>
  </si>
  <si>
    <t>LD-300206</t>
  </si>
  <si>
    <t>2025-02-20 10:44:00</t>
  </si>
  <si>
    <t>2025-03-25 11:59:03.825280</t>
  </si>
  <si>
    <t>LD-300207</t>
  </si>
  <si>
    <t>2025-10-21 16:43:00</t>
  </si>
  <si>
    <t>LD-300208</t>
  </si>
  <si>
    <t>2025-03-07 09:53:00</t>
  </si>
  <si>
    <t>LD-300209</t>
  </si>
  <si>
    <t>2025-11-28 19:19:00</t>
  </si>
  <si>
    <t>LD-300210</t>
  </si>
  <si>
    <t>2025-07-30 09:11:00</t>
  </si>
  <si>
    <t>LD-300211</t>
  </si>
  <si>
    <t>2025-08-21 17:46:00</t>
  </si>
  <si>
    <t>2025-10-15 21:13:00.992015</t>
  </si>
  <si>
    <t>LD-300212</t>
  </si>
  <si>
    <t>2026-05-14 08:05:00</t>
  </si>
  <si>
    <t>2026-06-26 01:28:55.645013</t>
  </si>
  <si>
    <t>LD-300213</t>
  </si>
  <si>
    <t>2026-06-17 13:43:00</t>
  </si>
  <si>
    <t>2026-08-02 06:41:38.275780</t>
  </si>
  <si>
    <t>LD-300214</t>
  </si>
  <si>
    <t>2026-03-25 15:38:00</t>
  </si>
  <si>
    <t>2026-05-11 08:12:38.861407</t>
  </si>
  <si>
    <t>LD-300215</t>
  </si>
  <si>
    <t>2025-04-04 10:34:00</t>
  </si>
  <si>
    <t>LD-300216</t>
  </si>
  <si>
    <t>2026-04-16 11:27:00</t>
  </si>
  <si>
    <t>LD-300217</t>
  </si>
  <si>
    <t>2026-02-06 09:36:00</t>
  </si>
  <si>
    <t>LD-300218</t>
  </si>
  <si>
    <t>2025-10-01 10:45:00</t>
  </si>
  <si>
    <t>LD-300219</t>
  </si>
  <si>
    <t>2025-06-11 11:46:00</t>
  </si>
  <si>
    <t>2025-07-12 11:48:17.622681</t>
  </si>
  <si>
    <t>LD-300220</t>
  </si>
  <si>
    <t>2025-09-06 16:23:00</t>
  </si>
  <si>
    <t>LD-300221</t>
  </si>
  <si>
    <t>2025-02-12 18:19:00</t>
  </si>
  <si>
    <t>LD-300222</t>
  </si>
  <si>
    <t>2026-04-05 20:47:00</t>
  </si>
  <si>
    <t>2026-05-27 17:12:45.036739</t>
  </si>
  <si>
    <t>LD-300223</t>
  </si>
  <si>
    <t>2025-01-24 11:54:00</t>
  </si>
  <si>
    <t>2025-03-09 03:37:21.728065</t>
  </si>
  <si>
    <t>LD-300224</t>
  </si>
  <si>
    <t>2025-04-13 10:09:00</t>
  </si>
  <si>
    <t>LD-300225</t>
  </si>
  <si>
    <t>2025-07-02 15:54:00</t>
  </si>
  <si>
    <t>LD-300226</t>
  </si>
  <si>
    <t>2026-01-10 12:32:00</t>
  </si>
  <si>
    <t>LD-300227</t>
  </si>
  <si>
    <t>2026-04-22 07:42:00</t>
  </si>
  <si>
    <t>LD-300228</t>
  </si>
  <si>
    <t>2025-06-22 13:33:00</t>
  </si>
  <si>
    <t>2025-07-28 07:12:06.238978</t>
  </si>
  <si>
    <t>LD-300229</t>
  </si>
  <si>
    <t>2025-09-12 15:33:00</t>
  </si>
  <si>
    <t>LD-300230</t>
  </si>
  <si>
    <t>2025-07-29 08:10:00</t>
  </si>
  <si>
    <t>LD-300231</t>
  </si>
  <si>
    <t>2025-07-18 10:42:00</t>
  </si>
  <si>
    <t>LD-300232</t>
  </si>
  <si>
    <t>2026-02-18 15:32:00</t>
  </si>
  <si>
    <t>LD-300233</t>
  </si>
  <si>
    <t>2026-05-01 11:16:00</t>
  </si>
  <si>
    <t>LD-300234</t>
  </si>
  <si>
    <t>2025-08-13 14:55:00</t>
  </si>
  <si>
    <t>2025-09-10 06:59:51.841941</t>
  </si>
  <si>
    <t>LD-300235</t>
  </si>
  <si>
    <t>2025-05-21 16:36:00</t>
  </si>
  <si>
    <t>LD-300236</t>
  </si>
  <si>
    <t>2025-03-14 08:35:00</t>
  </si>
  <si>
    <t>LD-300237</t>
  </si>
  <si>
    <t>2026-04-09 20:05:00</t>
  </si>
  <si>
    <t>LD-300238</t>
  </si>
  <si>
    <t>2025-03-12 16:03:00</t>
  </si>
  <si>
    <t>2025-04-18 13:09:11.826767</t>
  </si>
  <si>
    <t>LD-300239</t>
  </si>
  <si>
    <t>2025-06-18 15:10:00</t>
  </si>
  <si>
    <t>LD-300240</t>
  </si>
  <si>
    <t>2025-11-11 14:48:00</t>
  </si>
  <si>
    <t>LD-300241</t>
  </si>
  <si>
    <t>2025-04-28 07:57:00</t>
  </si>
  <si>
    <t>LD-300242</t>
  </si>
  <si>
    <t>2026-02-24 08:21:00</t>
  </si>
  <si>
    <t>LD-300243</t>
  </si>
  <si>
    <t>2026-02-20 09:55:00</t>
  </si>
  <si>
    <t>LD-300244</t>
  </si>
  <si>
    <t>2025-04-07 18:15:00</t>
  </si>
  <si>
    <t>2025-05-09 14:08:57.507606</t>
  </si>
  <si>
    <t>LD-300245</t>
  </si>
  <si>
    <t>2025-12-15 07:11:00</t>
  </si>
  <si>
    <t>LD-300246</t>
  </si>
  <si>
    <t>2025-12-24 13:38:00</t>
  </si>
  <si>
    <t>LD-300247</t>
  </si>
  <si>
    <t>2025-12-05 09:18:00</t>
  </si>
  <si>
    <t>LD-300248</t>
  </si>
  <si>
    <t>2026-06-19 20:49:00</t>
  </si>
  <si>
    <t>LD-300249</t>
  </si>
  <si>
    <t>2025-07-24 15:23:00</t>
  </si>
  <si>
    <t>LD-300250</t>
  </si>
  <si>
    <t>2025-11-21 12:09:00</t>
  </si>
  <si>
    <t>LD-300251</t>
  </si>
  <si>
    <t>2026-03-25 08:42:00</t>
  </si>
  <si>
    <t>LD-300252</t>
  </si>
  <si>
    <t>2025-01-17 11:56:00</t>
  </si>
  <si>
    <t>LD-300253</t>
  </si>
  <si>
    <t>2025-02-10 16:30:00</t>
  </si>
  <si>
    <t>LD-300254</t>
  </si>
  <si>
    <t>2026-06-19 20:42:00</t>
  </si>
  <si>
    <t>2026-08-06 00:54:19.679176</t>
  </si>
  <si>
    <t>LD-300255</t>
  </si>
  <si>
    <t>2025-11-17 11:43:00</t>
  </si>
  <si>
    <t>LD-300256</t>
  </si>
  <si>
    <t>2025-07-19 14:38:00</t>
  </si>
  <si>
    <t>LD-300257</t>
  </si>
  <si>
    <t>2025-07-04 18:48:00</t>
  </si>
  <si>
    <t>2025-08-23 17:26:35.430647</t>
  </si>
  <si>
    <t>LD-300258</t>
  </si>
  <si>
    <t>2025-06-23 07:01:00</t>
  </si>
  <si>
    <t>LD-300259</t>
  </si>
  <si>
    <t>2025-10-16 07:28:00</t>
  </si>
  <si>
    <t>2025-11-22 23:23:08.220651</t>
  </si>
  <si>
    <t>LD-300260</t>
  </si>
  <si>
    <t>2025-08-31 07:04:00</t>
  </si>
  <si>
    <t>LD-300261</t>
  </si>
  <si>
    <t>2026-06-01 15:42:00</t>
  </si>
  <si>
    <t>LD-300262</t>
  </si>
  <si>
    <t>2025-03-21 09:58:00</t>
  </si>
  <si>
    <t>LD-300263</t>
  </si>
  <si>
    <t>2026-05-18 10:36:00</t>
  </si>
  <si>
    <t>LD-300264</t>
  </si>
  <si>
    <t>2025-11-10 10:00:00</t>
  </si>
  <si>
    <t>2025-12-01 07:47:28.673324</t>
  </si>
  <si>
    <t>LD-300265</t>
  </si>
  <si>
    <t>2025-02-24 20:17:00</t>
  </si>
  <si>
    <t>2025-04-26 06:04:37.079084</t>
  </si>
  <si>
    <t>LD-300266</t>
  </si>
  <si>
    <t>2025-08-07 13:18:00</t>
  </si>
  <si>
    <t>LD-300267</t>
  </si>
  <si>
    <t>2025-09-19 18:40:00</t>
  </si>
  <si>
    <t>LD-300268</t>
  </si>
  <si>
    <t>2026-03-23 07:52:00</t>
  </si>
  <si>
    <t>LD-300269</t>
  </si>
  <si>
    <t>2025-10-24 13:41:00</t>
  </si>
  <si>
    <t>2025-12-05 20:12:05.119409</t>
  </si>
  <si>
    <t>LD-300270</t>
  </si>
  <si>
    <t>2026-06-08 15:32:00</t>
  </si>
  <si>
    <t>LD-300271</t>
  </si>
  <si>
    <t>2026-02-20 12:17:00</t>
  </si>
  <si>
    <t>LD-300272</t>
  </si>
  <si>
    <t>2025-09-18 07:58:00</t>
  </si>
  <si>
    <t>LD-300273</t>
  </si>
  <si>
    <t>2025-05-02 11:47:00</t>
  </si>
  <si>
    <t>LD-300274</t>
  </si>
  <si>
    <t>2025-06-06 12:22:00</t>
  </si>
  <si>
    <t>LD-300275</t>
  </si>
  <si>
    <t>2025-12-05 15:12:00</t>
  </si>
  <si>
    <t>LD-300276</t>
  </si>
  <si>
    <t>2026-03-27 12:29:00</t>
  </si>
  <si>
    <t>LD-300277</t>
  </si>
  <si>
    <t>2025-11-06 08:54:00</t>
  </si>
  <si>
    <t>2025-12-20 23:10:05.965017</t>
  </si>
  <si>
    <t>LD-300278</t>
  </si>
  <si>
    <t>2025-06-16 14:11:00</t>
  </si>
  <si>
    <t>LD-300279</t>
  </si>
  <si>
    <t>2025-03-16 15:35:00</t>
  </si>
  <si>
    <t>2025-04-16 18:28:54.618675</t>
  </si>
  <si>
    <t>LD-300280</t>
  </si>
  <si>
    <t>2026-06-25 09:08:00</t>
  </si>
  <si>
    <t>LD-300281</t>
  </si>
  <si>
    <t>2026-03-16 12:52:00</t>
  </si>
  <si>
    <t>LD-300282</t>
  </si>
  <si>
    <t>2026-02-04 20:50:00</t>
  </si>
  <si>
    <t>LD-300283</t>
  </si>
  <si>
    <t>2026-01-26 19:59:00</t>
  </si>
  <si>
    <t>LD-300284</t>
  </si>
  <si>
    <t>2026-06-26 09:02:00</t>
  </si>
  <si>
    <t>LD-300285</t>
  </si>
  <si>
    <t>2025-09-02 20:37:00</t>
  </si>
  <si>
    <t>LD-300286</t>
  </si>
  <si>
    <t>2025-05-16 10:53:00</t>
  </si>
  <si>
    <t>LD-300287</t>
  </si>
  <si>
    <t>2025-01-20 20:14:00</t>
  </si>
  <si>
    <t>LD-300288</t>
  </si>
  <si>
    <t>2025-10-21 16:22:00</t>
  </si>
  <si>
    <t>LD-300289</t>
  </si>
  <si>
    <t>2025-10-03 18:02:00</t>
  </si>
  <si>
    <t>Budget Not Approved</t>
  </si>
  <si>
    <t>2025-10-26 20:06:47.448871</t>
  </si>
  <si>
    <t>LD-300290</t>
  </si>
  <si>
    <t>2025-01-10 12:08:00</t>
  </si>
  <si>
    <t>LD-300291</t>
  </si>
  <si>
    <t>2025-03-28 14:02:00</t>
  </si>
  <si>
    <t>LD-300292</t>
  </si>
  <si>
    <t>2025-01-17 18:42:00</t>
  </si>
  <si>
    <t>2025-02-12 01:22:53.134460</t>
  </si>
  <si>
    <t>LD-300293</t>
  </si>
  <si>
    <t>2025-11-21 12:33:00</t>
  </si>
  <si>
    <t>LD-300294</t>
  </si>
  <si>
    <t>2025-10-03 19:42:00</t>
  </si>
  <si>
    <t>2025-11-23 15:18:26.308405</t>
  </si>
  <si>
    <t>LD-300295</t>
  </si>
  <si>
    <t>2025-07-20 19:56:00</t>
  </si>
  <si>
    <t>LD-300296</t>
  </si>
  <si>
    <t>2025-11-11 15:53:00</t>
  </si>
  <si>
    <t>2025-12-05 12:45:23.604048</t>
  </si>
  <si>
    <t>LD-300297</t>
  </si>
  <si>
    <t>2025-03-04 10:30:00</t>
  </si>
  <si>
    <t>2025-03-25 19:05:07.027937</t>
  </si>
  <si>
    <t>LD-300298</t>
  </si>
  <si>
    <t>2025-10-17 18:40:00</t>
  </si>
  <si>
    <t>LD-300299</t>
  </si>
  <si>
    <t>2025-06-04 16:50:00</t>
  </si>
  <si>
    <t>LD-300300</t>
  </si>
  <si>
    <t>2025-04-02 20:04:00</t>
  </si>
  <si>
    <t>LD-300301</t>
  </si>
  <si>
    <t>2025-08-15 18:37:00</t>
  </si>
  <si>
    <t>LD-300302</t>
  </si>
  <si>
    <t>2026-04-26 12:18:00</t>
  </si>
  <si>
    <t>LD-300303</t>
  </si>
  <si>
    <t>2025-11-19 15:50:00</t>
  </si>
  <si>
    <t>LD-300304</t>
  </si>
  <si>
    <t>2025-01-23 14:37:00</t>
  </si>
  <si>
    <t>LD-300305</t>
  </si>
  <si>
    <t>2026-03-25 15:33:00</t>
  </si>
  <si>
    <t>LD-300306</t>
  </si>
  <si>
    <t>2025-07-21 18:37:00</t>
  </si>
  <si>
    <t>2025-08-22 10:16:36.342478</t>
  </si>
  <si>
    <t>LD-300307</t>
  </si>
  <si>
    <t>2026-02-27 11:14:00</t>
  </si>
  <si>
    <t>LD-300308</t>
  </si>
  <si>
    <t>2025-12-31 09:52:00</t>
  </si>
  <si>
    <t>2026-01-25 14:54:58.559495</t>
  </si>
  <si>
    <t>LD-300309</t>
  </si>
  <si>
    <t>2025-02-07 18:45:00</t>
  </si>
  <si>
    <t>LD-300310</t>
  </si>
  <si>
    <t>2025-07-25 20:21:00</t>
  </si>
  <si>
    <t>LD-300311</t>
  </si>
  <si>
    <t>2025-06-06 10:17:00</t>
  </si>
  <si>
    <t>LD-300312</t>
  </si>
  <si>
    <t>2026-01-07 11:41:00</t>
  </si>
  <si>
    <t>2026-02-21 22:26:41.407173</t>
  </si>
  <si>
    <t>LD-300313</t>
  </si>
  <si>
    <t>2026-05-21 19:21:00</t>
  </si>
  <si>
    <t>LD-300314</t>
  </si>
  <si>
    <t>2025-09-30 16:02:00</t>
  </si>
  <si>
    <t>LD-300315</t>
  </si>
  <si>
    <t>2025-09-08 12:36:00</t>
  </si>
  <si>
    <t>LD-300316</t>
  </si>
  <si>
    <t>2026-02-12 15:57:00</t>
  </si>
  <si>
    <t>2026-03-19 00:47:34.531939</t>
  </si>
  <si>
    <t>LD-300317</t>
  </si>
  <si>
    <t>2025-04-18 12:01:00</t>
  </si>
  <si>
    <t>LD-300318</t>
  </si>
  <si>
    <t>2025-08-01 09:44:00</t>
  </si>
  <si>
    <t>LD-300319</t>
  </si>
  <si>
    <t>2025-06-23 07:46:00</t>
  </si>
  <si>
    <t>2025-08-04 22:19:41.743414</t>
  </si>
  <si>
    <t>LD-300320</t>
  </si>
  <si>
    <t>2025-03-21 09:27:00</t>
  </si>
  <si>
    <t>LD-300321</t>
  </si>
  <si>
    <t>2025-02-19 09:43:00</t>
  </si>
  <si>
    <t>2025-04-02 19:23:28.386357</t>
  </si>
  <si>
    <t>LD-300322</t>
  </si>
  <si>
    <t>2026-06-12 18:57:00</t>
  </si>
  <si>
    <t>2026-07-05 14:08:19.173247</t>
  </si>
  <si>
    <t>LD-300323</t>
  </si>
  <si>
    <t>2025-11-03 08:29:00</t>
  </si>
  <si>
    <t>2025-11-28 08:54:47.656578</t>
  </si>
  <si>
    <t>LD-300324</t>
  </si>
  <si>
    <t>2025-04-30 18:03:00</t>
  </si>
  <si>
    <t>2025-06-08 10:12:36.099416</t>
  </si>
  <si>
    <t>LD-300325</t>
  </si>
  <si>
    <t>2025-03-03 10:00:00</t>
  </si>
  <si>
    <t>2025-04-22 05:53:15.522432</t>
  </si>
  <si>
    <t>LD-300326</t>
  </si>
  <si>
    <t>2026-03-24 07:15:00</t>
  </si>
  <si>
    <t>2026-04-23 04:18:19.150338</t>
  </si>
  <si>
    <t>LD-300327</t>
  </si>
  <si>
    <t>2026-04-13 13:45:00</t>
  </si>
  <si>
    <t>LD-300328</t>
  </si>
  <si>
    <t>2026-04-27 09:03:00</t>
  </si>
  <si>
    <t>2026-06-05 09:58:39.187536</t>
  </si>
  <si>
    <t>LD-300329</t>
  </si>
  <si>
    <t>2026-06-26 08:55:00</t>
  </si>
  <si>
    <t>LD-300330</t>
  </si>
  <si>
    <t>2026-02-03 16:28:00</t>
  </si>
  <si>
    <t>2026-03-12 11:14:20.701813</t>
  </si>
  <si>
    <t>LD-300331</t>
  </si>
  <si>
    <t>2025-05-09 19:04:00</t>
  </si>
  <si>
    <t>LD-300332</t>
  </si>
  <si>
    <t>2025-10-31 19:44:00</t>
  </si>
  <si>
    <t>2025-12-05 10:21:27.622673</t>
  </si>
  <si>
    <t>LD-300333</t>
  </si>
  <si>
    <t>2025-01-24 13:24:00</t>
  </si>
  <si>
    <t>2025-03-14 02:32:48.337645</t>
  </si>
  <si>
    <t>LD-300334</t>
  </si>
  <si>
    <t>2026-04-13 11:53:00</t>
  </si>
  <si>
    <t>LD-300335</t>
  </si>
  <si>
    <t>2025-05-30 07:01:00</t>
  </si>
  <si>
    <t>LD-300336</t>
  </si>
  <si>
    <t>2025-10-07 14:02:00</t>
  </si>
  <si>
    <t>LD-300337</t>
  </si>
  <si>
    <t>2026-01-23 13:20:00</t>
  </si>
  <si>
    <t>2026-02-28 19:09:37.055941</t>
  </si>
  <si>
    <t>LD-300338</t>
  </si>
  <si>
    <t>2026-06-05 10:42:00</t>
  </si>
  <si>
    <t>LD-300339</t>
  </si>
  <si>
    <t>2025-10-07 09:50:00</t>
  </si>
  <si>
    <t>LD-300340</t>
  </si>
  <si>
    <t>2025-03-18 08:57:00</t>
  </si>
  <si>
    <t>LD-300341</t>
  </si>
  <si>
    <t>2025-08-11 17:03:00</t>
  </si>
  <si>
    <t>LD-300342</t>
  </si>
  <si>
    <t>2025-10-07 07:35:00</t>
  </si>
  <si>
    <t>2025-11-14 04:34:54.352487</t>
  </si>
  <si>
    <t>LD-300343</t>
  </si>
  <si>
    <t>2025-06-06 14:24:00</t>
  </si>
  <si>
    <t>LD-300344</t>
  </si>
  <si>
    <t>2025-08-04 16:55:00</t>
  </si>
  <si>
    <t>2025-09-02 04:22:40.677147</t>
  </si>
  <si>
    <t>LD-300345</t>
  </si>
  <si>
    <t>2026-05-06 18:20:00</t>
  </si>
  <si>
    <t>LD-300346</t>
  </si>
  <si>
    <t>2025-03-19 11:57:00</t>
  </si>
  <si>
    <t>2025-04-14 03:26:12.542703</t>
  </si>
  <si>
    <t>LD-300347</t>
  </si>
  <si>
    <t>2025-10-31 16:21:00</t>
  </si>
  <si>
    <t>LD-300348</t>
  </si>
  <si>
    <t>2025-04-14 11:36:00</t>
  </si>
  <si>
    <t>2025-05-19 17:46:02.940319</t>
  </si>
  <si>
    <t>LD-300349</t>
  </si>
  <si>
    <t>2025-04-04 11:37:00</t>
  </si>
  <si>
    <t>2025-05-21 19:55:35.901088</t>
  </si>
  <si>
    <t>LD-300350</t>
  </si>
  <si>
    <t>2025-11-07 17:24:00</t>
  </si>
  <si>
    <t>LD-300351</t>
  </si>
  <si>
    <t>2026-01-23 07:14:00</t>
  </si>
  <si>
    <t>LD-300352</t>
  </si>
  <si>
    <t>2025-02-07 09:13:00</t>
  </si>
  <si>
    <t>LD-300353</t>
  </si>
  <si>
    <t>2026-04-18 13:15:00</t>
  </si>
  <si>
    <t>2026-05-31 01:33:43.093353</t>
  </si>
  <si>
    <t>LD-300354</t>
  </si>
  <si>
    <t>2026-06-10 10:14:00</t>
  </si>
  <si>
    <t>2026-07-23 02:45:32.417294</t>
  </si>
  <si>
    <t>LD-300355</t>
  </si>
  <si>
    <t>2026-03-20 09:26:00</t>
  </si>
  <si>
    <t>2026-05-04 16:27:32.944905</t>
  </si>
  <si>
    <t>LD-300356</t>
  </si>
  <si>
    <t>2026-03-07 08:35:00</t>
  </si>
  <si>
    <t>2026-04-14 16:36:07.976770</t>
  </si>
  <si>
    <t>LD-300357</t>
  </si>
  <si>
    <t>2026-04-06 18:02:00</t>
  </si>
  <si>
    <t>2026-05-07 04:05:27.990861</t>
  </si>
  <si>
    <t>LD-300358</t>
  </si>
  <si>
    <t>2026-03-26 20:24:00</t>
  </si>
  <si>
    <t>LD-300359</t>
  </si>
  <si>
    <t>2025-07-06 17:05:00</t>
  </si>
  <si>
    <t>2025-09-05 02:03:20.986160</t>
  </si>
  <si>
    <t>LD-300360</t>
  </si>
  <si>
    <t>2026-05-28 10:26:00</t>
  </si>
  <si>
    <t>LD-300361</t>
  </si>
  <si>
    <t>2025-01-03 20:53:00</t>
  </si>
  <si>
    <t>LD-300362</t>
  </si>
  <si>
    <t>2025-05-27 14:36:00</t>
  </si>
  <si>
    <t>LD-300363</t>
  </si>
  <si>
    <t>2025-12-08 20:16:00</t>
  </si>
  <si>
    <t>2026-01-12 16:43:20.195819</t>
  </si>
  <si>
    <t>LD-300364</t>
  </si>
  <si>
    <t>2025-05-05 08:23:00</t>
  </si>
  <si>
    <t>LD-300365</t>
  </si>
  <si>
    <t>2025-04-25 19:10:00</t>
  </si>
  <si>
    <t>2025-06-06 08:22:24.818092</t>
  </si>
  <si>
    <t>LD-300366</t>
  </si>
  <si>
    <t>2025-12-19 09:25:00</t>
  </si>
  <si>
    <t>LD-300367</t>
  </si>
  <si>
    <t>2025-12-25 11:59:00</t>
  </si>
  <si>
    <t>2026-02-11 10:07:48.624524</t>
  </si>
  <si>
    <t>LD-300368</t>
  </si>
  <si>
    <t>2025-05-20 07:45:00</t>
  </si>
  <si>
    <t>LD-300369</t>
  </si>
  <si>
    <t>2025-01-03 19:43:00</t>
  </si>
  <si>
    <t>2025-02-06 15:42:25.328166</t>
  </si>
  <si>
    <t>LD-300370</t>
  </si>
  <si>
    <t>2025-11-12 11:37:00</t>
  </si>
  <si>
    <t>LD-300371</t>
  </si>
  <si>
    <t>2025-07-14 12:47:00</t>
  </si>
  <si>
    <t>LD-300372</t>
  </si>
  <si>
    <t>2026-06-08 13:55:00</t>
  </si>
  <si>
    <t>LD-300373</t>
  </si>
  <si>
    <t>2025-08-27 12:56:00</t>
  </si>
  <si>
    <t>LD-300374</t>
  </si>
  <si>
    <t>2025-12-31 18:05:00</t>
  </si>
  <si>
    <t>LD-300375</t>
  </si>
  <si>
    <t>2026-06-12 17:32:00</t>
  </si>
  <si>
    <t>LD-300376</t>
  </si>
  <si>
    <t>2025-05-07 12:19:00</t>
  </si>
  <si>
    <t>LD-300377</t>
  </si>
  <si>
    <t>2025-07-03 17:49:00</t>
  </si>
  <si>
    <t>LD-300378</t>
  </si>
  <si>
    <t>2025-02-03 10:39:00</t>
  </si>
  <si>
    <t>LD-300379</t>
  </si>
  <si>
    <t>2025-06-30 20:09:00</t>
  </si>
  <si>
    <t>LD-300380</t>
  </si>
  <si>
    <t>2025-05-29 18:47:00</t>
  </si>
  <si>
    <t>LD-300381</t>
  </si>
  <si>
    <t>2025-07-30 16:08:00</t>
  </si>
  <si>
    <t>2025-09-08 06:45:45.614712</t>
  </si>
  <si>
    <t>LD-300382</t>
  </si>
  <si>
    <t>2025-07-05 10:38:00</t>
  </si>
  <si>
    <t>LD-300383</t>
  </si>
  <si>
    <t>2025-12-10 10:39:00</t>
  </si>
  <si>
    <t>2025-12-30 15:05:14.839229</t>
  </si>
  <si>
    <t>LD-300384</t>
  </si>
  <si>
    <t>2025-08-28 10:43:00</t>
  </si>
  <si>
    <t>LD-300385</t>
  </si>
  <si>
    <t>2025-01-03 08:29:00</t>
  </si>
  <si>
    <t>LD-300386</t>
  </si>
  <si>
    <t>2025-04-04 12:13:00</t>
  </si>
  <si>
    <t>LD-300387</t>
  </si>
  <si>
    <t>2025-05-29 19:22:00</t>
  </si>
  <si>
    <t>2025-07-17 21:45:42.096116</t>
  </si>
  <si>
    <t>LD-300388</t>
  </si>
  <si>
    <t>2025-04-06 15:55:00</t>
  </si>
  <si>
    <t>LD-300389</t>
  </si>
  <si>
    <t>2026-01-23 15:46:00</t>
  </si>
  <si>
    <t>2026-03-02 17:40:29.797412</t>
  </si>
  <si>
    <t>LD-300390</t>
  </si>
  <si>
    <t>2025-12-31 07:45:00</t>
  </si>
  <si>
    <t>2026-02-08 00:47:41.968973</t>
  </si>
  <si>
    <t>LD-300391</t>
  </si>
  <si>
    <t>2025-07-18 08:14:00</t>
  </si>
  <si>
    <t>2025-08-25 22:15:49.788012</t>
  </si>
  <si>
    <t>LD-300392</t>
  </si>
  <si>
    <t>2026-06-21 17:09:00</t>
  </si>
  <si>
    <t>LD-300393</t>
  </si>
  <si>
    <t>2026-04-02 09:48:00</t>
  </si>
  <si>
    <t>2026-05-11 08:43:41.703880</t>
  </si>
  <si>
    <t>LD-300394</t>
  </si>
  <si>
    <t>2025-10-30 20:55:00</t>
  </si>
  <si>
    <t>LD-300395</t>
  </si>
  <si>
    <t>2025-08-16 19:25:00</t>
  </si>
  <si>
    <t>LD-300396</t>
  </si>
  <si>
    <t>2025-12-23 20:15:00</t>
  </si>
  <si>
    <t>LD-300397</t>
  </si>
  <si>
    <t>2025-10-31 13:33:00</t>
  </si>
  <si>
    <t>2025-12-07 07:41:52.171783</t>
  </si>
  <si>
    <t>LD-300398</t>
  </si>
  <si>
    <t>2026-01-14 20:01:00</t>
  </si>
  <si>
    <t>LD-300399</t>
  </si>
  <si>
    <t>2025-03-03 10:56:00</t>
  </si>
  <si>
    <t>LD-300400</t>
  </si>
  <si>
    <t>2025-07-14 09:58:00</t>
  </si>
  <si>
    <t>LD-300401</t>
  </si>
  <si>
    <t>2025-11-04 10:28:00</t>
  </si>
  <si>
    <t>2025-12-04 06:06:46.232037</t>
  </si>
  <si>
    <t>LD-300402</t>
  </si>
  <si>
    <t>2025-12-18 11:38:00</t>
  </si>
  <si>
    <t>2026-01-26 09:03:04.860720</t>
  </si>
  <si>
    <t>LD-300403</t>
  </si>
  <si>
    <t>2025-09-23 08:46:00</t>
  </si>
  <si>
    <t>LD-300404</t>
  </si>
  <si>
    <t>2025-05-30 08:47:00</t>
  </si>
  <si>
    <t>LD-300405</t>
  </si>
  <si>
    <t>2025-07-14 17:10:00</t>
  </si>
  <si>
    <t>LD-300406</t>
  </si>
  <si>
    <t>2026-05-13 20:09:00</t>
  </si>
  <si>
    <t>LD-300407</t>
  </si>
  <si>
    <t>2025-11-07 19:08:00</t>
  </si>
  <si>
    <t>LD-300408</t>
  </si>
  <si>
    <t>2025-08-26 19:54:00</t>
  </si>
  <si>
    <t>2025-09-21 19:28:12.976403</t>
  </si>
  <si>
    <t>LD-300409</t>
  </si>
  <si>
    <t>2025-07-16 17:42:00</t>
  </si>
  <si>
    <t>LD-300410</t>
  </si>
  <si>
    <t>2025-02-27 08:55:00</t>
  </si>
  <si>
    <t>LD-300411</t>
  </si>
  <si>
    <t>2026-05-21 15:21:00</t>
  </si>
  <si>
    <t>LD-300412</t>
  </si>
  <si>
    <t>2025-11-18 08:24:00</t>
  </si>
  <si>
    <t>LD-300413</t>
  </si>
  <si>
    <t>2026-03-31 08:52:00</t>
  </si>
  <si>
    <t>2026-05-16 14:33:47.062935</t>
  </si>
  <si>
    <t>LD-300414</t>
  </si>
  <si>
    <t>2025-09-21 17:35:00</t>
  </si>
  <si>
    <t>LD-300415</t>
  </si>
  <si>
    <t>2026-01-10 13:57:00</t>
  </si>
  <si>
    <t>LD-300416</t>
  </si>
  <si>
    <t>2025-02-20 16:49:00</t>
  </si>
  <si>
    <t>LD-300417</t>
  </si>
  <si>
    <t>2025-04-01 17:34:00</t>
  </si>
  <si>
    <t>2025-05-17 19:18:18.895083</t>
  </si>
  <si>
    <t>LD-300418</t>
  </si>
  <si>
    <t>2025-07-01 11:07:00</t>
  </si>
  <si>
    <t>LD-300419</t>
  </si>
  <si>
    <t>2026-05-21 15:37:00</t>
  </si>
  <si>
    <t>LD-300420</t>
  </si>
  <si>
    <t>2025-11-20 14:41:00</t>
  </si>
  <si>
    <t>2026-01-03 01:22:21.005351</t>
  </si>
  <si>
    <t>LD-300421</t>
  </si>
  <si>
    <t>2026-04-16 07:19:00</t>
  </si>
  <si>
    <t>LD-300422</t>
  </si>
  <si>
    <t>2025-04-27 20:44:00</t>
  </si>
  <si>
    <t>LD-300423</t>
  </si>
  <si>
    <t>2025-12-02 08:53:00</t>
  </si>
  <si>
    <t>2025-12-27 12:49:32.560448</t>
  </si>
  <si>
    <t>LD-300424</t>
  </si>
  <si>
    <t>2025-12-12 16:05:00</t>
  </si>
  <si>
    <t>LD-300425</t>
  </si>
  <si>
    <t>2026-01-09 13:52:00</t>
  </si>
  <si>
    <t>LD-300426</t>
  </si>
  <si>
    <t>2025-06-26 17:58:00</t>
  </si>
  <si>
    <t>LD-300427</t>
  </si>
  <si>
    <t>2025-01-07 07:08:00</t>
  </si>
  <si>
    <t>2025-02-10 09:36:40.637538</t>
  </si>
  <si>
    <t>LD-300428</t>
  </si>
  <si>
    <t>2025-11-21 18:26:00</t>
  </si>
  <si>
    <t>2025-12-23 05:27:05.317205</t>
  </si>
  <si>
    <t>LD-300429</t>
  </si>
  <si>
    <t>2026-04-05 16:54:00</t>
  </si>
  <si>
    <t>LD-300430</t>
  </si>
  <si>
    <t>2025-01-12 13:20:00</t>
  </si>
  <si>
    <t>2025-02-27 09:30:27.181938</t>
  </si>
  <si>
    <t>LD-300431</t>
  </si>
  <si>
    <t>2025-11-18 07:28:00</t>
  </si>
  <si>
    <t>LD-300432</t>
  </si>
  <si>
    <t>2025-02-11 11:36:00</t>
  </si>
  <si>
    <t>LD-300433</t>
  </si>
  <si>
    <t>2025-03-17 15:47:00</t>
  </si>
  <si>
    <t>LD-300434</t>
  </si>
  <si>
    <t>2025-04-08 10:02:00</t>
  </si>
  <si>
    <t>2025-05-30 05:05:47.160309</t>
  </si>
  <si>
    <t>LD-300435</t>
  </si>
  <si>
    <t>2026-01-22 12:11:00</t>
  </si>
  <si>
    <t>LD-300436</t>
  </si>
  <si>
    <t>2025-06-24 16:41:00</t>
  </si>
  <si>
    <t>LD-300437</t>
  </si>
  <si>
    <t>2026-05-16 08:01:00</t>
  </si>
  <si>
    <t>2026-06-28 19:03:03.873483</t>
  </si>
  <si>
    <t>LD-300438</t>
  </si>
  <si>
    <t>2025-04-11 11:33:00</t>
  </si>
  <si>
    <t>LD-300439</t>
  </si>
  <si>
    <t>2026-02-27 16:51:00</t>
  </si>
  <si>
    <t>LD-300440</t>
  </si>
  <si>
    <t>2026-01-10 13:09:00</t>
  </si>
  <si>
    <t>LD-300441</t>
  </si>
  <si>
    <t>2026-06-05 11:25:00</t>
  </si>
  <si>
    <t>LD-300442</t>
  </si>
  <si>
    <t>2026-03-13 20:01:00</t>
  </si>
  <si>
    <t>LD-300443</t>
  </si>
  <si>
    <t>2026-02-23 18:48:00</t>
  </si>
  <si>
    <t>LD-300444</t>
  </si>
  <si>
    <t>2025-01-14 12:49:00</t>
  </si>
  <si>
    <t>LD-300445</t>
  </si>
  <si>
    <t>2025-10-24 12:14:00</t>
  </si>
  <si>
    <t>LD-300446</t>
  </si>
  <si>
    <t>2025-07-24 17:25:00</t>
  </si>
  <si>
    <t>2025-08-15 08:06:24.097274</t>
  </si>
  <si>
    <t>LD-300447</t>
  </si>
  <si>
    <t>2025-02-07 16:22:00</t>
  </si>
  <si>
    <t>2025-03-11 03:37:44.918940</t>
  </si>
  <si>
    <t>LD-300448</t>
  </si>
  <si>
    <t>2025-10-28 13:39:00</t>
  </si>
  <si>
    <t>LD-300449</t>
  </si>
  <si>
    <t>2025-01-24 08:07:00</t>
  </si>
  <si>
    <t>LD-300450</t>
  </si>
  <si>
    <t>2026-01-16 11:02:00</t>
  </si>
  <si>
    <t>LD-300451</t>
  </si>
  <si>
    <t>2026-04-03 08:32:00</t>
  </si>
  <si>
    <t>2026-05-12 05:10:17.858482</t>
  </si>
  <si>
    <t>LD-300452</t>
  </si>
  <si>
    <t>2026-01-12 19:26:00</t>
  </si>
  <si>
    <t>LD-300453</t>
  </si>
  <si>
    <t>2025-06-13 12:41:00</t>
  </si>
  <si>
    <t>LD-300454</t>
  </si>
  <si>
    <t>2025-08-15 07:42:00</t>
  </si>
  <si>
    <t>LD-300455</t>
  </si>
  <si>
    <t>2025-05-05 20:23:00</t>
  </si>
  <si>
    <t>2025-06-27 18:41:03.127494</t>
  </si>
  <si>
    <t>LD-300456</t>
  </si>
  <si>
    <t>2026-01-11 19:57:00</t>
  </si>
  <si>
    <t>2026-02-10 11:18:30.657909</t>
  </si>
  <si>
    <t>LD-300457</t>
  </si>
  <si>
    <t>2025-10-17 07:40:00</t>
  </si>
  <si>
    <t>LD-300458</t>
  </si>
  <si>
    <t>2025-04-24 18:44:00</t>
  </si>
  <si>
    <t>2025-05-19 10:24:31.283341</t>
  </si>
  <si>
    <t>LD-300459</t>
  </si>
  <si>
    <t>2025-11-14 10:51:00</t>
  </si>
  <si>
    <t>LD-300460</t>
  </si>
  <si>
    <t>2026-01-16 08:45:00</t>
  </si>
  <si>
    <t>2026-02-22 00:11:46.448858</t>
  </si>
  <si>
    <t>LD-300461</t>
  </si>
  <si>
    <t>2026-03-17 17:27:00</t>
  </si>
  <si>
    <t>2026-04-20 00:35:07.389610</t>
  </si>
  <si>
    <t>LD-300462</t>
  </si>
  <si>
    <t>2025-11-13 09:54:00</t>
  </si>
  <si>
    <t>LD-300463</t>
  </si>
  <si>
    <t>2026-02-13 07:11:00</t>
  </si>
  <si>
    <t>LD-300464</t>
  </si>
  <si>
    <t>2025-02-17 16:17:00</t>
  </si>
  <si>
    <t>LD-300465</t>
  </si>
  <si>
    <t>2026-02-18 12:48:00</t>
  </si>
  <si>
    <t>2026-03-29 22:36:54.578043</t>
  </si>
  <si>
    <t>LD-300466</t>
  </si>
  <si>
    <t>2025-11-18 20:29:00</t>
  </si>
  <si>
    <t>2025-12-29 16:51:17.469547</t>
  </si>
  <si>
    <t>LD-300467</t>
  </si>
  <si>
    <t>2025-06-10 09:42:00</t>
  </si>
  <si>
    <t>LD-300468</t>
  </si>
  <si>
    <t>2025-03-06 13:55:00</t>
  </si>
  <si>
    <t>LD-300469</t>
  </si>
  <si>
    <t>2025-08-21 13:39:00</t>
  </si>
  <si>
    <t>2025-09-28 14:01:30.659213</t>
  </si>
  <si>
    <t>LD-300470</t>
  </si>
  <si>
    <t>2026-05-01 12:03:00</t>
  </si>
  <si>
    <t>LD-300471</t>
  </si>
  <si>
    <t>2025-10-04 16:47:00</t>
  </si>
  <si>
    <t>2025-11-05 19:19:37.712231</t>
  </si>
  <si>
    <t>LD-300472</t>
  </si>
  <si>
    <t>2026-01-30 18:19:00</t>
  </si>
  <si>
    <t>2026-02-19 09:00:05.785065</t>
  </si>
  <si>
    <t>LD-300473</t>
  </si>
  <si>
    <t>2025-02-27 19:18:00</t>
  </si>
  <si>
    <t>LD-300474</t>
  </si>
  <si>
    <t>2026-03-06 14:04:00</t>
  </si>
  <si>
    <t>2026-04-02 03:53:08.419189</t>
  </si>
  <si>
    <t>LD-300475</t>
  </si>
  <si>
    <t>2026-05-29 10:42:00</t>
  </si>
  <si>
    <t>LD-300476</t>
  </si>
  <si>
    <t>2025-10-13 08:20:00</t>
  </si>
  <si>
    <t>LD-300477</t>
  </si>
  <si>
    <t>2025-08-29 09:00:00</t>
  </si>
  <si>
    <t>2025-09-28 20:30:48.064083</t>
  </si>
  <si>
    <t>LD-300478</t>
  </si>
  <si>
    <t>2026-04-14 16:55:00</t>
  </si>
  <si>
    <t>LD-300479</t>
  </si>
  <si>
    <t>2025-06-21 13:23:00</t>
  </si>
  <si>
    <t>2025-07-30 20:40:52.720895</t>
  </si>
  <si>
    <t>LD-300480</t>
  </si>
  <si>
    <t>2026-05-22 14:34:00</t>
  </si>
  <si>
    <t>LD-300481</t>
  </si>
  <si>
    <t>2026-05-15 16:41:00</t>
  </si>
  <si>
    <t>LD-300482</t>
  </si>
  <si>
    <t>2026-04-17 20:32:00</t>
  </si>
  <si>
    <t>LD-300483</t>
  </si>
  <si>
    <t>2026-03-06 16:01:00</t>
  </si>
  <si>
    <t>LD-300484</t>
  </si>
  <si>
    <t>2025-02-16 07:52:00</t>
  </si>
  <si>
    <t>2025-03-23 13:46:35.448191</t>
  </si>
  <si>
    <t>LD-300485</t>
  </si>
  <si>
    <t>2026-04-19 14:05:00</t>
  </si>
  <si>
    <t>2026-05-22 10:35:33.193605</t>
  </si>
  <si>
    <t>LD-300486</t>
  </si>
  <si>
    <t>2025-07-22 20:25:00</t>
  </si>
  <si>
    <t>LD-300487</t>
  </si>
  <si>
    <t>2026-01-16 07:25:00</t>
  </si>
  <si>
    <t>LD-300488</t>
  </si>
  <si>
    <t>2025-09-12 16:20:00</t>
  </si>
  <si>
    <t>LD-300489</t>
  </si>
  <si>
    <t>2026-02-11 08:11:00</t>
  </si>
  <si>
    <t>LD-300490</t>
  </si>
  <si>
    <t>2025-12-05 07:21:00</t>
  </si>
  <si>
    <t>LD-300491</t>
  </si>
  <si>
    <t>2025-08-08 15:51:00</t>
  </si>
  <si>
    <t>LD-300492</t>
  </si>
  <si>
    <t>2025-03-01 08:46:00</t>
  </si>
  <si>
    <t>LD-300493</t>
  </si>
  <si>
    <t>2026-05-15 17:25:00</t>
  </si>
  <si>
    <t>LD-300494</t>
  </si>
  <si>
    <t>2025-02-21 14:03:00</t>
  </si>
  <si>
    <t>LD-300495</t>
  </si>
  <si>
    <t>2026-01-22 14:33:00</t>
  </si>
  <si>
    <t>LD-300496</t>
  </si>
  <si>
    <t>2025-10-10 09:44:00</t>
  </si>
  <si>
    <t>LD-300497</t>
  </si>
  <si>
    <t>2025-04-08 11:24:00</t>
  </si>
  <si>
    <t>LD-300498</t>
  </si>
  <si>
    <t>2026-02-09 12:16:00</t>
  </si>
  <si>
    <t>2026-03-13 17:24:52.476317</t>
  </si>
  <si>
    <t>LD-300499</t>
  </si>
  <si>
    <t>2025-09-13 17:04:00</t>
  </si>
  <si>
    <t>LD-300500</t>
  </si>
  <si>
    <t>2026-01-08 14:38:00</t>
  </si>
  <si>
    <t>2026-02-23 17:11:39.061088</t>
  </si>
  <si>
    <t>LD-300501</t>
  </si>
  <si>
    <t>2025-11-05 18:16:00</t>
  </si>
  <si>
    <t>2025-12-15 05:43:07.187638</t>
  </si>
  <si>
    <t>LD-300502</t>
  </si>
  <si>
    <t>2026-03-29 16:46:00</t>
  </si>
  <si>
    <t>LD-300503</t>
  </si>
  <si>
    <t>2026-02-23 17:35:00</t>
  </si>
  <si>
    <t>2026-04-09 12:13:41.343924</t>
  </si>
  <si>
    <t>LD-300504</t>
  </si>
  <si>
    <t>2026-02-12 14:03:00</t>
  </si>
  <si>
    <t>LD-300505</t>
  </si>
  <si>
    <t>2026-03-02 18:14:00</t>
  </si>
  <si>
    <t>LD-300506</t>
  </si>
  <si>
    <t>2026-03-20 18:04:00</t>
  </si>
  <si>
    <t>2026-04-15 17:44:49.741939</t>
  </si>
  <si>
    <t>LD-300507</t>
  </si>
  <si>
    <t>2025-03-09 12:43:00</t>
  </si>
  <si>
    <t>LD-300508</t>
  </si>
  <si>
    <t>2025-10-16 13:51:00</t>
  </si>
  <si>
    <t>2025-11-18 12:21:16.050331</t>
  </si>
  <si>
    <t>LD-300509</t>
  </si>
  <si>
    <t>2026-04-17 17:13:00</t>
  </si>
  <si>
    <t>LD-300510</t>
  </si>
  <si>
    <t>2025-02-22 17:30:00</t>
  </si>
  <si>
    <t>LD-300511</t>
  </si>
  <si>
    <t>2026-05-22 15:35:00</t>
  </si>
  <si>
    <t>LD-300512</t>
  </si>
  <si>
    <t>2025-10-20 12:47:00</t>
  </si>
  <si>
    <t>LD-300513</t>
  </si>
  <si>
    <t>2025-12-26 14:10:00</t>
  </si>
  <si>
    <t>LD-300514</t>
  </si>
  <si>
    <t>2025-08-23 07:28:00</t>
  </si>
  <si>
    <t>LD-300515</t>
  </si>
  <si>
    <t>2025-07-31 11:16:00</t>
  </si>
  <si>
    <t>2025-09-09 09:14:58.953227</t>
  </si>
  <si>
    <t>LD-300516</t>
  </si>
  <si>
    <t>2025-12-19 09:04:00</t>
  </si>
  <si>
    <t>LD-300517</t>
  </si>
  <si>
    <t>2025-02-12 09:25:00</t>
  </si>
  <si>
    <t>LD-300518</t>
  </si>
  <si>
    <t>2026-01-16 10:24:00</t>
  </si>
  <si>
    <t>LD-300519</t>
  </si>
  <si>
    <t>2025-12-11 11:18:00</t>
  </si>
  <si>
    <t>2025-12-31 20:01:20.508679</t>
  </si>
  <si>
    <t>LD-300520</t>
  </si>
  <si>
    <t>2026-06-01 14:51:00</t>
  </si>
  <si>
    <t>LD-300521</t>
  </si>
  <si>
    <t>2026-02-02 15:04:00</t>
  </si>
  <si>
    <t>LD-300522</t>
  </si>
  <si>
    <t>2025-11-11 15:57:00</t>
  </si>
  <si>
    <t>LD-300523</t>
  </si>
  <si>
    <t>2025-12-23 07:11:00</t>
  </si>
  <si>
    <t>LD-300524</t>
  </si>
  <si>
    <t>2025-12-02 09:15:00</t>
  </si>
  <si>
    <t>LD-300525</t>
  </si>
  <si>
    <t>2025-03-05 16:15:00</t>
  </si>
  <si>
    <t>LD-300526</t>
  </si>
  <si>
    <t>2025-04-07 11:41:00</t>
  </si>
  <si>
    <t>LD-300527</t>
  </si>
  <si>
    <t>2025-06-20 11:15:00</t>
  </si>
  <si>
    <t>2025-08-04 16:51:32.881325</t>
  </si>
  <si>
    <t>LD-300528</t>
  </si>
  <si>
    <t>2025-09-15 10:04:00</t>
  </si>
  <si>
    <t>LD-300529</t>
  </si>
  <si>
    <t>2025-12-25 13:31:00</t>
  </si>
  <si>
    <t>LD-300530</t>
  </si>
  <si>
    <t>2026-01-07 16:22:00</t>
  </si>
  <si>
    <t>2026-02-17 21:18:04.832909</t>
  </si>
  <si>
    <t>LD-300531</t>
  </si>
  <si>
    <t>2026-03-04 14:58:00</t>
  </si>
  <si>
    <t>LD-300532</t>
  </si>
  <si>
    <t>2025-01-31 07:32:00</t>
  </si>
  <si>
    <t>2025-03-20 00:43:22.185399</t>
  </si>
  <si>
    <t>LD-300533</t>
  </si>
  <si>
    <t>2025-02-18 14:45:00</t>
  </si>
  <si>
    <t>LD-300534</t>
  </si>
  <si>
    <t>2025-02-08 20:51:00</t>
  </si>
  <si>
    <t>LD-300535</t>
  </si>
  <si>
    <t>2025-02-01 11:41:00</t>
  </si>
  <si>
    <t>2025-03-07 12:06:26.942769</t>
  </si>
  <si>
    <t>LD-300536</t>
  </si>
  <si>
    <t>2026-04-29 17:31:00</t>
  </si>
  <si>
    <t>LD-300537</t>
  </si>
  <si>
    <t>2026-01-16 08:57:00</t>
  </si>
  <si>
    <t>2026-03-03 15:58:48.634542</t>
  </si>
  <si>
    <t>LD-300538</t>
  </si>
  <si>
    <t>2025-10-24 13:27:00</t>
  </si>
  <si>
    <t>LD-300539</t>
  </si>
  <si>
    <t>2026-05-13 17:29:00</t>
  </si>
  <si>
    <t>LD-300540</t>
  </si>
  <si>
    <t>2026-06-22 10:52:00</t>
  </si>
  <si>
    <t>LD-300541</t>
  </si>
  <si>
    <t>2025-03-19 08:26:00</t>
  </si>
  <si>
    <t>LD-300542</t>
  </si>
  <si>
    <t>2025-05-30 20:33:00</t>
  </si>
  <si>
    <t>LD-300543</t>
  </si>
  <si>
    <t>2025-10-01 16:01:00</t>
  </si>
  <si>
    <t>2025-11-03 13:57:58.187043</t>
  </si>
  <si>
    <t>LD-300544</t>
  </si>
  <si>
    <t>2026-05-08 10:23:00</t>
  </si>
  <si>
    <t>2026-06-27 05:50:22.949311</t>
  </si>
  <si>
    <t>LD-300545</t>
  </si>
  <si>
    <t>2025-05-13 08:58:00</t>
  </si>
  <si>
    <t>2025-07-07 23:51:54.041156</t>
  </si>
  <si>
    <t>LD-300546</t>
  </si>
  <si>
    <t>2025-06-24 11:27:00</t>
  </si>
  <si>
    <t>2025-08-01 16:19:15.367679</t>
  </si>
  <si>
    <t>LD-300547</t>
  </si>
  <si>
    <t>2025-10-22 14:28:00</t>
  </si>
  <si>
    <t>LD-300548</t>
  </si>
  <si>
    <t>2025-05-27 07:09:00</t>
  </si>
  <si>
    <t>LD-300549</t>
  </si>
  <si>
    <t>2026-04-17 07:17:00</t>
  </si>
  <si>
    <t>LD-300550</t>
  </si>
  <si>
    <t>2025-12-19 12:17:00</t>
  </si>
  <si>
    <t>LD-300551</t>
  </si>
  <si>
    <t>2025-10-25 12:58:00</t>
  </si>
  <si>
    <t>LD-300552</t>
  </si>
  <si>
    <t>2025-01-31 12:31:00</t>
  </si>
  <si>
    <t>2025-03-11 13:20:23.682892</t>
  </si>
  <si>
    <t>LD-300553</t>
  </si>
  <si>
    <t>2025-03-24 13:02:00</t>
  </si>
  <si>
    <t>2025-05-13 16:29:28.031484</t>
  </si>
  <si>
    <t>LD-300554</t>
  </si>
  <si>
    <t>2026-06-18 17:44:00</t>
  </si>
  <si>
    <t>2026-08-01 00:14:51.620342</t>
  </si>
  <si>
    <t>LD-300555</t>
  </si>
  <si>
    <t>2025-01-22 10:34:00</t>
  </si>
  <si>
    <t>LD-300556</t>
  </si>
  <si>
    <t>2025-01-30 17:53:00</t>
  </si>
  <si>
    <t>LD-300557</t>
  </si>
  <si>
    <t>2025-01-22 12:39:00</t>
  </si>
  <si>
    <t>LD-300558</t>
  </si>
  <si>
    <t>2026-05-24 08:01:00</t>
  </si>
  <si>
    <t>LD-300559</t>
  </si>
  <si>
    <t>2025-05-02 13:02:00</t>
  </si>
  <si>
    <t>2025-06-15 02:12:05.063021</t>
  </si>
  <si>
    <t>LD-300560</t>
  </si>
  <si>
    <t>2026-05-15 14:06:00</t>
  </si>
  <si>
    <t>LD-300561</t>
  </si>
  <si>
    <t>2025-12-26 15:09:00</t>
  </si>
  <si>
    <t>LD-300562</t>
  </si>
  <si>
    <t>2025-09-07 10:30:00</t>
  </si>
  <si>
    <t>LD-300563</t>
  </si>
  <si>
    <t>2025-06-24 16:45:00</t>
  </si>
  <si>
    <t>2025-08-13 13:59:05.990214</t>
  </si>
  <si>
    <t>LD-300564</t>
  </si>
  <si>
    <t>2025-01-20 16:54:00</t>
  </si>
  <si>
    <t>LD-300565</t>
  </si>
  <si>
    <t>2025-07-31 12:14:00</t>
  </si>
  <si>
    <t>LD-300566</t>
  </si>
  <si>
    <t>2025-06-01 08:55:00</t>
  </si>
  <si>
    <t>LD-300567</t>
  </si>
  <si>
    <t>2025-01-08 20:46:00</t>
  </si>
  <si>
    <t>2025-02-13 12:58:24.852338</t>
  </si>
  <si>
    <t>LD-300568</t>
  </si>
  <si>
    <t>2026-03-26 18:21:00</t>
  </si>
  <si>
    <t>2026-04-19 02:07:20.132946</t>
  </si>
  <si>
    <t>LD-300569</t>
  </si>
  <si>
    <t>2026-06-19 19:27:00</t>
  </si>
  <si>
    <t>LD-300570</t>
  </si>
  <si>
    <t>2025-01-17 19:14:00</t>
  </si>
  <si>
    <t>LD-300571</t>
  </si>
  <si>
    <t>2025-07-25 07:16:00</t>
  </si>
  <si>
    <t>2025-08-26 00:23:28.562967</t>
  </si>
  <si>
    <t>LD-300572</t>
  </si>
  <si>
    <t>2025-03-28 09:46:00</t>
  </si>
  <si>
    <t>LD-300573</t>
  </si>
  <si>
    <t>2025-04-26 14:07:00</t>
  </si>
  <si>
    <t>LD-300574</t>
  </si>
  <si>
    <t>2026-05-12 14:49:00</t>
  </si>
  <si>
    <t>LD-300575</t>
  </si>
  <si>
    <t>2025-07-04 20:24:00</t>
  </si>
  <si>
    <t>LD-300576</t>
  </si>
  <si>
    <t>2026-03-07 11:45:00</t>
  </si>
  <si>
    <t>2026-04-16 14:38:29.730514</t>
  </si>
  <si>
    <t>LD-300577</t>
  </si>
  <si>
    <t>2026-06-03 07:06:00</t>
  </si>
  <si>
    <t>LD-300578</t>
  </si>
  <si>
    <t>2026-02-11 11:12:00</t>
  </si>
  <si>
    <t>LD-300579</t>
  </si>
  <si>
    <t>2026-06-08 16:22:00</t>
  </si>
  <si>
    <t>2026-07-27 19:12:44.154411</t>
  </si>
  <si>
    <t>LD-300580</t>
  </si>
  <si>
    <t>2025-07-24 11:39:00</t>
  </si>
  <si>
    <t>2025-09-03 16:46:39.280280</t>
  </si>
  <si>
    <t>LD-300581</t>
  </si>
  <si>
    <t>2026-02-04 08:05:00</t>
  </si>
  <si>
    <t>LD-300582</t>
  </si>
  <si>
    <t>2026-04-17 10:37:00</t>
  </si>
  <si>
    <t>LD-300583</t>
  </si>
  <si>
    <t>2026-01-30 16:46:00</t>
  </si>
  <si>
    <t>LD-300584</t>
  </si>
  <si>
    <t>2025-05-12 16:11:00</t>
  </si>
  <si>
    <t>LD-300585</t>
  </si>
  <si>
    <t>2026-06-19 17:57:00</t>
  </si>
  <si>
    <t>LD-300586</t>
  </si>
  <si>
    <t>2025-01-03 10:16:00</t>
  </si>
  <si>
    <t>LD-300587</t>
  </si>
  <si>
    <t>2026-01-19 15:34:00</t>
  </si>
  <si>
    <t>2026-02-19 16:21:24.024216</t>
  </si>
  <si>
    <t>LD-300588</t>
  </si>
  <si>
    <t>2025-08-21 15:13:00</t>
  </si>
  <si>
    <t>LD-300589</t>
  </si>
  <si>
    <t>2025-01-29 15:33:00</t>
  </si>
  <si>
    <t>2025-03-11 18:41:38.089811</t>
  </si>
  <si>
    <t>LD-300590</t>
  </si>
  <si>
    <t>2025-08-19 18:28:00</t>
  </si>
  <si>
    <t>LD-300591</t>
  </si>
  <si>
    <t>2025-12-19 13:12:00</t>
  </si>
  <si>
    <t>LD-300592</t>
  </si>
  <si>
    <t>2025-08-31 16:25:00</t>
  </si>
  <si>
    <t>LD-300593</t>
  </si>
  <si>
    <t>2025-06-02 07:44:00</t>
  </si>
  <si>
    <t>LD-300594</t>
  </si>
  <si>
    <t>2026-03-13 15:07:00</t>
  </si>
  <si>
    <t>2026-04-09 16:06:39.244104</t>
  </si>
  <si>
    <t>LD-300595</t>
  </si>
  <si>
    <t>2026-03-19 10:32:00</t>
  </si>
  <si>
    <t>LD-300596</t>
  </si>
  <si>
    <t>2025-12-03 14:22:00</t>
  </si>
  <si>
    <t>LD-300597</t>
  </si>
  <si>
    <t>2025-02-26 10:46:00</t>
  </si>
  <si>
    <t>LD-300598</t>
  </si>
  <si>
    <t>2025-05-30 19:59:00</t>
  </si>
  <si>
    <t>LD-300599</t>
  </si>
  <si>
    <t>2025-03-14 10:02:00</t>
  </si>
  <si>
    <t>LD-300600</t>
  </si>
  <si>
    <t>2026-03-09 13:40:00</t>
  </si>
  <si>
    <t>2026-04-14 21:26:30.181277</t>
  </si>
  <si>
    <t>LD-300601</t>
  </si>
  <si>
    <t>2025-05-25 20:10:00</t>
  </si>
  <si>
    <t>LD-300602</t>
  </si>
  <si>
    <t>2026-02-03 13:25:00</t>
  </si>
  <si>
    <t>LD-300603</t>
  </si>
  <si>
    <t>2025-07-16 20:59:00</t>
  </si>
  <si>
    <t>LD-300604</t>
  </si>
  <si>
    <t>2025-05-09 08:03:00</t>
  </si>
  <si>
    <t>LD-300605</t>
  </si>
  <si>
    <t>2026-03-27 19:05:00</t>
  </si>
  <si>
    <t>2026-05-01 19:03:54.391266</t>
  </si>
  <si>
    <t>LD-300606</t>
  </si>
  <si>
    <t>2026-04-03 11:24:00</t>
  </si>
  <si>
    <t>LD-300607</t>
  </si>
  <si>
    <t>2025-04-11 17:51:00</t>
  </si>
  <si>
    <t>LD-300608</t>
  </si>
  <si>
    <t>2025-04-21 08:23:00</t>
  </si>
  <si>
    <t>LD-300609</t>
  </si>
  <si>
    <t>2026-04-23 20:40:00</t>
  </si>
  <si>
    <t>2026-06-04 11:52:04.986461</t>
  </si>
  <si>
    <t>LD-300610</t>
  </si>
  <si>
    <t>2026-03-31 10:53:00</t>
  </si>
  <si>
    <t>2026-05-16 20:06:04.907754</t>
  </si>
  <si>
    <t>LD-300611</t>
  </si>
  <si>
    <t>2025-03-06 08:44:00</t>
  </si>
  <si>
    <t>2025-04-12 11:54:02.800424</t>
  </si>
  <si>
    <t>LD-300612</t>
  </si>
  <si>
    <t>2025-07-14 17:12:00</t>
  </si>
  <si>
    <t>LD-300613</t>
  </si>
  <si>
    <t>2025-01-27 10:35:00</t>
  </si>
  <si>
    <t>2025-03-08 11:19:16.515482</t>
  </si>
  <si>
    <t>LD-300614</t>
  </si>
  <si>
    <t>2026-02-27 14:28:00</t>
  </si>
  <si>
    <t>2026-04-12 08:49:25.405813</t>
  </si>
  <si>
    <t>LD-300615</t>
  </si>
  <si>
    <t>2026-03-11 11:56:00</t>
  </si>
  <si>
    <t>LD-300616</t>
  </si>
  <si>
    <t>2025-11-19 03:12:47.308301</t>
  </si>
  <si>
    <t>LD-300617</t>
  </si>
  <si>
    <t>2025-12-09 18:22:00</t>
  </si>
  <si>
    <t>LD-300618</t>
  </si>
  <si>
    <t>2026-05-15 10:34:00</t>
  </si>
  <si>
    <t>LD-300619</t>
  </si>
  <si>
    <t>2026-06-27 15:57:00</t>
  </si>
  <si>
    <t>LD-300620</t>
  </si>
  <si>
    <t>2025-06-06 08:09:00</t>
  </si>
  <si>
    <t>LD-300621</t>
  </si>
  <si>
    <t>2025-08-07 12:45:00</t>
  </si>
  <si>
    <t>LD-300622</t>
  </si>
  <si>
    <t>2025-08-13 10:16:00</t>
  </si>
  <si>
    <t>LD-300623</t>
  </si>
  <si>
    <t>2025-09-15 09:13:00</t>
  </si>
  <si>
    <t>LD-300624</t>
  </si>
  <si>
    <t>2025-12-10 09:34:00</t>
  </si>
  <si>
    <t>LD-300625</t>
  </si>
  <si>
    <t>2025-06-21 20:19:00</t>
  </si>
  <si>
    <t>LD-300626</t>
  </si>
  <si>
    <t>2026-05-15 12:10:00</t>
  </si>
  <si>
    <t>LD-300627</t>
  </si>
  <si>
    <t>2025-01-24 14:14:00</t>
  </si>
  <si>
    <t>LD-300628</t>
  </si>
  <si>
    <t>2026-01-02 07:11:00</t>
  </si>
  <si>
    <t>2026-02-04 15:12:45.447880</t>
  </si>
  <si>
    <t>LD-300629</t>
  </si>
  <si>
    <t>2025-10-10 10:33:00</t>
  </si>
  <si>
    <t>2025-11-18 00:22:05.065748</t>
  </si>
  <si>
    <t>LD-300630</t>
  </si>
  <si>
    <t>2026-05-04 15:35:00</t>
  </si>
  <si>
    <t>2026-06-29 11:47:33.254683</t>
  </si>
  <si>
    <t>LD-300631</t>
  </si>
  <si>
    <t>2025-03-06 08:15:00</t>
  </si>
  <si>
    <t>2025-04-13 01:37:40.396887</t>
  </si>
  <si>
    <t>LD-300632</t>
  </si>
  <si>
    <t>2025-05-22 16:59:00</t>
  </si>
  <si>
    <t>2025-07-02 13:16:27.291159</t>
  </si>
  <si>
    <t>LD-300633</t>
  </si>
  <si>
    <t>2025-11-18 09:59:00</t>
  </si>
  <si>
    <t>LD-300634</t>
  </si>
  <si>
    <t>2025-05-16 16:52:00</t>
  </si>
  <si>
    <t>LD-300635</t>
  </si>
  <si>
    <t>2026-03-06 07:00:00</t>
  </si>
  <si>
    <t>LD-300636</t>
  </si>
  <si>
    <t>2026-05-13 15:03:00</t>
  </si>
  <si>
    <t>2026-06-14 23:48:22.832665</t>
  </si>
  <si>
    <t>LD-300637</t>
  </si>
  <si>
    <t>2026-03-17 16:39:00</t>
  </si>
  <si>
    <t>LD-300638</t>
  </si>
  <si>
    <t>2026-06-26 07:08:00</t>
  </si>
  <si>
    <t>2026-08-07 12:52:26.170309</t>
  </si>
  <si>
    <t>LD-300639</t>
  </si>
  <si>
    <t>2025-03-27 14:03:00</t>
  </si>
  <si>
    <t>LD-300640</t>
  </si>
  <si>
    <t>2025-02-10 11:23:00</t>
  </si>
  <si>
    <t>2025-03-12 13:28:27.674292</t>
  </si>
  <si>
    <t>LD-300641</t>
  </si>
  <si>
    <t>2026-02-17 19:49:00</t>
  </si>
  <si>
    <t>LD-300642</t>
  </si>
  <si>
    <t>2026-03-19 11:23:00</t>
  </si>
  <si>
    <t>LD-300643</t>
  </si>
  <si>
    <t>2025-11-28 12:31:00</t>
  </si>
  <si>
    <t>2026-01-01 21:41:39.890870</t>
  </si>
  <si>
    <t>LD-300644</t>
  </si>
  <si>
    <t>2025-04-25 20:38:00</t>
  </si>
  <si>
    <t>2025-06-16 00:26:31.157656</t>
  </si>
  <si>
    <t>LD-300645</t>
  </si>
  <si>
    <t>2026-03-22 09:07:00</t>
  </si>
  <si>
    <t>LD-300646</t>
  </si>
  <si>
    <t>2025-07-29 12:22:00</t>
  </si>
  <si>
    <t>2025-09-07 18:49:18.085448</t>
  </si>
  <si>
    <t>LD-300647</t>
  </si>
  <si>
    <t>2025-05-04 20:06:00</t>
  </si>
  <si>
    <t>LD-300648</t>
  </si>
  <si>
    <t>2025-04-27 20:39:00</t>
  </si>
  <si>
    <t>LD-300649</t>
  </si>
  <si>
    <t>2025-01-21 07:26:00</t>
  </si>
  <si>
    <t>2025-02-19 05:56:17.315317</t>
  </si>
  <si>
    <t>LD-300650</t>
  </si>
  <si>
    <t>2026-03-12 13:07:00</t>
  </si>
  <si>
    <t>LD-300651</t>
  </si>
  <si>
    <t>2026-02-21 07:44:00</t>
  </si>
  <si>
    <t>LD-300652</t>
  </si>
  <si>
    <t>2025-04-10 13:33:00</t>
  </si>
  <si>
    <t>LD-300653</t>
  </si>
  <si>
    <t>2026-05-16 12:00:00</t>
  </si>
  <si>
    <t>2026-06-29 04:25:04.098707</t>
  </si>
  <si>
    <t>LD-300654</t>
  </si>
  <si>
    <t>2026-05-02 08:06:00</t>
  </si>
  <si>
    <t>LD-300655</t>
  </si>
  <si>
    <t>2025-06-06 12:38:00</t>
  </si>
  <si>
    <t>2025-07-09 23:53:18.393234</t>
  </si>
  <si>
    <t>LD-300656</t>
  </si>
  <si>
    <t>2026-03-17 12:13:00</t>
  </si>
  <si>
    <t>2026-04-14 05:32:11.181340</t>
  </si>
  <si>
    <t>LD-300657</t>
  </si>
  <si>
    <t>2025-06-13 16:07:00</t>
  </si>
  <si>
    <t>2025-07-22 15:34:49.789455</t>
  </si>
  <si>
    <t>LD-300658</t>
  </si>
  <si>
    <t>2025-03-17 17:44:00</t>
  </si>
  <si>
    <t>LD-300659</t>
  </si>
  <si>
    <t>2026-05-19 13:53:00</t>
  </si>
  <si>
    <t>2026-06-22 10:40:10.239941</t>
  </si>
  <si>
    <t>LD-300660</t>
  </si>
  <si>
    <t>2025-12-31 07:06:00</t>
  </si>
  <si>
    <t>LD-300661</t>
  </si>
  <si>
    <t>2025-01-10 12:34:00</t>
  </si>
  <si>
    <t>LD-300662</t>
  </si>
  <si>
    <t>2025-02-10 13:37:00</t>
  </si>
  <si>
    <t>2025-03-15 00:00:12.032926</t>
  </si>
  <si>
    <t>LD-300663</t>
  </si>
  <si>
    <t>2026-01-25 15:43:00</t>
  </si>
  <si>
    <t>LD-300664</t>
  </si>
  <si>
    <t>2025-07-07 14:57:00</t>
  </si>
  <si>
    <t>2025-09-04 17:06:47.907700</t>
  </si>
  <si>
    <t>LD-300665</t>
  </si>
  <si>
    <t>2025-10-16 19:09:00</t>
  </si>
  <si>
    <t>2025-11-22 00:16:22.380838</t>
  </si>
  <si>
    <t>LD-300666</t>
  </si>
  <si>
    <t>2025-03-21 16:01:00</t>
  </si>
  <si>
    <t>LD-300667</t>
  </si>
  <si>
    <t>2025-01-31 17:36:00</t>
  </si>
  <si>
    <t>LD-300668</t>
  </si>
  <si>
    <t>2025-03-19 11:11:00</t>
  </si>
  <si>
    <t>LD-300669</t>
  </si>
  <si>
    <t>2026-06-28 12:31:00</t>
  </si>
  <si>
    <t>2026-07-23 12:09:34.253773</t>
  </si>
  <si>
    <t>LD-300670</t>
  </si>
  <si>
    <t>2025-03-13 14:14:00</t>
  </si>
  <si>
    <t>2025-04-29 15:45:44.994600</t>
  </si>
  <si>
    <t>LD-300671</t>
  </si>
  <si>
    <t>2025-08-08 09:22:00</t>
  </si>
  <si>
    <t>LD-300672</t>
  </si>
  <si>
    <t>2025-06-02 15:09:00</t>
  </si>
  <si>
    <t>2025-08-13 05:01:20.380816</t>
  </si>
  <si>
    <t>LD-300673</t>
  </si>
  <si>
    <t>2025-11-02 19:39:00</t>
  </si>
  <si>
    <t>2025-12-21 17:33:32.725674</t>
  </si>
  <si>
    <t>LD-300674</t>
  </si>
  <si>
    <t>2025-01-27 18:42:00</t>
  </si>
  <si>
    <t>LD-300675</t>
  </si>
  <si>
    <t>2025-12-05 13:30:00</t>
  </si>
  <si>
    <t>2026-01-25 08:03:09.064326</t>
  </si>
  <si>
    <t>LD-300676</t>
  </si>
  <si>
    <t>2026-02-06 20:55:00</t>
  </si>
  <si>
    <t>LD-300677</t>
  </si>
  <si>
    <t>2025-01-17 07:01:00</t>
  </si>
  <si>
    <t>LD-300678</t>
  </si>
  <si>
    <t>2026-03-03 07:14:00</t>
  </si>
  <si>
    <t>LD-300679</t>
  </si>
  <si>
    <t>2026-01-23 18:38:00</t>
  </si>
  <si>
    <t>LD-300680</t>
  </si>
  <si>
    <t>2025-06-10 19:26:00</t>
  </si>
  <si>
    <t>2025-07-22 18:49:13.206024</t>
  </si>
  <si>
    <t>LD-300681</t>
  </si>
  <si>
    <t>2026-03-19 20:42:00</t>
  </si>
  <si>
    <t>LD-300682</t>
  </si>
  <si>
    <t>2026-06-15 12:58:00</t>
  </si>
  <si>
    <t>LD-300683</t>
  </si>
  <si>
    <t>2025-04-04 20:12:00</t>
  </si>
  <si>
    <t>LD-300684</t>
  </si>
  <si>
    <t>2025-03-05 18:22:00</t>
  </si>
  <si>
    <t>2025-04-06 20:34:09.699157</t>
  </si>
  <si>
    <t>LD-300685</t>
  </si>
  <si>
    <t>2025-10-13 20:05:00</t>
  </si>
  <si>
    <t>2025-11-06 04:43:45.688905</t>
  </si>
  <si>
    <t>LD-300686</t>
  </si>
  <si>
    <t>2026-03-10 18:11:00</t>
  </si>
  <si>
    <t>LD-300687</t>
  </si>
  <si>
    <t>2025-12-20 07:52:00</t>
  </si>
  <si>
    <t>LD-300688</t>
  </si>
  <si>
    <t>2026-01-23 19:40:00</t>
  </si>
  <si>
    <t>LD-300689</t>
  </si>
  <si>
    <t>2025-12-08 17:36:00</t>
  </si>
  <si>
    <t>LD-300690</t>
  </si>
  <si>
    <t>2026-05-15 12:32:00</t>
  </si>
  <si>
    <t>LD-300691</t>
  </si>
  <si>
    <t>2026-02-05 17:49:00</t>
  </si>
  <si>
    <t>LD-300692</t>
  </si>
  <si>
    <t>2026-02-23 09:52:00</t>
  </si>
  <si>
    <t>2026-03-31 09:21:06.630755</t>
  </si>
  <si>
    <t>LD-300693</t>
  </si>
  <si>
    <t>2026-01-30 09:36:00</t>
  </si>
  <si>
    <t>LD-300694</t>
  </si>
  <si>
    <t>2025-12-16 20:16:00</t>
  </si>
  <si>
    <t>LD-300695</t>
  </si>
  <si>
    <t>2026-05-06 11:23:00</t>
  </si>
  <si>
    <t>LD-300696</t>
  </si>
  <si>
    <t>2025-09-22 15:59:00</t>
  </si>
  <si>
    <t>2025-11-11 06:35:02.045508</t>
  </si>
  <si>
    <t>LD-300697</t>
  </si>
  <si>
    <t>2025-08-20 10:04:00</t>
  </si>
  <si>
    <t>LD-300698</t>
  </si>
  <si>
    <t>2026-01-22 07:56:00</t>
  </si>
  <si>
    <t>2026-02-22 08:35:29.131152</t>
  </si>
  <si>
    <t>LD-300699</t>
  </si>
  <si>
    <t>2026-04-17 08:04:00</t>
  </si>
  <si>
    <t>LD-300700</t>
  </si>
  <si>
    <t>2026-02-06 18:07:00</t>
  </si>
  <si>
    <t>LD-300701</t>
  </si>
  <si>
    <t>2026-06-05 11:50:00</t>
  </si>
  <si>
    <t>LD-300702</t>
  </si>
  <si>
    <t>2025-01-31 08:55:00</t>
  </si>
  <si>
    <t>LD-300703</t>
  </si>
  <si>
    <t>2026-03-19 17:18:00</t>
  </si>
  <si>
    <t>LD-300704</t>
  </si>
  <si>
    <t>2025-02-16 09:45:00</t>
  </si>
  <si>
    <t>LD-300705</t>
  </si>
  <si>
    <t>2025-03-24 15:29:00</t>
  </si>
  <si>
    <t>LD-300706</t>
  </si>
  <si>
    <t>2025-01-17 11:43:00</t>
  </si>
  <si>
    <t>LD-300707</t>
  </si>
  <si>
    <t>2025-10-05 09:34:00</t>
  </si>
  <si>
    <t>2025-11-12 02:36:14.550855</t>
  </si>
  <si>
    <t>LD-300708</t>
  </si>
  <si>
    <t>2025-07-27 20:38:00</t>
  </si>
  <si>
    <t>LD-300709</t>
  </si>
  <si>
    <t>2025-05-16 14:05:00</t>
  </si>
  <si>
    <t>LD-300710</t>
  </si>
  <si>
    <t>2025-07-18 09:17:00</t>
  </si>
  <si>
    <t>2025-08-21 02:18:24.442136</t>
  </si>
  <si>
    <t>LD-300711</t>
  </si>
  <si>
    <t>2026-05-22 09:28:00</t>
  </si>
  <si>
    <t>LD-300712</t>
  </si>
  <si>
    <t>2025-07-24 10:33:00</t>
  </si>
  <si>
    <t>LD-300713</t>
  </si>
  <si>
    <t>2026-03-01 16:41:00</t>
  </si>
  <si>
    <t>LD-300714</t>
  </si>
  <si>
    <t>2026-01-20 12:25:00</t>
  </si>
  <si>
    <t>2026-03-03 05:01:11.896500</t>
  </si>
  <si>
    <t>LD-300715</t>
  </si>
  <si>
    <t>2026-01-20 08:06:00</t>
  </si>
  <si>
    <t>LD-300716</t>
  </si>
  <si>
    <t>2025-12-29 07:45:00</t>
  </si>
  <si>
    <t>LD-300717</t>
  </si>
  <si>
    <t>2025-06-06 16:20:00</t>
  </si>
  <si>
    <t>2025-07-14 15:09:54.005552</t>
  </si>
  <si>
    <t>LD-300718</t>
  </si>
  <si>
    <t>2025-06-04 12:22:00</t>
  </si>
  <si>
    <t>LD-300719</t>
  </si>
  <si>
    <t>2026-01-05 11:21:00</t>
  </si>
  <si>
    <t>2026-02-12 01:32:17.038115</t>
  </si>
  <si>
    <t>LD-300720</t>
  </si>
  <si>
    <t>2025-09-04 11:59:00</t>
  </si>
  <si>
    <t>2025-10-16 16:46:51.745421</t>
  </si>
  <si>
    <t>LD-300721</t>
  </si>
  <si>
    <t>2025-08-15 07:17:00</t>
  </si>
  <si>
    <t>LD-300722</t>
  </si>
  <si>
    <t>2025-11-20 12:49:00</t>
  </si>
  <si>
    <t>2025-12-19 13:51:14.229990</t>
  </si>
  <si>
    <t>LD-300723</t>
  </si>
  <si>
    <t>2026-05-31 17:49:00</t>
  </si>
  <si>
    <t>LD-300724</t>
  </si>
  <si>
    <t>2026-01-08 15:53:00</t>
  </si>
  <si>
    <t>LD-300725</t>
  </si>
  <si>
    <t>2025-07-05 16:18:00</t>
  </si>
  <si>
    <t>2025-08-12 10:15:48.524078</t>
  </si>
  <si>
    <t>LD-300726</t>
  </si>
  <si>
    <t>2025-01-29 20:58:00</t>
  </si>
  <si>
    <t>LD-300727</t>
  </si>
  <si>
    <t>2025-10-19 10:34:00</t>
  </si>
  <si>
    <t>LD-300728</t>
  </si>
  <si>
    <t>2025-11-12 18:22:00</t>
  </si>
  <si>
    <t>LD-300729</t>
  </si>
  <si>
    <t>2025-11-21 18:45:00</t>
  </si>
  <si>
    <t>LD-300730</t>
  </si>
  <si>
    <t>2026-05-05 17:26:00</t>
  </si>
  <si>
    <t>2026-06-01 21:27:41.636544</t>
  </si>
  <si>
    <t>LD-300731</t>
  </si>
  <si>
    <t>2026-05-26 17:16:00</t>
  </si>
  <si>
    <t>2026-07-03 08:28:39.750134</t>
  </si>
  <si>
    <t>LD-300732</t>
  </si>
  <si>
    <t>2026-01-06 16:00:00</t>
  </si>
  <si>
    <t>LD-300733</t>
  </si>
  <si>
    <t>2025-09-24 19:53:00</t>
  </si>
  <si>
    <t>LD-300734</t>
  </si>
  <si>
    <t>2025-09-12 11:09:00</t>
  </si>
  <si>
    <t>LD-300735</t>
  </si>
  <si>
    <t>2025-11-11 13:06:00</t>
  </si>
  <si>
    <t>2025-12-24 21:39:54.441794</t>
  </si>
  <si>
    <t>LD-300736</t>
  </si>
  <si>
    <t>2025-04-16 17:27:00</t>
  </si>
  <si>
    <t>2025-05-19 14:31:23.411525</t>
  </si>
  <si>
    <t>LD-300737</t>
  </si>
  <si>
    <t>2026-05-19 09:21:00</t>
  </si>
  <si>
    <t>LD-300738</t>
  </si>
  <si>
    <t>2025-01-17 15:16:00</t>
  </si>
  <si>
    <t>2025-02-27 03:45:07.662105</t>
  </si>
  <si>
    <t>LD-300739</t>
  </si>
  <si>
    <t>2025-07-18 17:27:00</t>
  </si>
  <si>
    <t>LD-300740</t>
  </si>
  <si>
    <t>2025-02-04 12:49:00</t>
  </si>
  <si>
    <t>LD-300741</t>
  </si>
  <si>
    <t>2025-08-26 14:03:00</t>
  </si>
  <si>
    <t>LD-300742</t>
  </si>
  <si>
    <t>2025-09-24 14:42:00</t>
  </si>
  <si>
    <t>LD-300743</t>
  </si>
  <si>
    <t>2025-09-05 20:00:00</t>
  </si>
  <si>
    <t>LD-300744</t>
  </si>
  <si>
    <t>2025-06-02 12:34:51.287473</t>
  </si>
  <si>
    <t>LD-300745</t>
  </si>
  <si>
    <t>2026-03-07 17:53:00</t>
  </si>
  <si>
    <t>LD-300746</t>
  </si>
  <si>
    <t>2025-09-09 13:29:00</t>
  </si>
  <si>
    <t>2025-10-05 15:30:50.103539</t>
  </si>
  <si>
    <t>LD-300747</t>
  </si>
  <si>
    <t>2025-05-02 08:44:00</t>
  </si>
  <si>
    <t>2025-06-18 07:52:55.179841</t>
  </si>
  <si>
    <t>LD-300748</t>
  </si>
  <si>
    <t>2026-05-20 12:20:00</t>
  </si>
  <si>
    <t>2026-07-08 23:28:15.119782</t>
  </si>
  <si>
    <t>LD-300749</t>
  </si>
  <si>
    <t>2025-04-15 20:32:00</t>
  </si>
  <si>
    <t>LD-300750</t>
  </si>
  <si>
    <t>2026-01-02 12:17:00</t>
  </si>
  <si>
    <t>LD-300751</t>
  </si>
  <si>
    <t>2026-01-16 19:29:00</t>
  </si>
  <si>
    <t>2026-02-23 07:51:06.238536</t>
  </si>
  <si>
    <t>LD-300752</t>
  </si>
  <si>
    <t>2025-07-25 11:32:00</t>
  </si>
  <si>
    <t>LD-300753</t>
  </si>
  <si>
    <t>2025-01-31 13:28:00</t>
  </si>
  <si>
    <t>LD-300754</t>
  </si>
  <si>
    <t>2025-05-09 20:48:00</t>
  </si>
  <si>
    <t>LD-300755</t>
  </si>
  <si>
    <t>2026-02-20 16:46:00</t>
  </si>
  <si>
    <t>LD-300756</t>
  </si>
  <si>
    <t>2025-09-26 07:22:00</t>
  </si>
  <si>
    <t>LD-300757</t>
  </si>
  <si>
    <t>2026-01-30 09:23:00</t>
  </si>
  <si>
    <t>LD-300758</t>
  </si>
  <si>
    <t>2025-09-26 14:46:00</t>
  </si>
  <si>
    <t>LD-300759</t>
  </si>
  <si>
    <t>2025-03-12 14:02:00</t>
  </si>
  <si>
    <t>LD-300760</t>
  </si>
  <si>
    <t>2026-01-30 08:51:00</t>
  </si>
  <si>
    <t>LD-300761</t>
  </si>
  <si>
    <t>2025-03-28 11:57:00</t>
  </si>
  <si>
    <t>LD-300762</t>
  </si>
  <si>
    <t>2026-05-01 10:40:00</t>
  </si>
  <si>
    <t>LD-300763</t>
  </si>
  <si>
    <t>2025-01-14 16:19:00</t>
  </si>
  <si>
    <t>LD-300764</t>
  </si>
  <si>
    <t>2026-03-05 11:33:00</t>
  </si>
  <si>
    <t>LD-300765</t>
  </si>
  <si>
    <t>2025-12-31 14:34:00</t>
  </si>
  <si>
    <t>2026-01-26 01:25:45.021619</t>
  </si>
  <si>
    <t>LD-300766</t>
  </si>
  <si>
    <t>2025-11-06 14:24:00</t>
  </si>
  <si>
    <t>LD-300767</t>
  </si>
  <si>
    <t>2025-01-30 20:12:00</t>
  </si>
  <si>
    <t>LD-300768</t>
  </si>
  <si>
    <t>2025-06-14 10:22:00</t>
  </si>
  <si>
    <t>LD-300769</t>
  </si>
  <si>
    <t>2025-01-31 09:48:00</t>
  </si>
  <si>
    <t>LD-300770</t>
  </si>
  <si>
    <t>2025-12-03 15:05:00</t>
  </si>
  <si>
    <t>LD-300771</t>
  </si>
  <si>
    <t>2025-04-04 14:28:00</t>
  </si>
  <si>
    <t>LD-300772</t>
  </si>
  <si>
    <t>2025-01-01 17:52:00</t>
  </si>
  <si>
    <t>2025-02-01 08:34:23.554125</t>
  </si>
  <si>
    <t>LD-300773</t>
  </si>
  <si>
    <t>2026-04-14 14:55:00</t>
  </si>
  <si>
    <t>LD-300774</t>
  </si>
  <si>
    <t>2025-09-09 16:53:00</t>
  </si>
  <si>
    <t>2025-10-30 16:59:37.302246</t>
  </si>
  <si>
    <t>LD-300775</t>
  </si>
  <si>
    <t>2025-12-09 20:33:00</t>
  </si>
  <si>
    <t>LD-300776</t>
  </si>
  <si>
    <t>2025-11-07 11:15:00</t>
  </si>
  <si>
    <t>LD-300777</t>
  </si>
  <si>
    <t>2025-08-04 07:49:00</t>
  </si>
  <si>
    <t>LD-300778</t>
  </si>
  <si>
    <t>2025-08-12 18:12:00</t>
  </si>
  <si>
    <t>LD-300779</t>
  </si>
  <si>
    <t>2025-04-03 12:02:00</t>
  </si>
  <si>
    <t>LD-300780</t>
  </si>
  <si>
    <t>2025-09-16 16:49:00</t>
  </si>
  <si>
    <t>2025-10-19 11:01:35.430150</t>
  </si>
  <si>
    <t>LD-300781</t>
  </si>
  <si>
    <t>2025-04-10 20:30:00</t>
  </si>
  <si>
    <t>2025-05-22 09:02:42.377196</t>
  </si>
  <si>
    <t>LD-300782</t>
  </si>
  <si>
    <t>2026-05-18 17:12:00</t>
  </si>
  <si>
    <t>LD-300783</t>
  </si>
  <si>
    <t>2025-03-14 13:57:00</t>
  </si>
  <si>
    <t>LD-300784</t>
  </si>
  <si>
    <t>2025-08-22 20:56:00</t>
  </si>
  <si>
    <t>2025-10-01 21:33:53.478241</t>
  </si>
  <si>
    <t>LD-300785</t>
  </si>
  <si>
    <t>2026-01-08 16:25:00</t>
  </si>
  <si>
    <t>2026-02-24 00:39:35.739226</t>
  </si>
  <si>
    <t>LD-300786</t>
  </si>
  <si>
    <t>2025-04-02 20:05:00</t>
  </si>
  <si>
    <t>2025-05-07 00:11:22.225216</t>
  </si>
  <si>
    <t>LD-300787</t>
  </si>
  <si>
    <t>2025-03-30 17:46:00</t>
  </si>
  <si>
    <t>LD-300788</t>
  </si>
  <si>
    <t>2025-07-09 19:37:00</t>
  </si>
  <si>
    <t>LD-300789</t>
  </si>
  <si>
    <t>2026-01-09 11:43:00</t>
  </si>
  <si>
    <t>LD-300790</t>
  </si>
  <si>
    <t>2026-01-09 10:10:00</t>
  </si>
  <si>
    <t>LD-300791</t>
  </si>
  <si>
    <t>2025-10-31 08:57:00</t>
  </si>
  <si>
    <t>2025-12-24 04:42:39.523725</t>
  </si>
  <si>
    <t>LD-300792</t>
  </si>
  <si>
    <t>2026-04-30 19:33:00</t>
  </si>
  <si>
    <t>LD-300793</t>
  </si>
  <si>
    <t>2025-06-27 08:54:00</t>
  </si>
  <si>
    <t>LD-300794</t>
  </si>
  <si>
    <t>2025-10-23 18:33:00</t>
  </si>
  <si>
    <t>LD-300795</t>
  </si>
  <si>
    <t>2025-10-19 07:43:00</t>
  </si>
  <si>
    <t>2025-11-16 11:03:20.456836</t>
  </si>
  <si>
    <t>LD-300796</t>
  </si>
  <si>
    <t>2025-11-14 16:05:00</t>
  </si>
  <si>
    <t>2025-12-25 03:00:31.495788</t>
  </si>
  <si>
    <t>LD-300797</t>
  </si>
  <si>
    <t>2025-07-06 20:35:00</t>
  </si>
  <si>
    <t>LD-300798</t>
  </si>
  <si>
    <t>2025-08-29 14:49:00</t>
  </si>
  <si>
    <t>LD-300799</t>
  </si>
  <si>
    <t>2025-03-31 15:44:00</t>
  </si>
  <si>
    <t>2025-04-26 20:13:38.264659</t>
  </si>
  <si>
    <t>LD-300800</t>
  </si>
  <si>
    <t>2026-06-19 13:15:00</t>
  </si>
  <si>
    <t>LD-300801</t>
  </si>
  <si>
    <t>2025-08-01 12:10:00</t>
  </si>
  <si>
    <t>LD-300802</t>
  </si>
  <si>
    <t>2025-11-17 19:21:00</t>
  </si>
  <si>
    <t>LD-300803</t>
  </si>
  <si>
    <t>2025-04-02 09:32:00</t>
  </si>
  <si>
    <t>LD-300804</t>
  </si>
  <si>
    <t>2025-09-11 10:13:00</t>
  </si>
  <si>
    <t>2025-10-20 18:13:17.890135</t>
  </si>
  <si>
    <t>LD-300805</t>
  </si>
  <si>
    <t>2025-05-23 20:06:00</t>
  </si>
  <si>
    <t>LD-300806</t>
  </si>
  <si>
    <t>2025-03-11 15:52:00</t>
  </si>
  <si>
    <t>LD-300807</t>
  </si>
  <si>
    <t>2026-03-11 16:03:00</t>
  </si>
  <si>
    <t>2026-04-25 18:46:18.428140</t>
  </si>
  <si>
    <t>LD-300808</t>
  </si>
  <si>
    <t>2025-01-30 12:20:00</t>
  </si>
  <si>
    <t>LD-300809</t>
  </si>
  <si>
    <t>2025-05-13 16:23:00</t>
  </si>
  <si>
    <t>LD-300810</t>
  </si>
  <si>
    <t>2025-03-19 09:11:00</t>
  </si>
  <si>
    <t>2025-04-28 17:48:20.604434</t>
  </si>
  <si>
    <t>LD-300811</t>
  </si>
  <si>
    <t>2025-02-25 14:05:00</t>
  </si>
  <si>
    <t>LD-300812</t>
  </si>
  <si>
    <t>2026-02-10 14:15:00</t>
  </si>
  <si>
    <t>LD-300813</t>
  </si>
  <si>
    <t>2025-08-05 20:59:00</t>
  </si>
  <si>
    <t>LD-300814</t>
  </si>
  <si>
    <t>2025-01-20 14:48:00</t>
  </si>
  <si>
    <t>2025-03-17 10:04:23.055623</t>
  </si>
  <si>
    <t>LD-300815</t>
  </si>
  <si>
    <t>2025-08-01 07:06:00</t>
  </si>
  <si>
    <t>2025-09-09 05:55:00.653368</t>
  </si>
  <si>
    <t>LD-300816</t>
  </si>
  <si>
    <t>2025-07-19 17:29:00</t>
  </si>
  <si>
    <t>2025-09-05 21:20:50.447084</t>
  </si>
  <si>
    <t>LD-300817</t>
  </si>
  <si>
    <t>2026-05-13 11:39:00</t>
  </si>
  <si>
    <t>LD-300818</t>
  </si>
  <si>
    <t>2025-11-14 19:11:00</t>
  </si>
  <si>
    <t>LD-300819</t>
  </si>
  <si>
    <t>2025-03-26 20:57:00</t>
  </si>
  <si>
    <t>2025-04-28 12:24:58.592591</t>
  </si>
  <si>
    <t>LD-300820</t>
  </si>
  <si>
    <t>2025-08-11 14:37:00</t>
  </si>
  <si>
    <t>LD-300821</t>
  </si>
  <si>
    <t>2025-08-13 12:35:00</t>
  </si>
  <si>
    <t>2025-09-14 22:17:19.527142</t>
  </si>
  <si>
    <t>LD-300822</t>
  </si>
  <si>
    <t>2025-04-15 17:59:00</t>
  </si>
  <si>
    <t>2025-05-23 10:42:45.845956</t>
  </si>
  <si>
    <t>LD-300823</t>
  </si>
  <si>
    <t>2026-05-01 12:43:00</t>
  </si>
  <si>
    <t>LD-300824</t>
  </si>
  <si>
    <t>2026-01-12 17:48:00</t>
  </si>
  <si>
    <t>2026-02-26 00:55:09.785271</t>
  </si>
  <si>
    <t>LD-300825</t>
  </si>
  <si>
    <t>2026-03-25 12:35:00</t>
  </si>
  <si>
    <t>LD-300826</t>
  </si>
  <si>
    <t>2025-09-24 18:14:00</t>
  </si>
  <si>
    <t>LD-300827</t>
  </si>
  <si>
    <t>2025-08-07 14:06:00</t>
  </si>
  <si>
    <t>LD-300828</t>
  </si>
  <si>
    <t>2025-04-09 09:40:00</t>
  </si>
  <si>
    <t>LD-300829</t>
  </si>
  <si>
    <t>2025-08-22 11:05:00</t>
  </si>
  <si>
    <t>2025-09-30 05:59:21.338342</t>
  </si>
  <si>
    <t>LD-300830</t>
  </si>
  <si>
    <t>2025-02-15 08:37:00</t>
  </si>
  <si>
    <t>LD-300831</t>
  </si>
  <si>
    <t>2025-10-09 15:09:00</t>
  </si>
  <si>
    <t>2025-11-18 06:42:19.241400</t>
  </si>
  <si>
    <t>LD-300832</t>
  </si>
  <si>
    <t>2025-03-27 15:27:00</t>
  </si>
  <si>
    <t>2025-05-14 04:19:00.487812</t>
  </si>
  <si>
    <t>LD-300833</t>
  </si>
  <si>
    <t>2025-07-11 16:25:00</t>
  </si>
  <si>
    <t>2025-08-19 00:48:34.731710</t>
  </si>
  <si>
    <t>LD-300834</t>
  </si>
  <si>
    <t>2025-01-24 17:15:00</t>
  </si>
  <si>
    <t>LD-300835</t>
  </si>
  <si>
    <t>2025-08-04 18:30:00</t>
  </si>
  <si>
    <t>2025-09-27 06:20:51.984710</t>
  </si>
  <si>
    <t>LD-300836</t>
  </si>
  <si>
    <t>2026-05-21 18:20:00</t>
  </si>
  <si>
    <t>2026-07-02 12:15:50.105790</t>
  </si>
  <si>
    <t>LD-300837</t>
  </si>
  <si>
    <t>2026-04-24 11:15:00</t>
  </si>
  <si>
    <t>2026-06-02 11:12:02.286047</t>
  </si>
  <si>
    <t>LD-300838</t>
  </si>
  <si>
    <t>2025-08-19 07:43:00</t>
  </si>
  <si>
    <t>2025-10-01 07:20:01.181564</t>
  </si>
  <si>
    <t>LD-300839</t>
  </si>
  <si>
    <t>2025-06-30 07:00:00</t>
  </si>
  <si>
    <t>2025-08-11 01:33:15.359450</t>
  </si>
  <si>
    <t>LD-300840</t>
  </si>
  <si>
    <t>2025-03-14 16:52:00</t>
  </si>
  <si>
    <t>LD-300841</t>
  </si>
  <si>
    <t>2026-03-31 15:22:00</t>
  </si>
  <si>
    <t>LD-300842</t>
  </si>
  <si>
    <t>2025-01-20 19:11:00</t>
  </si>
  <si>
    <t>LD-300843</t>
  </si>
  <si>
    <t>2025-07-19 08:05:00</t>
  </si>
  <si>
    <t>LD-300844</t>
  </si>
  <si>
    <t>2025-07-08 17:33:00</t>
  </si>
  <si>
    <t>LD-300845</t>
  </si>
  <si>
    <t>2025-11-03 17:52:00</t>
  </si>
  <si>
    <t>LD-300846</t>
  </si>
  <si>
    <t>2026-03-15 19:51:00</t>
  </si>
  <si>
    <t>2026-04-26 12:52:32.357190</t>
  </si>
  <si>
    <t>LD-300847</t>
  </si>
  <si>
    <t>2026-04-03 13:40:00</t>
  </si>
  <si>
    <t>LD-300848</t>
  </si>
  <si>
    <t>2025-03-14 12:06:00</t>
  </si>
  <si>
    <t>LD-300849</t>
  </si>
  <si>
    <t>2025-07-29 15:30:00</t>
  </si>
  <si>
    <t>LD-300850</t>
  </si>
  <si>
    <t>2025-03-17 09:36:00</t>
  </si>
  <si>
    <t>LD-300851</t>
  </si>
  <si>
    <t>2026-02-22 07:07:00</t>
  </si>
  <si>
    <t>LD-300852</t>
  </si>
  <si>
    <t>2026-02-27 15:23:00</t>
  </si>
  <si>
    <t>2026-04-19 13:40:35.626170</t>
  </si>
  <si>
    <t>LD-300853</t>
  </si>
  <si>
    <t>2025-10-03 18:11:00</t>
  </si>
  <si>
    <t>2025-10-26 08:14:16.174719</t>
  </si>
  <si>
    <t>LD-300854</t>
  </si>
  <si>
    <t>2025-02-13 17:40:00</t>
  </si>
  <si>
    <t>2025-03-12 19:38:59.138237</t>
  </si>
  <si>
    <t>LD-300855</t>
  </si>
  <si>
    <t>2026-02-02 18:00:00</t>
  </si>
  <si>
    <t>LD-300856</t>
  </si>
  <si>
    <t>2025-09-10 11:18:00</t>
  </si>
  <si>
    <t>LD-300857</t>
  </si>
  <si>
    <t>2025-08-08 12:37:00</t>
  </si>
  <si>
    <t>2025-09-02 10:29:18.451715</t>
  </si>
  <si>
    <t>LD-300858</t>
  </si>
  <si>
    <t>2026-01-31 09:07:00</t>
  </si>
  <si>
    <t>2026-03-12 17:29:18.630204</t>
  </si>
  <si>
    <t>LD-300859</t>
  </si>
  <si>
    <t>2025-03-28 08:20:00</t>
  </si>
  <si>
    <t>LD-300860</t>
  </si>
  <si>
    <t>2026-06-25 12:24:00</t>
  </si>
  <si>
    <t>LD-300861</t>
  </si>
  <si>
    <t>2025-02-04 15:03:00</t>
  </si>
  <si>
    <t>LD-300862</t>
  </si>
  <si>
    <t>2025-06-04 08:09:00</t>
  </si>
  <si>
    <t>LD-300863</t>
  </si>
  <si>
    <t>2025-01-07 10:56:00</t>
  </si>
  <si>
    <t>LD-300864</t>
  </si>
  <si>
    <t>2026-01-07 18:09:00</t>
  </si>
  <si>
    <t>LD-300865</t>
  </si>
  <si>
    <t>2026-06-19 12:52:00</t>
  </si>
  <si>
    <t>2026-08-06 18:18:49.350325</t>
  </si>
  <si>
    <t>LD-300866</t>
  </si>
  <si>
    <t>2025-01-22 16:56:00</t>
  </si>
  <si>
    <t>LD-300867</t>
  </si>
  <si>
    <t>2025-12-05 13:40:00</t>
  </si>
  <si>
    <t>LD-300868</t>
  </si>
  <si>
    <t>2026-02-19 14:21:00</t>
  </si>
  <si>
    <t>LD-300869</t>
  </si>
  <si>
    <t>2026-05-10 16:10:00</t>
  </si>
  <si>
    <t>2026-07-12 08:59:24.680858</t>
  </si>
  <si>
    <t>LD-300870</t>
  </si>
  <si>
    <t>2025-11-26 14:28:00</t>
  </si>
  <si>
    <t>LD-300871</t>
  </si>
  <si>
    <t>2026-03-10 08:35:00</t>
  </si>
  <si>
    <t>2026-04-22 16:59:41.481393</t>
  </si>
  <si>
    <t>LD-300872</t>
  </si>
  <si>
    <t>2025-12-12 15:50:00</t>
  </si>
  <si>
    <t>LD-300873</t>
  </si>
  <si>
    <t>2025-01-17 09:06:00</t>
  </si>
  <si>
    <t>2025-02-05 03:55:20.056158</t>
  </si>
  <si>
    <t>LD-300874</t>
  </si>
  <si>
    <t>2026-03-03 18:54:00</t>
  </si>
  <si>
    <t>LD-300875</t>
  </si>
  <si>
    <t>2025-10-13 20:51:00</t>
  </si>
  <si>
    <t>LD-300876</t>
  </si>
  <si>
    <t>2026-01-10 18:34:00</t>
  </si>
  <si>
    <t>LD-300877</t>
  </si>
  <si>
    <t>2025-01-02 18:57:00</t>
  </si>
  <si>
    <t>LD-300878</t>
  </si>
  <si>
    <t>2026-05-29 09:44:00</t>
  </si>
  <si>
    <t>2026-07-02 03:12:00.805175</t>
  </si>
  <si>
    <t>LD-300879</t>
  </si>
  <si>
    <t>2026-05-05 15:57:00</t>
  </si>
  <si>
    <t>LD-300880</t>
  </si>
  <si>
    <t>2025-12-19 08:45:00</t>
  </si>
  <si>
    <t>LD-300881</t>
  </si>
  <si>
    <t>2025-11-20 16:02:00</t>
  </si>
  <si>
    <t>LD-300882</t>
  </si>
  <si>
    <t>2025-05-16 13:37:00</t>
  </si>
  <si>
    <t>2025-06-11 18:47:03.892181</t>
  </si>
  <si>
    <t>LD-300883</t>
  </si>
  <si>
    <t>2025-09-18 11:07:00</t>
  </si>
  <si>
    <t>LD-300884</t>
  </si>
  <si>
    <t>2026-03-20 11:27:00</t>
  </si>
  <si>
    <t>LD-300885</t>
  </si>
  <si>
    <t>2025-06-27 15:26:00</t>
  </si>
  <si>
    <t>LD-300886</t>
  </si>
  <si>
    <t>2025-02-14 11:02:00</t>
  </si>
  <si>
    <t>LD-300887</t>
  </si>
  <si>
    <t>2026-04-19 20:50:00</t>
  </si>
  <si>
    <t>LD-300888</t>
  </si>
  <si>
    <t>2025-09-15 12:41:00</t>
  </si>
  <si>
    <t>LD-300889</t>
  </si>
  <si>
    <t>2025-04-14 09:27:00</t>
  </si>
  <si>
    <t>LD-300890</t>
  </si>
  <si>
    <t>2025-04-17 11:08:00</t>
  </si>
  <si>
    <t>LD-300891</t>
  </si>
  <si>
    <t>2025-08-08 18:05:00</t>
  </si>
  <si>
    <t>2025-09-06 02:25:59.692431</t>
  </si>
  <si>
    <t>LD-300892</t>
  </si>
  <si>
    <t>2025-07-09 12:21:00</t>
  </si>
  <si>
    <t>LD-300893</t>
  </si>
  <si>
    <t>2025-02-21 20:16:00</t>
  </si>
  <si>
    <t>LD-300894</t>
  </si>
  <si>
    <t>2025-08-29 11:23:00</t>
  </si>
  <si>
    <t>LD-300895</t>
  </si>
  <si>
    <t>2026-04-15 13:28:00</t>
  </si>
  <si>
    <t>2026-05-30 17:10:39.178730</t>
  </si>
  <si>
    <t>LD-300896</t>
  </si>
  <si>
    <t>2025-02-15 10:27:00</t>
  </si>
  <si>
    <t>2025-03-30 12:16:43.581249</t>
  </si>
  <si>
    <t>LD-300897</t>
  </si>
  <si>
    <t>2026-05-25 20:37:00</t>
  </si>
  <si>
    <t>LD-300898</t>
  </si>
  <si>
    <t>2026-02-25 16:08:00</t>
  </si>
  <si>
    <t>2026-03-20 19:24:09.221059</t>
  </si>
  <si>
    <t>LD-300899</t>
  </si>
  <si>
    <t>2025-09-12 17:59:00</t>
  </si>
  <si>
    <t>2025-10-29 20:33:53.633491</t>
  </si>
  <si>
    <t>LD-300900</t>
  </si>
  <si>
    <t>2025-02-03 10:24:00</t>
  </si>
  <si>
    <t>LD-300901</t>
  </si>
  <si>
    <t>2025-10-11 09:07:00</t>
  </si>
  <si>
    <t>LD-300902</t>
  </si>
  <si>
    <t>2025-12-20 07:04:00</t>
  </si>
  <si>
    <t>LD-300903</t>
  </si>
  <si>
    <t>2026-02-19 16:39:00</t>
  </si>
  <si>
    <t>LD-300904</t>
  </si>
  <si>
    <t>2025-03-02 07:18:00</t>
  </si>
  <si>
    <t>LD-300905</t>
  </si>
  <si>
    <t>2026-02-27 10:10:00</t>
  </si>
  <si>
    <t>2026-03-30 02:19:12.560971</t>
  </si>
  <si>
    <t>LD-300906</t>
  </si>
  <si>
    <t>2025-10-03 09:59:00</t>
  </si>
  <si>
    <t>2025-11-03 15:26:26.394575</t>
  </si>
  <si>
    <t>LD-300907</t>
  </si>
  <si>
    <t>2026-01-20 14:54:00</t>
  </si>
  <si>
    <t>2026-03-03 10:48:56.791815</t>
  </si>
  <si>
    <t>LD-300908</t>
  </si>
  <si>
    <t>2025-03-12 18:33:00</t>
  </si>
  <si>
    <t>2025-04-13 01:13:50.449719</t>
  </si>
  <si>
    <t>LD-300909</t>
  </si>
  <si>
    <t>2025-08-12 20:37:00</t>
  </si>
  <si>
    <t>2025-09-23 00:14:24.674416</t>
  </si>
  <si>
    <t>LD-300910</t>
  </si>
  <si>
    <t>2025-03-13 13:38:00</t>
  </si>
  <si>
    <t>LD-300911</t>
  </si>
  <si>
    <t>2026-06-19 08:39:00</t>
  </si>
  <si>
    <t>LD-300912</t>
  </si>
  <si>
    <t>2026-05-27 14:18:00</t>
  </si>
  <si>
    <t>LD-300913</t>
  </si>
  <si>
    <t>2025-02-24 09:50:00</t>
  </si>
  <si>
    <t>LD-300914</t>
  </si>
  <si>
    <t>2025-12-05 14:25:00</t>
  </si>
  <si>
    <t>2026-01-10 07:24:02.622319</t>
  </si>
  <si>
    <t>LD-300915</t>
  </si>
  <si>
    <t>2025-08-29 13:29:00</t>
  </si>
  <si>
    <t>LD-300916</t>
  </si>
  <si>
    <t>2025-10-22 16:37:00</t>
  </si>
  <si>
    <t>2025-11-30 17:30:28.282315</t>
  </si>
  <si>
    <t>LD-300917</t>
  </si>
  <si>
    <t>2025-07-17 13:28:00</t>
  </si>
  <si>
    <t>LD-300918</t>
  </si>
  <si>
    <t>2025-02-15 11:51:00</t>
  </si>
  <si>
    <t>LD-300919</t>
  </si>
  <si>
    <t>2026-01-11 07:08:00</t>
  </si>
  <si>
    <t>LD-300920</t>
  </si>
  <si>
    <t>2025-12-03 13:20:00</t>
  </si>
  <si>
    <t>2026-01-11 10:26:40.559389</t>
  </si>
  <si>
    <t>LD-300921</t>
  </si>
  <si>
    <t>2026-01-14 14:08:00</t>
  </si>
  <si>
    <t>LD-300922</t>
  </si>
  <si>
    <t>2025-11-17 17:43:00</t>
  </si>
  <si>
    <t>LD-300923</t>
  </si>
  <si>
    <t>2026-02-03 20:28:00</t>
  </si>
  <si>
    <t>LD-300924</t>
  </si>
  <si>
    <t>2026-01-14 09:00:00</t>
  </si>
  <si>
    <t>LD-300925</t>
  </si>
  <si>
    <t>2025-02-06 18:38:00</t>
  </si>
  <si>
    <t>LD-300926</t>
  </si>
  <si>
    <t>2025-05-28 11:57:00</t>
  </si>
  <si>
    <t>2025-06-30 01:42:04.895234</t>
  </si>
  <si>
    <t>LD-300927</t>
  </si>
  <si>
    <t>2025-04-14 17:38:00</t>
  </si>
  <si>
    <t>LD-300928</t>
  </si>
  <si>
    <t>2026-01-25 11:43:00</t>
  </si>
  <si>
    <t>2026-03-06 20:51:49.627983</t>
  </si>
  <si>
    <t>LD-300929</t>
  </si>
  <si>
    <t>2026-02-03 17:55:00</t>
  </si>
  <si>
    <t>2026-03-03 00:18:06.088631</t>
  </si>
  <si>
    <t>LD-300930</t>
  </si>
  <si>
    <t>2025-02-04 19:10:00</t>
  </si>
  <si>
    <t>LD-300931</t>
  </si>
  <si>
    <t>2025-08-01 09:04:00</t>
  </si>
  <si>
    <t>2025-09-01 05:25:16.485328</t>
  </si>
  <si>
    <t>LD-300932</t>
  </si>
  <si>
    <t>2026-03-25 14:30:00</t>
  </si>
  <si>
    <t>LD-300933</t>
  </si>
  <si>
    <t>2025-04-11 18:31:00</t>
  </si>
  <si>
    <t>LD-300934</t>
  </si>
  <si>
    <t>2025-05-30 19:33:00</t>
  </si>
  <si>
    <t>LD-300935</t>
  </si>
  <si>
    <t>2025-08-02 20:59:00</t>
  </si>
  <si>
    <t>LD-300936</t>
  </si>
  <si>
    <t>2025-07-03 12:45:00</t>
  </si>
  <si>
    <t>LD-300937</t>
  </si>
  <si>
    <t>2026-03-30 18:53:00</t>
  </si>
  <si>
    <t>LD-300938</t>
  </si>
  <si>
    <t>2025-07-16 12:18:00</t>
  </si>
  <si>
    <t>LD-300939</t>
  </si>
  <si>
    <t>2026-01-10 09:22:00</t>
  </si>
  <si>
    <t>LD-300940</t>
  </si>
  <si>
    <t>2025-10-27 16:45:00</t>
  </si>
  <si>
    <t>LD-300941</t>
  </si>
  <si>
    <t>2026-05-08 07:37:00</t>
  </si>
  <si>
    <t>2026-06-22 05:50:42.665312</t>
  </si>
  <si>
    <t>LD-300942</t>
  </si>
  <si>
    <t>2025-01-01 08:15:00</t>
  </si>
  <si>
    <t>LD-300943</t>
  </si>
  <si>
    <t>2026-03-18 10:28:00</t>
  </si>
  <si>
    <t>2026-04-18 11:07:12.922398</t>
  </si>
  <si>
    <t>LD-300944</t>
  </si>
  <si>
    <t>2025-08-23 07:21:00</t>
  </si>
  <si>
    <t>LD-300945</t>
  </si>
  <si>
    <t>2026-04-07 18:44:00</t>
  </si>
  <si>
    <t>LD-300946</t>
  </si>
  <si>
    <t>2026-05-29 14:55:00</t>
  </si>
  <si>
    <t>LD-300947</t>
  </si>
  <si>
    <t>2025-01-06 20:59:00</t>
  </si>
  <si>
    <t>LD-300948</t>
  </si>
  <si>
    <t>2025-07-18 08:56:00</t>
  </si>
  <si>
    <t>LD-300949</t>
  </si>
  <si>
    <t>2025-02-07 11:21:00</t>
  </si>
  <si>
    <t>LD-300950</t>
  </si>
  <si>
    <t>2025-09-28 13:23:00</t>
  </si>
  <si>
    <t>LD-300951</t>
  </si>
  <si>
    <t>2025-08-10 09:43:00</t>
  </si>
  <si>
    <t>LD-300952</t>
  </si>
  <si>
    <t>2026-02-20 18:37:00</t>
  </si>
  <si>
    <t>LD-300953</t>
  </si>
  <si>
    <t>2026-01-26 17:39:00</t>
  </si>
  <si>
    <t>2026-03-09 03:47:32.405409</t>
  </si>
  <si>
    <t>LD-300954</t>
  </si>
  <si>
    <t>2025-10-29 10:09:00</t>
  </si>
  <si>
    <t>2025-12-03 22:51:31.228901</t>
  </si>
  <si>
    <t>LD-300955</t>
  </si>
  <si>
    <t>2025-05-16 12:13:00</t>
  </si>
  <si>
    <t>LD-300956</t>
  </si>
  <si>
    <t>2026-03-24 18:11:00</t>
  </si>
  <si>
    <t>LD-300957</t>
  </si>
  <si>
    <t>2026-03-10 11:11:00</t>
  </si>
  <si>
    <t>2026-04-16 03:11:51.114495</t>
  </si>
  <si>
    <t>LD-300958</t>
  </si>
  <si>
    <t>2026-06-19 16:53:00</t>
  </si>
  <si>
    <t>LD-300959</t>
  </si>
  <si>
    <t>2026-05-12 16:05:00</t>
  </si>
  <si>
    <t>LD-300960</t>
  </si>
  <si>
    <t>2025-06-11 08:31:00</t>
  </si>
  <si>
    <t>LD-300961</t>
  </si>
  <si>
    <t>2026-06-05 15:55:00</t>
  </si>
  <si>
    <t>LD-300962</t>
  </si>
  <si>
    <t>2025-03-21 08:44:00</t>
  </si>
  <si>
    <t>2025-04-22 09:50:06.628762</t>
  </si>
  <si>
    <t>LD-300963</t>
  </si>
  <si>
    <t>2025-06-09 20:31:00</t>
  </si>
  <si>
    <t>2025-08-01 13:08:32.428609</t>
  </si>
  <si>
    <t>LD-300964</t>
  </si>
  <si>
    <t>2025-04-04 08:52:00</t>
  </si>
  <si>
    <t>2025-05-17 11:07:34.275796</t>
  </si>
  <si>
    <t>LD-300965</t>
  </si>
  <si>
    <t>2026-05-13 17:46:00</t>
  </si>
  <si>
    <t>LD-300966</t>
  </si>
  <si>
    <t>2025-08-04 13:45:00</t>
  </si>
  <si>
    <t>2025-09-07 09:16:26.376572</t>
  </si>
  <si>
    <t>LD-300967</t>
  </si>
  <si>
    <t>2026-03-02 17:51:00</t>
  </si>
  <si>
    <t>LD-300968</t>
  </si>
  <si>
    <t>2026-06-26 17:48:00</t>
  </si>
  <si>
    <t>LD-300969</t>
  </si>
  <si>
    <t>2025-10-02 08:26:00</t>
  </si>
  <si>
    <t>LD-300970</t>
  </si>
  <si>
    <t>2025-04-24 15:42:00</t>
  </si>
  <si>
    <t>LD-300971</t>
  </si>
  <si>
    <t>2025-09-16 14:56:00</t>
  </si>
  <si>
    <t>LD-300972</t>
  </si>
  <si>
    <t>2026-05-19 08:11:00</t>
  </si>
  <si>
    <t>2026-06-27 13:07:25.232329</t>
  </si>
  <si>
    <t>LD-300973</t>
  </si>
  <si>
    <t>2025-05-23 08:55:00</t>
  </si>
  <si>
    <t>2025-07-07 05:02:45.265790</t>
  </si>
  <si>
    <t>LD-300974</t>
  </si>
  <si>
    <t>2026-05-07 14:55:00</t>
  </si>
  <si>
    <t>LD-300975</t>
  </si>
  <si>
    <t>2025-05-23 17:19:00</t>
  </si>
  <si>
    <t>LD-300976</t>
  </si>
  <si>
    <t>2025-07-22 10:23:00</t>
  </si>
  <si>
    <t>LD-300977</t>
  </si>
  <si>
    <t>2026-02-04 16:45:00</t>
  </si>
  <si>
    <t>LD-300978</t>
  </si>
  <si>
    <t>2025-11-28 15:13:00</t>
  </si>
  <si>
    <t>2026-01-01 23:01:17.092029</t>
  </si>
  <si>
    <t>LD-300979</t>
  </si>
  <si>
    <t>2025-02-23 18:59:00</t>
  </si>
  <si>
    <t>LD-300980</t>
  </si>
  <si>
    <t>2025-03-03 17:38:00</t>
  </si>
  <si>
    <t>2025-03-26 13:47:31.952534</t>
  </si>
  <si>
    <t>LD-300981</t>
  </si>
  <si>
    <t>2025-08-08 10:26:00</t>
  </si>
  <si>
    <t>LD-300982</t>
  </si>
  <si>
    <t>2025-10-31 20:39:00</t>
  </si>
  <si>
    <t>2025-12-08 19:37:46.699113</t>
  </si>
  <si>
    <t>LD-300983</t>
  </si>
  <si>
    <t>2025-07-17 07:57:00</t>
  </si>
  <si>
    <t>2025-08-30 00:03:16.766311</t>
  </si>
  <si>
    <t>LD-300984</t>
  </si>
  <si>
    <t>2025-01-03 09:00:00</t>
  </si>
  <si>
    <t>2025-02-08 03:03:25.505883</t>
  </si>
  <si>
    <t>LD-300985</t>
  </si>
  <si>
    <t>2025-03-28 16:47:00</t>
  </si>
  <si>
    <t>LD-300986</t>
  </si>
  <si>
    <t>2025-06-15 14:39:00</t>
  </si>
  <si>
    <t>LD-300987</t>
  </si>
  <si>
    <t>2026-02-17 17:15:00</t>
  </si>
  <si>
    <t>LD-300988</t>
  </si>
  <si>
    <t>2025-07-02 15:40:00</t>
  </si>
  <si>
    <t>LD-300989</t>
  </si>
  <si>
    <t>2025-03-26 07:48:00</t>
  </si>
  <si>
    <t>LD-300990</t>
  </si>
  <si>
    <t>2026-01-27 15:03:00</t>
  </si>
  <si>
    <t>2026-03-18 03:15:48.545065</t>
  </si>
  <si>
    <t>LD-300991</t>
  </si>
  <si>
    <t>2026-01-21 14:53:00</t>
  </si>
  <si>
    <t>2026-03-10 21:05:40.214257</t>
  </si>
  <si>
    <t>LD-300992</t>
  </si>
  <si>
    <t>2025-04-08 08:30:00</t>
  </si>
  <si>
    <t>2025-05-28 19:20:37.535767</t>
  </si>
  <si>
    <t>LD-300993</t>
  </si>
  <si>
    <t>2025-10-10 13:26:00</t>
  </si>
  <si>
    <t>LD-300994</t>
  </si>
  <si>
    <t>2025-12-12 12:00:00</t>
  </si>
  <si>
    <t>2026-02-16 20:12:08.248185</t>
  </si>
  <si>
    <t>LD-300995</t>
  </si>
  <si>
    <t>2026-04-06 18:31:00</t>
  </si>
  <si>
    <t>LD-300996</t>
  </si>
  <si>
    <t>2025-08-27 10:09:00</t>
  </si>
  <si>
    <t>2025-10-01 18:22:41.595084</t>
  </si>
  <si>
    <t>LD-300997</t>
  </si>
  <si>
    <t>2026-05-07 14:50:00</t>
  </si>
  <si>
    <t>LD-300998</t>
  </si>
  <si>
    <t>2025-06-13 20:02:00</t>
  </si>
  <si>
    <t>2025-07-21 19:26:57.163592</t>
  </si>
  <si>
    <t>LD-300999</t>
  </si>
  <si>
    <t>2025-01-31 19:16:00</t>
  </si>
  <si>
    <t>2025-03-01 08:24:57.775651</t>
  </si>
  <si>
    <t>LD-301000</t>
  </si>
  <si>
    <t>2025-01-20 13:28:00</t>
  </si>
  <si>
    <t>LD-301001</t>
  </si>
  <si>
    <t>2025-09-08 08:53:00</t>
  </si>
  <si>
    <t>2025-10-04 12:06:38.536408</t>
  </si>
  <si>
    <t>LD-301002</t>
  </si>
  <si>
    <t>2025-10-09 10:06:00</t>
  </si>
  <si>
    <t>2025-11-18 15:34:56.270406</t>
  </si>
  <si>
    <t>LD-301003</t>
  </si>
  <si>
    <t>2025-07-18 11:12:00</t>
  </si>
  <si>
    <t>LD-301004</t>
  </si>
  <si>
    <t>2025-01-12 18:02:00</t>
  </si>
  <si>
    <t>LD-301005</t>
  </si>
  <si>
    <t>2025-06-08 11:44:00</t>
  </si>
  <si>
    <t>LD-301006</t>
  </si>
  <si>
    <t>2025-11-21 11:26:00</t>
  </si>
  <si>
    <t>LD-301007</t>
  </si>
  <si>
    <t>2025-06-26 16:28:00</t>
  </si>
  <si>
    <t>2025-07-24 17:28:19.861446</t>
  </si>
  <si>
    <t>LD-301008</t>
  </si>
  <si>
    <t>2026-01-14 18:16:00</t>
  </si>
  <si>
    <t>2026-03-02 19:55:03.988938</t>
  </si>
  <si>
    <t>LD-301009</t>
  </si>
  <si>
    <t>2025-10-26 15:42:00</t>
  </si>
  <si>
    <t>LD-301010</t>
  </si>
  <si>
    <t>2025-03-19 07:45:00</t>
  </si>
  <si>
    <t>LD-301011</t>
  </si>
  <si>
    <t>2026-06-04 15:48:00</t>
  </si>
  <si>
    <t>LD-301012</t>
  </si>
  <si>
    <t>2025-11-28 07:23:00</t>
  </si>
  <si>
    <t>LD-301013</t>
  </si>
  <si>
    <t>2025-07-15 16:01:00</t>
  </si>
  <si>
    <t>2025-08-08 23:11:20.048381</t>
  </si>
  <si>
    <t>LD-301014</t>
  </si>
  <si>
    <t>2025-07-24 08:47:00</t>
  </si>
  <si>
    <t>2025-08-22 21:19:53.348499</t>
  </si>
  <si>
    <t>LD-301015</t>
  </si>
  <si>
    <t>2025-05-21 07:58:00</t>
  </si>
  <si>
    <t>2025-06-27 11:31:04.277409</t>
  </si>
  <si>
    <t>LD-301016</t>
  </si>
  <si>
    <t>2026-05-25 07:57:00</t>
  </si>
  <si>
    <t>LD-301017</t>
  </si>
  <si>
    <t>2026-02-26 09:51:00</t>
  </si>
  <si>
    <t>LD-301018</t>
  </si>
  <si>
    <t>2025-07-22 13:47:00</t>
  </si>
  <si>
    <t>2025-08-20 07:25:12.897806</t>
  </si>
  <si>
    <t>LD-301019</t>
  </si>
  <si>
    <t>2026-01-21 09:03:00</t>
  </si>
  <si>
    <t>2026-02-27 07:32:18.870438</t>
  </si>
  <si>
    <t>LD-301020</t>
  </si>
  <si>
    <t>2025-09-16 11:20:00</t>
  </si>
  <si>
    <t>LD-301021</t>
  </si>
  <si>
    <t>2025-07-08 10:23:00</t>
  </si>
  <si>
    <t>LD-301022</t>
  </si>
  <si>
    <t>2025-06-28 10:21:00</t>
  </si>
  <si>
    <t>LD-301023</t>
  </si>
  <si>
    <t>2025-07-31 15:28:00</t>
  </si>
  <si>
    <t>LD-301024</t>
  </si>
  <si>
    <t>2026-01-19 12:40:00</t>
  </si>
  <si>
    <t>2026-02-24 10:06:55.730643</t>
  </si>
  <si>
    <t>LD-301025</t>
  </si>
  <si>
    <t>2026-05-23 15:32:00</t>
  </si>
  <si>
    <t>2026-06-11 09:37:44.140610</t>
  </si>
  <si>
    <t>LD-301026</t>
  </si>
  <si>
    <t>2025-10-31 20:10:00</t>
  </si>
  <si>
    <t>LD-301027</t>
  </si>
  <si>
    <t>2025-04-11 16:57:00</t>
  </si>
  <si>
    <t>LD-301028</t>
  </si>
  <si>
    <t>2026-02-28 12:37:00</t>
  </si>
  <si>
    <t>2026-04-03 17:06:22.040254</t>
  </si>
  <si>
    <t>LD-301029</t>
  </si>
  <si>
    <t>2026-03-18 12:41:00</t>
  </si>
  <si>
    <t>LD-301030</t>
  </si>
  <si>
    <t>2025-01-21 07:37:00</t>
  </si>
  <si>
    <t>2025-02-25 21:04:55.301980</t>
  </si>
  <si>
    <t>LD-301031</t>
  </si>
  <si>
    <t>2025-12-10 08:59:00</t>
  </si>
  <si>
    <t>LD-301032</t>
  </si>
  <si>
    <t>2025-07-31 16:44:00</t>
  </si>
  <si>
    <t>2025-09-19 05:56:07.827000</t>
  </si>
  <si>
    <t>LD-301033</t>
  </si>
  <si>
    <t>2025-02-27 09:28:00</t>
  </si>
  <si>
    <t>2025-04-05 11:26:04.299817</t>
  </si>
  <si>
    <t>LD-301034</t>
  </si>
  <si>
    <t>2025-01-07 07:43:00</t>
  </si>
  <si>
    <t>LD-301035</t>
  </si>
  <si>
    <t>2025-01-24 15:13:00</t>
  </si>
  <si>
    <t>LD-301036</t>
  </si>
  <si>
    <t>2025-12-30 19:20:00</t>
  </si>
  <si>
    <t>2026-02-11 07:55:10.738574</t>
  </si>
  <si>
    <t>LD-301037</t>
  </si>
  <si>
    <t>2025-07-21 12:43:00</t>
  </si>
  <si>
    <t>2025-08-17 07:37:27.729692</t>
  </si>
  <si>
    <t>LD-301038</t>
  </si>
  <si>
    <t>2025-09-11 08:33:00</t>
  </si>
  <si>
    <t>2025-10-04 20:33:04.972266</t>
  </si>
  <si>
    <t>LD-301039</t>
  </si>
  <si>
    <t>2025-11-28 20:47:00</t>
  </si>
  <si>
    <t>2026-01-06 21:56:51.370079</t>
  </si>
  <si>
    <t>LD-301040</t>
  </si>
  <si>
    <t>2026-05-29 16:31:00</t>
  </si>
  <si>
    <t>2026-07-14 18:25:41.738254</t>
  </si>
  <si>
    <t>LD-301041</t>
  </si>
  <si>
    <t>2025-09-10 18:05:00</t>
  </si>
  <si>
    <t>LD-301042</t>
  </si>
  <si>
    <t>2026-01-09 10:54:00</t>
  </si>
  <si>
    <t>2026-02-11 22:46:55.041437</t>
  </si>
  <si>
    <t>LD-301043</t>
  </si>
  <si>
    <t>2026-04-16 11:33:00</t>
  </si>
  <si>
    <t>2026-05-27 12:29:58.731701</t>
  </si>
  <si>
    <t>LD-301044</t>
  </si>
  <si>
    <t>2026-03-12 15:09:00</t>
  </si>
  <si>
    <t>LD-301045</t>
  </si>
  <si>
    <t>2025-09-12 13:48:00</t>
  </si>
  <si>
    <t>LD-301046</t>
  </si>
  <si>
    <t>2025-09-22 10:21:00</t>
  </si>
  <si>
    <t>LD-301047</t>
  </si>
  <si>
    <t>2025-07-16 17:37:00</t>
  </si>
  <si>
    <t>LD-301048</t>
  </si>
  <si>
    <t>2026-03-04 10:12:00</t>
  </si>
  <si>
    <t>LD-301049</t>
  </si>
  <si>
    <t>2026-06-19 12:08:00</t>
  </si>
  <si>
    <t>2026-07-23 01:01:10.859175</t>
  </si>
  <si>
    <t>LD-301050</t>
  </si>
  <si>
    <t>2026-03-20 08:49:00</t>
  </si>
  <si>
    <t>LD-301051</t>
  </si>
  <si>
    <t>2026-06-11 18:10:00</t>
  </si>
  <si>
    <t>LD-301052</t>
  </si>
  <si>
    <t>2025-10-27 12:20:00</t>
  </si>
  <si>
    <t>LD-301053</t>
  </si>
  <si>
    <t>2026-05-18 12:23:00</t>
  </si>
  <si>
    <t>2026-06-18 20:38:34.927263</t>
  </si>
  <si>
    <t>LD-301054</t>
  </si>
  <si>
    <t>2026-02-12 12:47:00</t>
  </si>
  <si>
    <t>LD-301055</t>
  </si>
  <si>
    <t>2025-04-16 10:03:00</t>
  </si>
  <si>
    <t>LD-301056</t>
  </si>
  <si>
    <t>2025-11-28 18:30:00</t>
  </si>
  <si>
    <t>LD-301057</t>
  </si>
  <si>
    <t>2026-03-06 18:47:00</t>
  </si>
  <si>
    <t>LD-301058</t>
  </si>
  <si>
    <t>2026-06-02 20:16:00</t>
  </si>
  <si>
    <t>2026-07-05 08:40:50.756183</t>
  </si>
  <si>
    <t>LD-301059</t>
  </si>
  <si>
    <t>2026-01-22 18:15:00</t>
  </si>
  <si>
    <t>LD-301060</t>
  </si>
  <si>
    <t>2025-05-16 18:20:00</t>
  </si>
  <si>
    <t>2025-07-07 13:30:14.089284</t>
  </si>
  <si>
    <t>LD-301061</t>
  </si>
  <si>
    <t>2025-07-07 13:29:00</t>
  </si>
  <si>
    <t>2025-08-23 00:57:39.408576</t>
  </si>
  <si>
    <t>LD-301062</t>
  </si>
  <si>
    <t>2026-03-25 14:24:00</t>
  </si>
  <si>
    <t>2026-05-07 18:11:42.280763</t>
  </si>
  <si>
    <t>LD-301063</t>
  </si>
  <si>
    <t>2026-02-28 12:41:00</t>
  </si>
  <si>
    <t>2026-04-03 16:58:34.569575</t>
  </si>
  <si>
    <t>LD-301064</t>
  </si>
  <si>
    <t>2025-10-24 09:31:00</t>
  </si>
  <si>
    <t>2025-12-12 14:36:08.936189</t>
  </si>
  <si>
    <t>LD-301065</t>
  </si>
  <si>
    <t>2026-05-13 11:44:00</t>
  </si>
  <si>
    <t>LD-301066</t>
  </si>
  <si>
    <t>2025-09-05 18:40:00</t>
  </si>
  <si>
    <t>LD-301067</t>
  </si>
  <si>
    <t>2025-01-24 09:05:00</t>
  </si>
  <si>
    <t>LD-301068</t>
  </si>
  <si>
    <t>2025-03-13 11:36:00</t>
  </si>
  <si>
    <t>2025-04-12 16:56:17.100675</t>
  </si>
  <si>
    <t>LD-301069</t>
  </si>
  <si>
    <t>2025-02-12 14:35:00</t>
  </si>
  <si>
    <t>2025-03-24 11:51:31.771548</t>
  </si>
  <si>
    <t>LD-301070</t>
  </si>
  <si>
    <t>2025-06-26 13:56:00</t>
  </si>
  <si>
    <t>LD-301071</t>
  </si>
  <si>
    <t>2025-11-02 10:06:00</t>
  </si>
  <si>
    <t>LD-301072</t>
  </si>
  <si>
    <t>2025-10-21 08:14:00</t>
  </si>
  <si>
    <t>LD-301073</t>
  </si>
  <si>
    <t>2025-12-09 10:28:00</t>
  </si>
  <si>
    <t>LD-301074</t>
  </si>
  <si>
    <t>2025-01-18 17:18:00</t>
  </si>
  <si>
    <t>2025-02-26 03:50:11.076872</t>
  </si>
  <si>
    <t>LD-301075</t>
  </si>
  <si>
    <t>2025-06-27 16:03:00</t>
  </si>
  <si>
    <t>LD-301076</t>
  </si>
  <si>
    <t>2025-02-02 13:04:00</t>
  </si>
  <si>
    <t>LD-301077</t>
  </si>
  <si>
    <t>2025-09-18 20:21:00</t>
  </si>
  <si>
    <t>LD-301078</t>
  </si>
  <si>
    <t>2026-02-23 13:56:00</t>
  </si>
  <si>
    <t>2026-04-02 02:32:42.308051</t>
  </si>
  <si>
    <t>LD-301079</t>
  </si>
  <si>
    <t>2025-11-17 12:34:00</t>
  </si>
  <si>
    <t>LD-301080</t>
  </si>
  <si>
    <t>2025-02-24 15:50:00</t>
  </si>
  <si>
    <t>2025-04-08 12:32:20.863873</t>
  </si>
  <si>
    <t>LD-301081</t>
  </si>
  <si>
    <t>2025-03-11 09:43:00</t>
  </si>
  <si>
    <t>2025-04-23 00:23:48.960911</t>
  </si>
  <si>
    <t>LD-301082</t>
  </si>
  <si>
    <t>2025-06-16 10:03:00</t>
  </si>
  <si>
    <t>LD-301083</t>
  </si>
  <si>
    <t>2026-03-12 15:37:00</t>
  </si>
  <si>
    <t>LD-301084</t>
  </si>
  <si>
    <t>2026-06-29 07:41:00</t>
  </si>
  <si>
    <t>2026-08-08 08:24:09.308131</t>
  </si>
  <si>
    <t>LD-301085</t>
  </si>
  <si>
    <t>2026-02-11 19:48:00</t>
  </si>
  <si>
    <t>LD-301086</t>
  </si>
  <si>
    <t>2025-12-03 12:47:00</t>
  </si>
  <si>
    <t>2025-12-28 18:53:37.429624</t>
  </si>
  <si>
    <t>LD-301087</t>
  </si>
  <si>
    <t>2025-07-23 14:27:00</t>
  </si>
  <si>
    <t>LD-301088</t>
  </si>
  <si>
    <t>2026-01-28 10:48:00</t>
  </si>
  <si>
    <t>LD-301089</t>
  </si>
  <si>
    <t>2025-11-08 14:20:00</t>
  </si>
  <si>
    <t>2025-12-08 07:57:58.933599</t>
  </si>
  <si>
    <t>LD-301090</t>
  </si>
  <si>
    <t>2025-01-24 10:48:00</t>
  </si>
  <si>
    <t>2025-02-24 19:29:02.509483</t>
  </si>
  <si>
    <t>LD-301091</t>
  </si>
  <si>
    <t>2025-02-05 20:56:00</t>
  </si>
  <si>
    <t>LD-301092</t>
  </si>
  <si>
    <t>2026-06-29 17:13:00</t>
  </si>
  <si>
    <t>LD-301093</t>
  </si>
  <si>
    <t>2025-05-30 16:43:00</t>
  </si>
  <si>
    <t>LD-301094</t>
  </si>
  <si>
    <t>2025-06-24 19:16:00</t>
  </si>
  <si>
    <t>LD-301095</t>
  </si>
  <si>
    <t>2025-11-25 20:34:00</t>
  </si>
  <si>
    <t>LD-301096</t>
  </si>
  <si>
    <t>2025-09-30 10:54:00</t>
  </si>
  <si>
    <t>2025-10-27 22:18:27.780718</t>
  </si>
  <si>
    <t>LD-301097</t>
  </si>
  <si>
    <t>2026-03-16 09:07:00</t>
  </si>
  <si>
    <t>LD-301098</t>
  </si>
  <si>
    <t>2025-03-18 19:20:00</t>
  </si>
  <si>
    <t>LD-301099</t>
  </si>
  <si>
    <t>2025-03-05 16:18:00</t>
  </si>
  <si>
    <t>2025-04-07 14:38:54.232717</t>
  </si>
  <si>
    <t>LD-301100</t>
  </si>
  <si>
    <t>2025-03-30 08:13:00</t>
  </si>
  <si>
    <t>LD-301101</t>
  </si>
  <si>
    <t>2026-06-26 10:39:00</t>
  </si>
  <si>
    <t>LD-301102</t>
  </si>
  <si>
    <t>2025-10-11 10:26:00</t>
  </si>
  <si>
    <t>LD-301103</t>
  </si>
  <si>
    <t>2025-09-15 12:14:00</t>
  </si>
  <si>
    <t>LD-301104</t>
  </si>
  <si>
    <t>2025-08-07 12:02:00</t>
  </si>
  <si>
    <t>LD-301105</t>
  </si>
  <si>
    <t>2025-11-27 18:41:00</t>
  </si>
  <si>
    <t>LD-301106</t>
  </si>
  <si>
    <t>2025-06-25 16:10:00</t>
  </si>
  <si>
    <t>LD-301107</t>
  </si>
  <si>
    <t>2026-02-24 14:52:00</t>
  </si>
  <si>
    <t>LD-301108</t>
  </si>
  <si>
    <t>2025-03-21 11:49:00</t>
  </si>
  <si>
    <t>LD-301109</t>
  </si>
  <si>
    <t>2025-01-24 17:40:00</t>
  </si>
  <si>
    <t>2025-03-07 16:20:15.383339</t>
  </si>
  <si>
    <t>LD-301110</t>
  </si>
  <si>
    <t>2026-02-11 09:54:00</t>
  </si>
  <si>
    <t>LD-301111</t>
  </si>
  <si>
    <t>2025-02-09 11:10:00</t>
  </si>
  <si>
    <t>LD-301112</t>
  </si>
  <si>
    <t>2025-03-28 16:11:00</t>
  </si>
  <si>
    <t>LD-301113</t>
  </si>
  <si>
    <t>2025-07-18 09:08:00</t>
  </si>
  <si>
    <t>LD-301114</t>
  </si>
  <si>
    <t>2025-11-14 17:48:00</t>
  </si>
  <si>
    <t>LD-301115</t>
  </si>
  <si>
    <t>2025-09-02 13:58:00</t>
  </si>
  <si>
    <t>2025-10-17 16:24:50.891004</t>
  </si>
  <si>
    <t>LD-301116</t>
  </si>
  <si>
    <t>2025-12-24 09:45:00</t>
  </si>
  <si>
    <t>LD-301117</t>
  </si>
  <si>
    <t>2025-10-17 15:49:00</t>
  </si>
  <si>
    <t>2025-11-10 17:09:07.438854</t>
  </si>
  <si>
    <t>LD-301118</t>
  </si>
  <si>
    <t>2025-04-28 08:56:00</t>
  </si>
  <si>
    <t>LD-301119</t>
  </si>
  <si>
    <t>2025-03-07 16:14:00</t>
  </si>
  <si>
    <t>LD-301120</t>
  </si>
  <si>
    <t>2025-11-25 12:18:00</t>
  </si>
  <si>
    <t>LD-301121</t>
  </si>
  <si>
    <t>2025-03-26 19:23:00</t>
  </si>
  <si>
    <t>LD-301122</t>
  </si>
  <si>
    <t>2025-04-08 16:55:00</t>
  </si>
  <si>
    <t>2025-05-13 01:39:43.172124</t>
  </si>
  <si>
    <t>LD-301123</t>
  </si>
  <si>
    <t>2025-03-27 16:26:00</t>
  </si>
  <si>
    <t>2025-04-23 12:24:39.293382</t>
  </si>
  <si>
    <t>LD-301124</t>
  </si>
  <si>
    <t>2025-10-25 17:03:00</t>
  </si>
  <si>
    <t>LD-301125</t>
  </si>
  <si>
    <t>2025-07-07 20:20:00</t>
  </si>
  <si>
    <t>LD-301126</t>
  </si>
  <si>
    <t>2025-11-06 09:10:00</t>
  </si>
  <si>
    <t>2025-12-20 08:31:14.373623</t>
  </si>
  <si>
    <t>LD-301127</t>
  </si>
  <si>
    <t>2026-06-19 09:51:00</t>
  </si>
  <si>
    <t>2026-08-01 22:38:38.070281</t>
  </si>
  <si>
    <t>LD-301128</t>
  </si>
  <si>
    <t>2025-08-26 20:41:00</t>
  </si>
  <si>
    <t>LD-301129</t>
  </si>
  <si>
    <t>2025-06-25 09:14:00</t>
  </si>
  <si>
    <t>LD-301130</t>
  </si>
  <si>
    <t>2025-03-13 08:23:00</t>
  </si>
  <si>
    <t>2025-04-14 12:21:30.373444</t>
  </si>
  <si>
    <t>LD-301131</t>
  </si>
  <si>
    <t>2026-05-06 12:21:00</t>
  </si>
  <si>
    <t>LD-301132</t>
  </si>
  <si>
    <t>2026-03-18 07:00:00</t>
  </si>
  <si>
    <t>LD-301133</t>
  </si>
  <si>
    <t>2025-04-11 10:02:00</t>
  </si>
  <si>
    <t>LD-301134</t>
  </si>
  <si>
    <t>2026-05-01 12:40:00</t>
  </si>
  <si>
    <t>2026-05-23 11:42:03.101183</t>
  </si>
  <si>
    <t>LD-301135</t>
  </si>
  <si>
    <t>2026-01-15 17:37:00</t>
  </si>
  <si>
    <t>2026-02-04 08:31:45.585980</t>
  </si>
  <si>
    <t>LD-301136</t>
  </si>
  <si>
    <t>2026-05-04 15:22:00</t>
  </si>
  <si>
    <t>2026-05-30 04:20:22.651557</t>
  </si>
  <si>
    <t>LD-301137</t>
  </si>
  <si>
    <t>2025-11-17 20:25:00</t>
  </si>
  <si>
    <t>2025-12-12 13:04:51.211145</t>
  </si>
  <si>
    <t>LD-301138</t>
  </si>
  <si>
    <t>2025-09-05 10:58:00</t>
  </si>
  <si>
    <t>2025-10-04 02:37:55.825748</t>
  </si>
  <si>
    <t>LD-301139</t>
  </si>
  <si>
    <t>2025-12-22 15:50:00</t>
  </si>
  <si>
    <t>LD-301140</t>
  </si>
  <si>
    <t>2025-09-07 19:17:00</t>
  </si>
  <si>
    <t>2025-10-16 08:15:04.243363</t>
  </si>
  <si>
    <t>LD-301141</t>
  </si>
  <si>
    <t>2025-09-20 09:26:00</t>
  </si>
  <si>
    <t>2025-10-19 11:49:59.154283</t>
  </si>
  <si>
    <t>LD-301142</t>
  </si>
  <si>
    <t>2026-06-10 14:20:00</t>
  </si>
  <si>
    <t>LD-301143</t>
  </si>
  <si>
    <t>2026-06-17 08:53:00</t>
  </si>
  <si>
    <t>LD-301144</t>
  </si>
  <si>
    <t>2025-11-10 17:02:00</t>
  </si>
  <si>
    <t>LD-301145</t>
  </si>
  <si>
    <t>2025-11-12 20:22:00</t>
  </si>
  <si>
    <t>LD-301146</t>
  </si>
  <si>
    <t>2026-06-15 08:49:00</t>
  </si>
  <si>
    <t>LD-301147</t>
  </si>
  <si>
    <t>2025-08-31 15:54:00</t>
  </si>
  <si>
    <t>LD-301148</t>
  </si>
  <si>
    <t>2026-04-11 19:27:00</t>
  </si>
  <si>
    <t>LD-301149</t>
  </si>
  <si>
    <t>2025-03-11 16:26:00</t>
  </si>
  <si>
    <t>LD-301150</t>
  </si>
  <si>
    <t>2025-10-28 17:35:00</t>
  </si>
  <si>
    <t>2025-12-10 01:44:34.422471</t>
  </si>
  <si>
    <t>LD-301151</t>
  </si>
  <si>
    <t>2025-06-17 13:24:00</t>
  </si>
  <si>
    <t>2025-07-30 08:24:00.320198</t>
  </si>
  <si>
    <t>LD-301152</t>
  </si>
  <si>
    <t>2025-06-19 13:38:00</t>
  </si>
  <si>
    <t>LD-301153</t>
  </si>
  <si>
    <t>2025-09-12 14:03:00</t>
  </si>
  <si>
    <t>LD-301154</t>
  </si>
  <si>
    <t>2025-02-20 16:34:00</t>
  </si>
  <si>
    <t>LD-301155</t>
  </si>
  <si>
    <t>2025-08-22 15:10:00</t>
  </si>
  <si>
    <t>LD-301156</t>
  </si>
  <si>
    <t>2026-04-05 10:24:00</t>
  </si>
  <si>
    <t>LD-301157</t>
  </si>
  <si>
    <t>2025-04-18 08:45:00</t>
  </si>
  <si>
    <t>LD-301158</t>
  </si>
  <si>
    <t>2025-01-31 18:41:00</t>
  </si>
  <si>
    <t>LD-301159</t>
  </si>
  <si>
    <t>2025-02-07 08:06:00</t>
  </si>
  <si>
    <t>LD-301160</t>
  </si>
  <si>
    <t>2025-08-15 13:53:00</t>
  </si>
  <si>
    <t>LD-301161</t>
  </si>
  <si>
    <t>2025-10-22 07:11:00</t>
  </si>
  <si>
    <t>LD-301162</t>
  </si>
  <si>
    <t>2025-07-14 16:39:00</t>
  </si>
  <si>
    <t>LD-301163</t>
  </si>
  <si>
    <t>2025-06-27 09:41:00</t>
  </si>
  <si>
    <t>LD-301164</t>
  </si>
  <si>
    <t>2025-05-13 18:11:00</t>
  </si>
  <si>
    <t>LD-301165</t>
  </si>
  <si>
    <t>2026-02-25 11:12:00</t>
  </si>
  <si>
    <t>2026-03-18 19:10:37.849511</t>
  </si>
  <si>
    <t>LD-301166</t>
  </si>
  <si>
    <t>2025-03-05 19:41:00</t>
  </si>
  <si>
    <t>LD-301167</t>
  </si>
  <si>
    <t>2025-08-26 18:20:00</t>
  </si>
  <si>
    <t>LD-301168</t>
  </si>
  <si>
    <t>2026-03-25 11:58:00</t>
  </si>
  <si>
    <t>LD-301169</t>
  </si>
  <si>
    <t>2025-07-25 10:25:00</t>
  </si>
  <si>
    <t>LD-301170</t>
  </si>
  <si>
    <t>2025-09-03 09:26:00</t>
  </si>
  <si>
    <t>2025-10-07 21:34:28.614426</t>
  </si>
  <si>
    <t>LD-301171</t>
  </si>
  <si>
    <t>2025-03-07 16:52:00</t>
  </si>
  <si>
    <t>LD-301172</t>
  </si>
  <si>
    <t>2025-10-29 13:10:00</t>
  </si>
  <si>
    <t>LD-301173</t>
  </si>
  <si>
    <t>2025-08-28 20:50:00</t>
  </si>
  <si>
    <t>LD-301174</t>
  </si>
  <si>
    <t>2025-10-13 14:47:00</t>
  </si>
  <si>
    <t>LD-301175</t>
  </si>
  <si>
    <t>2025-06-11 20:41:00</t>
  </si>
  <si>
    <t>2025-07-06 01:38:57.601769</t>
  </si>
  <si>
    <t>LD-301176</t>
  </si>
  <si>
    <t>2025-04-12 14:54:00</t>
  </si>
  <si>
    <t>LD-301177</t>
  </si>
  <si>
    <t>2025-07-18 13:51:00</t>
  </si>
  <si>
    <t>LD-301178</t>
  </si>
  <si>
    <t>2025-05-08 08:22:00</t>
  </si>
  <si>
    <t>2025-05-31 16:44:34.691719</t>
  </si>
  <si>
    <t>LD-301179</t>
  </si>
  <si>
    <t>2025-05-15 14:02:00</t>
  </si>
  <si>
    <t>2025-07-03 10:04:53.346579</t>
  </si>
  <si>
    <t>LD-301180</t>
  </si>
  <si>
    <t>2025-06-25 15:46:00</t>
  </si>
  <si>
    <t>LD-301181</t>
  </si>
  <si>
    <t>2025-03-27 20:02:00</t>
  </si>
  <si>
    <t>LD-301182</t>
  </si>
  <si>
    <t>2025-05-31 15:43:00</t>
  </si>
  <si>
    <t>LD-301183</t>
  </si>
  <si>
    <t>2025-10-09 09:05:00</t>
  </si>
  <si>
    <t>LD-301184</t>
  </si>
  <si>
    <t>2025-09-05 07:37:00</t>
  </si>
  <si>
    <t>LD-301185</t>
  </si>
  <si>
    <t>2025-06-29 17:10:00</t>
  </si>
  <si>
    <t>LD-301186</t>
  </si>
  <si>
    <t>2025-01-08 14:11:00</t>
  </si>
  <si>
    <t>LD-301187</t>
  </si>
  <si>
    <t>2026-01-07 07:31:00</t>
  </si>
  <si>
    <t>LD-301188</t>
  </si>
  <si>
    <t>2025-01-19 10:46:00</t>
  </si>
  <si>
    <t>2025-03-05 15:39:15.850720</t>
  </si>
  <si>
    <t>LD-301189</t>
  </si>
  <si>
    <t>2025-12-19 20:38:00</t>
  </si>
  <si>
    <t>LD-301190</t>
  </si>
  <si>
    <t>2026-05-18 16:20:00</t>
  </si>
  <si>
    <t>LD-301191</t>
  </si>
  <si>
    <t>2025-06-19 17:11:00</t>
  </si>
  <si>
    <t>LD-301192</t>
  </si>
  <si>
    <t>2025-09-16 19:25:00</t>
  </si>
  <si>
    <t>LD-301193</t>
  </si>
  <si>
    <t>2025-09-26 16:58:00</t>
  </si>
  <si>
    <t>LD-301194</t>
  </si>
  <si>
    <t>2025-03-12 10:14:00</t>
  </si>
  <si>
    <t>LD-301195</t>
  </si>
  <si>
    <t>2025-10-31 16:03:00</t>
  </si>
  <si>
    <t>LD-301196</t>
  </si>
  <si>
    <t>2025-11-07 15:58:00</t>
  </si>
  <si>
    <t>LD-301197</t>
  </si>
  <si>
    <t>2025-02-14 16:55:00</t>
  </si>
  <si>
    <t>LD-301198</t>
  </si>
  <si>
    <t>2025-07-22 18:46:00</t>
  </si>
  <si>
    <t>2025-09-05 00:28:49.484903</t>
  </si>
  <si>
    <t>LD-301199</t>
  </si>
  <si>
    <t>2025-11-28 12:57:00</t>
  </si>
  <si>
    <t>LD-301200</t>
  </si>
  <si>
    <t>2026-01-17 10:43:00</t>
  </si>
  <si>
    <t>LD-301201</t>
  </si>
  <si>
    <t>2026-01-24 09:35:00</t>
  </si>
  <si>
    <t>2026-03-09 09:00:17.272284</t>
  </si>
  <si>
    <t>LD-301202</t>
  </si>
  <si>
    <t>2025-06-26 18:20:00</t>
  </si>
  <si>
    <t>2025-08-17 05:46:09.769219</t>
  </si>
  <si>
    <t>LD-301203</t>
  </si>
  <si>
    <t>2026-02-05 16:38:00</t>
  </si>
  <si>
    <t>LD-301204</t>
  </si>
  <si>
    <t>2025-12-17 12:46:00</t>
  </si>
  <si>
    <t>LD-301205</t>
  </si>
  <si>
    <t>2025-06-18 11:46:00</t>
  </si>
  <si>
    <t>2025-07-29 01:07:01.121244</t>
  </si>
  <si>
    <t>LD-301206</t>
  </si>
  <si>
    <t>2025-11-21 08:52:00</t>
  </si>
  <si>
    <t>LD-301207</t>
  </si>
  <si>
    <t>2026-02-13 18:17:00</t>
  </si>
  <si>
    <t>LD-301208</t>
  </si>
  <si>
    <t>2025-06-13 10:31:00</t>
  </si>
  <si>
    <t>LD-301209</t>
  </si>
  <si>
    <t>2026-03-16 19:37:00</t>
  </si>
  <si>
    <t>LD-301210</t>
  </si>
  <si>
    <t>2026-02-12 12:06:00</t>
  </si>
  <si>
    <t>2026-03-19 01:52:21.544479</t>
  </si>
  <si>
    <t>LD-301211</t>
  </si>
  <si>
    <t>2026-06-11 11:12:00</t>
  </si>
  <si>
    <t>2026-07-14 03:27:34.063809</t>
  </si>
  <si>
    <t>LD-301212</t>
  </si>
  <si>
    <t>2026-02-09 18:00:00</t>
  </si>
  <si>
    <t>LD-301213</t>
  </si>
  <si>
    <t>2026-05-04 09:18:00</t>
  </si>
  <si>
    <t>LD-301214</t>
  </si>
  <si>
    <t>2026-06-05 13:52:00</t>
  </si>
  <si>
    <t>2026-07-06 20:21:26.738252</t>
  </si>
  <si>
    <t>LD-301215</t>
  </si>
  <si>
    <t>2025-11-13 19:13:00</t>
  </si>
  <si>
    <t>2025-12-22 16:22:31.422989</t>
  </si>
  <si>
    <t>LD-301216</t>
  </si>
  <si>
    <t>2025-08-28 08:57:00</t>
  </si>
  <si>
    <t>LD-301217</t>
  </si>
  <si>
    <t>2026-03-17 19:14:00</t>
  </si>
  <si>
    <t>2026-05-19 15:54:53.260561</t>
  </si>
  <si>
    <t>LD-301218</t>
  </si>
  <si>
    <t>2025-07-03 14:45:00</t>
  </si>
  <si>
    <t>2025-08-26 03:18:32.621768</t>
  </si>
  <si>
    <t>LD-301219</t>
  </si>
  <si>
    <t>2026-05-19 10:21:00</t>
  </si>
  <si>
    <t>LD-301220</t>
  </si>
  <si>
    <t>2025-11-26 11:51:00</t>
  </si>
  <si>
    <t>LD-301221</t>
  </si>
  <si>
    <t>2025-02-28 17:17:00</t>
  </si>
  <si>
    <t>LD-301222</t>
  </si>
  <si>
    <t>2026-05-31 09:26:00</t>
  </si>
  <si>
    <t>2026-06-26 21:42:20.596755</t>
  </si>
  <si>
    <t>LD-301223</t>
  </si>
  <si>
    <t>2025-05-12 14:19:00</t>
  </si>
  <si>
    <t>LD-301224</t>
  </si>
  <si>
    <t>2025-11-27 19:21:00</t>
  </si>
  <si>
    <t>LD-301225</t>
  </si>
  <si>
    <t>2025-04-04 19:47:00</t>
  </si>
  <si>
    <t>LD-301226</t>
  </si>
  <si>
    <t>2025-10-15 16:29:00</t>
  </si>
  <si>
    <t>2025-12-04 06:07:32.498812</t>
  </si>
  <si>
    <t>LD-301227</t>
  </si>
  <si>
    <t>2026-05-30 07:27:00</t>
  </si>
  <si>
    <t>2026-07-15 05:41:41.401660</t>
  </si>
  <si>
    <t>LD-301228</t>
  </si>
  <si>
    <t>2025-10-07 15:32:00</t>
  </si>
  <si>
    <t>2025-11-03 17:38:00.669305</t>
  </si>
  <si>
    <t>LD-301229</t>
  </si>
  <si>
    <t>2025-06-27 18:28:00</t>
  </si>
  <si>
    <t>LD-301230</t>
  </si>
  <si>
    <t>2025-07-08 07:20:00</t>
  </si>
  <si>
    <t>LD-301231</t>
  </si>
  <si>
    <t>2026-05-29 13:45:00</t>
  </si>
  <si>
    <t>2026-06-27 20:02:17.440341</t>
  </si>
  <si>
    <t>LD-301232</t>
  </si>
  <si>
    <t>2025-05-02 14:04:00</t>
  </si>
  <si>
    <t>2025-06-16 09:09:53.117114</t>
  </si>
  <si>
    <t>LD-301233</t>
  </si>
  <si>
    <t>2025-11-27 12:11:00</t>
  </si>
  <si>
    <t>LD-301234</t>
  </si>
  <si>
    <t>2026-04-21 16:44:00</t>
  </si>
  <si>
    <t>LD-301235</t>
  </si>
  <si>
    <t>2026-05-17 12:38:00</t>
  </si>
  <si>
    <t>LD-301236</t>
  </si>
  <si>
    <t>2025-09-29 17:45:00</t>
  </si>
  <si>
    <t>2025-11-09 12:05:21.873248</t>
  </si>
  <si>
    <t>LD-301237</t>
  </si>
  <si>
    <t>2025-08-25 17:54:00</t>
  </si>
  <si>
    <t>2025-09-29 02:01:06.564925</t>
  </si>
  <si>
    <t>LD-301238</t>
  </si>
  <si>
    <t>2026-04-30 17:54:00</t>
  </si>
  <si>
    <t>2026-06-08 22:17:27.198270</t>
  </si>
  <si>
    <t>LD-301239</t>
  </si>
  <si>
    <t>2025-07-15 19:16:00</t>
  </si>
  <si>
    <t>LD-301240</t>
  </si>
  <si>
    <t>2026-01-23 16:38:00</t>
  </si>
  <si>
    <t>2026-03-15 15:12:06.710321</t>
  </si>
  <si>
    <t>LD-301241</t>
  </si>
  <si>
    <t>2026-05-02 14:50:00</t>
  </si>
  <si>
    <t>LD-301242</t>
  </si>
  <si>
    <t>2025-02-09 16:45:00</t>
  </si>
  <si>
    <t>2025-03-27 18:48:14.416257</t>
  </si>
  <si>
    <t>LD-301243</t>
  </si>
  <si>
    <t>2026-03-10 18:28:00</t>
  </si>
  <si>
    <t>2026-04-07 19:20:16.957917</t>
  </si>
  <si>
    <t>LD-301244</t>
  </si>
  <si>
    <t>2026-01-14 12:07:00</t>
  </si>
  <si>
    <t>LD-301245</t>
  </si>
  <si>
    <t>2026-05-01 14:32:00</t>
  </si>
  <si>
    <t>2026-06-07 04:48:07.794597</t>
  </si>
  <si>
    <t>LD-301246</t>
  </si>
  <si>
    <t>2025-04-07 13:38:00</t>
  </si>
  <si>
    <t>LD-301247</t>
  </si>
  <si>
    <t>2026-03-25 19:42:00</t>
  </si>
  <si>
    <t>2026-04-27 18:29:23.205754</t>
  </si>
  <si>
    <t>LD-301248</t>
  </si>
  <si>
    <t>2025-09-18 08:20:00</t>
  </si>
  <si>
    <t>LD-301249</t>
  </si>
  <si>
    <t>2025-04-17 08:48:00</t>
  </si>
  <si>
    <t>LD-301250</t>
  </si>
  <si>
    <t>2025-05-09 17:00:00</t>
  </si>
  <si>
    <t>2025-06-12 07:39:32.117547</t>
  </si>
  <si>
    <t>LD-301251</t>
  </si>
  <si>
    <t>2026-02-02 14:23:00</t>
  </si>
  <si>
    <t>LD-301252</t>
  </si>
  <si>
    <t>2026-06-05 09:35:00</t>
  </si>
  <si>
    <t>LD-301253</t>
  </si>
  <si>
    <t>2025-04-23 07:32:00</t>
  </si>
  <si>
    <t>2025-06-03 09:57:01.636118</t>
  </si>
  <si>
    <t>LD-301254</t>
  </si>
  <si>
    <t>2025-08-06 20:19:00</t>
  </si>
  <si>
    <t>LD-301255</t>
  </si>
  <si>
    <t>2026-03-29 14:05:00</t>
  </si>
  <si>
    <t>LD-301256</t>
  </si>
  <si>
    <t>2025-03-18 12:34:00</t>
  </si>
  <si>
    <t>2025-04-10 21:53:54.941760</t>
  </si>
  <si>
    <t>LD-301257</t>
  </si>
  <si>
    <t>2026-01-02 19:50:00</t>
  </si>
  <si>
    <t>LD-301258</t>
  </si>
  <si>
    <t>2026-01-28 16:47:00</t>
  </si>
  <si>
    <t>LD-301259</t>
  </si>
  <si>
    <t>2025-08-15 14:57:00</t>
  </si>
  <si>
    <t>LD-301260</t>
  </si>
  <si>
    <t>2026-01-02 14:45:00</t>
  </si>
  <si>
    <t>LD-301261</t>
  </si>
  <si>
    <t>2025-06-16 09:08:00</t>
  </si>
  <si>
    <t>LD-301262</t>
  </si>
  <si>
    <t>2025-03-28 17:38:00</t>
  </si>
  <si>
    <t>LD-301263</t>
  </si>
  <si>
    <t>2026-02-16 14:11:00</t>
  </si>
  <si>
    <t>2026-04-01 11:39:56.816499</t>
  </si>
  <si>
    <t>LD-301264</t>
  </si>
  <si>
    <t>2025-01-01 14:27:00</t>
  </si>
  <si>
    <t>2025-02-18 17:06:52.841799</t>
  </si>
  <si>
    <t>LD-301265</t>
  </si>
  <si>
    <t>2026-03-27 18:14:00</t>
  </si>
  <si>
    <t>LD-301266</t>
  </si>
  <si>
    <t>2025-07-22 14:24:00</t>
  </si>
  <si>
    <t>LD-301267</t>
  </si>
  <si>
    <t>2026-06-10 14:37:00</t>
  </si>
  <si>
    <t>LD-301268</t>
  </si>
  <si>
    <t>2025-04-03 08:34:00</t>
  </si>
  <si>
    <t>2025-05-05 13:39:15.772310</t>
  </si>
  <si>
    <t>LD-301269</t>
  </si>
  <si>
    <t>2025-08-13 11:40:00</t>
  </si>
  <si>
    <t>LD-301270</t>
  </si>
  <si>
    <t>2025-08-07 07:35:00</t>
  </si>
  <si>
    <t>2025-09-17 12:31:47.422825</t>
  </si>
  <si>
    <t>LD-301271</t>
  </si>
  <si>
    <t>2025-01-12 07:17:00</t>
  </si>
  <si>
    <t>LD-301272</t>
  </si>
  <si>
    <t>2025-12-30 08:39:00</t>
  </si>
  <si>
    <t>LD-301273</t>
  </si>
  <si>
    <t>2025-07-09 10:05:00</t>
  </si>
  <si>
    <t>2025-09-06 06:43:13.552437</t>
  </si>
  <si>
    <t>LD-301274</t>
  </si>
  <si>
    <t>2025-09-04 11:09:00</t>
  </si>
  <si>
    <t>LD-301275</t>
  </si>
  <si>
    <t>2025-04-23 12:41:00</t>
  </si>
  <si>
    <t>LD-301276</t>
  </si>
  <si>
    <t>2025-05-16 20:42:00</t>
  </si>
  <si>
    <t>2025-06-24 22:23:28.182182</t>
  </si>
  <si>
    <t>LD-301277</t>
  </si>
  <si>
    <t>2025-09-10 08:25:00</t>
  </si>
  <si>
    <t>2025-10-16 15:38:39.593824</t>
  </si>
  <si>
    <t>LD-301278</t>
  </si>
  <si>
    <t>2025-10-31 13:31:00</t>
  </si>
  <si>
    <t>LD-301279</t>
  </si>
  <si>
    <t>2026-01-09 09:25:00</t>
  </si>
  <si>
    <t>2026-02-24 09:45:39.360980</t>
  </si>
  <si>
    <t>LD-301280</t>
  </si>
  <si>
    <t>2026-03-13 18:11:00</t>
  </si>
  <si>
    <t>2026-04-24 22:26:55.797764</t>
  </si>
  <si>
    <t>LD-301281</t>
  </si>
  <si>
    <t>2026-04-22 14:00:00</t>
  </si>
  <si>
    <t>LD-301282</t>
  </si>
  <si>
    <t>2025-02-28 07:06:00</t>
  </si>
  <si>
    <t>LD-301283</t>
  </si>
  <si>
    <t>2026-05-01 14:33:00</t>
  </si>
  <si>
    <t>2026-06-24 14:32:27.347840</t>
  </si>
  <si>
    <t>LD-301284</t>
  </si>
  <si>
    <t>2025-02-23 16:53:00</t>
  </si>
  <si>
    <t>2025-04-05 00:16:57.033282</t>
  </si>
  <si>
    <t>LD-301285</t>
  </si>
  <si>
    <t>2025-11-03 10:45:00</t>
  </si>
  <si>
    <t>LD-301286</t>
  </si>
  <si>
    <t>2025-01-03 10:29:00</t>
  </si>
  <si>
    <t>2025-02-06 05:56:07.142990</t>
  </si>
  <si>
    <t>LD-301287</t>
  </si>
  <si>
    <t>2025-08-22 20:47:00</t>
  </si>
  <si>
    <t>LD-301288</t>
  </si>
  <si>
    <t>2025-04-03 12:58:00</t>
  </si>
  <si>
    <t>LD-301289</t>
  </si>
  <si>
    <t>LD-301290</t>
  </si>
  <si>
    <t>2025-01-24 07:02:00</t>
  </si>
  <si>
    <t>LD-301291</t>
  </si>
  <si>
    <t>2026-02-11 19:21:00</t>
  </si>
  <si>
    <t>LD-301292</t>
  </si>
  <si>
    <t>2025-11-14 18:46:00</t>
  </si>
  <si>
    <t>2025-12-27 07:21:15.399049</t>
  </si>
  <si>
    <t>LD-301293</t>
  </si>
  <si>
    <t>2026-06-16 19:50:00</t>
  </si>
  <si>
    <t>LD-301294</t>
  </si>
  <si>
    <t>2026-04-24 16:54:00</t>
  </si>
  <si>
    <t>LD-301295</t>
  </si>
  <si>
    <t>2026-06-12 15:23:00</t>
  </si>
  <si>
    <t>LD-301296</t>
  </si>
  <si>
    <t>2025-03-28 11:42:00</t>
  </si>
  <si>
    <t>LD-301297</t>
  </si>
  <si>
    <t>2025-02-14 20:26:00</t>
  </si>
  <si>
    <t>2025-03-27 04:48:53.086118</t>
  </si>
  <si>
    <t>LD-301298</t>
  </si>
  <si>
    <t>2025-06-02 11:05:00</t>
  </si>
  <si>
    <t>2025-07-09 20:31:48.124064</t>
  </si>
  <si>
    <t>LD-301299</t>
  </si>
  <si>
    <t>2026-05-22 12:39:00</t>
  </si>
  <si>
    <t>2026-07-09 18:31:50.097355</t>
  </si>
  <si>
    <t>LD-301300</t>
  </si>
  <si>
    <t>2025-03-28 07:49:00</t>
  </si>
  <si>
    <t>LD-301301</t>
  </si>
  <si>
    <t>2025-09-19 20:39:00</t>
  </si>
  <si>
    <t>LD-301302</t>
  </si>
  <si>
    <t>2026-04-25 19:20:00</t>
  </si>
  <si>
    <t>LD-301303</t>
  </si>
  <si>
    <t>2025-03-14 11:07:00</t>
  </si>
  <si>
    <t>2025-04-15 13:42:55.311226</t>
  </si>
  <si>
    <t>LD-301304</t>
  </si>
  <si>
    <t>2025-11-26 14:07:00</t>
  </si>
  <si>
    <t>2025-12-18 09:20:34.756254</t>
  </si>
  <si>
    <t>LD-301305</t>
  </si>
  <si>
    <t>2025-07-04 12:14:00</t>
  </si>
  <si>
    <t>2025-08-16 21:48:37.328252</t>
  </si>
  <si>
    <t>LD-301306</t>
  </si>
  <si>
    <t>2026-04-03 09:12:00</t>
  </si>
  <si>
    <t>LD-301307</t>
  </si>
  <si>
    <t>2026-06-24 07:09:00</t>
  </si>
  <si>
    <t>2026-07-24 06:23:22.876888</t>
  </si>
  <si>
    <t>LD-301308</t>
  </si>
  <si>
    <t>2026-04-17 15:43:00</t>
  </si>
  <si>
    <t>2026-06-02 05:06:03.263272</t>
  </si>
  <si>
    <t>LD-301309</t>
  </si>
  <si>
    <t>2025-11-15 09:09:00</t>
  </si>
  <si>
    <t>LD-301310</t>
  </si>
  <si>
    <t>2025-11-17 12:56:00</t>
  </si>
  <si>
    <t>2025-12-26 06:12:18.729480</t>
  </si>
  <si>
    <t>LD-301311</t>
  </si>
  <si>
    <t>2026-06-19 18:46:00</t>
  </si>
  <si>
    <t>LD-301312</t>
  </si>
  <si>
    <t>2025-08-08 13:13:00</t>
  </si>
  <si>
    <t>LD-301313</t>
  </si>
  <si>
    <t>2025-04-02 17:23:00</t>
  </si>
  <si>
    <t>LD-301314</t>
  </si>
  <si>
    <t>2026-02-06 13:43:00</t>
  </si>
  <si>
    <t>LD-301315</t>
  </si>
  <si>
    <t>2025-02-19 12:54:00</t>
  </si>
  <si>
    <t>LD-301316</t>
  </si>
  <si>
    <t>2026-05-22 09:44:00</t>
  </si>
  <si>
    <t>LD-301317</t>
  </si>
  <si>
    <t>2025-11-29 15:35:00</t>
  </si>
  <si>
    <t>LD-301318</t>
  </si>
  <si>
    <t>2025-09-11 12:34:00</t>
  </si>
  <si>
    <t>LD-301319</t>
  </si>
  <si>
    <t>2025-06-20 08:46:00</t>
  </si>
  <si>
    <t>LD-301320</t>
  </si>
  <si>
    <t>2025-11-28 08:10:00</t>
  </si>
  <si>
    <t>LD-301321</t>
  </si>
  <si>
    <t>2026-01-11 09:40:00</t>
  </si>
  <si>
    <t>LD-301322</t>
  </si>
  <si>
    <t>2026-05-21 16:45:00</t>
  </si>
  <si>
    <t>LD-301323</t>
  </si>
  <si>
    <t>2026-04-09 19:42:00</t>
  </si>
  <si>
    <t>LD-301324</t>
  </si>
  <si>
    <t>2025-09-19 13:14:00</t>
  </si>
  <si>
    <t>LD-301325</t>
  </si>
  <si>
    <t>2026-02-26 17:31:00</t>
  </si>
  <si>
    <t>LD-301326</t>
  </si>
  <si>
    <t>2026-05-03 12:00:00</t>
  </si>
  <si>
    <t>LD-301327</t>
  </si>
  <si>
    <t>2025-11-24 15:34:00</t>
  </si>
  <si>
    <t>LD-301328</t>
  </si>
  <si>
    <t>2026-01-08 17:03:00</t>
  </si>
  <si>
    <t>LD-301329</t>
  </si>
  <si>
    <t>2025-04-11 17:24:00</t>
  </si>
  <si>
    <t>2025-05-18 05:05:06.303674</t>
  </si>
  <si>
    <t>LD-301330</t>
  </si>
  <si>
    <t>2025-12-19 20:35:00</t>
  </si>
  <si>
    <t>LD-301331</t>
  </si>
  <si>
    <t>2026-06-12 08:46:00</t>
  </si>
  <si>
    <t>LD-301332</t>
  </si>
  <si>
    <t>2025-02-05 16:36:00</t>
  </si>
  <si>
    <t>LD-301333</t>
  </si>
  <si>
    <t>2025-03-24 20:26:00</t>
  </si>
  <si>
    <t>2025-05-02 19:18:28.244377</t>
  </si>
  <si>
    <t>LD-301334</t>
  </si>
  <si>
    <t>2025-04-19 10:29:00</t>
  </si>
  <si>
    <t>2025-06-06 23:55:41.332416</t>
  </si>
  <si>
    <t>LD-301335</t>
  </si>
  <si>
    <t>2025-10-10 17:42:00</t>
  </si>
  <si>
    <t>LD-301336</t>
  </si>
  <si>
    <t>2026-01-13 07:52:00</t>
  </si>
  <si>
    <t>LD-301337</t>
  </si>
  <si>
    <t>2025-02-03 20:27:00</t>
  </si>
  <si>
    <t>LD-301338</t>
  </si>
  <si>
    <t>2025-09-12 08:31:00</t>
  </si>
  <si>
    <t>LD-301339</t>
  </si>
  <si>
    <t>2026-04-01 20:23:00</t>
  </si>
  <si>
    <t>2026-05-05 09:15:46.174247</t>
  </si>
  <si>
    <t>LD-301340</t>
  </si>
  <si>
    <t>2026-04-15 11:57:00</t>
  </si>
  <si>
    <t>LD-301341</t>
  </si>
  <si>
    <t>2025-11-14 15:37:00</t>
  </si>
  <si>
    <t>LD-301342</t>
  </si>
  <si>
    <t>2025-05-19 14:22:00</t>
  </si>
  <si>
    <t>LD-301343</t>
  </si>
  <si>
    <t>2025-03-12 10:48:00</t>
  </si>
  <si>
    <t>LD-301344</t>
  </si>
  <si>
    <t>2026-03-30 09:17:00</t>
  </si>
  <si>
    <t>LD-301345</t>
  </si>
  <si>
    <t>2026-01-10 18:37:00</t>
  </si>
  <si>
    <t>LD-301346</t>
  </si>
  <si>
    <t>2025-06-26 15:36:00</t>
  </si>
  <si>
    <t>LD-301347</t>
  </si>
  <si>
    <t>2025-04-24 14:40:00</t>
  </si>
  <si>
    <t>LD-301348</t>
  </si>
  <si>
    <t>2026-01-12 17:10:00</t>
  </si>
  <si>
    <t>LD-301349</t>
  </si>
  <si>
    <t>2025-07-01 07:14:00</t>
  </si>
  <si>
    <t>2025-08-04 02:57:18.051264</t>
  </si>
  <si>
    <t>LD-301350</t>
  </si>
  <si>
    <t>2025-10-03 18:13:00</t>
  </si>
  <si>
    <t>LD-301351</t>
  </si>
  <si>
    <t>2025-02-14 17:06:00</t>
  </si>
  <si>
    <t>LD-301352</t>
  </si>
  <si>
    <t>2026-05-07 17:37:00</t>
  </si>
  <si>
    <t>LD-301353</t>
  </si>
  <si>
    <t>2026-02-15 14:46:00</t>
  </si>
  <si>
    <t>LD-301354</t>
  </si>
  <si>
    <t>2025-06-11 20:47:00</t>
  </si>
  <si>
    <t>2025-08-14 22:02:18.521859</t>
  </si>
  <si>
    <t>LD-301355</t>
  </si>
  <si>
    <t>2026-04-05 09:18:00</t>
  </si>
  <si>
    <t>2026-05-12 17:55:49.861046</t>
  </si>
  <si>
    <t>LD-301356</t>
  </si>
  <si>
    <t>2026-05-01 14:27:00</t>
  </si>
  <si>
    <t>LD-301357</t>
  </si>
  <si>
    <t>2025-02-28 17:15:00</t>
  </si>
  <si>
    <t>LD-301358</t>
  </si>
  <si>
    <t>2025-07-09 12:24:00</t>
  </si>
  <si>
    <t>LD-301359</t>
  </si>
  <si>
    <t>2026-04-20 14:14:00</t>
  </si>
  <si>
    <t>2026-06-03 21:13:00.992764</t>
  </si>
  <si>
    <t>LD-301360</t>
  </si>
  <si>
    <t>2025-06-27 11:34:00</t>
  </si>
  <si>
    <t>2025-08-07 13:48:51.105618</t>
  </si>
  <si>
    <t>LD-301361</t>
  </si>
  <si>
    <t>2026-05-12 17:31:00</t>
  </si>
  <si>
    <t>LD-301362</t>
  </si>
  <si>
    <t>2025-07-27 10:12:00</t>
  </si>
  <si>
    <t>2025-08-28 09:02:26.830615</t>
  </si>
  <si>
    <t>LD-301363</t>
  </si>
  <si>
    <t>2025-11-11 14:43:00</t>
  </si>
  <si>
    <t>LD-301364</t>
  </si>
  <si>
    <t>2025-05-25 14:51:00</t>
  </si>
  <si>
    <t>LD-301365</t>
  </si>
  <si>
    <t>2026-04-10 08:28:00</t>
  </si>
  <si>
    <t>LD-301366</t>
  </si>
  <si>
    <t>2026-05-08 17:00:00</t>
  </si>
  <si>
    <t>2026-06-30 11:08:00.787406</t>
  </si>
  <si>
    <t>LD-301367</t>
  </si>
  <si>
    <t>2026-01-29 15:38:00</t>
  </si>
  <si>
    <t>2026-03-24 02:01:57.060242</t>
  </si>
  <si>
    <t>LD-301368</t>
  </si>
  <si>
    <t>2025-07-13 15:11:00</t>
  </si>
  <si>
    <t>2025-08-14 21:29:38.424128</t>
  </si>
  <si>
    <t>LD-301369</t>
  </si>
  <si>
    <t>2025-04-29 09:51:00</t>
  </si>
  <si>
    <t>LD-301370</t>
  </si>
  <si>
    <t>2025-12-12 18:05:00</t>
  </si>
  <si>
    <t>LD-301371</t>
  </si>
  <si>
    <t>2025-10-31 20:54:00</t>
  </si>
  <si>
    <t>2025-12-20 11:20:49.321828</t>
  </si>
  <si>
    <t>LD-301372</t>
  </si>
  <si>
    <t>2026-01-09 11:02:00</t>
  </si>
  <si>
    <t>LD-301373</t>
  </si>
  <si>
    <t>2025-11-21 09:13:00</t>
  </si>
  <si>
    <t>LD-301374</t>
  </si>
  <si>
    <t>2025-06-18 09:35:00</t>
  </si>
  <si>
    <t>LD-301375</t>
  </si>
  <si>
    <t>2025-10-17 13:02:00</t>
  </si>
  <si>
    <t>LD-301376</t>
  </si>
  <si>
    <t>2026-04-07 18:48:00</t>
  </si>
  <si>
    <t>LD-301377</t>
  </si>
  <si>
    <t>2025-05-22 08:20:00</t>
  </si>
  <si>
    <t>2025-07-10 18:03:27.209227</t>
  </si>
  <si>
    <t>LD-301378</t>
  </si>
  <si>
    <t>2025-02-13 08:57:00</t>
  </si>
  <si>
    <t>2025-04-04 16:11:22.341288</t>
  </si>
  <si>
    <t>LD-301379</t>
  </si>
  <si>
    <t>2025-07-09 14:45:00</t>
  </si>
  <si>
    <t>LD-301380</t>
  </si>
  <si>
    <t>2025-12-31 19:46:00</t>
  </si>
  <si>
    <t>LD-301381</t>
  </si>
  <si>
    <t>2025-07-21 14:58:00</t>
  </si>
  <si>
    <t>LD-301382</t>
  </si>
  <si>
    <t>2025-07-29 12:50:00</t>
  </si>
  <si>
    <t>LD-301383</t>
  </si>
  <si>
    <t>2026-06-25 18:12:00</t>
  </si>
  <si>
    <t>LD-301384</t>
  </si>
  <si>
    <t>2025-12-05 07:16:00</t>
  </si>
  <si>
    <t>2026-01-23 23:15:30.664483</t>
  </si>
  <si>
    <t>LD-301385</t>
  </si>
  <si>
    <t>2026-01-23 17:33:00</t>
  </si>
  <si>
    <t>LD-301386</t>
  </si>
  <si>
    <t>2026-03-06 16:09:00</t>
  </si>
  <si>
    <t>2026-04-18 11:24:12.449563</t>
  </si>
  <si>
    <t>LD-301387</t>
  </si>
  <si>
    <t>2025-11-03 20:22:00</t>
  </si>
  <si>
    <t>2025-11-25 10:47:44.190074</t>
  </si>
  <si>
    <t>LD-301388</t>
  </si>
  <si>
    <t>2026-06-05 09:23:00</t>
  </si>
  <si>
    <t>LD-301389</t>
  </si>
  <si>
    <t>2025-11-05 11:28:00</t>
  </si>
  <si>
    <t>LD-301390</t>
  </si>
  <si>
    <t>2025-01-11 19:50:00</t>
  </si>
  <si>
    <t>LD-301391</t>
  </si>
  <si>
    <t>2025-08-25 12:32:00</t>
  </si>
  <si>
    <t>LD-301392</t>
  </si>
  <si>
    <t>2026-06-21 09:51:00</t>
  </si>
  <si>
    <t>2026-08-01 08:23:37.682949</t>
  </si>
  <si>
    <t>LD-301393</t>
  </si>
  <si>
    <t>2025-04-14 09:49:00</t>
  </si>
  <si>
    <t>LD-301394</t>
  </si>
  <si>
    <t>2025-08-26 18:47:00</t>
  </si>
  <si>
    <t>2025-10-05 15:45:16.467979</t>
  </si>
  <si>
    <t>LD-301395</t>
  </si>
  <si>
    <t>2025-02-13 16:31:00</t>
  </si>
  <si>
    <t>LD-301396</t>
  </si>
  <si>
    <t>2026-06-29 13:36:00</t>
  </si>
  <si>
    <t>2026-08-06 15:58:54.375934</t>
  </si>
  <si>
    <t>LD-301397</t>
  </si>
  <si>
    <t>2026-05-18 16:14:00</t>
  </si>
  <si>
    <t>LD-301398</t>
  </si>
  <si>
    <t>2025-06-21 07:50:00</t>
  </si>
  <si>
    <t>2025-07-19 00:08:19.548196</t>
  </si>
  <si>
    <t>LD-301399</t>
  </si>
  <si>
    <t>2025-05-09 10:58:00</t>
  </si>
  <si>
    <t>2025-07-02 19:37:56.485405</t>
  </si>
  <si>
    <t>LD-301400</t>
  </si>
  <si>
    <t>2025-09-11 13:58:00</t>
  </si>
  <si>
    <t>LD-301401</t>
  </si>
  <si>
    <t>2025-11-07 10:29:00</t>
  </si>
  <si>
    <t>LD-301402</t>
  </si>
  <si>
    <t>2026-03-17 10:53:00</t>
  </si>
  <si>
    <t>2026-04-11 21:28:10.691966</t>
  </si>
  <si>
    <t>LD-301403</t>
  </si>
  <si>
    <t>2025-07-12 20:30:00</t>
  </si>
  <si>
    <t>LD-301404</t>
  </si>
  <si>
    <t>2025-04-18 13:31:00</t>
  </si>
  <si>
    <t>LD-301405</t>
  </si>
  <si>
    <t>2026-05-04 07:36:00</t>
  </si>
  <si>
    <t>LD-301406</t>
  </si>
  <si>
    <t>2025-01-22 15:22:00</t>
  </si>
  <si>
    <t>2025-03-10 06:22:51.842312</t>
  </si>
  <si>
    <t>LD-301407</t>
  </si>
  <si>
    <t>2025-09-27 16:27:00</t>
  </si>
  <si>
    <t>LD-301408</t>
  </si>
  <si>
    <t>2025-01-23 17:13:00</t>
  </si>
  <si>
    <t>LD-301409</t>
  </si>
  <si>
    <t>2026-02-13 15:44:00</t>
  </si>
  <si>
    <t>LD-301410</t>
  </si>
  <si>
    <t>2025-07-11 08:26:00</t>
  </si>
  <si>
    <t>LD-301411</t>
  </si>
  <si>
    <t>2026-04-29 15:16:00</t>
  </si>
  <si>
    <t>2026-06-08 08:50:11.926021</t>
  </si>
  <si>
    <t>LD-301412</t>
  </si>
  <si>
    <t>2026-04-17 13:57:00</t>
  </si>
  <si>
    <t>LD-301413</t>
  </si>
  <si>
    <t>2025-11-26 15:43:00</t>
  </si>
  <si>
    <t>LD-301414</t>
  </si>
  <si>
    <t>2026-03-17 15:30:00</t>
  </si>
  <si>
    <t>LD-301415</t>
  </si>
  <si>
    <t>2025-07-13 13:09:00</t>
  </si>
  <si>
    <t>2025-08-11 17:31:22.112518</t>
  </si>
  <si>
    <t>LD-301416</t>
  </si>
  <si>
    <t>2025-09-19 16:52:00</t>
  </si>
  <si>
    <t>LD-301417</t>
  </si>
  <si>
    <t>2026-01-05 19:16:00</t>
  </si>
  <si>
    <t>2026-02-14 04:08:50.697860</t>
  </si>
  <si>
    <t>LD-301418</t>
  </si>
  <si>
    <t>2025-11-07 14:10:00</t>
  </si>
  <si>
    <t>LD-301419</t>
  </si>
  <si>
    <t>2026-02-27 11:01:00</t>
  </si>
  <si>
    <t>2026-04-09 15:43:02.055088</t>
  </si>
  <si>
    <t>LD-301420</t>
  </si>
  <si>
    <t>2025-04-29 11:37:00</t>
  </si>
  <si>
    <t>LD-301421</t>
  </si>
  <si>
    <t>2026-02-24 12:51:00</t>
  </si>
  <si>
    <t>LD-301422</t>
  </si>
  <si>
    <t>2025-01-31 20:29:00</t>
  </si>
  <si>
    <t>LD-301423</t>
  </si>
  <si>
    <t>2025-08-27 11:57:00</t>
  </si>
  <si>
    <t>2025-10-16 00:55:46.957453</t>
  </si>
  <si>
    <t>LD-301424</t>
  </si>
  <si>
    <t>2026-02-25 20:09:00</t>
  </si>
  <si>
    <t>LD-301425</t>
  </si>
  <si>
    <t>2025-07-24 08:43:00</t>
  </si>
  <si>
    <t>2025-09-19 04:44:00.735698</t>
  </si>
  <si>
    <t>LD-301426</t>
  </si>
  <si>
    <t>2026-03-04 08:57:00</t>
  </si>
  <si>
    <t>2026-04-13 11:00:23.145440</t>
  </si>
  <si>
    <t>LD-301427</t>
  </si>
  <si>
    <t>2025-11-14 15:41:00</t>
  </si>
  <si>
    <t>LD-301428</t>
  </si>
  <si>
    <t>2025-10-29 15:30:00</t>
  </si>
  <si>
    <t>2025-12-22 01:46:28.594002</t>
  </si>
  <si>
    <t>LD-301429</t>
  </si>
  <si>
    <t>2025-01-24 09:59:00</t>
  </si>
  <si>
    <t>LD-301430</t>
  </si>
  <si>
    <t>2025-02-12 20:24:00</t>
  </si>
  <si>
    <t>2025-03-22 01:44:28.334438</t>
  </si>
  <si>
    <t>LD-301431</t>
  </si>
  <si>
    <t>2025-02-17 13:15:00</t>
  </si>
  <si>
    <t>LD-301432</t>
  </si>
  <si>
    <t>2025-12-24 15:48:00</t>
  </si>
  <si>
    <t>LD-301433</t>
  </si>
  <si>
    <t>2025-08-04 18:47:00</t>
  </si>
  <si>
    <t>2025-09-09 21:05:50.069427</t>
  </si>
  <si>
    <t>LD-301434</t>
  </si>
  <si>
    <t>2025-12-05 09:49:00</t>
  </si>
  <si>
    <t>LD-301435</t>
  </si>
  <si>
    <t>2026-06-17 19:46:00</t>
  </si>
  <si>
    <t>LD-301436</t>
  </si>
  <si>
    <t>2026-01-21 09:33:00</t>
  </si>
  <si>
    <t>LD-301437</t>
  </si>
  <si>
    <t>2025-12-31 09:46:00</t>
  </si>
  <si>
    <t>LD-301438</t>
  </si>
  <si>
    <t>2026-05-19 09:14:00</t>
  </si>
  <si>
    <t>LD-301439</t>
  </si>
  <si>
    <t>2025-06-06 10:12:00</t>
  </si>
  <si>
    <t>LD-301440</t>
  </si>
  <si>
    <t>2025-10-21 20:03:00</t>
  </si>
  <si>
    <t>2025-11-27 17:35:14.267586</t>
  </si>
  <si>
    <t>LD-301441</t>
  </si>
  <si>
    <t>2025-12-25 19:40:00</t>
  </si>
  <si>
    <t>2026-02-11 10:12:37.089758</t>
  </si>
  <si>
    <t>LD-301442</t>
  </si>
  <si>
    <t>2025-01-03 11:51:00</t>
  </si>
  <si>
    <t>LD-301443</t>
  </si>
  <si>
    <t>2026-05-21 08:01:00</t>
  </si>
  <si>
    <t>LD-301444</t>
  </si>
  <si>
    <t>2026-05-18 14:15:00</t>
  </si>
  <si>
    <t>LD-301445</t>
  </si>
  <si>
    <t>2026-04-02 20:29:00</t>
  </si>
  <si>
    <t>LD-301446</t>
  </si>
  <si>
    <t>2025-12-05 09:39:00</t>
  </si>
  <si>
    <t>2026-01-16 18:29:12.386773</t>
  </si>
  <si>
    <t>LD-301447</t>
  </si>
  <si>
    <t>2026-01-03 20:21:00</t>
  </si>
  <si>
    <t>LD-301448</t>
  </si>
  <si>
    <t>2026-03-15 07:30:00</t>
  </si>
  <si>
    <t>LD-301449</t>
  </si>
  <si>
    <t>2025-02-13 14:55:00</t>
  </si>
  <si>
    <t>LD-301450</t>
  </si>
  <si>
    <t>2025-06-12 09:32:00</t>
  </si>
  <si>
    <t>LD-301451</t>
  </si>
  <si>
    <t>2025-11-20 19:07:00</t>
  </si>
  <si>
    <t>LD-301452</t>
  </si>
  <si>
    <t>2025-10-02 16:21:00</t>
  </si>
  <si>
    <t>LD-301453</t>
  </si>
  <si>
    <t>2025-11-24 09:22:00</t>
  </si>
  <si>
    <t>LD-301454</t>
  </si>
  <si>
    <t>2025-03-19 07:16:00</t>
  </si>
  <si>
    <t>LD-301455</t>
  </si>
  <si>
    <t>2025-12-26 19:02:00</t>
  </si>
  <si>
    <t>LD-301456</t>
  </si>
  <si>
    <t>2025-08-01 10:42:00</t>
  </si>
  <si>
    <t>LD-301457</t>
  </si>
  <si>
    <t>2025-03-06 07:26:00</t>
  </si>
  <si>
    <t>LD-301458</t>
  </si>
  <si>
    <t>2025-04-11 09:55:00</t>
  </si>
  <si>
    <t>LD-301459</t>
  </si>
  <si>
    <t>2025-09-18 09:18:00</t>
  </si>
  <si>
    <t>LD-301460</t>
  </si>
  <si>
    <t>2026-02-20 15:46:00</t>
  </si>
  <si>
    <t>LD-301461</t>
  </si>
  <si>
    <t>2026-07-07 10:11:23.381304</t>
  </si>
  <si>
    <t>LD-301462</t>
  </si>
  <si>
    <t>2025-09-24 17:37:00</t>
  </si>
  <si>
    <t>2025-10-23 21:54:04.748789</t>
  </si>
  <si>
    <t>LD-301463</t>
  </si>
  <si>
    <t>2025-02-09 14:46:00</t>
  </si>
  <si>
    <t>2025-03-13 14:15:45.334782</t>
  </si>
  <si>
    <t>LD-301464</t>
  </si>
  <si>
    <t>2025-12-01 15:09:00</t>
  </si>
  <si>
    <t>LD-301465</t>
  </si>
  <si>
    <t>2026-02-25 14:57:00</t>
  </si>
  <si>
    <t>LD-301466</t>
  </si>
  <si>
    <t>2025-06-17 14:32:00</t>
  </si>
  <si>
    <t>LD-301467</t>
  </si>
  <si>
    <t>2025-05-28 12:18:00</t>
  </si>
  <si>
    <t>LD-301468</t>
  </si>
  <si>
    <t>2026-06-11 14:39:00</t>
  </si>
  <si>
    <t>LD-301469</t>
  </si>
  <si>
    <t>2026-02-13 15:08:00</t>
  </si>
  <si>
    <t>2026-04-11 15:22:14.393797</t>
  </si>
  <si>
    <t>LD-301470</t>
  </si>
  <si>
    <t>2025-02-24 15:48:00</t>
  </si>
  <si>
    <t>LD-301471</t>
  </si>
  <si>
    <t>2025-07-09 10:33:00</t>
  </si>
  <si>
    <t>2025-08-17 09:47:20.864987</t>
  </si>
  <si>
    <t>LD-301472</t>
  </si>
  <si>
    <t>2025-07-17 12:11:00</t>
  </si>
  <si>
    <t>LD-301473</t>
  </si>
  <si>
    <t>2025-05-30 16:34:00</t>
  </si>
  <si>
    <t>2025-07-07 05:05:58.233747</t>
  </si>
  <si>
    <t>LD-301474</t>
  </si>
  <si>
    <t>2025-11-27 09:40:00</t>
  </si>
  <si>
    <t>LD-301475</t>
  </si>
  <si>
    <t>2025-05-23 13:35:00</t>
  </si>
  <si>
    <t>2025-07-05 16:07:07.475091</t>
  </si>
  <si>
    <t>LD-301476</t>
  </si>
  <si>
    <t>2026-01-15 17:35:00</t>
  </si>
  <si>
    <t>2026-02-28 19:17:18.237521</t>
  </si>
  <si>
    <t>LD-301477</t>
  </si>
  <si>
    <t>2025-07-11 15:28:00</t>
  </si>
  <si>
    <t>2025-08-14 23:17:28.315195</t>
  </si>
  <si>
    <t>LD-301478</t>
  </si>
  <si>
    <t>2025-03-28 13:04:00</t>
  </si>
  <si>
    <t>LD-301479</t>
  </si>
  <si>
    <t>2026-06-02 20:14:00</t>
  </si>
  <si>
    <t>LD-301480</t>
  </si>
  <si>
    <t>2026-01-24 20:14:00</t>
  </si>
  <si>
    <t>LD-301481</t>
  </si>
  <si>
    <t>2025-11-24 15:58:00</t>
  </si>
  <si>
    <t>LD-301482</t>
  </si>
  <si>
    <t>2026-06-09 07:57:00</t>
  </si>
  <si>
    <t>LD-301483</t>
  </si>
  <si>
    <t>2026-04-23 13:51:00</t>
  </si>
  <si>
    <t>LD-301484</t>
  </si>
  <si>
    <t>2025-04-25 14:30:00</t>
  </si>
  <si>
    <t>2025-05-28 09:34:25.539593</t>
  </si>
  <si>
    <t>LD-301485</t>
  </si>
  <si>
    <t>2026-04-07 16:54:00</t>
  </si>
  <si>
    <t>LD-301486</t>
  </si>
  <si>
    <t>2025-02-03 13:58:00</t>
  </si>
  <si>
    <t>LD-301487</t>
  </si>
  <si>
    <t>2025-07-13 20:03:00</t>
  </si>
  <si>
    <t>LD-301488</t>
  </si>
  <si>
    <t>2026-04-24 17:01:00</t>
  </si>
  <si>
    <t>2026-06-05 13:48:57.033240</t>
  </si>
  <si>
    <t>LD-301489</t>
  </si>
  <si>
    <t>2025-02-27 16:36:00</t>
  </si>
  <si>
    <t>2025-04-08 23:49:26.944664</t>
  </si>
  <si>
    <t>LD-301490</t>
  </si>
  <si>
    <t>2026-05-07 10:13:00</t>
  </si>
  <si>
    <t>LD-301491</t>
  </si>
  <si>
    <t>2025-07-03 08:12:00</t>
  </si>
  <si>
    <t>LD-301492</t>
  </si>
  <si>
    <t>2025-06-01 13:27:00</t>
  </si>
  <si>
    <t>LD-301493</t>
  </si>
  <si>
    <t>2025-06-29 12:37:00</t>
  </si>
  <si>
    <t>LD-301494</t>
  </si>
  <si>
    <t>2025-09-23 07:46:00</t>
  </si>
  <si>
    <t>LD-301495</t>
  </si>
  <si>
    <t>2025-03-04 11:33:00</t>
  </si>
  <si>
    <t>LD-301496</t>
  </si>
  <si>
    <t>2026-04-06 16:06:00</t>
  </si>
  <si>
    <t>LD-301497</t>
  </si>
  <si>
    <t>2025-05-07 13:41:00</t>
  </si>
  <si>
    <t>LD-301498</t>
  </si>
  <si>
    <t>2025-05-07 13:19:00</t>
  </si>
  <si>
    <t>2025-07-02 08:35:02.175885</t>
  </si>
  <si>
    <t>LD-301499</t>
  </si>
  <si>
    <t>2026-04-13 17:36:00</t>
  </si>
  <si>
    <t>2026-05-20 17:29:42.040891</t>
  </si>
  <si>
    <t>LD-301500</t>
  </si>
  <si>
    <t>2026-06-26 11:44:00</t>
  </si>
  <si>
    <t>LD-301501</t>
  </si>
  <si>
    <t>2025-05-23 12:40:00</t>
  </si>
  <si>
    <t>LD-301502</t>
  </si>
  <si>
    <t>2025-10-31 18:06:00</t>
  </si>
  <si>
    <t>2025-12-13 09:21:56.434781</t>
  </si>
  <si>
    <t>LD-301503</t>
  </si>
  <si>
    <t>2025-05-27 13:06:00</t>
  </si>
  <si>
    <t>2025-07-06 21:01:44.567141</t>
  </si>
  <si>
    <t>LD-301504</t>
  </si>
  <si>
    <t>2025-04-25 11:27:00</t>
  </si>
  <si>
    <t>LD-301505</t>
  </si>
  <si>
    <t>2025-02-10 19:59:00</t>
  </si>
  <si>
    <t>2025-03-12 21:25:49.082119</t>
  </si>
  <si>
    <t>LD-301506</t>
  </si>
  <si>
    <t>2025-01-13 07:46:00</t>
  </si>
  <si>
    <t>LD-301507</t>
  </si>
  <si>
    <t>2026-05-03 07:37:00</t>
  </si>
  <si>
    <t>LD-301508</t>
  </si>
  <si>
    <t>2026-06-25 07:58:00</t>
  </si>
  <si>
    <t>LD-301509</t>
  </si>
  <si>
    <t>2025-06-27 14:22:00</t>
  </si>
  <si>
    <t>2025-07-31 05:59:41.167681</t>
  </si>
  <si>
    <t>LD-301510</t>
  </si>
  <si>
    <t>2026-02-06 11:35:00</t>
  </si>
  <si>
    <t>2026-03-17 20:16:19.969513</t>
  </si>
  <si>
    <t>LD-301511</t>
  </si>
  <si>
    <t>2025-04-04 09:32:00</t>
  </si>
  <si>
    <t>LD-301512</t>
  </si>
  <si>
    <t>2025-03-20 20:41:00</t>
  </si>
  <si>
    <t>LD-301513</t>
  </si>
  <si>
    <t>2025-10-02 12:07:00</t>
  </si>
  <si>
    <t>2025-11-05 16:37:19.482085</t>
  </si>
  <si>
    <t>LD-301514</t>
  </si>
  <si>
    <t>2026-02-27 15:50:00</t>
  </si>
  <si>
    <t>LD-301515</t>
  </si>
  <si>
    <t>2026-02-15 18:23:00</t>
  </si>
  <si>
    <t>2026-04-12 05:10:51.020505</t>
  </si>
  <si>
    <t>LD-301516</t>
  </si>
  <si>
    <t>2025-12-09 19:08:00</t>
  </si>
  <si>
    <t>LD-301517</t>
  </si>
  <si>
    <t>2025-06-07 10:16:00</t>
  </si>
  <si>
    <t>LD-301518</t>
  </si>
  <si>
    <t>2025-05-24 15:32:00</t>
  </si>
  <si>
    <t>2025-07-01 12:08:13.458049</t>
  </si>
  <si>
    <t>LD-301519</t>
  </si>
  <si>
    <t>2026-06-26 16:53:00</t>
  </si>
  <si>
    <t>LD-301520</t>
  </si>
  <si>
    <t>2026-02-20 14:25:00</t>
  </si>
  <si>
    <t>LD-301521</t>
  </si>
  <si>
    <t>2025-05-16 16:48:00</t>
  </si>
  <si>
    <t>LD-301522</t>
  </si>
  <si>
    <t>2025-01-01 09:54:00</t>
  </si>
  <si>
    <t>2025-02-12 10:49:58.553548</t>
  </si>
  <si>
    <t>LD-301523</t>
  </si>
  <si>
    <t>2025-10-10 19:31:00</t>
  </si>
  <si>
    <t>LD-301524</t>
  </si>
  <si>
    <t>2025-08-17 18:03:00</t>
  </si>
  <si>
    <t>2025-09-10 16:41:32.023697</t>
  </si>
  <si>
    <t>LD-301525</t>
  </si>
  <si>
    <t>2026-02-10 11:19:00</t>
  </si>
  <si>
    <t>2026-03-16 12:08:31.687056</t>
  </si>
  <si>
    <t>LD-301526</t>
  </si>
  <si>
    <t>2025-05-02 20:38:00</t>
  </si>
  <si>
    <t>2025-06-11 08:09:42.834732</t>
  </si>
  <si>
    <t>LD-301527</t>
  </si>
  <si>
    <t>2025-11-11 15:26:00</t>
  </si>
  <si>
    <t>LD-301528</t>
  </si>
  <si>
    <t>2025-11-26 08:50:00</t>
  </si>
  <si>
    <t>LD-301529</t>
  </si>
  <si>
    <t>2025-01-22 17:47:00</t>
  </si>
  <si>
    <t>2025-02-27 08:04:22.349002</t>
  </si>
  <si>
    <t>LD-301530</t>
  </si>
  <si>
    <t>2025-07-04 10:55:00</t>
  </si>
  <si>
    <t>LD-301531</t>
  </si>
  <si>
    <t>2025-03-31 17:13:00</t>
  </si>
  <si>
    <t>LD-301532</t>
  </si>
  <si>
    <t>2025-02-28 09:58:00</t>
  </si>
  <si>
    <t>2025-04-23 15:50:10.979581</t>
  </si>
  <si>
    <t>LD-301533</t>
  </si>
  <si>
    <t>2025-04-24 13:27:00</t>
  </si>
  <si>
    <t>2025-06-21 02:16:47.490374</t>
  </si>
  <si>
    <t>LD-301534</t>
  </si>
  <si>
    <t>2025-10-01 18:27:00</t>
  </si>
  <si>
    <t>LD-301535</t>
  </si>
  <si>
    <t>2026-05-18 07:57:00</t>
  </si>
  <si>
    <t>LD-301536</t>
  </si>
  <si>
    <t>2026-02-27 11:35:00</t>
  </si>
  <si>
    <t>2026-04-08 16:19:05.607006</t>
  </si>
  <si>
    <t>LD-301537</t>
  </si>
  <si>
    <t>2025-12-04 09:33:00</t>
  </si>
  <si>
    <t>LD-301538</t>
  </si>
  <si>
    <t>2025-11-13 18:52:00</t>
  </si>
  <si>
    <t>LD-301539</t>
  </si>
  <si>
    <t>LD-301540</t>
  </si>
  <si>
    <t>2025-11-21 10:31:00</t>
  </si>
  <si>
    <t>2025-12-19 20:37:44.064513</t>
  </si>
  <si>
    <t>LD-301541</t>
  </si>
  <si>
    <t>2025-04-21 09:33:00</t>
  </si>
  <si>
    <t>LD-301542</t>
  </si>
  <si>
    <t>2026-03-02 18:23:00</t>
  </si>
  <si>
    <t>LD-301543</t>
  </si>
  <si>
    <t>2026-04-23 09:34:00</t>
  </si>
  <si>
    <t>2026-06-04 06:55:11.114889</t>
  </si>
  <si>
    <t>LD-301544</t>
  </si>
  <si>
    <t>2025-01-15 18:27:00</t>
  </si>
  <si>
    <t>LD-301545</t>
  </si>
  <si>
    <t>2026-05-20 13:04:00</t>
  </si>
  <si>
    <t>LD-301546</t>
  </si>
  <si>
    <t>2025-02-11 08:44:00</t>
  </si>
  <si>
    <t>LD-301547</t>
  </si>
  <si>
    <t>2026-03-20 19:17:00</t>
  </si>
  <si>
    <t>2026-05-04 11:06:59.310297</t>
  </si>
  <si>
    <t>LD-301548</t>
  </si>
  <si>
    <t>2026-04-29 11:50:00</t>
  </si>
  <si>
    <t>LD-301549</t>
  </si>
  <si>
    <t>2025-05-09 09:24:00</t>
  </si>
  <si>
    <t>LD-301550</t>
  </si>
  <si>
    <t>2026-04-27 16:06:00</t>
  </si>
  <si>
    <t>LD-301551</t>
  </si>
  <si>
    <t>2025-04-05 14:53:00</t>
  </si>
  <si>
    <t>LD-301552</t>
  </si>
  <si>
    <t>2025-12-05 16:31:00</t>
  </si>
  <si>
    <t>LD-301553</t>
  </si>
  <si>
    <t>2025-03-27 08:40:00</t>
  </si>
  <si>
    <t>LD-301554</t>
  </si>
  <si>
    <t>2026-03-01 09:39:00</t>
  </si>
  <si>
    <t>2026-03-21 10:59:16.404411</t>
  </si>
  <si>
    <t>LD-301555</t>
  </si>
  <si>
    <t>2025-01-29 14:07:00</t>
  </si>
  <si>
    <t>LD-301556</t>
  </si>
  <si>
    <t>2025-08-18 07:15:00</t>
  </si>
  <si>
    <t>LD-301557</t>
  </si>
  <si>
    <t>2025-03-19 18:43:00</t>
  </si>
  <si>
    <t>LD-301558</t>
  </si>
  <si>
    <t>2025-01-11 07:42:00</t>
  </si>
  <si>
    <t>LD-301559</t>
  </si>
  <si>
    <t>2025-11-28 15:16:00</t>
  </si>
  <si>
    <t>2026-01-10 20:09:08.695134</t>
  </si>
  <si>
    <t>LD-301560</t>
  </si>
  <si>
    <t>2025-04-04 15:28:00</t>
  </si>
  <si>
    <t>2025-05-28 13:27:45.984886</t>
  </si>
  <si>
    <t>LD-301561</t>
  </si>
  <si>
    <t>2025-12-29 18:27:00</t>
  </si>
  <si>
    <t>LD-301562</t>
  </si>
  <si>
    <t>2025-01-17 13:34:00</t>
  </si>
  <si>
    <t>2025-03-01 05:17:54.167014</t>
  </si>
  <si>
    <t>LD-301563</t>
  </si>
  <si>
    <t>2025-12-26 07:55:00</t>
  </si>
  <si>
    <t>LD-301564</t>
  </si>
  <si>
    <t>2025-03-07 18:46:00</t>
  </si>
  <si>
    <t>LD-301565</t>
  </si>
  <si>
    <t>2025-08-15 10:35:00</t>
  </si>
  <si>
    <t>LD-301566</t>
  </si>
  <si>
    <t>2025-05-30 15:00:00</t>
  </si>
  <si>
    <t>LD-301567</t>
  </si>
  <si>
    <t>2025-03-08 17:04:00</t>
  </si>
  <si>
    <t>2025-04-08 07:38:59.607049</t>
  </si>
  <si>
    <t>LD-301568</t>
  </si>
  <si>
    <t>2025-06-02 07:57:00</t>
  </si>
  <si>
    <t>2025-06-29 18:53:28.910830</t>
  </si>
  <si>
    <t>LD-301569</t>
  </si>
  <si>
    <t>2025-02-09 10:27:00</t>
  </si>
  <si>
    <t>LD-301570</t>
  </si>
  <si>
    <t>2025-09-10 10:47:00</t>
  </si>
  <si>
    <t>2025-11-04 14:22:26.123699</t>
  </si>
  <si>
    <t>LD-301571</t>
  </si>
  <si>
    <t>2026-01-15 09:57:00</t>
  </si>
  <si>
    <t>LD-301572</t>
  </si>
  <si>
    <t>2026-05-12 11:19:00</t>
  </si>
  <si>
    <t>2026-06-01 13:21:38.138314</t>
  </si>
  <si>
    <t>LD-301573</t>
  </si>
  <si>
    <t>2025-10-10 18:47:00</t>
  </si>
  <si>
    <t>LD-301574</t>
  </si>
  <si>
    <t>2025-09-17 19:50:00</t>
  </si>
  <si>
    <t>LD-301575</t>
  </si>
  <si>
    <t>2026-05-17 12:30:00</t>
  </si>
  <si>
    <t>LD-301576</t>
  </si>
  <si>
    <t>2026-03-15 12:54:00</t>
  </si>
  <si>
    <t>LD-301577</t>
  </si>
  <si>
    <t>2025-04-18 20:38:00</t>
  </si>
  <si>
    <t>LD-301578</t>
  </si>
  <si>
    <t>2025-06-03 08:51:00</t>
  </si>
  <si>
    <t>LD-301579</t>
  </si>
  <si>
    <t>2025-09-25 13:47:00</t>
  </si>
  <si>
    <t>LD-301580</t>
  </si>
  <si>
    <t>2025-02-07 20:09:00</t>
  </si>
  <si>
    <t>2025-03-16 15:58:47.529544</t>
  </si>
  <si>
    <t>LD-301581</t>
  </si>
  <si>
    <t>2026-05-04 07:28:00</t>
  </si>
  <si>
    <t>2026-05-31 23:18:24.039167</t>
  </si>
  <si>
    <t>LD-301582</t>
  </si>
  <si>
    <t>2025-08-07 11:29:00</t>
  </si>
  <si>
    <t>2025-09-18 23:54:40.025223</t>
  </si>
  <si>
    <t>LD-301583</t>
  </si>
  <si>
    <t>2025-12-30 08:14:00</t>
  </si>
  <si>
    <t>2026-01-31 08:49:18.508647</t>
  </si>
  <si>
    <t>LD-301584</t>
  </si>
  <si>
    <t>2026-03-06 16:13:00</t>
  </si>
  <si>
    <t>LD-301585</t>
  </si>
  <si>
    <t>2025-01-29 12:30:00</t>
  </si>
  <si>
    <t>LD-301586</t>
  </si>
  <si>
    <t>2026-01-01 12:06:00</t>
  </si>
  <si>
    <t>LD-301587</t>
  </si>
  <si>
    <t>2025-09-26 08:20:00</t>
  </si>
  <si>
    <t>2025-11-04 15:40:56.754093</t>
  </si>
  <si>
    <t>LD-301588</t>
  </si>
  <si>
    <t>2025-04-18 10:01:00</t>
  </si>
  <si>
    <t>LD-301589</t>
  </si>
  <si>
    <t>2025-09-20 09:12:00</t>
  </si>
  <si>
    <t>2025-11-02 15:42:13.036435</t>
  </si>
  <si>
    <t>LD-301590</t>
  </si>
  <si>
    <t>2025-08-08 08:08:00</t>
  </si>
  <si>
    <t>LD-301591</t>
  </si>
  <si>
    <t>2026-05-19 12:03:00</t>
  </si>
  <si>
    <t>2026-06-26 17:04:15.690380</t>
  </si>
  <si>
    <t>LD-301592</t>
  </si>
  <si>
    <t>2025-03-10 15:13:00</t>
  </si>
  <si>
    <t>2025-04-11 18:33:39.315591</t>
  </si>
  <si>
    <t>LD-301593</t>
  </si>
  <si>
    <t>2025-03-14 19:15:00</t>
  </si>
  <si>
    <t>2025-04-29 02:46:45.839164</t>
  </si>
  <si>
    <t>LD-301594</t>
  </si>
  <si>
    <t>2025-03-07 16:01:00</t>
  </si>
  <si>
    <t>LD-301595</t>
  </si>
  <si>
    <t>2025-11-01 17:08:00</t>
  </si>
  <si>
    <t>LD-301596</t>
  </si>
  <si>
    <t>2025-01-23 13:19:00</t>
  </si>
  <si>
    <t>LD-301597</t>
  </si>
  <si>
    <t>2026-02-09 09:32:00</t>
  </si>
  <si>
    <t>LD-301598</t>
  </si>
  <si>
    <t>2026-06-29 14:31:00</t>
  </si>
  <si>
    <t>2026-08-24 14:36:42.510991</t>
  </si>
  <si>
    <t>LD-301599</t>
  </si>
  <si>
    <t>2026-05-01 07:25:00</t>
  </si>
  <si>
    <t>LD-301600</t>
  </si>
  <si>
    <t>2026-03-02 14:57:00</t>
  </si>
  <si>
    <t>LD-301601</t>
  </si>
  <si>
    <t>2025-12-10 09:58:00</t>
  </si>
  <si>
    <t>LD-301602</t>
  </si>
  <si>
    <t>2026-06-11 13:15:00</t>
  </si>
  <si>
    <t>LD-301603</t>
  </si>
  <si>
    <t>2025-08-26 14:33:00</t>
  </si>
  <si>
    <t>LD-301604</t>
  </si>
  <si>
    <t>2025-12-11 16:03:00</t>
  </si>
  <si>
    <t>LD-301605</t>
  </si>
  <si>
    <t>2025-02-19 08:35:00</t>
  </si>
  <si>
    <t>LD-301606</t>
  </si>
  <si>
    <t>2025-11-24 20:42:00</t>
  </si>
  <si>
    <t>2026-01-14 10:27:17.934433</t>
  </si>
  <si>
    <t>LD-301607</t>
  </si>
  <si>
    <t>2026-04-18 17:16:00</t>
  </si>
  <si>
    <t>LD-301608</t>
  </si>
  <si>
    <t>2025-07-24 17:55:00</t>
  </si>
  <si>
    <t>LD-301609</t>
  </si>
  <si>
    <t>2025-06-20 08:33:00</t>
  </si>
  <si>
    <t>LD-301610</t>
  </si>
  <si>
    <t>2026-02-23 12:27:00</t>
  </si>
  <si>
    <t>LD-301611</t>
  </si>
  <si>
    <t>2025-07-17 17:34:00</t>
  </si>
  <si>
    <t>LD-301612</t>
  </si>
  <si>
    <t>2025-09-06 13:49:00</t>
  </si>
  <si>
    <t>LD-301613</t>
  </si>
  <si>
    <t>2025-07-02 20:34:00</t>
  </si>
  <si>
    <t>2025-07-24 22:27:26.251225</t>
  </si>
  <si>
    <t>LD-301614</t>
  </si>
  <si>
    <t>2026-03-27 17:26:00</t>
  </si>
  <si>
    <t>LD-301615</t>
  </si>
  <si>
    <t>2025-01-15 19:07:00</t>
  </si>
  <si>
    <t>LD-301616</t>
  </si>
  <si>
    <t>2026-03-20 11:21:00</t>
  </si>
  <si>
    <t>LD-301617</t>
  </si>
  <si>
    <t>2025-01-03 17:02:00</t>
  </si>
  <si>
    <t>2025-02-17 03:26:29.342227</t>
  </si>
  <si>
    <t>LD-301618</t>
  </si>
  <si>
    <t>2025-07-29 17:13:00</t>
  </si>
  <si>
    <t>LD-301619</t>
  </si>
  <si>
    <t>2026-03-27 17:16:00</t>
  </si>
  <si>
    <t>LD-301620</t>
  </si>
  <si>
    <t>2026-03-14 14:12:00</t>
  </si>
  <si>
    <t>2026-05-06 05:28:25.623854</t>
  </si>
  <si>
    <t>LD-301621</t>
  </si>
  <si>
    <t>2026-03-15 18:48:00</t>
  </si>
  <si>
    <t>LD-301622</t>
  </si>
  <si>
    <t>2025-01-03 08:27:00</t>
  </si>
  <si>
    <t>LD-301623</t>
  </si>
  <si>
    <t>2026-03-10 15:00:00</t>
  </si>
  <si>
    <t>LD-301624</t>
  </si>
  <si>
    <t>2025-10-24 14:19:00</t>
  </si>
  <si>
    <t>LD-301625</t>
  </si>
  <si>
    <t>2025-07-21 10:24:00</t>
  </si>
  <si>
    <t>LD-301626</t>
  </si>
  <si>
    <t>2025-05-02 13:52:00</t>
  </si>
  <si>
    <t>LD-301627</t>
  </si>
  <si>
    <t>2025-03-24 09:34:00</t>
  </si>
  <si>
    <t>2025-04-18 03:52:21.009008</t>
  </si>
  <si>
    <t>LD-301628</t>
  </si>
  <si>
    <t>2025-09-05 09:02:00</t>
  </si>
  <si>
    <t>LD-301629</t>
  </si>
  <si>
    <t>2025-11-15 08:18:00</t>
  </si>
  <si>
    <t>LD-301630</t>
  </si>
  <si>
    <t>2026-04-03 07:11:00</t>
  </si>
  <si>
    <t>2026-04-22 09:33:58.621547</t>
  </si>
  <si>
    <t>LD-301631</t>
  </si>
  <si>
    <t>2026-02-21 11:24:00</t>
  </si>
  <si>
    <t>LD-301632</t>
  </si>
  <si>
    <t>2025-07-15 13:34:00</t>
  </si>
  <si>
    <t>2025-08-19 09:45:35.093500</t>
  </si>
  <si>
    <t>LD-301633</t>
  </si>
  <si>
    <t>2026-04-10 11:19:00</t>
  </si>
  <si>
    <t>2026-05-07 20:19:25.435436</t>
  </si>
  <si>
    <t>LD-301634</t>
  </si>
  <si>
    <t>2025-12-23 12:18:00</t>
  </si>
  <si>
    <t>LD-301635</t>
  </si>
  <si>
    <t>2026-05-31 09:48:00</t>
  </si>
  <si>
    <t>LD-301636</t>
  </si>
  <si>
    <t>2025-09-15 16:42:00</t>
  </si>
  <si>
    <t>LD-301637</t>
  </si>
  <si>
    <t>2025-08-03 20:19:00</t>
  </si>
  <si>
    <t>LD-301638</t>
  </si>
  <si>
    <t>2025-10-31 10:09:00</t>
  </si>
  <si>
    <t>LD-301639</t>
  </si>
  <si>
    <t>2026-06-26 13:03:00</t>
  </si>
  <si>
    <t>2026-07-31 22:06:40.841315</t>
  </si>
  <si>
    <t>LD-301640</t>
  </si>
  <si>
    <t>2025-09-18 16:15:00</t>
  </si>
  <si>
    <t>LD-301641</t>
  </si>
  <si>
    <t>2025-12-11 19:38:00</t>
  </si>
  <si>
    <t>2026-01-20 17:09:45.416643</t>
  </si>
  <si>
    <t>LD-301642</t>
  </si>
  <si>
    <t>2025-06-24 18:35:00</t>
  </si>
  <si>
    <t>LD-301643</t>
  </si>
  <si>
    <t>2025-08-29 16:03:00</t>
  </si>
  <si>
    <t>LD-301644</t>
  </si>
  <si>
    <t>2025-03-04 20:04:00</t>
  </si>
  <si>
    <t>2025-04-08 06:11:05.109752</t>
  </si>
  <si>
    <t>LD-301645</t>
  </si>
  <si>
    <t>2025-07-30 20:35:00</t>
  </si>
  <si>
    <t>LD-301646</t>
  </si>
  <si>
    <t>2026-06-24 18:22:00</t>
  </si>
  <si>
    <t>LD-301647</t>
  </si>
  <si>
    <t>2026-03-02 18:52:00</t>
  </si>
  <si>
    <t>LD-301648</t>
  </si>
  <si>
    <t>2025-09-11 16:53:00</t>
  </si>
  <si>
    <t>2025-10-19 09:14:30.824400</t>
  </si>
  <si>
    <t>LD-301649</t>
  </si>
  <si>
    <t>2025-12-20 16:54:00</t>
  </si>
  <si>
    <t>LD-301650</t>
  </si>
  <si>
    <t>2026-05-15 08:09:00</t>
  </si>
  <si>
    <t>LD-301651</t>
  </si>
  <si>
    <t>2025-07-25 16:14:00</t>
  </si>
  <si>
    <t>LD-301652</t>
  </si>
  <si>
    <t>2026-01-16 12:29:00</t>
  </si>
  <si>
    <t>LD-301653</t>
  </si>
  <si>
    <t>2025-07-23 18:11:00</t>
  </si>
  <si>
    <t>2025-08-25 01:42:37.488807</t>
  </si>
  <si>
    <t>LD-301654</t>
  </si>
  <si>
    <t>2025-01-02 07:29:00</t>
  </si>
  <si>
    <t>2025-02-21 02:16:33.196697</t>
  </si>
  <si>
    <t>LD-301655</t>
  </si>
  <si>
    <t>2025-08-27 10:43:00</t>
  </si>
  <si>
    <t>LD-301656</t>
  </si>
  <si>
    <t>2026-02-14 20:13:00</t>
  </si>
  <si>
    <t>2026-04-15 17:50:45.971185</t>
  </si>
  <si>
    <t>LD-301657</t>
  </si>
  <si>
    <t>2025-10-02 14:01:00</t>
  </si>
  <si>
    <t>LD-301658</t>
  </si>
  <si>
    <t>2025-02-26 11:23:00</t>
  </si>
  <si>
    <t>2025-03-16 10:14:09.858046</t>
  </si>
  <si>
    <t>LD-301659</t>
  </si>
  <si>
    <t>2026-05-28 12:36:00</t>
  </si>
  <si>
    <t>2026-08-01 08:29:32.973205</t>
  </si>
  <si>
    <t>LD-301660</t>
  </si>
  <si>
    <t>2025-06-27 20:24:00</t>
  </si>
  <si>
    <t>LD-301661</t>
  </si>
  <si>
    <t>2025-04-11 11:52:00</t>
  </si>
  <si>
    <t>LD-301662</t>
  </si>
  <si>
    <t>2026-05-28 19:00:00</t>
  </si>
  <si>
    <t>LD-301663</t>
  </si>
  <si>
    <t>2025-11-04 11:20:00</t>
  </si>
  <si>
    <t>LD-301664</t>
  </si>
  <si>
    <t>2025-11-25 10:44:00</t>
  </si>
  <si>
    <t>2025-12-28 03:25:45.400025</t>
  </si>
  <si>
    <t>LD-301665</t>
  </si>
  <si>
    <t>2026-01-02 09:48:00</t>
  </si>
  <si>
    <t>LD-301666</t>
  </si>
  <si>
    <t>2025-11-27 20:10:00</t>
  </si>
  <si>
    <t>LD-301667</t>
  </si>
  <si>
    <t>2026-06-02 11:57:00</t>
  </si>
  <si>
    <t>2026-07-07 16:50:12.456162</t>
  </si>
  <si>
    <t>LD-301668</t>
  </si>
  <si>
    <t>2025-03-13 07:32:00</t>
  </si>
  <si>
    <t>LD-301669</t>
  </si>
  <si>
    <t>2025-08-04 07:17:00</t>
  </si>
  <si>
    <t>LD-301670</t>
  </si>
  <si>
    <t>2026-05-08 15:01:00</t>
  </si>
  <si>
    <t>LD-301671</t>
  </si>
  <si>
    <t>2025-06-09 19:23:00</t>
  </si>
  <si>
    <t>LD-301672</t>
  </si>
  <si>
    <t>2025-01-22 16:41:00</t>
  </si>
  <si>
    <t>2025-03-05 19:25:59.119829</t>
  </si>
  <si>
    <t>LD-301673</t>
  </si>
  <si>
    <t>2025-05-30 11:22:00</t>
  </si>
  <si>
    <t>LD-301674</t>
  </si>
  <si>
    <t>2025-03-20 12:40:00</t>
  </si>
  <si>
    <t>2025-05-06 11:10:06.087755</t>
  </si>
  <si>
    <t>LD-301675</t>
  </si>
  <si>
    <t>2025-05-20 09:58:00</t>
  </si>
  <si>
    <t>LD-301676</t>
  </si>
  <si>
    <t>2026-06-02 07:18:00</t>
  </si>
  <si>
    <t>2026-07-12 09:34:07.703103</t>
  </si>
  <si>
    <t>LD-301677</t>
  </si>
  <si>
    <t>2025-12-06 09:37:00</t>
  </si>
  <si>
    <t>LD-301678</t>
  </si>
  <si>
    <t>2025-05-20 17:06:00</t>
  </si>
  <si>
    <t>LD-301679</t>
  </si>
  <si>
    <t>2025-07-21 08:50:00</t>
  </si>
  <si>
    <t>LD-301680</t>
  </si>
  <si>
    <t>2025-12-19 07:29:00</t>
  </si>
  <si>
    <t>LD-301681</t>
  </si>
  <si>
    <t>2025-02-07 20:29:00</t>
  </si>
  <si>
    <t>LD-301682</t>
  </si>
  <si>
    <t>2025-05-30 20:03:00</t>
  </si>
  <si>
    <t>LD-301683</t>
  </si>
  <si>
    <t>2026-03-25 11:31:00</t>
  </si>
  <si>
    <t>LD-301684</t>
  </si>
  <si>
    <t>2026-04-03 14:09:00</t>
  </si>
  <si>
    <t>2026-05-12 01:41:38.522527</t>
  </si>
  <si>
    <t>LD-301685</t>
  </si>
  <si>
    <t>2025-07-25 17:03:00</t>
  </si>
  <si>
    <t>2025-08-22 04:08:36.578213</t>
  </si>
  <si>
    <t>LD-301686</t>
  </si>
  <si>
    <t>2026-03-31 19:26:00</t>
  </si>
  <si>
    <t>LD-301687</t>
  </si>
  <si>
    <t>2025-08-19 20:40:00</t>
  </si>
  <si>
    <t>LD-301688</t>
  </si>
  <si>
    <t>2025-12-29 18:42:00</t>
  </si>
  <si>
    <t>LD-301689</t>
  </si>
  <si>
    <t>2025-02-22 12:32:00</t>
  </si>
  <si>
    <t>2025-04-12 23:29:29.567694</t>
  </si>
  <si>
    <t>LD-301690</t>
  </si>
  <si>
    <t>2025-04-09 19:20:00</t>
  </si>
  <si>
    <t>2025-05-21 11:20:40.276544</t>
  </si>
  <si>
    <t>LD-301691</t>
  </si>
  <si>
    <t>2026-01-16 11:57:00</t>
  </si>
  <si>
    <t>LD-301692</t>
  </si>
  <si>
    <t>2025-12-05 12:47:00</t>
  </si>
  <si>
    <t>LD-301693</t>
  </si>
  <si>
    <t>2025-03-10 09:57:00</t>
  </si>
  <si>
    <t>LD-301694</t>
  </si>
  <si>
    <t>2026-02-20 20:12:00</t>
  </si>
  <si>
    <t>2026-04-03 22:19:43.552392</t>
  </si>
  <si>
    <t>LD-301695</t>
  </si>
  <si>
    <t>2025-08-08 17:09:00</t>
  </si>
  <si>
    <t>2025-09-13 00:09:36.580768</t>
  </si>
  <si>
    <t>LD-301696</t>
  </si>
  <si>
    <t>2025-10-10 08:31:00</t>
  </si>
  <si>
    <t>LD-301697</t>
  </si>
  <si>
    <t>2025-07-11 14:43:00</t>
  </si>
  <si>
    <t>LD-301698</t>
  </si>
  <si>
    <t>2025-10-08 10:41:00</t>
  </si>
  <si>
    <t>LD-301699</t>
  </si>
  <si>
    <t>2026-05-29 07:14:00</t>
  </si>
  <si>
    <t>2026-06-19 18:55:31.660518</t>
  </si>
  <si>
    <t>LD-301700</t>
  </si>
  <si>
    <t>2025-09-26 17:02:00</t>
  </si>
  <si>
    <t>LD-301701</t>
  </si>
  <si>
    <t>2025-05-02 08:12:00</t>
  </si>
  <si>
    <t>2025-06-16 11:35:59.599924</t>
  </si>
  <si>
    <t>LD-301702</t>
  </si>
  <si>
    <t>2026-01-05 14:33:00</t>
  </si>
  <si>
    <t>2026-02-11 01:40:50.943899</t>
  </si>
  <si>
    <t>LD-301703</t>
  </si>
  <si>
    <t>2025-04-25 15:24:00</t>
  </si>
  <si>
    <t>LD-301704</t>
  </si>
  <si>
    <t>2025-07-30 16:25:00</t>
  </si>
  <si>
    <t>LD-301705</t>
  </si>
  <si>
    <t>2025-01-23 18:43:00</t>
  </si>
  <si>
    <t>LD-301706</t>
  </si>
  <si>
    <t>2025-06-15 07:58:00</t>
  </si>
  <si>
    <t>LD-301707</t>
  </si>
  <si>
    <t>2026-04-09 11:12:00</t>
  </si>
  <si>
    <t>LD-301708</t>
  </si>
  <si>
    <t>2025-05-30 18:38:00</t>
  </si>
  <si>
    <t>LD-301709</t>
  </si>
  <si>
    <t>2025-12-18 15:12:00</t>
  </si>
  <si>
    <t>2026-01-20 20:53:21.005021</t>
  </si>
  <si>
    <t>LD-301710</t>
  </si>
  <si>
    <t>2025-05-20 08:25:00</t>
  </si>
  <si>
    <t>2025-06-18 10:42:09.047487</t>
  </si>
  <si>
    <t>LD-301711</t>
  </si>
  <si>
    <t>2025-11-29 19:30:00</t>
  </si>
  <si>
    <t>2026-01-07 10:47:26.027344</t>
  </si>
  <si>
    <t>LD-301712</t>
  </si>
  <si>
    <t>2025-02-03 09:41:00</t>
  </si>
  <si>
    <t>LD-301713</t>
  </si>
  <si>
    <t>2025-04-21 16:33:00</t>
  </si>
  <si>
    <t>LD-301714</t>
  </si>
  <si>
    <t>2025-10-21 10:07:00</t>
  </si>
  <si>
    <t>2025-11-16 20:51:09.452963</t>
  </si>
  <si>
    <t>LD-301715</t>
  </si>
  <si>
    <t>2025-06-10 18:06:00</t>
  </si>
  <si>
    <t>LD-301716</t>
  </si>
  <si>
    <t>2025-04-12 13:13:00</t>
  </si>
  <si>
    <t>LD-301717</t>
  </si>
  <si>
    <t>2025-06-03 11:49:00</t>
  </si>
  <si>
    <t>LD-301718</t>
  </si>
  <si>
    <t>2025-05-28 13:51:00</t>
  </si>
  <si>
    <t>LD-301719</t>
  </si>
  <si>
    <t>2025-10-23 16:27:00</t>
  </si>
  <si>
    <t>LD-301720</t>
  </si>
  <si>
    <t>2025-05-02 16:43:00</t>
  </si>
  <si>
    <t>LD-301721</t>
  </si>
  <si>
    <t>2025-01-28 10:47:00</t>
  </si>
  <si>
    <t>2025-03-04 21:56:41.885328</t>
  </si>
  <si>
    <t>LD-301722</t>
  </si>
  <si>
    <t>2025-12-12 12:30:00</t>
  </si>
  <si>
    <t>2026-01-11 21:18:49.783232</t>
  </si>
  <si>
    <t>LD-301723</t>
  </si>
  <si>
    <t>2025-06-05 07:03:00</t>
  </si>
  <si>
    <t>2025-07-17 07:51:13.626412</t>
  </si>
  <si>
    <t>LD-301724</t>
  </si>
  <si>
    <t>2025-12-22 09:50:00</t>
  </si>
  <si>
    <t>LD-301725</t>
  </si>
  <si>
    <t>2025-03-14 09:53:00</t>
  </si>
  <si>
    <t>LD-301726</t>
  </si>
  <si>
    <t>2025-10-03 13:25:00</t>
  </si>
  <si>
    <t>2025-10-31 13:37:39.852020</t>
  </si>
  <si>
    <t>LD-301727</t>
  </si>
  <si>
    <t>2026-03-02 11:11:00</t>
  </si>
  <si>
    <t>LD-301728</t>
  </si>
  <si>
    <t>2025-12-04 08:58:00</t>
  </si>
  <si>
    <t>LD-301729</t>
  </si>
  <si>
    <t>2025-05-15 10:24:00</t>
  </si>
  <si>
    <t>LD-301730</t>
  </si>
  <si>
    <t>2025-03-07 07:14:00</t>
  </si>
  <si>
    <t>LD-301731</t>
  </si>
  <si>
    <t>2026-02-12 11:34:00</t>
  </si>
  <si>
    <t>LD-301732</t>
  </si>
  <si>
    <t>2025-10-24 17:35:00</t>
  </si>
  <si>
    <t>2025-11-20 16:32:42.620663</t>
  </si>
  <si>
    <t>LD-301733</t>
  </si>
  <si>
    <t>2025-10-22 09:43:00</t>
  </si>
  <si>
    <t>LD-301734</t>
  </si>
  <si>
    <t>2026-06-15 12:06:00</t>
  </si>
  <si>
    <t>LD-301735</t>
  </si>
  <si>
    <t>2025-12-23 12:45:00</t>
  </si>
  <si>
    <t>LD-301736</t>
  </si>
  <si>
    <t>2026-04-20 07:05:00</t>
  </si>
  <si>
    <t>LD-301737</t>
  </si>
  <si>
    <t>2025-04-29 20:00:00</t>
  </si>
  <si>
    <t>LD-301738</t>
  </si>
  <si>
    <t>2025-10-16 19:18:00</t>
  </si>
  <si>
    <t>LD-301739</t>
  </si>
  <si>
    <t>2025-03-14 11:35:00</t>
  </si>
  <si>
    <t>LD-301740</t>
  </si>
  <si>
    <t>2026-02-28 08:49:00</t>
  </si>
  <si>
    <t>LD-301741</t>
  </si>
  <si>
    <t>2025-01-14 14:49:00</t>
  </si>
  <si>
    <t>LD-301742</t>
  </si>
  <si>
    <t>2025-07-08 15:19:00</t>
  </si>
  <si>
    <t>LD-301743</t>
  </si>
  <si>
    <t>2025-03-03 09:39:00</t>
  </si>
  <si>
    <t>LD-301744</t>
  </si>
  <si>
    <t>2025-12-15 10:35:00</t>
  </si>
  <si>
    <t>LD-301745</t>
  </si>
  <si>
    <t>2026-05-18 15:56:00</t>
  </si>
  <si>
    <t>LD-301746</t>
  </si>
  <si>
    <t>2025-12-03 09:47:00</t>
  </si>
  <si>
    <t>2025-12-27 05:56:16.024530</t>
  </si>
  <si>
    <t>LD-301747</t>
  </si>
  <si>
    <t>2026-06-17 15:07:00</t>
  </si>
  <si>
    <t>2026-07-26 17:09:30.699949</t>
  </si>
  <si>
    <t>LD-301748</t>
  </si>
  <si>
    <t>2026-06-29 09:13:00</t>
  </si>
  <si>
    <t>2026-08-17 16:39:40.367383</t>
  </si>
  <si>
    <t>LD-301749</t>
  </si>
  <si>
    <t>2025-01-21 16:04:00</t>
  </si>
  <si>
    <t>2025-03-16 23:18:29.992832</t>
  </si>
  <si>
    <t>LD-301750</t>
  </si>
  <si>
    <t>2026-05-11 16:04:00</t>
  </si>
  <si>
    <t>LD-301751</t>
  </si>
  <si>
    <t>2026-06-27 18:04:00</t>
  </si>
  <si>
    <t>LD-301752</t>
  </si>
  <si>
    <t>2025-04-29 20:15:00</t>
  </si>
  <si>
    <t>2025-06-10 20:12:11.517133</t>
  </si>
  <si>
    <t>LD-301753</t>
  </si>
  <si>
    <t>2025-02-07 12:48:00</t>
  </si>
  <si>
    <t>LD-301754</t>
  </si>
  <si>
    <t>2026-03-02 19:28:00</t>
  </si>
  <si>
    <t>2026-04-03 20:29:07.566389</t>
  </si>
  <si>
    <t>LD-301755</t>
  </si>
  <si>
    <t>2025-09-15 09:09:00</t>
  </si>
  <si>
    <t>2025-10-16 16:44:54.480055</t>
  </si>
  <si>
    <t>LD-301756</t>
  </si>
  <si>
    <t>2025-11-27 07:59:00</t>
  </si>
  <si>
    <t>2026-01-01 10:13:03.022545</t>
  </si>
  <si>
    <t>LD-301757</t>
  </si>
  <si>
    <t>2025-10-09 13:30:00</t>
  </si>
  <si>
    <t>LD-301758</t>
  </si>
  <si>
    <t>2025-03-06 08:48:00</t>
  </si>
  <si>
    <t>2025-04-10 14:44:33.966064</t>
  </si>
  <si>
    <t>LD-301759</t>
  </si>
  <si>
    <t>2025-08-06 17:49:00</t>
  </si>
  <si>
    <t>LD-301760</t>
  </si>
  <si>
    <t>2025-02-11 20:46:00</t>
  </si>
  <si>
    <t>LD-301761</t>
  </si>
  <si>
    <t>2025-02-25 11:26:00</t>
  </si>
  <si>
    <t>LD-301762</t>
  </si>
  <si>
    <t>2025-12-10 20:29:00</t>
  </si>
  <si>
    <t>2026-01-18 18:16:41.055902</t>
  </si>
  <si>
    <t>LD-301763</t>
  </si>
  <si>
    <t>2026-06-09 19:16:00</t>
  </si>
  <si>
    <t>LD-301764</t>
  </si>
  <si>
    <t>2025-04-29 09:26:00</t>
  </si>
  <si>
    <t>LD-301765</t>
  </si>
  <si>
    <t>2025-06-30 08:38:00</t>
  </si>
  <si>
    <t>LD-301766</t>
  </si>
  <si>
    <t>2026-04-25 15:03:00</t>
  </si>
  <si>
    <t>LD-301767</t>
  </si>
  <si>
    <t>2025-05-07 15:47:00</t>
  </si>
  <si>
    <t>LD-301768</t>
  </si>
  <si>
    <t>2025-03-17 12:10:00</t>
  </si>
  <si>
    <t>LD-301769</t>
  </si>
  <si>
    <t>2026-06-15 13:33:00</t>
  </si>
  <si>
    <t>LD-301770</t>
  </si>
  <si>
    <t>2025-09-13 07:47:00</t>
  </si>
  <si>
    <t>2025-10-20 17:03:24.073612</t>
  </si>
  <si>
    <t>LD-301771</t>
  </si>
  <si>
    <t>2025-06-05 19:23:00</t>
  </si>
  <si>
    <t>2025-08-03 07:05:14.829193</t>
  </si>
  <si>
    <t>LD-301772</t>
  </si>
  <si>
    <t>2025-09-05 14:58:00</t>
  </si>
  <si>
    <t>2025-10-08 19:19:31.466866</t>
  </si>
  <si>
    <t>LD-301773</t>
  </si>
  <si>
    <t>2025-01-02 12:18:00</t>
  </si>
  <si>
    <t>LD-301774</t>
  </si>
  <si>
    <t>2026-01-26 18:17:00</t>
  </si>
  <si>
    <t>2026-03-09 20:26:05.370067</t>
  </si>
  <si>
    <t>LD-301775</t>
  </si>
  <si>
    <t>2025-07-15 07:21:00</t>
  </si>
  <si>
    <t>2025-08-07 15:06:41.864328</t>
  </si>
  <si>
    <t>LD-301776</t>
  </si>
  <si>
    <t>2025-03-12 18:40:00</t>
  </si>
  <si>
    <t>LD-301777</t>
  </si>
  <si>
    <t>2026-05-04 18:44:00</t>
  </si>
  <si>
    <t>2026-06-04 08:12:13.493260</t>
  </si>
  <si>
    <t>LD-301778</t>
  </si>
  <si>
    <t>2026-05-20 08:17:00</t>
  </si>
  <si>
    <t>LD-301779</t>
  </si>
  <si>
    <t>2026-04-13 09:53:00</t>
  </si>
  <si>
    <t>LD-301780</t>
  </si>
  <si>
    <t>2025-11-25 13:02:00</t>
  </si>
  <si>
    <t>LD-301781</t>
  </si>
  <si>
    <t>2025-02-09 15:16:00</t>
  </si>
  <si>
    <t>LD-301782</t>
  </si>
  <si>
    <t>2025-09-25 09:27:00</t>
  </si>
  <si>
    <t>LD-301783</t>
  </si>
  <si>
    <t>2025-10-02 07:57:00</t>
  </si>
  <si>
    <t>LD-301784</t>
  </si>
  <si>
    <t>2025-01-31 19:22:00</t>
  </si>
  <si>
    <t>2025-03-27 11:17:11.020128</t>
  </si>
  <si>
    <t>LD-301785</t>
  </si>
  <si>
    <t>2025-02-13 18:02:00</t>
  </si>
  <si>
    <t>LD-301786</t>
  </si>
  <si>
    <t>2026-03-13 17:31:00</t>
  </si>
  <si>
    <t>LD-301787</t>
  </si>
  <si>
    <t>2025-08-29 20:57:00</t>
  </si>
  <si>
    <t>2025-10-05 08:02:54.512038</t>
  </si>
  <si>
    <t>LD-301788</t>
  </si>
  <si>
    <t>2025-06-09 16:10:00</t>
  </si>
  <si>
    <t>LD-301789</t>
  </si>
  <si>
    <t>2025-07-17 19:18:00</t>
  </si>
  <si>
    <t>LD-301790</t>
  </si>
  <si>
    <t>2026-01-18 09:49:00</t>
  </si>
  <si>
    <t>LD-301791</t>
  </si>
  <si>
    <t>2025-10-11 17:59:00</t>
  </si>
  <si>
    <t>LD-301792</t>
  </si>
  <si>
    <t>2026-01-23 14:35:00</t>
  </si>
  <si>
    <t>LD-301793</t>
  </si>
  <si>
    <t>2026-06-20 17:17:00</t>
  </si>
  <si>
    <t>LD-301794</t>
  </si>
  <si>
    <t>2025-03-28 18:35:00</t>
  </si>
  <si>
    <t>LD-301795</t>
  </si>
  <si>
    <t>2025-10-10 14:14:00</t>
  </si>
  <si>
    <t>2025-11-24 22:29:07.418198</t>
  </si>
  <si>
    <t>LD-301796</t>
  </si>
  <si>
    <t>2025-11-25 17:43:00</t>
  </si>
  <si>
    <t>LD-301797</t>
  </si>
  <si>
    <t>2025-10-05 08:20:00</t>
  </si>
  <si>
    <t>2025-11-10 06:18:50.943526</t>
  </si>
  <si>
    <t>LD-301798</t>
  </si>
  <si>
    <t>2026-01-14 17:15:00</t>
  </si>
  <si>
    <t>2026-02-16 16:25:54.431550</t>
  </si>
  <si>
    <t>LD-301799</t>
  </si>
  <si>
    <t>2025-03-21 13:20:00</t>
  </si>
  <si>
    <t>LD-301800</t>
  </si>
  <si>
    <t>2026-05-29 13:43:00</t>
  </si>
  <si>
    <t>2026-07-07 16:52:51.150742</t>
  </si>
  <si>
    <t>LD-301801</t>
  </si>
  <si>
    <t>2025-09-24 08:13:00</t>
  </si>
  <si>
    <t>LD-301802</t>
  </si>
  <si>
    <t>2025-05-02 12:55:00</t>
  </si>
  <si>
    <t>LD-301803</t>
  </si>
  <si>
    <t>2026-03-19 11:34:00</t>
  </si>
  <si>
    <t>LD-301804</t>
  </si>
  <si>
    <t>2025-06-26 13:25:00</t>
  </si>
  <si>
    <t>2025-08-15 02:06:16.574144</t>
  </si>
  <si>
    <t>LD-301805</t>
  </si>
  <si>
    <t>2026-01-16 19:02:00</t>
  </si>
  <si>
    <t>LD-301806</t>
  </si>
  <si>
    <t>2025-11-27 16:55:00</t>
  </si>
  <si>
    <t>2026-01-06 03:22:24.649734</t>
  </si>
  <si>
    <t>LD-301807</t>
  </si>
  <si>
    <t>2026-06-13 17:32:00</t>
  </si>
  <si>
    <t>2026-07-28 12:59:18.224419</t>
  </si>
  <si>
    <t>LD-301808</t>
  </si>
  <si>
    <t>2025-10-17 08:16:00</t>
  </si>
  <si>
    <t>2025-11-19 12:47:01.793225</t>
  </si>
  <si>
    <t>LD-301809</t>
  </si>
  <si>
    <t>2025-02-11 20:15:00</t>
  </si>
  <si>
    <t>LD-301810</t>
  </si>
  <si>
    <t>2025-01-01 18:41:00</t>
  </si>
  <si>
    <t>LD-301811</t>
  </si>
  <si>
    <t>2025-05-16 12:05:00</t>
  </si>
  <si>
    <t>2025-07-02 13:13:26.412031</t>
  </si>
  <si>
    <t>LD-301812</t>
  </si>
  <si>
    <t>2025-05-16 18:24:00</t>
  </si>
  <si>
    <t>2025-06-23 07:29:10.666528</t>
  </si>
  <si>
    <t>LD-301813</t>
  </si>
  <si>
    <t>2025-09-13 15:23:00</t>
  </si>
  <si>
    <t>LD-301814</t>
  </si>
  <si>
    <t>2025-09-09 09:09:00</t>
  </si>
  <si>
    <t>LD-301815</t>
  </si>
  <si>
    <t>2025-07-02 16:50:00</t>
  </si>
  <si>
    <t>LD-301816</t>
  </si>
  <si>
    <t>2026-01-23 12:53:00</t>
  </si>
  <si>
    <t>2026-02-27 13:49:57.006627</t>
  </si>
  <si>
    <t>LD-301817</t>
  </si>
  <si>
    <t>2025-11-04 12:39:00</t>
  </si>
  <si>
    <t>LD-301818</t>
  </si>
  <si>
    <t>2026-02-11 16:54:00</t>
  </si>
  <si>
    <t>LD-301819</t>
  </si>
  <si>
    <t>2026-05-20 14:18:00</t>
  </si>
  <si>
    <t>LD-301820</t>
  </si>
  <si>
    <t>2026-04-17 11:52:00</t>
  </si>
  <si>
    <t>LD-301821</t>
  </si>
  <si>
    <t>2025-12-25 19:55:00</t>
  </si>
  <si>
    <t>2026-01-25 13:22:44.639917</t>
  </si>
  <si>
    <t>LD-301822</t>
  </si>
  <si>
    <t>2026-06-15 20:28:00</t>
  </si>
  <si>
    <t>LD-301823</t>
  </si>
  <si>
    <t>2026-01-21 19:39:00</t>
  </si>
  <si>
    <t>LD-301824</t>
  </si>
  <si>
    <t>2025-02-04 07:03:00</t>
  </si>
  <si>
    <t>LD-301825</t>
  </si>
  <si>
    <t>2025-11-21 20:40:00</t>
  </si>
  <si>
    <t>2025-12-28 13:44:07.813235</t>
  </si>
  <si>
    <t>LD-301826</t>
  </si>
  <si>
    <t>2025-04-14 19:07:00</t>
  </si>
  <si>
    <t>LD-301827</t>
  </si>
  <si>
    <t>2025-05-28 18:27:00</t>
  </si>
  <si>
    <t>LD-301828</t>
  </si>
  <si>
    <t>2026-06-01 12:12:00</t>
  </si>
  <si>
    <t>LD-301829</t>
  </si>
  <si>
    <t>2025-02-04 09:49:00</t>
  </si>
  <si>
    <t>LD-301830</t>
  </si>
  <si>
    <t>2026-06-11 17:25:00</t>
  </si>
  <si>
    <t>LD-301831</t>
  </si>
  <si>
    <t>2025-07-25 15:52:00</t>
  </si>
  <si>
    <t>LD-301832</t>
  </si>
  <si>
    <t>2025-12-21 13:03:00</t>
  </si>
  <si>
    <t>LD-301833</t>
  </si>
  <si>
    <t>2025-05-13 15:34:00</t>
  </si>
  <si>
    <t>2025-06-15 10:53:28.161268</t>
  </si>
  <si>
    <t>LD-301834</t>
  </si>
  <si>
    <t>2025-12-08 07:02:00</t>
  </si>
  <si>
    <t>2026-01-22 19:24:33.996171</t>
  </si>
  <si>
    <t>LD-301835</t>
  </si>
  <si>
    <t>2026-04-10 14:10:00</t>
  </si>
  <si>
    <t>LD-301836</t>
  </si>
  <si>
    <t>2026-01-16 14:27:00</t>
  </si>
  <si>
    <t>LD-301837</t>
  </si>
  <si>
    <t>2025-10-03 17:35:00</t>
  </si>
  <si>
    <t>LD-301838</t>
  </si>
  <si>
    <t>2026-05-29 14:37:00</t>
  </si>
  <si>
    <t>LD-301839</t>
  </si>
  <si>
    <t>2025-01-02 10:44:00</t>
  </si>
  <si>
    <t>LD-301840</t>
  </si>
  <si>
    <t>2025-01-21 18:04:00</t>
  </si>
  <si>
    <t>2025-02-23 10:23:09.020996</t>
  </si>
  <si>
    <t>LD-301841</t>
  </si>
  <si>
    <t>2026-05-02 07:28:00</t>
  </si>
  <si>
    <t>2026-06-15 16:01:22.972145</t>
  </si>
  <si>
    <t>LD-301842</t>
  </si>
  <si>
    <t>2025-07-11 08:22:00</t>
  </si>
  <si>
    <t>LD-301843</t>
  </si>
  <si>
    <t>2025-12-26 14:24:00</t>
  </si>
  <si>
    <t>2026-02-12 09:48:36.477426</t>
  </si>
  <si>
    <t>LD-301844</t>
  </si>
  <si>
    <t>2025-06-21 16:36:00</t>
  </si>
  <si>
    <t>LD-301845</t>
  </si>
  <si>
    <t>2025-01-03 16:39:00</t>
  </si>
  <si>
    <t>LD-301846</t>
  </si>
  <si>
    <t>2025-06-06 09:15:00</t>
  </si>
  <si>
    <t>LD-301847</t>
  </si>
  <si>
    <t>2026-04-14 18:20:00</t>
  </si>
  <si>
    <t>2026-05-26 22:45:47.841721</t>
  </si>
  <si>
    <t>LD-301848</t>
  </si>
  <si>
    <t>2025-08-22 17:16:00</t>
  </si>
  <si>
    <t>LD-301849</t>
  </si>
  <si>
    <t>2025-05-28 14:34:00</t>
  </si>
  <si>
    <t>2025-06-26 21:52:33.311250</t>
  </si>
  <si>
    <t>LD-301850</t>
  </si>
  <si>
    <t>2026-05-08 11:40:00</t>
  </si>
  <si>
    <t>LD-301851</t>
  </si>
  <si>
    <t>2025-04-01 18:26:00</t>
  </si>
  <si>
    <t>2025-04-28 00:51:02.683016</t>
  </si>
  <si>
    <t>LD-301852</t>
  </si>
  <si>
    <t>2026-06-16 08:21:00</t>
  </si>
  <si>
    <t>LD-301853</t>
  </si>
  <si>
    <t>2026-02-08 18:32:00</t>
  </si>
  <si>
    <t>LD-301854</t>
  </si>
  <si>
    <t>2025-07-02 13:23:00</t>
  </si>
  <si>
    <t>2025-08-10 23:06:06.846290</t>
  </si>
  <si>
    <t>LD-301855</t>
  </si>
  <si>
    <t>2025-10-17 16:31:00</t>
  </si>
  <si>
    <t>2025-12-07 01:08:44.331362</t>
  </si>
  <si>
    <t>LD-301856</t>
  </si>
  <si>
    <t>2025-03-23 12:41:00</t>
  </si>
  <si>
    <t>LD-301857</t>
  </si>
  <si>
    <t>2025-06-20 11:52:00</t>
  </si>
  <si>
    <t>LD-301858</t>
  </si>
  <si>
    <t>2026-03-15 13:46:00</t>
  </si>
  <si>
    <t>LD-301859</t>
  </si>
  <si>
    <t>2025-09-19 09:36:00</t>
  </si>
  <si>
    <t>LD-301860</t>
  </si>
  <si>
    <t>2026-05-17 18:46:00</t>
  </si>
  <si>
    <t>LD-301861</t>
  </si>
  <si>
    <t>2025-12-25 19:05:00</t>
  </si>
  <si>
    <t>2026-02-11 20:42:08.273629</t>
  </si>
  <si>
    <t>LD-301862</t>
  </si>
  <si>
    <t>2025-02-21 15:20:00</t>
  </si>
  <si>
    <t>LD-301863</t>
  </si>
  <si>
    <t>2025-09-05 18:20:00</t>
  </si>
  <si>
    <t>LD-301864</t>
  </si>
  <si>
    <t>2025-07-17 14:46:00</t>
  </si>
  <si>
    <t>LD-301865</t>
  </si>
  <si>
    <t>2025-02-19 20:22:00</t>
  </si>
  <si>
    <t>LD-301866</t>
  </si>
  <si>
    <t>2026-01-02 12:26:00</t>
  </si>
  <si>
    <t>LD-301867</t>
  </si>
  <si>
    <t>2025-10-23 08:51:00</t>
  </si>
  <si>
    <t>LD-301868</t>
  </si>
  <si>
    <t>2025-09-05 18:35:00</t>
  </si>
  <si>
    <t>LD-301869</t>
  </si>
  <si>
    <t>2025-07-09 07:36:00</t>
  </si>
  <si>
    <t>LD-301870</t>
  </si>
  <si>
    <t>2025-06-23 16:37:00</t>
  </si>
  <si>
    <t>2025-08-05 01:03:41.873117</t>
  </si>
  <si>
    <t>LD-301871</t>
  </si>
  <si>
    <t>2025-12-26 17:57:00</t>
  </si>
  <si>
    <t>LD-301872</t>
  </si>
  <si>
    <t>2026-05-26 12:04:00</t>
  </si>
  <si>
    <t>2026-06-29 20:49:49.457967</t>
  </si>
  <si>
    <t>LD-301873</t>
  </si>
  <si>
    <t>2025-09-19 18:44:00</t>
  </si>
  <si>
    <t>LD-301874</t>
  </si>
  <si>
    <t>2025-04-18 11:41:00</t>
  </si>
  <si>
    <t>2025-06-04 13:03:42.502955</t>
  </si>
  <si>
    <t>LD-301875</t>
  </si>
  <si>
    <t>2025-04-26 10:20:00</t>
  </si>
  <si>
    <t>LD-301876</t>
  </si>
  <si>
    <t>2025-10-13 07:26:00</t>
  </si>
  <si>
    <t>LD-301877</t>
  </si>
  <si>
    <t>2025-12-29 13:43:00</t>
  </si>
  <si>
    <t>LD-301878</t>
  </si>
  <si>
    <t>2025-07-09 20:26:00</t>
  </si>
  <si>
    <t>LD-301879</t>
  </si>
  <si>
    <t>2025-10-19 07:08:00</t>
  </si>
  <si>
    <t>LD-301880</t>
  </si>
  <si>
    <t>2025-09-05 20:39:00</t>
  </si>
  <si>
    <t>2025-10-25 19:56:34.789324</t>
  </si>
  <si>
    <t>LD-301881</t>
  </si>
  <si>
    <t>2025-07-07 13:01:00</t>
  </si>
  <si>
    <t>LD-301882</t>
  </si>
  <si>
    <t>2025-08-13 13:04:00</t>
  </si>
  <si>
    <t>LD-301883</t>
  </si>
  <si>
    <t>2025-05-01 18:37:00</t>
  </si>
  <si>
    <t>LD-301884</t>
  </si>
  <si>
    <t>2025-06-04 09:11:00</t>
  </si>
  <si>
    <t>2025-07-17 20:21:46.792262</t>
  </si>
  <si>
    <t>LD-301885</t>
  </si>
  <si>
    <t>2025-11-13 14:50:00</t>
  </si>
  <si>
    <t>LD-301886</t>
  </si>
  <si>
    <t>2025-01-21 14:34:00</t>
  </si>
  <si>
    <t>LD-301887</t>
  </si>
  <si>
    <t>2025-01-21 07:18:00</t>
  </si>
  <si>
    <t>LD-301888</t>
  </si>
  <si>
    <t>2025-08-14 19:18:00</t>
  </si>
  <si>
    <t>LD-301889</t>
  </si>
  <si>
    <t>2025-07-16 17:00:00</t>
  </si>
  <si>
    <t>LD-301890</t>
  </si>
  <si>
    <t>2025-05-26 12:29:00</t>
  </si>
  <si>
    <t>2025-06-13 07:24:45.988133</t>
  </si>
  <si>
    <t>LD-301891</t>
  </si>
  <si>
    <t>2025-09-08 11:48:00</t>
  </si>
  <si>
    <t>LD-301892</t>
  </si>
  <si>
    <t>2025-12-30 19:58:00</t>
  </si>
  <si>
    <t>LD-301893</t>
  </si>
  <si>
    <t>2025-05-22 17:25:00</t>
  </si>
  <si>
    <t>2025-06-27 11:04:13.504350</t>
  </si>
  <si>
    <t>LD-301894</t>
  </si>
  <si>
    <t>2025-11-21 07:53:00</t>
  </si>
  <si>
    <t>2025-12-24 08:21:28.927056</t>
  </si>
  <si>
    <t>LD-301895</t>
  </si>
  <si>
    <t>2026-04-28 14:25:00</t>
  </si>
  <si>
    <t>LD-301896</t>
  </si>
  <si>
    <t>2025-02-10 19:27:00</t>
  </si>
  <si>
    <t>2025-03-31 12:49:48.455948</t>
  </si>
  <si>
    <t>LD-301897</t>
  </si>
  <si>
    <t>2026-04-24 08:42:00</t>
  </si>
  <si>
    <t>2026-05-31 04:29:29.214805</t>
  </si>
  <si>
    <t>LD-301898</t>
  </si>
  <si>
    <t>2025-01-17 09:00:00</t>
  </si>
  <si>
    <t>LD-301899</t>
  </si>
  <si>
    <t>2026-04-17 10:04:00</t>
  </si>
  <si>
    <t>LD-301900</t>
  </si>
  <si>
    <t>2025-10-29 20:54:00</t>
  </si>
  <si>
    <t>LD-301901</t>
  </si>
  <si>
    <t>2026-06-15 15:56:00</t>
  </si>
  <si>
    <t>2026-08-01 03:50:07.096153</t>
  </si>
  <si>
    <t>LD-301902</t>
  </si>
  <si>
    <t>2025-10-01 07:35:00</t>
  </si>
  <si>
    <t>LD-301903</t>
  </si>
  <si>
    <t>2025-01-18 16:24:00</t>
  </si>
  <si>
    <t>LD-301904</t>
  </si>
  <si>
    <t>2025-05-23 20:01:00</t>
  </si>
  <si>
    <t>LD-301905</t>
  </si>
  <si>
    <t>2025-03-28 07:28:00</t>
  </si>
  <si>
    <t>LD-301906</t>
  </si>
  <si>
    <t>2026-06-22 18:50:00</t>
  </si>
  <si>
    <t>LD-301907</t>
  </si>
  <si>
    <t>2025-11-03 08:55:00</t>
  </si>
  <si>
    <t>LD-301908</t>
  </si>
  <si>
    <t>2025-01-09 19:33:00</t>
  </si>
  <si>
    <t>LD-301909</t>
  </si>
  <si>
    <t>2025-06-14 10:23:00</t>
  </si>
  <si>
    <t>LD-301910</t>
  </si>
  <si>
    <t>2026-01-19 08:34:00</t>
  </si>
  <si>
    <t>LD-301911</t>
  </si>
  <si>
    <t>2026-05-25 15:36:00</t>
  </si>
  <si>
    <t>2026-07-06 11:48:22.858271</t>
  </si>
  <si>
    <t>LD-301912</t>
  </si>
  <si>
    <t>2025-01-28 11:55:00</t>
  </si>
  <si>
    <t>LD-301913</t>
  </si>
  <si>
    <t>2025-05-02 11:49:00</t>
  </si>
  <si>
    <t>LD-301914</t>
  </si>
  <si>
    <t>2025-02-21 10:16:00</t>
  </si>
  <si>
    <t>LD-301915</t>
  </si>
  <si>
    <t>2025-09-19 09:23:00</t>
  </si>
  <si>
    <t>LD-301916</t>
  </si>
  <si>
    <t>2025-10-20 10:44:00</t>
  </si>
  <si>
    <t>2025-12-04 21:31:14.553312</t>
  </si>
  <si>
    <t>LD-301917</t>
  </si>
  <si>
    <t>2026-04-17 18:01:00</t>
  </si>
  <si>
    <t>LD-301918</t>
  </si>
  <si>
    <t>2025-04-14 15:06:00</t>
  </si>
  <si>
    <t>LD-301919</t>
  </si>
  <si>
    <t>2026-01-15 17:19:00</t>
  </si>
  <si>
    <t>2026-02-12 03:59:07.803219</t>
  </si>
  <si>
    <t>LD-301920</t>
  </si>
  <si>
    <t>2025-04-23 20:05:00</t>
  </si>
  <si>
    <t>2025-06-04 22:30:52.517520</t>
  </si>
  <si>
    <t>LD-301921</t>
  </si>
  <si>
    <t>2025-07-04 11:09:00</t>
  </si>
  <si>
    <t>LD-301922</t>
  </si>
  <si>
    <t>2025-07-24 11:36:00</t>
  </si>
  <si>
    <t>2025-09-04 06:19:33.419110</t>
  </si>
  <si>
    <t>LD-301923</t>
  </si>
  <si>
    <t>2025-06-20 13:33:00</t>
  </si>
  <si>
    <t>2025-08-10 19:15:35.709332</t>
  </si>
  <si>
    <t>LD-301924</t>
  </si>
  <si>
    <t>2025-08-15 18:06:00</t>
  </si>
  <si>
    <t>2025-09-20 04:12:43.947345</t>
  </si>
  <si>
    <t>LD-301925</t>
  </si>
  <si>
    <t>2026-02-28 09:23:00</t>
  </si>
  <si>
    <t>LD-301926</t>
  </si>
  <si>
    <t>2026-02-11 12:53:00</t>
  </si>
  <si>
    <t>2026-03-23 12:05:59.399714</t>
  </si>
  <si>
    <t>LD-301927</t>
  </si>
  <si>
    <t>2026-05-11 18:10:00</t>
  </si>
  <si>
    <t>LD-301928</t>
  </si>
  <si>
    <t>2026-04-10 14:12:00</t>
  </si>
  <si>
    <t>LD-301929</t>
  </si>
  <si>
    <t>2025-05-02 07:32:00</t>
  </si>
  <si>
    <t>LD-301930</t>
  </si>
  <si>
    <t>2025-06-26 16:58:00</t>
  </si>
  <si>
    <t>LD-301931</t>
  </si>
  <si>
    <t>2025-01-30 08:25:00</t>
  </si>
  <si>
    <t>LD-301932</t>
  </si>
  <si>
    <t>2025-04-30 16:39:00</t>
  </si>
  <si>
    <t>2025-06-07 12:21:08.909876</t>
  </si>
  <si>
    <t>LD-301933</t>
  </si>
  <si>
    <t>2025-11-20 17:54:00</t>
  </si>
  <si>
    <t>LD-301934</t>
  </si>
  <si>
    <t>2025-05-12 16:25:00</t>
  </si>
  <si>
    <t>2025-06-26 16:16:25.255745</t>
  </si>
  <si>
    <t>LD-301935</t>
  </si>
  <si>
    <t>2026-05-22 12:54:00</t>
  </si>
  <si>
    <t>LD-301936</t>
  </si>
  <si>
    <t>2025-12-15 20:00:00</t>
  </si>
  <si>
    <t>2026-01-25 20:03:14.553859</t>
  </si>
  <si>
    <t>LD-301937</t>
  </si>
  <si>
    <t>2025-10-03 20:13:00</t>
  </si>
  <si>
    <t>2025-11-04 20:37:08.241224</t>
  </si>
  <si>
    <t>LD-301938</t>
  </si>
  <si>
    <t>2025-08-22 15:17:00</t>
  </si>
  <si>
    <t>LD-301939</t>
  </si>
  <si>
    <t>2025-01-24 13:30:00</t>
  </si>
  <si>
    <t>LD-301940</t>
  </si>
  <si>
    <t>2026-02-13 09:09:00</t>
  </si>
  <si>
    <t>2026-03-27 01:25:12.741928</t>
  </si>
  <si>
    <t>LD-301941</t>
  </si>
  <si>
    <t>2026-05-21 14:40:00</t>
  </si>
  <si>
    <t>2026-06-25 00:06:40.696016</t>
  </si>
  <si>
    <t>LD-301942</t>
  </si>
  <si>
    <t>2025-03-31 09:13:00</t>
  </si>
  <si>
    <t>LD-301943</t>
  </si>
  <si>
    <t>2026-06-05 11:38:00</t>
  </si>
  <si>
    <t>LD-301944</t>
  </si>
  <si>
    <t>2026-01-09 13:54:00</t>
  </si>
  <si>
    <t>LD-301945</t>
  </si>
  <si>
    <t>2025-12-31 10:36:00</t>
  </si>
  <si>
    <t>LD-301946</t>
  </si>
  <si>
    <t>2026-05-05 20:07:00</t>
  </si>
  <si>
    <t>2026-06-12 21:16:37.378964</t>
  </si>
  <si>
    <t>LD-301947</t>
  </si>
  <si>
    <t>2026-03-09 20:19:00</t>
  </si>
  <si>
    <t>LD-301948</t>
  </si>
  <si>
    <t>2026-01-28 13:00:00</t>
  </si>
  <si>
    <t>LD-301949</t>
  </si>
  <si>
    <t>2026-01-16 18:28:00</t>
  </si>
  <si>
    <t>LD-301950</t>
  </si>
  <si>
    <t>2026-06-29 18:47:00</t>
  </si>
  <si>
    <t>2026-08-06 14:53:17.253008</t>
  </si>
  <si>
    <t>LD-301951</t>
  </si>
  <si>
    <t>2025-07-22 16:19:00</t>
  </si>
  <si>
    <t>2025-08-24 20:59:42.367971</t>
  </si>
  <si>
    <t>LD-301952</t>
  </si>
  <si>
    <t>2025-06-09 20:47:00</t>
  </si>
  <si>
    <t>2025-07-25 14:48:26.723409</t>
  </si>
  <si>
    <t>LD-301953</t>
  </si>
  <si>
    <t>2025-10-31 16:57:00</t>
  </si>
  <si>
    <t>2025-11-26 18:00:17.998874</t>
  </si>
  <si>
    <t>LD-301954</t>
  </si>
  <si>
    <t>2026-06-12 15:08:00</t>
  </si>
  <si>
    <t>LD-301955</t>
  </si>
  <si>
    <t>2025-06-07 18:15:00</t>
  </si>
  <si>
    <t>LD-301956</t>
  </si>
  <si>
    <t>2026-04-30 19:40:00</t>
  </si>
  <si>
    <t>2026-06-15 07:44:20.496225</t>
  </si>
  <si>
    <t>LD-301957</t>
  </si>
  <si>
    <t>2025-08-14 12:23:00</t>
  </si>
  <si>
    <t>LD-301958</t>
  </si>
  <si>
    <t>2025-08-18 07:02:00</t>
  </si>
  <si>
    <t>2025-09-22 07:31:24.032959</t>
  </si>
  <si>
    <t>LD-301959</t>
  </si>
  <si>
    <t>2025-11-01 13:07:00</t>
  </si>
  <si>
    <t>LD-301960</t>
  </si>
  <si>
    <t>2025-12-04 16:24:00</t>
  </si>
  <si>
    <t>LD-301961</t>
  </si>
  <si>
    <t>2025-07-23 10:25:00</t>
  </si>
  <si>
    <t>2025-09-08 05:47:34.030376</t>
  </si>
  <si>
    <t>LD-301962</t>
  </si>
  <si>
    <t>2026-04-07 12:54:00</t>
  </si>
  <si>
    <t>LD-301963</t>
  </si>
  <si>
    <t>2025-10-12 20:38:00</t>
  </si>
  <si>
    <t>LD-301964</t>
  </si>
  <si>
    <t>2025-03-07 15:19:00</t>
  </si>
  <si>
    <t>LD-301965</t>
  </si>
  <si>
    <t>2025-01-03 19:29:00</t>
  </si>
  <si>
    <t>LD-301966</t>
  </si>
  <si>
    <t>2026-01-08 20:42:00</t>
  </si>
  <si>
    <t>LD-301967</t>
  </si>
  <si>
    <t>2025-08-15 14:13:00</t>
  </si>
  <si>
    <t>LD-301968</t>
  </si>
  <si>
    <t>2026-02-18 15:09:00</t>
  </si>
  <si>
    <t>LD-301969</t>
  </si>
  <si>
    <t>2025-11-02 19:28:00</t>
  </si>
  <si>
    <t>2025-12-26 13:48:51.110198</t>
  </si>
  <si>
    <t>LD-301970</t>
  </si>
  <si>
    <t>2025-09-15 20:58:00</t>
  </si>
  <si>
    <t>2025-10-26 12:25:02.475684</t>
  </si>
  <si>
    <t>LD-301971</t>
  </si>
  <si>
    <t>2025-02-16 13:17:00</t>
  </si>
  <si>
    <t>LD-301972</t>
  </si>
  <si>
    <t>2026-04-24 09:37:00</t>
  </si>
  <si>
    <t>2026-05-19 18:27:53.465216</t>
  </si>
  <si>
    <t>LD-301973</t>
  </si>
  <si>
    <t>2025-08-15 20:53:00</t>
  </si>
  <si>
    <t>LD-301974</t>
  </si>
  <si>
    <t>2026-04-21 15:57:00</t>
  </si>
  <si>
    <t>2026-05-30 15:19:31.043753</t>
  </si>
  <si>
    <t>LD-301975</t>
  </si>
  <si>
    <t>2026-05-10 15:12:00</t>
  </si>
  <si>
    <t>LD-301976</t>
  </si>
  <si>
    <t>2025-12-09 13:25:00</t>
  </si>
  <si>
    <t>2025-12-29 01:27:02.606928</t>
  </si>
  <si>
    <t>LD-301977</t>
  </si>
  <si>
    <t>2025-03-20 10:56:00</t>
  </si>
  <si>
    <t>LD-301978</t>
  </si>
  <si>
    <t>2025-11-26 08:20:00</t>
  </si>
  <si>
    <t>2026-01-10 00:01:58.687657</t>
  </si>
  <si>
    <t>LD-301979</t>
  </si>
  <si>
    <t>2026-05-28 14:12:00</t>
  </si>
  <si>
    <t>LD-301980</t>
  </si>
  <si>
    <t>2025-05-10 08:49:00</t>
  </si>
  <si>
    <t>LD-301981</t>
  </si>
  <si>
    <t>2025-07-15 16:53:00</t>
  </si>
  <si>
    <t>LD-301982</t>
  </si>
  <si>
    <t>2025-08-15 09:08:00</t>
  </si>
  <si>
    <t>LD-301983</t>
  </si>
  <si>
    <t>2025-10-17 16:13:00</t>
  </si>
  <si>
    <t>2025-11-11 06:32:14.798646</t>
  </si>
  <si>
    <t>LD-301984</t>
  </si>
  <si>
    <t>2025-06-15 08:23:00</t>
  </si>
  <si>
    <t>2025-08-07 08:57:14.381144</t>
  </si>
  <si>
    <t>LD-301985</t>
  </si>
  <si>
    <t>2026-03-21 20:49:00</t>
  </si>
  <si>
    <t>LD-301986</t>
  </si>
  <si>
    <t>2026-01-11 10:06:00</t>
  </si>
  <si>
    <t>LD-301987</t>
  </si>
  <si>
    <t>2026-01-20 12:38:00</t>
  </si>
  <si>
    <t>LD-301988</t>
  </si>
  <si>
    <t>2025-11-13 07:52:00</t>
  </si>
  <si>
    <t>2025-12-15 19:09:21.975734</t>
  </si>
  <si>
    <t>LD-301989</t>
  </si>
  <si>
    <t>2025-11-07 08:34:00</t>
  </si>
  <si>
    <t>LD-301990</t>
  </si>
  <si>
    <t>2025-02-24 20:20:00</t>
  </si>
  <si>
    <t>LD-301991</t>
  </si>
  <si>
    <t>2025-02-16 14:33:00</t>
  </si>
  <si>
    <t>2025-03-26 17:51:45.584522</t>
  </si>
  <si>
    <t>LD-301992</t>
  </si>
  <si>
    <t>2025-11-07 14:39:00</t>
  </si>
  <si>
    <t>LD-301993</t>
  </si>
  <si>
    <t>2025-02-14 18:53:00</t>
  </si>
  <si>
    <t>2025-04-08 15:01:29.346953</t>
  </si>
  <si>
    <t>LD-301994</t>
  </si>
  <si>
    <t>2026-06-08 08:18:00</t>
  </si>
  <si>
    <t>2026-07-07 19:48:55.285196</t>
  </si>
  <si>
    <t>LD-301995</t>
  </si>
  <si>
    <t>2025-10-16 12:50:00</t>
  </si>
  <si>
    <t>2025-11-30 04:03:06.591949</t>
  </si>
  <si>
    <t>LD-301996</t>
  </si>
  <si>
    <t>2025-11-16 09:23:00</t>
  </si>
  <si>
    <t>2025-12-14 10:00:57.268065</t>
  </si>
  <si>
    <t>LD-301997</t>
  </si>
  <si>
    <t>2025-02-21 15:54:00</t>
  </si>
  <si>
    <t>2025-04-01 06:02:23.370701</t>
  </si>
  <si>
    <t>LD-301998</t>
  </si>
  <si>
    <t>2026-06-29 12:55:00</t>
  </si>
  <si>
    <t>LD-301999</t>
  </si>
  <si>
    <t>2025-06-20 11:11:00</t>
  </si>
  <si>
    <t>LD-302000</t>
  </si>
  <si>
    <t>2026-04-30 10:56:00</t>
  </si>
  <si>
    <t>LD-302001</t>
  </si>
  <si>
    <t>2025-04-28 16:38:00</t>
  </si>
  <si>
    <t>2025-06-02 20:41:54.859910</t>
  </si>
  <si>
    <t>LD-302002</t>
  </si>
  <si>
    <t>2025-09-02 12:51:00</t>
  </si>
  <si>
    <t>LD-302003</t>
  </si>
  <si>
    <t>2026-04-10 13:37:00</t>
  </si>
  <si>
    <t>LD-302004</t>
  </si>
  <si>
    <t>2025-10-13 14:00:00</t>
  </si>
  <si>
    <t>LD-302005</t>
  </si>
  <si>
    <t>2026-01-16 20:20:00</t>
  </si>
  <si>
    <t>LD-302006</t>
  </si>
  <si>
    <t>2025-07-26 08:59:00</t>
  </si>
  <si>
    <t>LD-302007</t>
  </si>
  <si>
    <t>2025-02-24 16:08:00</t>
  </si>
  <si>
    <t>LD-302008</t>
  </si>
  <si>
    <t>2025-11-25 15:55:00</t>
  </si>
  <si>
    <t>LD-302009</t>
  </si>
  <si>
    <t>2025-10-27 18:48:00</t>
  </si>
  <si>
    <t>LD-302010</t>
  </si>
  <si>
    <t>2025-09-12 12:32:00</t>
  </si>
  <si>
    <t>2025-10-09 10:18:46.682925</t>
  </si>
  <si>
    <t>LD-302011</t>
  </si>
  <si>
    <t>2025-09-16 19:47:00</t>
  </si>
  <si>
    <t>LD-302012</t>
  </si>
  <si>
    <t>2025-04-09 20:27:00</t>
  </si>
  <si>
    <t>LD-302013</t>
  </si>
  <si>
    <t>2025-02-07 13:35:00</t>
  </si>
  <si>
    <t>LD-302014</t>
  </si>
  <si>
    <t>2025-12-30 15:13:00</t>
  </si>
  <si>
    <t>2026-02-06 06:20:36.052362</t>
  </si>
  <si>
    <t>LD-302015</t>
  </si>
  <si>
    <t>2025-06-23 16:55:00</t>
  </si>
  <si>
    <t>LD-302016</t>
  </si>
  <si>
    <t>2025-09-21 18:21:00</t>
  </si>
  <si>
    <t>LD-302017</t>
  </si>
  <si>
    <t>2025-10-24 17:40:00</t>
  </si>
  <si>
    <t>LD-302018</t>
  </si>
  <si>
    <t>2025-04-08 20:09:00</t>
  </si>
  <si>
    <t>2025-05-07 08:15:22.644715</t>
  </si>
  <si>
    <t>LD-302019</t>
  </si>
  <si>
    <t>2026-06-12 20:39:00</t>
  </si>
  <si>
    <t>LD-302020</t>
  </si>
  <si>
    <t>2026-01-30 12:47:00</t>
  </si>
  <si>
    <t>LD-302021</t>
  </si>
  <si>
    <t>2026-01-05 13:25:00</t>
  </si>
  <si>
    <t>2026-02-20 22:12:49.924526</t>
  </si>
  <si>
    <t>LD-302022</t>
  </si>
  <si>
    <t>2025-10-21 08:16:00</t>
  </si>
  <si>
    <t>LD-302023</t>
  </si>
  <si>
    <t>2026-02-14 09:27:00</t>
  </si>
  <si>
    <t>LD-302024</t>
  </si>
  <si>
    <t>2025-01-18 08:11:00</t>
  </si>
  <si>
    <t>2025-02-17 00:06:31.247794</t>
  </si>
  <si>
    <t>LD-302025</t>
  </si>
  <si>
    <t>LD-302026</t>
  </si>
  <si>
    <t>2025-02-17 10:32:00</t>
  </si>
  <si>
    <t>LD-302027</t>
  </si>
  <si>
    <t>2025-07-23 15:51:00</t>
  </si>
  <si>
    <t>LD-302028</t>
  </si>
  <si>
    <t>2025-06-20 10:58:00</t>
  </si>
  <si>
    <t>LD-302029</t>
  </si>
  <si>
    <t>2025-10-17 19:02:00</t>
  </si>
  <si>
    <t>LD-302030</t>
  </si>
  <si>
    <t>2025-10-21 17:17:00</t>
  </si>
  <si>
    <t>LD-302031</t>
  </si>
  <si>
    <t>2025-04-23 17:29:00</t>
  </si>
  <si>
    <t>LD-302032</t>
  </si>
  <si>
    <t>2025-10-15 18:27:00</t>
  </si>
  <si>
    <t>2025-11-17 07:23:22.614868</t>
  </si>
  <si>
    <t>LD-302033</t>
  </si>
  <si>
    <t>2025-01-11 14:23:00</t>
  </si>
  <si>
    <t>LD-302034</t>
  </si>
  <si>
    <t>2025-11-07 20:35:00</t>
  </si>
  <si>
    <t>LD-302035</t>
  </si>
  <si>
    <t>2025-06-24 11:07:00</t>
  </si>
  <si>
    <t>LD-302036</t>
  </si>
  <si>
    <t>2025-08-22 13:24:00</t>
  </si>
  <si>
    <t>2025-10-03 02:40:30.296379</t>
  </si>
  <si>
    <t>LD-302037</t>
  </si>
  <si>
    <t>2025-08-01 13:48:00</t>
  </si>
  <si>
    <t>LD-302038</t>
  </si>
  <si>
    <t>2025-02-21 19:24:00</t>
  </si>
  <si>
    <t>2025-03-14 22:22:41.153601</t>
  </si>
  <si>
    <t>LD-302039</t>
  </si>
  <si>
    <t>2026-06-05 08:03:00</t>
  </si>
  <si>
    <t>LD-302040</t>
  </si>
  <si>
    <t>2026-04-03 19:37:00</t>
  </si>
  <si>
    <t>LD-302041</t>
  </si>
  <si>
    <t>2025-06-08 15:07:00</t>
  </si>
  <si>
    <t>LD-302042</t>
  </si>
  <si>
    <t>2025-12-18 07:45:00</t>
  </si>
  <si>
    <t>LD-302043</t>
  </si>
  <si>
    <t>2026-01-29 07:40:00</t>
  </si>
  <si>
    <t>2026-03-11 06:53:49.514228</t>
  </si>
  <si>
    <t>LD-302044</t>
  </si>
  <si>
    <t>2025-11-14 12:09:00</t>
  </si>
  <si>
    <t>2025-12-08 10:55:33.655143</t>
  </si>
  <si>
    <t>LD-302045</t>
  </si>
  <si>
    <t>2025-11-16 14:54:00</t>
  </si>
  <si>
    <t>2025-12-17 16:05:04.787775</t>
  </si>
  <si>
    <t>LD-302046</t>
  </si>
  <si>
    <t>2025-02-14 11:03:00</t>
  </si>
  <si>
    <t>LD-302047</t>
  </si>
  <si>
    <t>2025-06-25 11:44:00</t>
  </si>
  <si>
    <t>LD-302048</t>
  </si>
  <si>
    <t>2026-03-28 10:03:00</t>
  </si>
  <si>
    <t>LD-302049</t>
  </si>
  <si>
    <t>2025-06-03 10:49:00</t>
  </si>
  <si>
    <t>LD-302050</t>
  </si>
  <si>
    <t>2025-06-05 07:13:00</t>
  </si>
  <si>
    <t>2025-07-08 21:02:05.432064</t>
  </si>
  <si>
    <t>LD-302051</t>
  </si>
  <si>
    <t>2026-05-09 18:35:00</t>
  </si>
  <si>
    <t>LD-302052</t>
  </si>
  <si>
    <t>2026-03-05 07:26:00</t>
  </si>
  <si>
    <t>2026-03-27 16:28:50.829945</t>
  </si>
  <si>
    <t>LD-302053</t>
  </si>
  <si>
    <t>2025-08-07 20:31:00</t>
  </si>
  <si>
    <t>2025-09-22 20:59:38.431138</t>
  </si>
  <si>
    <t>LD-302054</t>
  </si>
  <si>
    <t>2026-01-09 12:45:00</t>
  </si>
  <si>
    <t>LD-302055</t>
  </si>
  <si>
    <t>2026-02-09 14:08:00</t>
  </si>
  <si>
    <t>LD-302056</t>
  </si>
  <si>
    <t>2026-02-27 20:11:00</t>
  </si>
  <si>
    <t>LD-302057</t>
  </si>
  <si>
    <t>2025-02-11 11:00:00</t>
  </si>
  <si>
    <t>LD-302058</t>
  </si>
  <si>
    <t>2025-02-07 12:43:00</t>
  </si>
  <si>
    <t>2025-03-23 06:18:18.743995</t>
  </si>
  <si>
    <t>LD-302059</t>
  </si>
  <si>
    <t>2026-06-01 08:14:00</t>
  </si>
  <si>
    <t>LD-302060</t>
  </si>
  <si>
    <t>2025-06-20 16:19:00</t>
  </si>
  <si>
    <t>LD-302061</t>
  </si>
  <si>
    <t>2025-11-13 13:43:00</t>
  </si>
  <si>
    <t>LD-302062</t>
  </si>
  <si>
    <t>2025-04-18 20:33:00</t>
  </si>
  <si>
    <t>2025-05-30 18:47:57.221792</t>
  </si>
  <si>
    <t>LD-302063</t>
  </si>
  <si>
    <t>2025-07-15 12:33:00</t>
  </si>
  <si>
    <t>LD-302064</t>
  </si>
  <si>
    <t>2025-03-04 17:49:00</t>
  </si>
  <si>
    <t>LD-302065</t>
  </si>
  <si>
    <t>2025-08-25 10:14:00</t>
  </si>
  <si>
    <t>2025-09-22 14:58:22.277645</t>
  </si>
  <si>
    <t>LD-302066</t>
  </si>
  <si>
    <t>2025-09-15 17:23:00</t>
  </si>
  <si>
    <t>2025-11-03 22:00:24.786447</t>
  </si>
  <si>
    <t>LD-302067</t>
  </si>
  <si>
    <t>2025-05-09 17:38:00</t>
  </si>
  <si>
    <t>LD-302068</t>
  </si>
  <si>
    <t>LD-302069</t>
  </si>
  <si>
    <t>2025-11-07 20:41:00</t>
  </si>
  <si>
    <t>2025-12-26 15:29:30.478677</t>
  </si>
  <si>
    <t>LD-302070</t>
  </si>
  <si>
    <t>2025-07-16 20:44:00</t>
  </si>
  <si>
    <t>LD-302071</t>
  </si>
  <si>
    <t>2025-02-04 09:25:00</t>
  </si>
  <si>
    <t>LD-302072</t>
  </si>
  <si>
    <t>2025-09-09 20:19:00</t>
  </si>
  <si>
    <t>LD-302073</t>
  </si>
  <si>
    <t>2026-04-20 18:10:00</t>
  </si>
  <si>
    <t>LD-302074</t>
  </si>
  <si>
    <t>2025-10-05 09:52:00</t>
  </si>
  <si>
    <t>LD-302075</t>
  </si>
  <si>
    <t>2025-10-01 14:53:00</t>
  </si>
  <si>
    <t>LD-302076</t>
  </si>
  <si>
    <t>2025-11-15 19:44:00</t>
  </si>
  <si>
    <t>2025-12-12 15:06:40.958273</t>
  </si>
  <si>
    <t>LD-302077</t>
  </si>
  <si>
    <t>2025-12-01 09:33:00</t>
  </si>
  <si>
    <t>2026-01-06 16:12:19.779831</t>
  </si>
  <si>
    <t>LD-302078</t>
  </si>
  <si>
    <t>2026-01-22 17:56:00</t>
  </si>
  <si>
    <t>LD-302079</t>
  </si>
  <si>
    <t>2025-05-16 18:21:00</t>
  </si>
  <si>
    <t>2025-06-29 03:40:50.665109</t>
  </si>
  <si>
    <t>LD-302080</t>
  </si>
  <si>
    <t>2025-03-08 19:16:00</t>
  </si>
  <si>
    <t>LD-302081</t>
  </si>
  <si>
    <t>2025-01-23 17:29:00</t>
  </si>
  <si>
    <t>2025-03-05 17:53:57.495105</t>
  </si>
  <si>
    <t>LD-302082</t>
  </si>
  <si>
    <t>2025-08-01 20:10:00</t>
  </si>
  <si>
    <t>2025-09-27 09:57:31.558992</t>
  </si>
  <si>
    <t>LD-302083</t>
  </si>
  <si>
    <t>2025-03-21 15:29:00</t>
  </si>
  <si>
    <t>LD-302084</t>
  </si>
  <si>
    <t>2025-06-13 18:51:00</t>
  </si>
  <si>
    <t>LD-302085</t>
  </si>
  <si>
    <t>2025-05-15 08:10:00</t>
  </si>
  <si>
    <t>LD-302086</t>
  </si>
  <si>
    <t>2025-10-06 09:23:00</t>
  </si>
  <si>
    <t>2025-11-24 20:23:02.616588</t>
  </si>
  <si>
    <t>LD-302087</t>
  </si>
  <si>
    <t>2025-04-02 14:30:00</t>
  </si>
  <si>
    <t>LD-302088</t>
  </si>
  <si>
    <t>2025-12-08 10:00:00</t>
  </si>
  <si>
    <t>LD-302089</t>
  </si>
  <si>
    <t>2026-01-26 09:15:00</t>
  </si>
  <si>
    <t>LD-302090</t>
  </si>
  <si>
    <t>2025-12-26 20:27:00</t>
  </si>
  <si>
    <t>LD-302091</t>
  </si>
  <si>
    <t>2026-03-19 13:48:00</t>
  </si>
  <si>
    <t>LD-302092</t>
  </si>
  <si>
    <t>2025-01-29 13:21:00</t>
  </si>
  <si>
    <t>2025-02-25 01:18:21.353706</t>
  </si>
  <si>
    <t>LD-302093</t>
  </si>
  <si>
    <t>2025-07-30 17:22:00</t>
  </si>
  <si>
    <t>LD-302094</t>
  </si>
  <si>
    <t>2025-03-20 11:33:00</t>
  </si>
  <si>
    <t>LD-302095</t>
  </si>
  <si>
    <t>2025-04-28 08:47:00</t>
  </si>
  <si>
    <t>LD-302096</t>
  </si>
  <si>
    <t>2025-05-22 12:17:00</t>
  </si>
  <si>
    <t>2025-06-29 22:31:35.896098</t>
  </si>
  <si>
    <t>LD-302097</t>
  </si>
  <si>
    <t>2026-04-30 10:42:00</t>
  </si>
  <si>
    <t>2026-06-13 15:31:33.854843</t>
  </si>
  <si>
    <t>LD-302098</t>
  </si>
  <si>
    <t>2025-08-07 08:41:00</t>
  </si>
  <si>
    <t>LD-302099</t>
  </si>
  <si>
    <t>2026-04-27 18:44:00</t>
  </si>
  <si>
    <t>LD-302100</t>
  </si>
  <si>
    <t>2025-10-09 19:03:00</t>
  </si>
  <si>
    <t>LD-302101</t>
  </si>
  <si>
    <t>2026-04-06 09:50:00</t>
  </si>
  <si>
    <t>LD-302102</t>
  </si>
  <si>
    <t>2025-08-02 12:43:00</t>
  </si>
  <si>
    <t>LD-302103</t>
  </si>
  <si>
    <t>2025-03-06 11:28:00</t>
  </si>
  <si>
    <t>LD-302104</t>
  </si>
  <si>
    <t>2026-03-24 07:07:00</t>
  </si>
  <si>
    <t>2026-05-05 07:32:45.340404</t>
  </si>
  <si>
    <t>LD-302105</t>
  </si>
  <si>
    <t>2025-09-05 13:06:00</t>
  </si>
  <si>
    <t>LD-302106</t>
  </si>
  <si>
    <t>2026-01-27 09:36:00</t>
  </si>
  <si>
    <t>LD-302107</t>
  </si>
  <si>
    <t>2026-01-15 19:00:00</t>
  </si>
  <si>
    <t>2026-02-28 09:53:29.527224</t>
  </si>
  <si>
    <t>LD-302108</t>
  </si>
  <si>
    <t>2026-05-19 13:52:00</t>
  </si>
  <si>
    <t>LD-302109</t>
  </si>
  <si>
    <t>2025-05-07 09:21:00</t>
  </si>
  <si>
    <t>LD-302110</t>
  </si>
  <si>
    <t>2025-06-27 07:01:00</t>
  </si>
  <si>
    <t>2025-07-20 07:47:48.913742</t>
  </si>
  <si>
    <t>LD-302111</t>
  </si>
  <si>
    <t>2026-04-24 17:46:00</t>
  </si>
  <si>
    <t>LD-302112</t>
  </si>
  <si>
    <t>2025-09-29 12:19:00</t>
  </si>
  <si>
    <t>LD-302113</t>
  </si>
  <si>
    <t>2025-05-06 17:47:00</t>
  </si>
  <si>
    <t>LD-302114</t>
  </si>
  <si>
    <t>2025-08-25 16:04:00</t>
  </si>
  <si>
    <t>2025-09-28 20:21:40.228364</t>
  </si>
  <si>
    <t>LD-302115</t>
  </si>
  <si>
    <t>2026-02-25 19:11:00</t>
  </si>
  <si>
    <t>2026-03-19 07:21:30.275805</t>
  </si>
  <si>
    <t>LD-302116</t>
  </si>
  <si>
    <t>2025-04-09 19:09:00</t>
  </si>
  <si>
    <t>2025-05-24 00:07:33.250374</t>
  </si>
  <si>
    <t>LD-302117</t>
  </si>
  <si>
    <t>2025-04-08 08:54:00</t>
  </si>
  <si>
    <t>LD-302118</t>
  </si>
  <si>
    <t>2025-11-28 14:49:00</t>
  </si>
  <si>
    <t>LD-302119</t>
  </si>
  <si>
    <t>2025-05-19 14:50:00</t>
  </si>
  <si>
    <t>LD-302120</t>
  </si>
  <si>
    <t>2026-02-05 16:10:00</t>
  </si>
  <si>
    <t>2026-03-27 22:08:00.413830</t>
  </si>
  <si>
    <t>LD-302121</t>
  </si>
  <si>
    <t>2025-12-24 19:30:00</t>
  </si>
  <si>
    <t>LD-302122</t>
  </si>
  <si>
    <t>2025-01-31 10:12:00</t>
  </si>
  <si>
    <t>LD-302123</t>
  </si>
  <si>
    <t>2026-01-06 11:39:00</t>
  </si>
  <si>
    <t>2026-02-18 01:07:48.430368</t>
  </si>
  <si>
    <t>LD-302124</t>
  </si>
  <si>
    <t>2025-07-18 15:05:00</t>
  </si>
  <si>
    <t>2025-08-22 19:27:55.779797</t>
  </si>
  <si>
    <t>LD-302125</t>
  </si>
  <si>
    <t>2025-06-06 12:03:00</t>
  </si>
  <si>
    <t>LD-302126</t>
  </si>
  <si>
    <t>2025-04-04 15:58:00</t>
  </si>
  <si>
    <t>LD-302127</t>
  </si>
  <si>
    <t>2026-05-20 15:53:00</t>
  </si>
  <si>
    <t>LD-302128</t>
  </si>
  <si>
    <t>2025-10-06 14:51:00</t>
  </si>
  <si>
    <t>2025-11-29 16:49:00.125466</t>
  </si>
  <si>
    <t>LD-302129</t>
  </si>
  <si>
    <t>2025-10-03 19:54:00</t>
  </si>
  <si>
    <t>2025-11-04 06:00:12.845026</t>
  </si>
  <si>
    <t>LD-302130</t>
  </si>
  <si>
    <t>2026-06-27 17:00:00</t>
  </si>
  <si>
    <t>LD-302131</t>
  </si>
  <si>
    <t>2025-05-12 20:27:00</t>
  </si>
  <si>
    <t>2025-06-20 18:57:35.786857</t>
  </si>
  <si>
    <t>LD-302132</t>
  </si>
  <si>
    <t>2025-10-19 14:09:00</t>
  </si>
  <si>
    <t>2025-11-19 19:51:05.509432</t>
  </si>
  <si>
    <t>LD-302133</t>
  </si>
  <si>
    <t>2026-01-09 15:52:00</t>
  </si>
  <si>
    <t>2026-02-20 02:36:44.201520</t>
  </si>
  <si>
    <t>LD-302134</t>
  </si>
  <si>
    <t>2025-06-01 07:34:00</t>
  </si>
  <si>
    <t>LD-302135</t>
  </si>
  <si>
    <t>2025-01-07 20:02:00</t>
  </si>
  <si>
    <t>LD-302136</t>
  </si>
  <si>
    <t>2026-05-03 14:15:00</t>
  </si>
  <si>
    <t>LD-302137</t>
  </si>
  <si>
    <t>2025-03-19 20:04:00</t>
  </si>
  <si>
    <t>2025-04-14 21:28:41.641964</t>
  </si>
  <si>
    <t>LD-302138</t>
  </si>
  <si>
    <t>2025-05-26 18:57:00</t>
  </si>
  <si>
    <t>LD-302139</t>
  </si>
  <si>
    <t>2026-02-22 15:01:00</t>
  </si>
  <si>
    <t>2026-04-09 01:33:44.547112</t>
  </si>
  <si>
    <t>LD-302140</t>
  </si>
  <si>
    <t>2025-04-29 07:41:00</t>
  </si>
  <si>
    <t>2025-05-28 12:37:00.094919</t>
  </si>
  <si>
    <t>LD-302141</t>
  </si>
  <si>
    <t>2026-04-10 18:34:00</t>
  </si>
  <si>
    <t>LD-302142</t>
  </si>
  <si>
    <t>2025-04-25 15:08:00</t>
  </si>
  <si>
    <t>2025-05-28 16:01:34.951673</t>
  </si>
  <si>
    <t>LD-302143</t>
  </si>
  <si>
    <t>2025-12-23 11:27:00</t>
  </si>
  <si>
    <t>LD-302144</t>
  </si>
  <si>
    <t>2026-06-26 12:05:00</t>
  </si>
  <si>
    <t>2026-08-18 19:55:13.615434</t>
  </si>
  <si>
    <t>LD-302145</t>
  </si>
  <si>
    <t>2026-02-02 18:08:00</t>
  </si>
  <si>
    <t>LD-302146</t>
  </si>
  <si>
    <t>2026-02-02 19:53:00</t>
  </si>
  <si>
    <t>LD-302147</t>
  </si>
  <si>
    <t>2025-07-17 09:47:00</t>
  </si>
  <si>
    <t>2025-08-27 15:22:20.997339</t>
  </si>
  <si>
    <t>LD-302148</t>
  </si>
  <si>
    <t>2025-10-27 07:17:00</t>
  </si>
  <si>
    <t>LD-302149</t>
  </si>
  <si>
    <t>2026-02-02 20:54:00</t>
  </si>
  <si>
    <t>2026-03-08 22:38:59.681990</t>
  </si>
  <si>
    <t>LD-302150</t>
  </si>
  <si>
    <t>2025-07-17 17:07:00</t>
  </si>
  <si>
    <t>LD-302151</t>
  </si>
  <si>
    <t>2025-03-28 11:46:00</t>
  </si>
  <si>
    <t>LD-302152</t>
  </si>
  <si>
    <t>2025-05-16 09:49:00</t>
  </si>
  <si>
    <t>2025-06-23 05:58:11.030651</t>
  </si>
  <si>
    <t>LD-302153</t>
  </si>
  <si>
    <t>2025-05-26 11:23:00</t>
  </si>
  <si>
    <t>LD-302154</t>
  </si>
  <si>
    <t>2025-01-03 19:05:00</t>
  </si>
  <si>
    <t>LD-302155</t>
  </si>
  <si>
    <t>2026-03-02 08:57:00</t>
  </si>
  <si>
    <t>2026-04-03 15:32:27.609591</t>
  </si>
  <si>
    <t>LD-302156</t>
  </si>
  <si>
    <t>2026-06-02 10:05:00</t>
  </si>
  <si>
    <t>LD-302157</t>
  </si>
  <si>
    <t>2025-08-11 12:56:00</t>
  </si>
  <si>
    <t>LD-302158</t>
  </si>
  <si>
    <t>2025-06-12 07:47:00</t>
  </si>
  <si>
    <t>2025-07-31 14:31:30.445283</t>
  </si>
  <si>
    <t>LD-302159</t>
  </si>
  <si>
    <t>2025-11-25 15:20:00</t>
  </si>
  <si>
    <t>LD-302160</t>
  </si>
  <si>
    <t>2025-11-03 20:16:00</t>
  </si>
  <si>
    <t>2025-12-15 01:15:57.411831</t>
  </si>
  <si>
    <t>LD-302161</t>
  </si>
  <si>
    <t>2025-11-11 12:52:00</t>
  </si>
  <si>
    <t>LD-302162</t>
  </si>
  <si>
    <t>2025-04-26 20:52:00</t>
  </si>
  <si>
    <t>2025-06-03 03:38:55.814271</t>
  </si>
  <si>
    <t>LD-302163</t>
  </si>
  <si>
    <t>2026-06-12 19:42:00</t>
  </si>
  <si>
    <t>2026-07-18 21:32:24.835942</t>
  </si>
  <si>
    <t>LD-302164</t>
  </si>
  <si>
    <t>2025-06-04 18:51:00</t>
  </si>
  <si>
    <t>LD-302165</t>
  </si>
  <si>
    <t>2025-04-18 07:45:00</t>
  </si>
  <si>
    <t>LD-302166</t>
  </si>
  <si>
    <t>2025-01-03 18:24:00</t>
  </si>
  <si>
    <t>LD-302167</t>
  </si>
  <si>
    <t>2025-01-03 08:32:00</t>
  </si>
  <si>
    <t>2025-02-16 01:46:44.985913</t>
  </si>
  <si>
    <t>LD-302168</t>
  </si>
  <si>
    <t>2025-07-22 18:39:00</t>
  </si>
  <si>
    <t>2025-09-08 06:26:33.820995</t>
  </si>
  <si>
    <t>LD-302169</t>
  </si>
  <si>
    <t>2025-06-30 08:18:00</t>
  </si>
  <si>
    <t>2025-08-03 14:31:48.075893</t>
  </si>
  <si>
    <t>LD-302170</t>
  </si>
  <si>
    <t>2026-03-22 19:39:00</t>
  </si>
  <si>
    <t>LD-302171</t>
  </si>
  <si>
    <t>2025-08-15 16:46:00</t>
  </si>
  <si>
    <t>LD-302172</t>
  </si>
  <si>
    <t>2025-06-10 18:40:00</t>
  </si>
  <si>
    <t>2025-07-27 13:56:39.727101</t>
  </si>
  <si>
    <t>LD-302173</t>
  </si>
  <si>
    <t>2025-07-10 20:57:00</t>
  </si>
  <si>
    <t>LD-302174</t>
  </si>
  <si>
    <t>2026-05-05 11:10:00</t>
  </si>
  <si>
    <t>LD-302175</t>
  </si>
  <si>
    <t>2025-09-09 09:35:00</t>
  </si>
  <si>
    <t>2025-10-04 22:04:16.000090</t>
  </si>
  <si>
    <t>LD-302176</t>
  </si>
  <si>
    <t>2026-06-24 09:47:00</t>
  </si>
  <si>
    <t>LD-302177</t>
  </si>
  <si>
    <t>2025-05-15 09:37:00</t>
  </si>
  <si>
    <t>LD-302178</t>
  </si>
  <si>
    <t>2025-02-18 14:24:00</t>
  </si>
  <si>
    <t>LD-302179</t>
  </si>
  <si>
    <t>2026-05-20 20:28:00</t>
  </si>
  <si>
    <t>LD-302180</t>
  </si>
  <si>
    <t>2025-02-20 08:36:00</t>
  </si>
  <si>
    <t>LD-302181</t>
  </si>
  <si>
    <t>2025-10-06 16:54:00</t>
  </si>
  <si>
    <t>2025-11-20 15:20:07.353660</t>
  </si>
  <si>
    <t>LD-302182</t>
  </si>
  <si>
    <t>2025-03-21 07:03:00</t>
  </si>
  <si>
    <t>LD-302183</t>
  </si>
  <si>
    <t>2025-06-13 14:56:00</t>
  </si>
  <si>
    <t>LD-302184</t>
  </si>
  <si>
    <t>2025-08-04 07:39:00</t>
  </si>
  <si>
    <t>2025-09-25 16:09:22.592271</t>
  </si>
  <si>
    <t>LD-302185</t>
  </si>
  <si>
    <t>2025-07-04 10:11:00</t>
  </si>
  <si>
    <t>2025-07-28 03:14:45.607022</t>
  </si>
  <si>
    <t>LD-302186</t>
  </si>
  <si>
    <t>2025-05-08 10:55:00</t>
  </si>
  <si>
    <t>2025-06-25 23:42:58.241264</t>
  </si>
  <si>
    <t>LD-302187</t>
  </si>
  <si>
    <t>2025-04-17 08:44:00</t>
  </si>
  <si>
    <t>LD-302188</t>
  </si>
  <si>
    <t>2025-03-10 17:55:00</t>
  </si>
  <si>
    <t>LD-302189</t>
  </si>
  <si>
    <t>LD-302190</t>
  </si>
  <si>
    <t>2026-03-10 11:28:00</t>
  </si>
  <si>
    <t>LD-302191</t>
  </si>
  <si>
    <t>2025-05-01 08:46:00</t>
  </si>
  <si>
    <t>LD-302192</t>
  </si>
  <si>
    <t>2025-09-19 16:42:00</t>
  </si>
  <si>
    <t>2025-11-03 23:07:44.298046</t>
  </si>
  <si>
    <t>LD-302193</t>
  </si>
  <si>
    <t>2025-10-10 16:18:00</t>
  </si>
  <si>
    <t>LD-302194</t>
  </si>
  <si>
    <t>2025-05-07 17:56:00</t>
  </si>
  <si>
    <t>2025-06-28 13:12:43.812986</t>
  </si>
  <si>
    <t>LD-302195</t>
  </si>
  <si>
    <t>2026-04-08 08:24:00</t>
  </si>
  <si>
    <t>LD-302196</t>
  </si>
  <si>
    <t>2025-10-03 10:49:00</t>
  </si>
  <si>
    <t>LD-302197</t>
  </si>
  <si>
    <t>2026-03-09 10:07:00</t>
  </si>
  <si>
    <t>LD-302198</t>
  </si>
  <si>
    <t>2025-10-15 07:15:00</t>
  </si>
  <si>
    <t>LD-302199</t>
  </si>
  <si>
    <t>2026-05-12 19:32:00</t>
  </si>
  <si>
    <t>LD-302200</t>
  </si>
  <si>
    <t>2025-05-21 15:31:00</t>
  </si>
  <si>
    <t>LD-302201</t>
  </si>
  <si>
    <t>2025-04-09 15:22:00</t>
  </si>
  <si>
    <t>2025-05-07 14:14:58.099567</t>
  </si>
  <si>
    <t>LD-302202</t>
  </si>
  <si>
    <t>2025-12-15 07:08:00</t>
  </si>
  <si>
    <t>LD-302203</t>
  </si>
  <si>
    <t>2025-08-12 20:40:00</t>
  </si>
  <si>
    <t>2025-09-24 19:51:02.824355</t>
  </si>
  <si>
    <t>LD-302204</t>
  </si>
  <si>
    <t>2025-11-07 11:02:00</t>
  </si>
  <si>
    <t>LD-302205</t>
  </si>
  <si>
    <t>2025-05-15 17:16:00</t>
  </si>
  <si>
    <t>LD-302206</t>
  </si>
  <si>
    <t>2025-06-25 12:48:00</t>
  </si>
  <si>
    <t>LD-302207</t>
  </si>
  <si>
    <t>2025-05-09 14:05:00</t>
  </si>
  <si>
    <t>LD-302208</t>
  </si>
  <si>
    <t>2025-02-16 08:53:00</t>
  </si>
  <si>
    <t>2025-04-03 15:02:52.327243</t>
  </si>
  <si>
    <t>LD-302209</t>
  </si>
  <si>
    <t>2025-01-03 18:42:00</t>
  </si>
  <si>
    <t>2025-02-09 21:33:52.958407</t>
  </si>
  <si>
    <t>LD-302210</t>
  </si>
  <si>
    <t>2026-03-14 15:30:00</t>
  </si>
  <si>
    <t>LD-302211</t>
  </si>
  <si>
    <t>2025-12-24 19:58:00</t>
  </si>
  <si>
    <t>LD-302212</t>
  </si>
  <si>
    <t>2026-03-27 10:15:00</t>
  </si>
  <si>
    <t>2026-05-15 02:58:23.342429</t>
  </si>
  <si>
    <t>LD-302213</t>
  </si>
  <si>
    <t>2025-09-05 17:01:00</t>
  </si>
  <si>
    <t>LD-302214</t>
  </si>
  <si>
    <t>2025-05-12 08:00:00</t>
  </si>
  <si>
    <t>LD-302215</t>
  </si>
  <si>
    <t>2025-09-30 20:00:00</t>
  </si>
  <si>
    <t>LD-302216</t>
  </si>
  <si>
    <t>2025-07-29 19:02:00</t>
  </si>
  <si>
    <t>LD-302217</t>
  </si>
  <si>
    <t>2025-05-16 10:52:00</t>
  </si>
  <si>
    <t>2025-07-01 07:16:22.077333</t>
  </si>
  <si>
    <t>LD-302218</t>
  </si>
  <si>
    <t>2026-02-13 19:38:00</t>
  </si>
  <si>
    <t>LD-302219</t>
  </si>
  <si>
    <t>2026-01-26 13:53:00</t>
  </si>
  <si>
    <t>2026-03-20 00:32:29.618409</t>
  </si>
  <si>
    <t>LD-302220</t>
  </si>
  <si>
    <t>2026-03-06 12:46:00</t>
  </si>
  <si>
    <t>LD-302221</t>
  </si>
  <si>
    <t>2026-03-26 13:19:00</t>
  </si>
  <si>
    <t>LD-302222</t>
  </si>
  <si>
    <t>2025-07-05 13:38:00</t>
  </si>
  <si>
    <t>LD-302223</t>
  </si>
  <si>
    <t>2025-09-12 20:42:00</t>
  </si>
  <si>
    <t>2025-10-17 06:56:33.690419</t>
  </si>
  <si>
    <t>LD-302224</t>
  </si>
  <si>
    <t>2025-11-20 12:52:00</t>
  </si>
  <si>
    <t>LD-302225</t>
  </si>
  <si>
    <t>2025-01-08 18:39:00</t>
  </si>
  <si>
    <t>2025-03-01 18:49:04.054880</t>
  </si>
  <si>
    <t>LD-302226</t>
  </si>
  <si>
    <t>2025-02-07 15:42:00</t>
  </si>
  <si>
    <t>2025-03-15 10:52:12.145977</t>
  </si>
  <si>
    <t>LD-302227</t>
  </si>
  <si>
    <t>2025-06-01 09:28:00</t>
  </si>
  <si>
    <t>LD-302228</t>
  </si>
  <si>
    <t>2025-11-22 13:28:00</t>
  </si>
  <si>
    <t>2025-12-21 02:21:45.328080</t>
  </si>
  <si>
    <t>LD-302229</t>
  </si>
  <si>
    <t>2026-06-10 15:09:00</t>
  </si>
  <si>
    <t>LD-302230</t>
  </si>
  <si>
    <t>2026-05-11 12:54:00</t>
  </si>
  <si>
    <t>2026-06-12 23:14:43.590127</t>
  </si>
  <si>
    <t>LD-302231</t>
  </si>
  <si>
    <t>2026-01-24 20:32:00</t>
  </si>
  <si>
    <t>LD-302232</t>
  </si>
  <si>
    <t>2025-04-25 20:54:00</t>
  </si>
  <si>
    <t>2025-05-28 22:57:57.294101</t>
  </si>
  <si>
    <t>LD-302233</t>
  </si>
  <si>
    <t>2026-03-19 13:52:00</t>
  </si>
  <si>
    <t>LD-302234</t>
  </si>
  <si>
    <t>2025-01-27 17:13:00</t>
  </si>
  <si>
    <t>LD-302235</t>
  </si>
  <si>
    <t>2025-05-17 09:54:00</t>
  </si>
  <si>
    <t>2025-06-22 23:27:39.077584</t>
  </si>
  <si>
    <t>LD-302236</t>
  </si>
  <si>
    <t>2026-03-13 09:28:00</t>
  </si>
  <si>
    <t>2026-04-25 15:02:14.822175</t>
  </si>
  <si>
    <t>LD-302237</t>
  </si>
  <si>
    <t>2025-11-26 17:43:00</t>
  </si>
  <si>
    <t>LD-302238</t>
  </si>
  <si>
    <t>2025-01-03 10:06:00</t>
  </si>
  <si>
    <t>LD-302239</t>
  </si>
  <si>
    <t>2026-02-20 11:41:00</t>
  </si>
  <si>
    <t>2026-04-19 12:34:16.265924</t>
  </si>
  <si>
    <t>LD-302240</t>
  </si>
  <si>
    <t>2025-03-07 07:38:00</t>
  </si>
  <si>
    <t>2025-04-18 08:44:34.582037</t>
  </si>
  <si>
    <t>LD-302241</t>
  </si>
  <si>
    <t>2025-12-18 16:25:00</t>
  </si>
  <si>
    <t>LD-302242</t>
  </si>
  <si>
    <t>2025-03-06 18:06:00</t>
  </si>
  <si>
    <t>2025-04-18 00:51:54.332510</t>
  </si>
  <si>
    <t>LD-302243</t>
  </si>
  <si>
    <t>2026-04-20 17:09:00</t>
  </si>
  <si>
    <t>LD-302244</t>
  </si>
  <si>
    <t>2025-09-08 19:25:00</t>
  </si>
  <si>
    <t>2025-11-02 15:54:02.811688</t>
  </si>
  <si>
    <t>LD-302245</t>
  </si>
  <si>
    <t>2026-02-26 14:16:00</t>
  </si>
  <si>
    <t>LD-302246</t>
  </si>
  <si>
    <t>2025-03-07 18:34:00</t>
  </si>
  <si>
    <t>2025-04-01 12:26:22.743861</t>
  </si>
  <si>
    <t>LD-302247</t>
  </si>
  <si>
    <t>2026-03-13 16:42:00</t>
  </si>
  <si>
    <t>2026-04-14 17:42:03.986974</t>
  </si>
  <si>
    <t>LD-302248</t>
  </si>
  <si>
    <t>2026-04-08 10:30:00</t>
  </si>
  <si>
    <t>LD-302249</t>
  </si>
  <si>
    <t>2026-01-21 11:12:00</t>
  </si>
  <si>
    <t>LD-302250</t>
  </si>
  <si>
    <t>2026-03-07 11:05:00</t>
  </si>
  <si>
    <t>2026-04-22 07:58:05.906124</t>
  </si>
  <si>
    <t>LD-302251</t>
  </si>
  <si>
    <t>2025-05-22 20:30:00</t>
  </si>
  <si>
    <t>2025-06-26 01:04:26.911909</t>
  </si>
  <si>
    <t>LD-302252</t>
  </si>
  <si>
    <t>2025-07-22 19:31:00</t>
  </si>
  <si>
    <t>LD-302253</t>
  </si>
  <si>
    <t>2025-06-20 13:41:00</t>
  </si>
  <si>
    <t>LD-302254</t>
  </si>
  <si>
    <t>2026-03-13 12:40:00</t>
  </si>
  <si>
    <t>LD-302255</t>
  </si>
  <si>
    <t>2025-08-31 19:32:00</t>
  </si>
  <si>
    <t>LD-302256</t>
  </si>
  <si>
    <t>2026-03-07 13:38:00</t>
  </si>
  <si>
    <t>LD-302257</t>
  </si>
  <si>
    <t>2025-05-15 19:43:00</t>
  </si>
  <si>
    <t>LD-302258</t>
  </si>
  <si>
    <t>2025-09-23 09:28:00</t>
  </si>
  <si>
    <t>2025-10-30 15:21:57.322451</t>
  </si>
  <si>
    <t>LD-302259</t>
  </si>
  <si>
    <t>2025-09-02 14:14:00</t>
  </si>
  <si>
    <t>LD-302260</t>
  </si>
  <si>
    <t>2025-01-03 13:03:00</t>
  </si>
  <si>
    <t>LD-302261</t>
  </si>
  <si>
    <t>2025-03-07 19:36:00</t>
  </si>
  <si>
    <t>LD-302262</t>
  </si>
  <si>
    <t>2025-02-28 17:58:00</t>
  </si>
  <si>
    <t>2025-04-14 02:35:13.965060</t>
  </si>
  <si>
    <t>LD-302263</t>
  </si>
  <si>
    <t>2025-02-19 11:30:00</t>
  </si>
  <si>
    <t>LD-302264</t>
  </si>
  <si>
    <t>2026-03-17 08:27:00</t>
  </si>
  <si>
    <t>LD-302265</t>
  </si>
  <si>
    <t>2025-01-05 08:22:00</t>
  </si>
  <si>
    <t>LD-302266</t>
  </si>
  <si>
    <t>2025-02-12 16:27:00</t>
  </si>
  <si>
    <t>2025-03-25 11:59:23.522087</t>
  </si>
  <si>
    <t>LD-302267</t>
  </si>
  <si>
    <t>2025-06-17 11:15:00</t>
  </si>
  <si>
    <t>LD-302268</t>
  </si>
  <si>
    <t>2026-02-21 20:48:00</t>
  </si>
  <si>
    <t>LD-302269</t>
  </si>
  <si>
    <t>2025-01-29 12:32:00</t>
  </si>
  <si>
    <t>LD-302270</t>
  </si>
  <si>
    <t>2025-07-23 15:49:00</t>
  </si>
  <si>
    <t>2025-08-31 08:07:51.715512</t>
  </si>
  <si>
    <t>LD-302271</t>
  </si>
  <si>
    <t>2026-06-21 09:22:00</t>
  </si>
  <si>
    <t>LD-302272</t>
  </si>
  <si>
    <t>2026-03-30 11:44:00</t>
  </si>
  <si>
    <t>LD-302273</t>
  </si>
  <si>
    <t>2026-01-23 14:59:00</t>
  </si>
  <si>
    <t>LD-302274</t>
  </si>
  <si>
    <t>2025-11-14 19:13:00</t>
  </si>
  <si>
    <t>LD-302275</t>
  </si>
  <si>
    <t>2025-01-21 11:04:00</t>
  </si>
  <si>
    <t>2025-02-28 00:07:30.574311</t>
  </si>
  <si>
    <t>LD-302276</t>
  </si>
  <si>
    <t>2025-07-15 19:41:00</t>
  </si>
  <si>
    <t>LD-302277</t>
  </si>
  <si>
    <t>2025-08-28 12:25:00</t>
  </si>
  <si>
    <t>LD-302278</t>
  </si>
  <si>
    <t>2026-06-19 11:18:00</t>
  </si>
  <si>
    <t>LD-302279</t>
  </si>
  <si>
    <t>2026-04-24 10:32:00</t>
  </si>
  <si>
    <t>LD-302280</t>
  </si>
  <si>
    <t>2025-03-12 10:12:00</t>
  </si>
  <si>
    <t>LD-302281</t>
  </si>
  <si>
    <t>2025-03-07 18:50:00</t>
  </si>
  <si>
    <t>2025-04-05 20:12:24.697599</t>
  </si>
  <si>
    <t>LD-302282</t>
  </si>
  <si>
    <t>2025-01-21 12:28:00</t>
  </si>
  <si>
    <t>2025-03-03 03:35:27.193337</t>
  </si>
  <si>
    <t>LD-302283</t>
  </si>
  <si>
    <t>2026-04-08 08:45:00</t>
  </si>
  <si>
    <t>LD-302284</t>
  </si>
  <si>
    <t>2025-11-21 20:14:00</t>
  </si>
  <si>
    <t>2026-01-21 00:40:31.556739</t>
  </si>
  <si>
    <t>LD-302285</t>
  </si>
  <si>
    <t>2025-10-30 11:06:00</t>
  </si>
  <si>
    <t>2025-11-25 23:14:36.842794</t>
  </si>
  <si>
    <t>LD-302286</t>
  </si>
  <si>
    <t>2026-02-06 07:18:00</t>
  </si>
  <si>
    <t>2026-04-06 09:44:37.086238</t>
  </si>
  <si>
    <t>LD-302287</t>
  </si>
  <si>
    <t>2026-02-22 07:05:00</t>
  </si>
  <si>
    <t>LD-302288</t>
  </si>
  <si>
    <t>2025-11-10 15:49:00</t>
  </si>
  <si>
    <t>2025-12-29 03:05:03.781265</t>
  </si>
  <si>
    <t>LD-302289</t>
  </si>
  <si>
    <t>2025-07-22 14:01:00</t>
  </si>
  <si>
    <t>2025-08-27 15:53:16.945835</t>
  </si>
  <si>
    <t>LD-302290</t>
  </si>
  <si>
    <t>2026-02-27 19:19:00</t>
  </si>
  <si>
    <t>LD-302291</t>
  </si>
  <si>
    <t>2026-03-05 20:51:00</t>
  </si>
  <si>
    <t>2026-04-08 08:22:36.077622</t>
  </si>
  <si>
    <t>LD-302292</t>
  </si>
  <si>
    <t>2025-10-05 13:54:00</t>
  </si>
  <si>
    <t>2025-11-27 12:25:29.578962</t>
  </si>
  <si>
    <t>LD-302293</t>
  </si>
  <si>
    <t>2025-03-20 20:54:00</t>
  </si>
  <si>
    <t>2025-04-28 14:27:49.543668</t>
  </si>
  <si>
    <t>LD-302294</t>
  </si>
  <si>
    <t>2025-01-22 11:01:00</t>
  </si>
  <si>
    <t>2025-02-14 15:59:16.023812</t>
  </si>
  <si>
    <t>LD-302295</t>
  </si>
  <si>
    <t>2025-09-05 13:15:00</t>
  </si>
  <si>
    <t>LD-302296</t>
  </si>
  <si>
    <t>2025-06-17 11:06:00</t>
  </si>
  <si>
    <t>LD-302297</t>
  </si>
  <si>
    <t>2025-08-01 15:20:00</t>
  </si>
  <si>
    <t>2025-09-27 13:00:29.909236</t>
  </si>
  <si>
    <t>LD-302298</t>
  </si>
  <si>
    <t>2025-01-02 11:44:00</t>
  </si>
  <si>
    <t>LD-302299</t>
  </si>
  <si>
    <t>2025-12-31 11:12:00</t>
  </si>
  <si>
    <t>2026-01-30 12:54:31.238325</t>
  </si>
  <si>
    <t>LD-302300</t>
  </si>
  <si>
    <t>2025-02-21 17:40:00</t>
  </si>
  <si>
    <t>LD-302301</t>
  </si>
  <si>
    <t>2025-07-17 15:13:00</t>
  </si>
  <si>
    <t>LD-302302</t>
  </si>
  <si>
    <t>2026-06-12 07:25:00</t>
  </si>
  <si>
    <t>LD-302303</t>
  </si>
  <si>
    <t>2025-07-13 17:13:00</t>
  </si>
  <si>
    <t>LD-302304</t>
  </si>
  <si>
    <t>2025-06-12 08:06:00</t>
  </si>
  <si>
    <t>LD-302305</t>
  </si>
  <si>
    <t>2026-05-02 17:10:00</t>
  </si>
  <si>
    <t>2026-06-19 20:02:49.397014</t>
  </si>
  <si>
    <t>LD-302306</t>
  </si>
  <si>
    <t>2026-04-07 20:58:00</t>
  </si>
  <si>
    <t>LD-302307</t>
  </si>
  <si>
    <t>2026-03-13 15:43:00</t>
  </si>
  <si>
    <t>LD-302308</t>
  </si>
  <si>
    <t>2025-09-10 17:58:00</t>
  </si>
  <si>
    <t>LD-302309</t>
  </si>
  <si>
    <t>2025-09-26 19:48:00</t>
  </si>
  <si>
    <t>2025-11-06 19:39:32.662099</t>
  </si>
  <si>
    <t>LD-302310</t>
  </si>
  <si>
    <t>2026-01-11 10:34:00</t>
  </si>
  <si>
    <t>LD-302311</t>
  </si>
  <si>
    <t>2025-05-02 14:40:00</t>
  </si>
  <si>
    <t>2025-06-08 00:07:04.821129</t>
  </si>
  <si>
    <t>LD-302312</t>
  </si>
  <si>
    <t>2025-11-13 08:50:00</t>
  </si>
  <si>
    <t>LD-302313</t>
  </si>
  <si>
    <t>2026-01-11 18:09:00</t>
  </si>
  <si>
    <t>2026-02-20 04:23:14.207961</t>
  </si>
  <si>
    <t>LD-302314</t>
  </si>
  <si>
    <t>2025-05-16 07:31:00</t>
  </si>
  <si>
    <t>2025-06-20 21:36:08.894473</t>
  </si>
  <si>
    <t>LD-302315</t>
  </si>
  <si>
    <t>2026-04-25 16:51:00</t>
  </si>
  <si>
    <t>LD-302316</t>
  </si>
  <si>
    <t>2025-02-22 13:39:00</t>
  </si>
  <si>
    <t>2025-03-28 01:00:52.774816</t>
  </si>
  <si>
    <t>LD-302317</t>
  </si>
  <si>
    <t>2025-07-18 17:08:00</t>
  </si>
  <si>
    <t>2025-09-10 23:56:40.819101</t>
  </si>
  <si>
    <t>LD-302318</t>
  </si>
  <si>
    <t>2025-08-08 07:15:00</t>
  </si>
  <si>
    <t>2025-09-20 15:22:10.811013</t>
  </si>
  <si>
    <t>LD-302319</t>
  </si>
  <si>
    <t>2025-08-08 08:03:00</t>
  </si>
  <si>
    <t>2025-09-06 04:04:27.932095</t>
  </si>
  <si>
    <t>LD-302320</t>
  </si>
  <si>
    <t>2026-01-07 12:41:00</t>
  </si>
  <si>
    <t>2026-02-09 08:50:28.602896</t>
  </si>
  <si>
    <t>LD-302321</t>
  </si>
  <si>
    <t>2025-12-04 20:04:00</t>
  </si>
  <si>
    <t>LD-302322</t>
  </si>
  <si>
    <t>2026-05-21 17:20:00</t>
  </si>
  <si>
    <t>2026-07-05 17:53:40.962124</t>
  </si>
  <si>
    <t>LD-302323</t>
  </si>
  <si>
    <t>2025-12-05 16:48:00</t>
  </si>
  <si>
    <t>2025-12-29 10:24:49.947250</t>
  </si>
  <si>
    <t>LD-302324</t>
  </si>
  <si>
    <t>2025-03-13 13:41:00</t>
  </si>
  <si>
    <t>2025-04-19 11:44:48.758535</t>
  </si>
  <si>
    <t>LD-302325</t>
  </si>
  <si>
    <t>2026-01-11 18:00:00</t>
  </si>
  <si>
    <t>LD-302326</t>
  </si>
  <si>
    <t>2025-12-25 15:17:00</t>
  </si>
  <si>
    <t>LD-302327</t>
  </si>
  <si>
    <t>2026-06-07 19:49:00</t>
  </si>
  <si>
    <t>LD-302328</t>
  </si>
  <si>
    <t>2025-08-08 07:33:00</t>
  </si>
  <si>
    <t>LD-302329</t>
  </si>
  <si>
    <t>2026-02-16 15:19:00</t>
  </si>
  <si>
    <t>2026-03-20 20:19:26.588936</t>
  </si>
  <si>
    <t>LD-302330</t>
  </si>
  <si>
    <t>2025-03-11 17:17:00</t>
  </si>
  <si>
    <t>LD-302331</t>
  </si>
  <si>
    <t>2026-01-05 17:20:00</t>
  </si>
  <si>
    <t>LD-302332</t>
  </si>
  <si>
    <t>2025-07-12 19:22:00</t>
  </si>
  <si>
    <t>LD-302333</t>
  </si>
  <si>
    <t>2026-01-27 12:48:00</t>
  </si>
  <si>
    <t>2026-03-19 18:35:22.503935</t>
  </si>
  <si>
    <t>LD-302334</t>
  </si>
  <si>
    <t>2025-07-18 14:17:00</t>
  </si>
  <si>
    <t>2025-08-29 19:31:12.940405</t>
  </si>
  <si>
    <t>LD-302335</t>
  </si>
  <si>
    <t>2025-04-11 09:54:00</t>
  </si>
  <si>
    <t>2025-05-21 01:17:21.994434</t>
  </si>
  <si>
    <t>LD-302336</t>
  </si>
  <si>
    <t>2025-05-16 13:16:00</t>
  </si>
  <si>
    <t>2025-06-13 08:29:46.992585</t>
  </si>
  <si>
    <t>LD-302337</t>
  </si>
  <si>
    <t>2026-02-06 20:09:00</t>
  </si>
  <si>
    <t>2026-03-13 16:28:18.984967</t>
  </si>
  <si>
    <t>LD-302338</t>
  </si>
  <si>
    <t>2026-05-20 10:05:00</t>
  </si>
  <si>
    <t>2026-06-10 19:59:16.122283</t>
  </si>
  <si>
    <t>LD-302339</t>
  </si>
  <si>
    <t>2025-07-24 15:58:00</t>
  </si>
  <si>
    <t>LD-302340</t>
  </si>
  <si>
    <t>2025-08-29 11:43:00</t>
  </si>
  <si>
    <t>2025-10-11 03:19:43.929392</t>
  </si>
  <si>
    <t>LD-302341</t>
  </si>
  <si>
    <t>2026-02-13 08:28:00</t>
  </si>
  <si>
    <t>2026-03-28 02:37:52.766825</t>
  </si>
  <si>
    <t>LD-302342</t>
  </si>
  <si>
    <t>2025-01-03 07:11:00</t>
  </si>
  <si>
    <t>LD-302343</t>
  </si>
  <si>
    <t>2025-10-10 15:24:00</t>
  </si>
  <si>
    <t>2025-11-20 04:11:26.035728</t>
  </si>
  <si>
    <t>LD-302344</t>
  </si>
  <si>
    <t>2025-07-04 14:09:00</t>
  </si>
  <si>
    <t>LD-302345</t>
  </si>
  <si>
    <t>2025-09-02 16:13:00</t>
  </si>
  <si>
    <t>2025-10-13 00:14:14.566850</t>
  </si>
  <si>
    <t>LD-302346</t>
  </si>
  <si>
    <t>2025-01-17 13:39:00</t>
  </si>
  <si>
    <t>2025-02-28 14:20:37.942005</t>
  </si>
  <si>
    <t>LD-302347</t>
  </si>
  <si>
    <t>2026-03-06 15:11:00</t>
  </si>
  <si>
    <t>LD-302348</t>
  </si>
  <si>
    <t>2025-12-24 09:41:00</t>
  </si>
  <si>
    <t>2026-01-29 05:27:34.695077</t>
  </si>
  <si>
    <t>LD-302349</t>
  </si>
  <si>
    <t>2026-03-31 18:58:00</t>
  </si>
  <si>
    <t>2026-05-05 06:45:50.116539</t>
  </si>
  <si>
    <t>LD-302350</t>
  </si>
  <si>
    <t>2025-06-08 11:13:00</t>
  </si>
  <si>
    <t>2025-07-07 08:00:09.508973</t>
  </si>
  <si>
    <t>LD-302351</t>
  </si>
  <si>
    <t>2026-02-06 10:17:00</t>
  </si>
  <si>
    <t>LD-302352</t>
  </si>
  <si>
    <t>2025-09-26 09:38:00</t>
  </si>
  <si>
    <t>LD-302353</t>
  </si>
  <si>
    <t>2025-11-13 20:35:00</t>
  </si>
  <si>
    <t>LD-302354</t>
  </si>
  <si>
    <t>2025-05-20 11:59:00</t>
  </si>
  <si>
    <t>LD-302355</t>
  </si>
  <si>
    <t>2025-02-07 11:35:00</t>
  </si>
  <si>
    <t>LD-302356</t>
  </si>
  <si>
    <t>2025-06-27 13:30:00</t>
  </si>
  <si>
    <t>LD-302357</t>
  </si>
  <si>
    <t>2025-01-01 16:21:00</t>
  </si>
  <si>
    <t>2025-02-02 16:54:45.794130</t>
  </si>
  <si>
    <t>LD-302358</t>
  </si>
  <si>
    <t>2025-05-07 16:57:00</t>
  </si>
  <si>
    <t>LD-302359</t>
  </si>
  <si>
    <t>2026-04-20 11:22:00</t>
  </si>
  <si>
    <t>LD-302360</t>
  </si>
  <si>
    <t>2025-02-13 16:53:44.581265</t>
  </si>
  <si>
    <t>LD-302361</t>
  </si>
  <si>
    <t>2025-11-30 12:55:00</t>
  </si>
  <si>
    <t>LD-302362</t>
  </si>
  <si>
    <t>2025-04-17 07:59:00</t>
  </si>
  <si>
    <t>LD-302363</t>
  </si>
  <si>
    <t>2025-10-15 13:11:00</t>
  </si>
  <si>
    <t>LD-302364</t>
  </si>
  <si>
    <t>2025-06-20 07:46:00</t>
  </si>
  <si>
    <t>LD-302365</t>
  </si>
  <si>
    <t>2026-02-14 17:19:00</t>
  </si>
  <si>
    <t>LD-302366</t>
  </si>
  <si>
    <t>2026-01-20 17:39:00</t>
  </si>
  <si>
    <t>LD-302367</t>
  </si>
  <si>
    <t>2025-12-31 11:30:00</t>
  </si>
  <si>
    <t>LD-302368</t>
  </si>
  <si>
    <t>2025-07-11 11:29:00</t>
  </si>
  <si>
    <t>2025-08-22 19:37:56.180762</t>
  </si>
  <si>
    <t>LD-302369</t>
  </si>
  <si>
    <t>2026-02-05 20:51:00</t>
  </si>
  <si>
    <t>2026-03-20 21:30:02.619986</t>
  </si>
  <si>
    <t>LD-302370</t>
  </si>
  <si>
    <t>2025-11-29 12:49:00</t>
  </si>
  <si>
    <t>LD-302371</t>
  </si>
  <si>
    <t>2025-09-30 20:26:00</t>
  </si>
  <si>
    <t>LD-302372</t>
  </si>
  <si>
    <t>2026-05-20 12:32:00</t>
  </si>
  <si>
    <t>2026-07-03 19:19:18.701312</t>
  </si>
  <si>
    <t>LD-302373</t>
  </si>
  <si>
    <t>2025-05-01 09:54:00</t>
  </si>
  <si>
    <t>2025-06-03 21:03:02.462017</t>
  </si>
  <si>
    <t>LD-302374</t>
  </si>
  <si>
    <t>2025-01-24 18:13:00</t>
  </si>
  <si>
    <t>2025-03-10 17:43:25.790034</t>
  </si>
  <si>
    <t>LD-302375</t>
  </si>
  <si>
    <t>2026-01-20 11:20:00</t>
  </si>
  <si>
    <t>2026-03-13 04:08:14.943566</t>
  </si>
  <si>
    <t>LD-302376</t>
  </si>
  <si>
    <t>2025-02-22 13:48:00</t>
  </si>
  <si>
    <t>2025-03-21 05:49:23.723376</t>
  </si>
  <si>
    <t>LD-302377</t>
  </si>
  <si>
    <t>2026-02-20 19:22:00</t>
  </si>
  <si>
    <t>2026-04-07 21:23:28.497592</t>
  </si>
  <si>
    <t>LD-302378</t>
  </si>
  <si>
    <t>2025-11-07 13:15:00</t>
  </si>
  <si>
    <t>2025-12-11 12:59:57.956155</t>
  </si>
  <si>
    <t>LD-302379</t>
  </si>
  <si>
    <t>2025-07-08 13:52:00</t>
  </si>
  <si>
    <t>LD-302380</t>
  </si>
  <si>
    <t>2025-04-25 17:53:00</t>
  </si>
  <si>
    <t>LD-302381</t>
  </si>
  <si>
    <t>2026-04-09 12:25:00</t>
  </si>
  <si>
    <t>LD-302382</t>
  </si>
  <si>
    <t>2025-06-29 14:11:00</t>
  </si>
  <si>
    <t>LD-302383</t>
  </si>
  <si>
    <t>2025-10-17 14:05:00</t>
  </si>
  <si>
    <t>LD-302384</t>
  </si>
  <si>
    <t>2026-01-07 09:16:00</t>
  </si>
  <si>
    <t>2026-03-01 20:28:53.596462</t>
  </si>
  <si>
    <t>LD-302385</t>
  </si>
  <si>
    <t>2025-06-19 16:45:00</t>
  </si>
  <si>
    <t>LD-302386</t>
  </si>
  <si>
    <t>2025-08-29 07:52:00</t>
  </si>
  <si>
    <t>LD-302387</t>
  </si>
  <si>
    <t>2025-11-13 07:46:00</t>
  </si>
  <si>
    <t>2026-01-03 18:10:10.599169</t>
  </si>
  <si>
    <t>LD-302388</t>
  </si>
  <si>
    <t>2025-08-15 11:08:00</t>
  </si>
  <si>
    <t>LD-302389</t>
  </si>
  <si>
    <t>2025-05-02 09:45:00</t>
  </si>
  <si>
    <t>LD-302390</t>
  </si>
  <si>
    <t>2025-04-25 16:41:00</t>
  </si>
  <si>
    <t>LD-302391</t>
  </si>
  <si>
    <t>2026-02-27 20:45:00</t>
  </si>
  <si>
    <t>LD-302392</t>
  </si>
  <si>
    <t>2025-08-08 12:55:00</t>
  </si>
  <si>
    <t>LD-302393</t>
  </si>
  <si>
    <t>2025-06-18 19:02:00</t>
  </si>
  <si>
    <t>LD-302394</t>
  </si>
  <si>
    <t>2026-05-06 20:02:00</t>
  </si>
  <si>
    <t>2026-06-22 01:45:29.186710</t>
  </si>
  <si>
    <t>LD-302395</t>
  </si>
  <si>
    <t>2025-02-05 17:28:00</t>
  </si>
  <si>
    <t>2025-04-05 12:23:07.192577</t>
  </si>
  <si>
    <t>LD-302396</t>
  </si>
  <si>
    <t>2026-02-06 13:39:00</t>
  </si>
  <si>
    <t>LD-302397</t>
  </si>
  <si>
    <t>2025-07-11 11:18:00</t>
  </si>
  <si>
    <t>LD-302398</t>
  </si>
  <si>
    <t>2025-07-10 15:38:00</t>
  </si>
  <si>
    <t>LD-302399</t>
  </si>
  <si>
    <t>2026-05-09 18:27:00</t>
  </si>
  <si>
    <t>LD-302400</t>
  </si>
  <si>
    <t>2025-10-24 20:25:00</t>
  </si>
  <si>
    <t>2025-11-26 02:15:00.093979</t>
  </si>
  <si>
    <t>LD-302401</t>
  </si>
  <si>
    <t>2025-05-30 19:06:00</t>
  </si>
  <si>
    <t>LD-302402</t>
  </si>
  <si>
    <t>2025-01-09 10:54:00</t>
  </si>
  <si>
    <t>LD-302403</t>
  </si>
  <si>
    <t>2025-05-02 11:27:00</t>
  </si>
  <si>
    <t>2025-06-18 21:01:37.416142</t>
  </si>
  <si>
    <t>LD-302404</t>
  </si>
  <si>
    <t>2025-03-14 11:08:00</t>
  </si>
  <si>
    <t>LD-302405</t>
  </si>
  <si>
    <t>2025-03-05 19:15:00</t>
  </si>
  <si>
    <t>LD-302406</t>
  </si>
  <si>
    <t>2026-06-19 20:56:00</t>
  </si>
  <si>
    <t>LD-302407</t>
  </si>
  <si>
    <t>2025-11-14 08:13:00</t>
  </si>
  <si>
    <t>LD-302408</t>
  </si>
  <si>
    <t>2026-04-10 15:16:00</t>
  </si>
  <si>
    <t>LD-302409</t>
  </si>
  <si>
    <t>2026-03-06 07:03:00</t>
  </si>
  <si>
    <t>LD-302410</t>
  </si>
  <si>
    <t>2026-03-18 07:39:00</t>
  </si>
  <si>
    <t>LD-302411</t>
  </si>
  <si>
    <t>2025-11-03 18:16:00</t>
  </si>
  <si>
    <t>LD-302412</t>
  </si>
  <si>
    <t>2025-09-24 12:54:00</t>
  </si>
  <si>
    <t>2025-10-24 23:04:32.977691</t>
  </si>
  <si>
    <t>LD-302413</t>
  </si>
  <si>
    <t>2025-06-18 16:07:00</t>
  </si>
  <si>
    <t>LD-302414</t>
  </si>
  <si>
    <t>2025-06-21 20:17:00</t>
  </si>
  <si>
    <t>LD-302415</t>
  </si>
  <si>
    <t>2025-07-18 16:08:00</t>
  </si>
  <si>
    <t>LD-302416</t>
  </si>
  <si>
    <t>2026-01-16 07:31:00</t>
  </si>
  <si>
    <t>2026-03-01 08:20:51.091182</t>
  </si>
  <si>
    <t>LD-302417</t>
  </si>
  <si>
    <t>2026-03-27 16:57:00</t>
  </si>
  <si>
    <t>2026-05-01 15:14:10.604303</t>
  </si>
  <si>
    <t>LD-302418</t>
  </si>
  <si>
    <t>2025-06-02 11:29:00</t>
  </si>
  <si>
    <t>LD-302419</t>
  </si>
  <si>
    <t>2025-11-05 20:08:00</t>
  </si>
  <si>
    <t>2025-12-17 01:28:22.869166</t>
  </si>
  <si>
    <t>LD-302420</t>
  </si>
  <si>
    <t>2026-03-06 20:11:00</t>
  </si>
  <si>
    <t>LD-302421</t>
  </si>
  <si>
    <t>2026-05-27 17:24:00</t>
  </si>
  <si>
    <t>2026-06-24 09:14:20.691633</t>
  </si>
  <si>
    <t>LD-302422</t>
  </si>
  <si>
    <t>2025-08-20 08:26:00</t>
  </si>
  <si>
    <t>LD-302423</t>
  </si>
  <si>
    <t>2025-10-17 13:19:00</t>
  </si>
  <si>
    <t>LD-302424</t>
  </si>
  <si>
    <t>2025-05-23 09:30:00</t>
  </si>
  <si>
    <t>2025-07-06 10:59:07.718300</t>
  </si>
  <si>
    <t>LD-302425</t>
  </si>
  <si>
    <t>2026-04-02 15:51:00</t>
  </si>
  <si>
    <t>2026-05-20 19:23:06.911450</t>
  </si>
  <si>
    <t>LD-302426</t>
  </si>
  <si>
    <t>2025-07-18 11:30:00</t>
  </si>
  <si>
    <t>LD-302427</t>
  </si>
  <si>
    <t>2025-11-19 15:37:00</t>
  </si>
  <si>
    <t>LD-302428</t>
  </si>
  <si>
    <t>2025-01-17 07:55:00</t>
  </si>
  <si>
    <t>LD-302429</t>
  </si>
  <si>
    <t>2025-08-09 17:22:00</t>
  </si>
  <si>
    <t>LD-302430</t>
  </si>
  <si>
    <t>2025-05-02 15:06:00</t>
  </si>
  <si>
    <t>LD-302431</t>
  </si>
  <si>
    <t>2025-05-26 11:41:00</t>
  </si>
  <si>
    <t>LD-302432</t>
  </si>
  <si>
    <t>2026-04-13 11:48:00</t>
  </si>
  <si>
    <t>2026-05-28 09:23:46.181027</t>
  </si>
  <si>
    <t>LD-302433</t>
  </si>
  <si>
    <t>2025-05-02 11:36:00</t>
  </si>
  <si>
    <t>LD-302434</t>
  </si>
  <si>
    <t>2025-08-17 20:15:00</t>
  </si>
  <si>
    <t>LD-302435</t>
  </si>
  <si>
    <t>2025-07-11 11:02:00</t>
  </si>
  <si>
    <t>2025-08-16 19:58:30.599482</t>
  </si>
  <si>
    <t>LD-302436</t>
  </si>
  <si>
    <t>2025-01-29 20:48:00</t>
  </si>
  <si>
    <t>2025-03-28 02:24:10.760090</t>
  </si>
  <si>
    <t>LD-302437</t>
  </si>
  <si>
    <t>2026-02-02 13:18:00</t>
  </si>
  <si>
    <t>LD-302438</t>
  </si>
  <si>
    <t>2026-05-06 10:59:00</t>
  </si>
  <si>
    <t>LD-302439</t>
  </si>
  <si>
    <t>2025-04-10 18:48:00</t>
  </si>
  <si>
    <t>LD-302440</t>
  </si>
  <si>
    <t>2026-04-12 19:23:00</t>
  </si>
  <si>
    <t>LD-302441</t>
  </si>
  <si>
    <t>2025-04-18 14:21:00</t>
  </si>
  <si>
    <t>2025-05-06 08:22:19.846478</t>
  </si>
  <si>
    <t>LD-302442</t>
  </si>
  <si>
    <t>2025-06-12 10:10:00</t>
  </si>
  <si>
    <t>2025-07-26 17:57:22.425005</t>
  </si>
  <si>
    <t>LD-302443</t>
  </si>
  <si>
    <t>2025-01-29 13:10:00</t>
  </si>
  <si>
    <t>LD-302444</t>
  </si>
  <si>
    <t>2025-07-03 12:18:00</t>
  </si>
  <si>
    <t>2025-08-12 08:58:26.833427</t>
  </si>
  <si>
    <t>LD-302445</t>
  </si>
  <si>
    <t>2026-03-10 20:28:00</t>
  </si>
  <si>
    <t>2026-04-19 01:25:57.194328</t>
  </si>
  <si>
    <t>LD-302446</t>
  </si>
  <si>
    <t>2025-04-21 08:45:00</t>
  </si>
  <si>
    <t>2025-06-04 19:56:18.588870</t>
  </si>
  <si>
    <t>LD-302447</t>
  </si>
  <si>
    <t>2025-02-09 10:34:00</t>
  </si>
  <si>
    <t>2025-04-03 01:24:56.833135</t>
  </si>
  <si>
    <t>LD-302448</t>
  </si>
  <si>
    <t>2026-01-09 08:43:00</t>
  </si>
  <si>
    <t>LD-302449</t>
  </si>
  <si>
    <t>2026-06-24 18:51:00</t>
  </si>
  <si>
    <t>2026-07-20 12:41:24.998296</t>
  </si>
  <si>
    <t>LD-302450</t>
  </si>
  <si>
    <t>2025-10-21 17:02:00</t>
  </si>
  <si>
    <t>LD-302451</t>
  </si>
  <si>
    <t>2025-07-30 09:12:00</t>
  </si>
  <si>
    <t>2025-08-30 08:12:55.296079</t>
  </si>
  <si>
    <t>LD-302452</t>
  </si>
  <si>
    <t>2026-03-13 15:02:00</t>
  </si>
  <si>
    <t>LD-302453</t>
  </si>
  <si>
    <t>2025-03-25 14:15:00</t>
  </si>
  <si>
    <t>2025-05-08 02:00:47.136362</t>
  </si>
  <si>
    <t>LD-302454</t>
  </si>
  <si>
    <t>2026-06-26 12:28:00</t>
  </si>
  <si>
    <t>2026-08-06 10:31:16.961591</t>
  </si>
  <si>
    <t>LD-302455</t>
  </si>
  <si>
    <t>2026-01-12 14:43:00</t>
  </si>
  <si>
    <t>2026-02-26 06:49:02.747960</t>
  </si>
  <si>
    <t>LD-302456</t>
  </si>
  <si>
    <t>2026-01-09 15:02:00</t>
  </si>
  <si>
    <t>2026-02-28 11:00:34.676239</t>
  </si>
  <si>
    <t>LD-302457</t>
  </si>
  <si>
    <t>2026-04-03 19:56:00</t>
  </si>
  <si>
    <t>2026-05-22 12:19:26.449760</t>
  </si>
  <si>
    <t>LD-302458</t>
  </si>
  <si>
    <t>2025-10-02 17:27:00</t>
  </si>
  <si>
    <t>LD-302459</t>
  </si>
  <si>
    <t>2025-12-06 12:07:00</t>
  </si>
  <si>
    <t>2025-12-28 13:00:13.876212</t>
  </si>
  <si>
    <t>LD-302460</t>
  </si>
  <si>
    <t>2025-05-07 07:27:00</t>
  </si>
  <si>
    <t>LD-302461</t>
  </si>
  <si>
    <t>2025-03-10 18:51:00</t>
  </si>
  <si>
    <t>2025-05-01 18:52:12.182299</t>
  </si>
  <si>
    <t>LD-302462</t>
  </si>
  <si>
    <t>2025-06-09 12:58:00</t>
  </si>
  <si>
    <t>LD-302463</t>
  </si>
  <si>
    <t>2025-02-14 07:46:00</t>
  </si>
  <si>
    <t>LD-302464</t>
  </si>
  <si>
    <t>2026-02-16 14:56:00</t>
  </si>
  <si>
    <t>2026-04-09 01:45:11.523530</t>
  </si>
  <si>
    <t>LD-302465</t>
  </si>
  <si>
    <t>2025-02-20 08:53:00</t>
  </si>
  <si>
    <t>2025-03-28 13:22:28.063689</t>
  </si>
  <si>
    <t>LD-302466</t>
  </si>
  <si>
    <t>2025-10-23 07:29:00</t>
  </si>
  <si>
    <t>2025-11-24 08:37:15.588802</t>
  </si>
  <si>
    <t>LD-302467</t>
  </si>
  <si>
    <t>2026-02-26 08:27:00</t>
  </si>
  <si>
    <t>2026-04-07 17:43:53.918389</t>
  </si>
  <si>
    <t>LD-302468</t>
  </si>
  <si>
    <t>2025-05-30 13:55:00</t>
  </si>
  <si>
    <t>LD-302469</t>
  </si>
  <si>
    <t>2025-05-28 20:21:00</t>
  </si>
  <si>
    <t>LD-302470</t>
  </si>
  <si>
    <t>2026-03-13 14:37:00</t>
  </si>
  <si>
    <t>LD-302471</t>
  </si>
  <si>
    <t>2026-06-26 14:17:00</t>
  </si>
  <si>
    <t>LD-302472</t>
  </si>
  <si>
    <t>2025-01-03 07:37:00</t>
  </si>
  <si>
    <t>2025-02-26 06:07:46.713640</t>
  </si>
  <si>
    <t>LD-302473</t>
  </si>
  <si>
    <t>2025-12-07 16:37:00</t>
  </si>
  <si>
    <t>LD-302474</t>
  </si>
  <si>
    <t>2025-09-10 12:25:00</t>
  </si>
  <si>
    <t>2025-10-19 14:06:21.715375</t>
  </si>
  <si>
    <t>LD-302475</t>
  </si>
  <si>
    <t>2026-01-02 10:48:00</t>
  </si>
  <si>
    <t>LD-302476</t>
  </si>
  <si>
    <t>2025-03-01 16:09:00</t>
  </si>
  <si>
    <t>LD-302477</t>
  </si>
  <si>
    <t>2026-01-23 17:54:00</t>
  </si>
  <si>
    <t>LD-302478</t>
  </si>
  <si>
    <t>2025-07-24 07:39:00</t>
  </si>
  <si>
    <t>LD-302479</t>
  </si>
  <si>
    <t>2025-10-15 11:44:00</t>
  </si>
  <si>
    <t>2025-11-19 01:04:08.145548</t>
  </si>
  <si>
    <t>LD-302480</t>
  </si>
  <si>
    <t>2025-07-08 14:17:00</t>
  </si>
  <si>
    <t>LD-302481</t>
  </si>
  <si>
    <t>2025-11-10 11:49:00</t>
  </si>
  <si>
    <t>2025-12-20 15:53:39.080179</t>
  </si>
  <si>
    <t>LD-302482</t>
  </si>
  <si>
    <t>2025-05-07 13:43:00</t>
  </si>
  <si>
    <t>2025-06-07 21:23:47.079729</t>
  </si>
  <si>
    <t>LD-302483</t>
  </si>
  <si>
    <t>2025-07-24 12:39:00</t>
  </si>
  <si>
    <t>LD-302484</t>
  </si>
  <si>
    <t>2025-06-11 08:37:00</t>
  </si>
  <si>
    <t>2025-08-05 11:43:15.047336</t>
  </si>
  <si>
    <t>LD-302485</t>
  </si>
  <si>
    <t>2026-03-10 15:30:00</t>
  </si>
  <si>
    <t>2026-05-02 20:32:50.217059</t>
  </si>
  <si>
    <t>LD-302486</t>
  </si>
  <si>
    <t>2026-04-17 18:32:00</t>
  </si>
  <si>
    <t>LD-302487</t>
  </si>
  <si>
    <t>2025-02-02 12:29:00</t>
  </si>
  <si>
    <t>2025-03-03 22:34:19.902562</t>
  </si>
  <si>
    <t>LD-302488</t>
  </si>
  <si>
    <t>2025-11-24 16:33:00</t>
  </si>
  <si>
    <t>LD-302489</t>
  </si>
  <si>
    <t>2026-05-08 09:35:00</t>
  </si>
  <si>
    <t>2026-06-21 20:21:56.778650</t>
  </si>
  <si>
    <t>LD-302490</t>
  </si>
  <si>
    <t>2025-03-07 07:59:00</t>
  </si>
  <si>
    <t>LD-302491</t>
  </si>
  <si>
    <t>2025-09-03 09:25:00</t>
  </si>
  <si>
    <t>LD-302492</t>
  </si>
  <si>
    <t>2026-01-20 17:28:00</t>
  </si>
  <si>
    <t>LD-302493</t>
  </si>
  <si>
    <t>2025-11-22 15:15:00</t>
  </si>
  <si>
    <t>2025-12-27 12:41:17.082177</t>
  </si>
  <si>
    <t>LD-302494</t>
  </si>
  <si>
    <t>2025-05-16 08:23:00</t>
  </si>
  <si>
    <t>LD-302495</t>
  </si>
  <si>
    <t>2025-10-22 18:20:00</t>
  </si>
  <si>
    <t>LD-302496</t>
  </si>
  <si>
    <t>2026-03-23 20:16:00</t>
  </si>
  <si>
    <t>LD-302497</t>
  </si>
  <si>
    <t>2025-09-26 12:59:00</t>
  </si>
  <si>
    <t>2025-11-08 06:43:47.026155</t>
  </si>
  <si>
    <t>LD-302498</t>
  </si>
  <si>
    <t>2025-02-28 11:41:00</t>
  </si>
  <si>
    <t>2025-04-15 21:39:17.921860</t>
  </si>
  <si>
    <t>LD-302499</t>
  </si>
  <si>
    <t>2025-01-21 20:22:00</t>
  </si>
  <si>
    <t>LD-302500</t>
  </si>
  <si>
    <t>2026-03-25 10:12:00</t>
  </si>
  <si>
    <t>2026-05-02 19:00:39.149635</t>
  </si>
  <si>
    <t>LD-302501</t>
  </si>
  <si>
    <t>2025-05-16 20:59:00</t>
  </si>
  <si>
    <t>LD-302502</t>
  </si>
  <si>
    <t>2025-03-13 08:39:00</t>
  </si>
  <si>
    <t>LD-302503</t>
  </si>
  <si>
    <t>2025-12-10 17:26:00</t>
  </si>
  <si>
    <t>LD-302504</t>
  </si>
  <si>
    <t>2026-06-24 17:22:00</t>
  </si>
  <si>
    <t>LD-302505</t>
  </si>
  <si>
    <t>2025-10-12 14:41:00</t>
  </si>
  <si>
    <t>LD-302506</t>
  </si>
  <si>
    <t>2025-12-17 15:19:00</t>
  </si>
  <si>
    <t>LD-302507</t>
  </si>
  <si>
    <t>2026-05-02 08:04:00</t>
  </si>
  <si>
    <t>LD-302508</t>
  </si>
  <si>
    <t>2025-09-18 15:44:00</t>
  </si>
  <si>
    <t>LD-302509</t>
  </si>
  <si>
    <t>2025-11-27 14:22:00</t>
  </si>
  <si>
    <t>LD-302510</t>
  </si>
  <si>
    <t>2025-10-31 07:54:00</t>
  </si>
  <si>
    <t>LD-302511</t>
  </si>
  <si>
    <t>2025-06-03 14:17:21.043899</t>
  </si>
  <si>
    <t>LD-302512</t>
  </si>
  <si>
    <t>2026-06-26 18:17:00</t>
  </si>
  <si>
    <t>LD-302513</t>
  </si>
  <si>
    <t>2025-06-25 07:17:00</t>
  </si>
  <si>
    <t>2025-07-22 17:03:05.269979</t>
  </si>
  <si>
    <t>LD-302514</t>
  </si>
  <si>
    <t>2025-11-25 20:53:00</t>
  </si>
  <si>
    <t>LD-302515</t>
  </si>
  <si>
    <t>2026-06-05 18:49:00</t>
  </si>
  <si>
    <t>LD-302516</t>
  </si>
  <si>
    <t>2025-05-12 19:34:00</t>
  </si>
  <si>
    <t>LD-302517</t>
  </si>
  <si>
    <t>2025-03-21 17:31:00</t>
  </si>
  <si>
    <t>LD-302518</t>
  </si>
  <si>
    <t>2025-06-01 14:37:00</t>
  </si>
  <si>
    <t>LD-302519</t>
  </si>
  <si>
    <t>2026-05-15 09:46:00</t>
  </si>
  <si>
    <t>2026-06-16 09:18:51.328098</t>
  </si>
  <si>
    <t>LD-302520</t>
  </si>
  <si>
    <t>2025-08-13 09:27:00</t>
  </si>
  <si>
    <t>LD-302521</t>
  </si>
  <si>
    <t>2026-01-22 16:36:00</t>
  </si>
  <si>
    <t>LD-302522</t>
  </si>
  <si>
    <t>2025-08-29 08:13:00</t>
  </si>
  <si>
    <t>2025-10-16 17:20:51.955173</t>
  </si>
  <si>
    <t>LD-302523</t>
  </si>
  <si>
    <t>2025-01-03 13:56:00</t>
  </si>
  <si>
    <t>LD-302524</t>
  </si>
  <si>
    <t>2026-01-30 19:12:00</t>
  </si>
  <si>
    <t>2026-03-07 17:10:06.503253</t>
  </si>
  <si>
    <t>LD-302525</t>
  </si>
  <si>
    <t>2025-12-09 09:23:00</t>
  </si>
  <si>
    <t>LD-302526</t>
  </si>
  <si>
    <t>2025-06-24 18:31:00</t>
  </si>
  <si>
    <t>LD-302527</t>
  </si>
  <si>
    <t>2025-04-18 08:42:00</t>
  </si>
  <si>
    <t>2025-06-06 23:45:48.124058</t>
  </si>
  <si>
    <t>LD-302528</t>
  </si>
  <si>
    <t>2025-10-06 15:21:00</t>
  </si>
  <si>
    <t>LD-302529</t>
  </si>
  <si>
    <t>2025-12-08 15:29:00</t>
  </si>
  <si>
    <t>LD-302530</t>
  </si>
  <si>
    <t>2025-10-01 08:16:00</t>
  </si>
  <si>
    <t>LD-302531</t>
  </si>
  <si>
    <t>2026-01-05 17:03:00</t>
  </si>
  <si>
    <t>2026-02-16 13:32:43.972673</t>
  </si>
  <si>
    <t>LD-302532</t>
  </si>
  <si>
    <t>2025-09-03 11:58:00</t>
  </si>
  <si>
    <t>LD-302533</t>
  </si>
  <si>
    <t>2025-05-09 09:36:00</t>
  </si>
  <si>
    <t>LD-302534</t>
  </si>
  <si>
    <t>2025-06-10 16:36:00</t>
  </si>
  <si>
    <t>LD-302535</t>
  </si>
  <si>
    <t>2026-02-06 14:15:00</t>
  </si>
  <si>
    <t>LD-302536</t>
  </si>
  <si>
    <t>2025-05-17 11:40:00</t>
  </si>
  <si>
    <t>LD-302537</t>
  </si>
  <si>
    <t>2026-04-28 07:56:00</t>
  </si>
  <si>
    <t>LD-302538</t>
  </si>
  <si>
    <t>LD-302539</t>
  </si>
  <si>
    <t>2025-10-25 15:14:00</t>
  </si>
  <si>
    <t>2025-12-09 19:59:44.337235</t>
  </si>
  <si>
    <t>LD-302540</t>
  </si>
  <si>
    <t>2026-04-24 13:00:00</t>
  </si>
  <si>
    <t>2026-06-06 19:08:20.543614</t>
  </si>
  <si>
    <t>LD-302541</t>
  </si>
  <si>
    <t>2025-09-12 16:00:00</t>
  </si>
  <si>
    <t>2025-10-06 10:03:34.482846</t>
  </si>
  <si>
    <t>LD-302542</t>
  </si>
  <si>
    <t>2025-05-05 07:12:00</t>
  </si>
  <si>
    <t>2025-06-19 15:34:03.874643</t>
  </si>
  <si>
    <t>LD-302543</t>
  </si>
  <si>
    <t>2025-06-29 19:18:00</t>
  </si>
  <si>
    <t>2025-08-21 12:23:49.295311</t>
  </si>
  <si>
    <t>LD-302544</t>
  </si>
  <si>
    <t>2026-04-08 10:40:00</t>
  </si>
  <si>
    <t>LD-302545</t>
  </si>
  <si>
    <t>2025-08-23 17:57:00</t>
  </si>
  <si>
    <t>LD-302546</t>
  </si>
  <si>
    <t>2026-03-09 13:33:00</t>
  </si>
  <si>
    <t>2026-04-16 04:46:01.296534</t>
  </si>
  <si>
    <t>LD-302547</t>
  </si>
  <si>
    <t>2026-01-30 17:23:00</t>
  </si>
  <si>
    <t>2026-03-07 09:31:17.905364</t>
  </si>
  <si>
    <t>LD-302548</t>
  </si>
  <si>
    <t>2026-01-02 15:29:00</t>
  </si>
  <si>
    <t>LD-302549</t>
  </si>
  <si>
    <t>2025-04-29 14:50:00</t>
  </si>
  <si>
    <t>2025-05-31 03:13:48.920088</t>
  </si>
  <si>
    <t>LD-302550</t>
  </si>
  <si>
    <t>2025-03-01 15:42:00</t>
  </si>
  <si>
    <t>2025-04-11 11:53:53.550126</t>
  </si>
  <si>
    <t>LD-302551</t>
  </si>
  <si>
    <t>2025-10-07 07:08:00</t>
  </si>
  <si>
    <t>LD-302552</t>
  </si>
  <si>
    <t>2025-01-29 08:27:00</t>
  </si>
  <si>
    <t>2025-03-03 20:25:31.669005</t>
  </si>
  <si>
    <t>LD-302553</t>
  </si>
  <si>
    <t>2025-04-26 08:28:00</t>
  </si>
  <si>
    <t>2025-06-09 23:22:08.115602</t>
  </si>
  <si>
    <t>LD-302554</t>
  </si>
  <si>
    <t>2025-11-02 09:46:00</t>
  </si>
  <si>
    <t>2025-12-10 13:44:33.434768</t>
  </si>
  <si>
    <t>LD-302555</t>
  </si>
  <si>
    <t>2025-12-26 18:09:00</t>
  </si>
  <si>
    <t>LD-302556</t>
  </si>
  <si>
    <t>2025-06-06 12:40:00</t>
  </si>
  <si>
    <t>LD-302557</t>
  </si>
  <si>
    <t>2025-09-22 13:25:00</t>
  </si>
  <si>
    <t>LD-302558</t>
  </si>
  <si>
    <t>2025-02-21 12:44:00</t>
  </si>
  <si>
    <t>LD-302559</t>
  </si>
  <si>
    <t>2025-09-01 09:17:00</t>
  </si>
  <si>
    <t>2025-10-03 09:31:19.903521</t>
  </si>
  <si>
    <t>LD-302560</t>
  </si>
  <si>
    <t>2025-10-29 20:38:00</t>
  </si>
  <si>
    <t>LD-302561</t>
  </si>
  <si>
    <t>2026-01-12 17:52:00</t>
  </si>
  <si>
    <t>2026-02-09 05:55:02.623528</t>
  </si>
  <si>
    <t>LD-302562</t>
  </si>
  <si>
    <t>2025-11-14 20:24:00</t>
  </si>
  <si>
    <t>LD-302563</t>
  </si>
  <si>
    <t>2025-02-18 11:07:00</t>
  </si>
  <si>
    <t>LD-302564</t>
  </si>
  <si>
    <t>2025-08-09 07:43:00</t>
  </si>
  <si>
    <t>LD-302565</t>
  </si>
  <si>
    <t>2025-06-05 20:22:00</t>
  </si>
  <si>
    <t>LD-302566</t>
  </si>
  <si>
    <t>2026-04-07 17:16:00</t>
  </si>
  <si>
    <t>LD-302567</t>
  </si>
  <si>
    <t>2026-05-06 07:20:00</t>
  </si>
  <si>
    <t>LD-302568</t>
  </si>
  <si>
    <t>2025-04-04 15:18:00</t>
  </si>
  <si>
    <t>LD-302569</t>
  </si>
  <si>
    <t>2025-06-13 16:33:00</t>
  </si>
  <si>
    <t>2025-07-26 13:43:17.465322</t>
  </si>
  <si>
    <t>LD-302570</t>
  </si>
  <si>
    <t>2025-04-30 14:22:00</t>
  </si>
  <si>
    <t>2025-06-20 02:52:44.334887</t>
  </si>
  <si>
    <t>LD-302571</t>
  </si>
  <si>
    <t>2025-08-14 09:36:00</t>
  </si>
  <si>
    <t>LD-302572</t>
  </si>
  <si>
    <t>2025-05-30 15:42:00</t>
  </si>
  <si>
    <t>LD-302573</t>
  </si>
  <si>
    <t>2025-07-30 20:04:00</t>
  </si>
  <si>
    <t>2025-09-11 04:21:47.110597</t>
  </si>
  <si>
    <t>LD-302574</t>
  </si>
  <si>
    <t>2025-06-14 17:08:00</t>
  </si>
  <si>
    <t>LD-302575</t>
  </si>
  <si>
    <t>2025-08-19 13:00:00</t>
  </si>
  <si>
    <t>LD-302576</t>
  </si>
  <si>
    <t>2025-06-12 07:16:00</t>
  </si>
  <si>
    <t>2025-07-28 20:02:53.216835</t>
  </si>
  <si>
    <t>LD-302577</t>
  </si>
  <si>
    <t>2025-03-03 19:39:00</t>
  </si>
  <si>
    <t>LD-302578</t>
  </si>
  <si>
    <t>2025-01-26 16:41:00</t>
  </si>
  <si>
    <t>2025-03-02 11:16:02.452903</t>
  </si>
  <si>
    <t>LD-302579</t>
  </si>
  <si>
    <t>2025-09-08 12:16:00</t>
  </si>
  <si>
    <t>LD-302580</t>
  </si>
  <si>
    <t>2026-02-05 15:26:00</t>
  </si>
  <si>
    <t>LD-302581</t>
  </si>
  <si>
    <t>2026-05-06 20:47:00</t>
  </si>
  <si>
    <t>2026-06-15 15:37:32.170646</t>
  </si>
  <si>
    <t>LD-302582</t>
  </si>
  <si>
    <t>2025-04-10 12:44:00</t>
  </si>
  <si>
    <t>2025-05-28 01:30:01.484067</t>
  </si>
  <si>
    <t>LD-302583</t>
  </si>
  <si>
    <t>2025-03-08 08:53:00</t>
  </si>
  <si>
    <t>LD-302584</t>
  </si>
  <si>
    <t>2025-01-03 20:21:00</t>
  </si>
  <si>
    <t>LD-302585</t>
  </si>
  <si>
    <t>2025-07-11 18:24:00</t>
  </si>
  <si>
    <t>LD-302586</t>
  </si>
  <si>
    <t>2025-12-24 16:26:00</t>
  </si>
  <si>
    <t>LD-302587</t>
  </si>
  <si>
    <t>2025-05-08 19:10:00</t>
  </si>
  <si>
    <t>LD-302588</t>
  </si>
  <si>
    <t>2026-06-22 16:30:00</t>
  </si>
  <si>
    <t>2026-07-14 13:04:52.940273</t>
  </si>
  <si>
    <t>LD-302589</t>
  </si>
  <si>
    <t>2026-04-13 11:32:00</t>
  </si>
  <si>
    <t>LD-302590</t>
  </si>
  <si>
    <t>2025-05-02 09:11:00</t>
  </si>
  <si>
    <t>2025-05-31 20:59:08.766569</t>
  </si>
  <si>
    <t>LD-302591</t>
  </si>
  <si>
    <t>2026-03-12 13:56:00</t>
  </si>
  <si>
    <t>2026-04-16 12:47:12.963385</t>
  </si>
  <si>
    <t>LD-302592</t>
  </si>
  <si>
    <t>2025-06-12 14:31:00</t>
  </si>
  <si>
    <t>LD-302593</t>
  </si>
  <si>
    <t>2025-07-25 12:25:00</t>
  </si>
  <si>
    <t>2025-09-10 02:45:02.344595</t>
  </si>
  <si>
    <t>LD-302594</t>
  </si>
  <si>
    <t>2025-07-28 14:41:00</t>
  </si>
  <si>
    <t>LD-302595</t>
  </si>
  <si>
    <t>2025-02-18 08:00:00</t>
  </si>
  <si>
    <t>2025-03-14 16:31:03.546704</t>
  </si>
  <si>
    <t>LD-302596</t>
  </si>
  <si>
    <t>2026-03-04 19:31:00</t>
  </si>
  <si>
    <t>LD-302597</t>
  </si>
  <si>
    <t>2025-01-10 07:04:00</t>
  </si>
  <si>
    <t>LD-302598</t>
  </si>
  <si>
    <t>2026-01-28 19:41:00</t>
  </si>
  <si>
    <t>LD-302599</t>
  </si>
  <si>
    <t>2026-03-01 12:48:00</t>
  </si>
  <si>
    <t>LD-302600</t>
  </si>
  <si>
    <t>2026-02-13 18:57:00</t>
  </si>
  <si>
    <t>2026-04-02 07:30:06.096377</t>
  </si>
  <si>
    <t>LD-302601</t>
  </si>
  <si>
    <t>2025-10-22 13:29:00</t>
  </si>
  <si>
    <t>2025-12-01 20:42:55.571703</t>
  </si>
  <si>
    <t>LD-302602</t>
  </si>
  <si>
    <t>2025-11-13 17:16:00</t>
  </si>
  <si>
    <t>2025-12-09 03:53:22.434012</t>
  </si>
  <si>
    <t>LD-302603</t>
  </si>
  <si>
    <t>2026-04-07 13:32:00</t>
  </si>
  <si>
    <t>LD-302604</t>
  </si>
  <si>
    <t>2025-02-05 08:18:00</t>
  </si>
  <si>
    <t>LD-302605</t>
  </si>
  <si>
    <t>2026-04-10 08:21:00</t>
  </si>
  <si>
    <t>LD-302606</t>
  </si>
  <si>
    <t>2026-02-13 15:31:00</t>
  </si>
  <si>
    <t>LD-302607</t>
  </si>
  <si>
    <t>2026-02-12 11:01:00</t>
  </si>
  <si>
    <t>LD-302608</t>
  </si>
  <si>
    <t>2026-06-10 07:38:00</t>
  </si>
  <si>
    <t>2026-07-07 19:09:51.488871</t>
  </si>
  <si>
    <t>LD-302609</t>
  </si>
  <si>
    <t>2025-08-03 18:01:00</t>
  </si>
  <si>
    <t>2025-09-13 10:10:51.521290</t>
  </si>
  <si>
    <t>LD-302610</t>
  </si>
  <si>
    <t>2026-05-28 12:53:00</t>
  </si>
  <si>
    <t>2026-07-09 15:49:03.355322</t>
  </si>
  <si>
    <t>LD-302611</t>
  </si>
  <si>
    <t>2025-10-31 11:50:00</t>
  </si>
  <si>
    <t>2025-12-14 02:07:08.311754</t>
  </si>
  <si>
    <t>LD-302612</t>
  </si>
  <si>
    <t>2025-11-21 14:42:00</t>
  </si>
  <si>
    <t>LD-302613</t>
  </si>
  <si>
    <t>2026-03-25 09:18:00</t>
  </si>
  <si>
    <t>LD-302614</t>
  </si>
  <si>
    <t>2025-04-30 19:52:00</t>
  </si>
  <si>
    <t>LD-302615</t>
  </si>
  <si>
    <t>2026-02-07 13:26:00</t>
  </si>
  <si>
    <t>2026-03-29 18:45:52.079847</t>
  </si>
  <si>
    <t>LD-302616</t>
  </si>
  <si>
    <t>2026-06-12 07:09:00</t>
  </si>
  <si>
    <t>LD-302617</t>
  </si>
  <si>
    <t>2026-02-02 07:27:00</t>
  </si>
  <si>
    <t>2026-03-06 05:42:48.907652</t>
  </si>
  <si>
    <t>LD-302618</t>
  </si>
  <si>
    <t>2026-05-07 20:01:00</t>
  </si>
  <si>
    <t>LD-302619</t>
  </si>
  <si>
    <t>2025-01-28 17:31:00</t>
  </si>
  <si>
    <t>LD-302620</t>
  </si>
  <si>
    <t>2025-03-12 16:32:00</t>
  </si>
  <si>
    <t>LD-302621</t>
  </si>
  <si>
    <t>2025-01-30 07:23:00</t>
  </si>
  <si>
    <t>2025-03-15 13:49:29.965838</t>
  </si>
  <si>
    <t>LD-302622</t>
  </si>
  <si>
    <t>2025-01-02 20:43:00</t>
  </si>
  <si>
    <t>LD-302623</t>
  </si>
  <si>
    <t>2025-11-18 16:03:00</t>
  </si>
  <si>
    <t>LD-302624</t>
  </si>
  <si>
    <t>2025-09-08 16:42:00</t>
  </si>
  <si>
    <t>LD-302625</t>
  </si>
  <si>
    <t>2026-04-16 18:30:00</t>
  </si>
  <si>
    <t>LD-302626</t>
  </si>
  <si>
    <t>2026-05-28 14:46:00</t>
  </si>
  <si>
    <t>2026-06-25 06:33:40.837137</t>
  </si>
  <si>
    <t>LD-302627</t>
  </si>
  <si>
    <t>2026-01-09 08:55:00</t>
  </si>
  <si>
    <t>2026-02-17 03:30:54.344560</t>
  </si>
  <si>
    <t>LD-302628</t>
  </si>
  <si>
    <t>2026-04-08 10:23:00</t>
  </si>
  <si>
    <t>LD-302629</t>
  </si>
  <si>
    <t>LD-302630</t>
  </si>
  <si>
    <t>2025-09-24 18:36:00</t>
  </si>
  <si>
    <t>2025-10-22 00:18:25.338107</t>
  </si>
  <si>
    <t>LD-302631</t>
  </si>
  <si>
    <t>2025-03-03 08:24:00</t>
  </si>
  <si>
    <t>LD-302632</t>
  </si>
  <si>
    <t>2025-01-17 12:36:00</t>
  </si>
  <si>
    <t>2025-02-09 08:05:28.206547</t>
  </si>
  <si>
    <t>LD-302633</t>
  </si>
  <si>
    <t>2026-04-24 19:08:00</t>
  </si>
  <si>
    <t>LD-302634</t>
  </si>
  <si>
    <t>2026-02-27 09:56:00</t>
  </si>
  <si>
    <t>LD-302635</t>
  </si>
  <si>
    <t>2025-07-01 12:12:00</t>
  </si>
  <si>
    <t>2025-07-29 00:39:53.371043</t>
  </si>
  <si>
    <t>LD-302636</t>
  </si>
  <si>
    <t>2025-08-20 09:04:00</t>
  </si>
  <si>
    <t>LD-302637</t>
  </si>
  <si>
    <t>2025-02-24 10:30:00</t>
  </si>
  <si>
    <t>LD-302638</t>
  </si>
  <si>
    <t>2025-08-21 17:07:00</t>
  </si>
  <si>
    <t>LD-302639</t>
  </si>
  <si>
    <t>2026-04-29 19:21:00</t>
  </si>
  <si>
    <t>LD-302640</t>
  </si>
  <si>
    <t>2026-04-08 14:44:00</t>
  </si>
  <si>
    <t>LD-302641</t>
  </si>
  <si>
    <t>2026-01-16 07:17:00</t>
  </si>
  <si>
    <t>2026-03-02 11:27:42.977535</t>
  </si>
  <si>
    <t>LD-302642</t>
  </si>
  <si>
    <t>2025-11-13 12:36:00</t>
  </si>
  <si>
    <t>LD-302643</t>
  </si>
  <si>
    <t>2025-03-11 17:45:00</t>
  </si>
  <si>
    <t>LD-302644</t>
  </si>
  <si>
    <t>2026-04-29 17:09:00</t>
  </si>
  <si>
    <t>2026-06-14 06:51:54.629217</t>
  </si>
  <si>
    <t>LD-302645</t>
  </si>
  <si>
    <t>2026-05-01 11:00:00</t>
  </si>
  <si>
    <t>LD-302646</t>
  </si>
  <si>
    <t>2025-03-26 14:28:00</t>
  </si>
  <si>
    <t>2025-04-27 08:08:03.765990</t>
  </si>
  <si>
    <t>LD-302647</t>
  </si>
  <si>
    <t>2026-04-03 10:44:00</t>
  </si>
  <si>
    <t>LD-302648</t>
  </si>
  <si>
    <t>2025-03-04 09:08:00</t>
  </si>
  <si>
    <t>LD-302649</t>
  </si>
  <si>
    <t>2025-01-03 14:27:00</t>
  </si>
  <si>
    <t>LD-302650</t>
  </si>
  <si>
    <t>2025-01-17 12:56:00</t>
  </si>
  <si>
    <t>LD-302651</t>
  </si>
  <si>
    <t>2025-06-24 15:29:00</t>
  </si>
  <si>
    <t>LD-302652</t>
  </si>
  <si>
    <t>2025-04-18 20:26:00</t>
  </si>
  <si>
    <t>LD-302653</t>
  </si>
  <si>
    <t>2026-06-02 19:33:00</t>
  </si>
  <si>
    <t>LD-302654</t>
  </si>
  <si>
    <t>2026-05-08 14:25:00</t>
  </si>
  <si>
    <t>LD-302655</t>
  </si>
  <si>
    <t>2025-12-05 10:39:00</t>
  </si>
  <si>
    <t>2026-01-10 20:32:23.945659</t>
  </si>
  <si>
    <t>LD-302656</t>
  </si>
  <si>
    <t>2026-04-03 18:52:00</t>
  </si>
  <si>
    <t>LD-302657</t>
  </si>
  <si>
    <t>2025-08-20 20:09:00</t>
  </si>
  <si>
    <t>LD-302658</t>
  </si>
  <si>
    <t>2025-10-29 19:05:00</t>
  </si>
  <si>
    <t>LD-302659</t>
  </si>
  <si>
    <t>2025-09-24 11:28:00</t>
  </si>
  <si>
    <t>LD-302660</t>
  </si>
  <si>
    <t>2025-08-23 12:52:00</t>
  </si>
  <si>
    <t>LD-302661</t>
  </si>
  <si>
    <t>2025-07-25 11:50:00</t>
  </si>
  <si>
    <t>LD-302662</t>
  </si>
  <si>
    <t>2025-05-05 13:31:00</t>
  </si>
  <si>
    <t>LD-302663</t>
  </si>
  <si>
    <t>2026-03-24 20:11:00</t>
  </si>
  <si>
    <t>2026-04-30 05:24:00.825437</t>
  </si>
  <si>
    <t>LD-302664</t>
  </si>
  <si>
    <t>2025-01-17 10:06:00</t>
  </si>
  <si>
    <t>2025-02-22 22:37:07.001410</t>
  </si>
  <si>
    <t>LD-302665</t>
  </si>
  <si>
    <t>2025-10-25 18:32:00</t>
  </si>
  <si>
    <t>LD-302666</t>
  </si>
  <si>
    <t>2025-09-22 15:36:00</t>
  </si>
  <si>
    <t>LD-302667</t>
  </si>
  <si>
    <t>2025-05-02 12:01:00</t>
  </si>
  <si>
    <t>2025-05-31 01:08:26.561116</t>
  </si>
  <si>
    <t>LD-302668</t>
  </si>
  <si>
    <t>2025-03-17 19:41:00</t>
  </si>
  <si>
    <t>LD-302669</t>
  </si>
  <si>
    <t>2026-06-29 10:22:00</t>
  </si>
  <si>
    <t>LD-302670</t>
  </si>
  <si>
    <t>2025-02-13 13:46:00</t>
  </si>
  <si>
    <t>LD-302671</t>
  </si>
  <si>
    <t>2025-08-15 11:58:00</t>
  </si>
  <si>
    <t>LD-302672</t>
  </si>
  <si>
    <t>2025-09-25 19:25:00</t>
  </si>
  <si>
    <t>LD-302673</t>
  </si>
  <si>
    <t>2025-07-25 09:15:00</t>
  </si>
  <si>
    <t>LD-302674</t>
  </si>
  <si>
    <t>2026-04-28 07:27:00</t>
  </si>
  <si>
    <t>2026-06-03 08:48:14.879681</t>
  </si>
  <si>
    <t>LD-302675</t>
  </si>
  <si>
    <t>2025-03-19 11:42:00</t>
  </si>
  <si>
    <t>LD-302676</t>
  </si>
  <si>
    <t>2026-02-20 18:06:00</t>
  </si>
  <si>
    <t>LD-302677</t>
  </si>
  <si>
    <t>2025-07-11 12:24:00</t>
  </si>
  <si>
    <t>2025-08-19 19:11:36.965322</t>
  </si>
  <si>
    <t>LD-302678</t>
  </si>
  <si>
    <t>2025-07-06 16:32:00</t>
  </si>
  <si>
    <t>LD-302679</t>
  </si>
  <si>
    <t>2025-08-15 15:27:00</t>
  </si>
  <si>
    <t>2025-09-21 05:57:13.080562</t>
  </si>
  <si>
    <t>LD-302680</t>
  </si>
  <si>
    <t>2025-05-02 19:00:00</t>
  </si>
  <si>
    <t>LD-302681</t>
  </si>
  <si>
    <t>2026-03-17 09:41:00</t>
  </si>
  <si>
    <t>2026-04-29 00:56:41.606289</t>
  </si>
  <si>
    <t>LD-302682</t>
  </si>
  <si>
    <t>2026-03-27 17:25:00</t>
  </si>
  <si>
    <t>LD-302683</t>
  </si>
  <si>
    <t>2025-01-17 19:44:00</t>
  </si>
  <si>
    <t>2025-02-14 21:52:43.379283</t>
  </si>
  <si>
    <t>LD-302684</t>
  </si>
  <si>
    <t>2026-06-04 09:42:00</t>
  </si>
  <si>
    <t>LD-302685</t>
  </si>
  <si>
    <t>2026-03-06 10:05:00</t>
  </si>
  <si>
    <t>LD-302686</t>
  </si>
  <si>
    <t>2026-04-02 12:40:00</t>
  </si>
  <si>
    <t>LD-302687</t>
  </si>
  <si>
    <t>2025-08-09 07:00:00</t>
  </si>
  <si>
    <t>LD-302688</t>
  </si>
  <si>
    <t>2025-12-01 18:01:00</t>
  </si>
  <si>
    <t>LD-302689</t>
  </si>
  <si>
    <t>2025-10-08 07:51:00</t>
  </si>
  <si>
    <t>LD-302690</t>
  </si>
  <si>
    <t>2026-02-27 20:04:00</t>
  </si>
  <si>
    <t>LD-302691</t>
  </si>
  <si>
    <t>2025-08-26 20:09:00</t>
  </si>
  <si>
    <t>LD-302692</t>
  </si>
  <si>
    <t>2025-06-18 17:09:00</t>
  </si>
  <si>
    <t>2025-07-24 19:21:53.461403</t>
  </si>
  <si>
    <t>LD-302693</t>
  </si>
  <si>
    <t>2025-10-31 08:29:00</t>
  </si>
  <si>
    <t>LD-302694</t>
  </si>
  <si>
    <t>2025-04-18 10:30:00</t>
  </si>
  <si>
    <t>LD-302695</t>
  </si>
  <si>
    <t>2026-04-06 18:32:00</t>
  </si>
  <si>
    <t>LD-302696</t>
  </si>
  <si>
    <t>2026-01-02 18:14:00</t>
  </si>
  <si>
    <t>LD-302697</t>
  </si>
  <si>
    <t>2025-02-10 15:43:00</t>
  </si>
  <si>
    <t>2025-03-21 12:49:26.886706</t>
  </si>
  <si>
    <t>LD-302698</t>
  </si>
  <si>
    <t>2025-06-08 17:58:00</t>
  </si>
  <si>
    <t>2025-07-04 01:26:51.874087</t>
  </si>
  <si>
    <t>LD-302699</t>
  </si>
  <si>
    <t>2025-04-30 13:02:00</t>
  </si>
  <si>
    <t>LD-302700</t>
  </si>
  <si>
    <t>2025-12-05 08:54:00</t>
  </si>
  <si>
    <t>LD-302701</t>
  </si>
  <si>
    <t>2025-12-16 13:26:00</t>
  </si>
  <si>
    <t>LD-302702</t>
  </si>
  <si>
    <t>2025-08-30 14:21:00</t>
  </si>
  <si>
    <t>2025-09-29 00:04:28.671267</t>
  </si>
  <si>
    <t>LD-302703</t>
  </si>
  <si>
    <t>2025-05-06 12:47:00</t>
  </si>
  <si>
    <t>LD-302704</t>
  </si>
  <si>
    <t>2025-03-19 09:51:00</t>
  </si>
  <si>
    <t>LD-302705</t>
  </si>
  <si>
    <t>2025-09-24 15:44:00</t>
  </si>
  <si>
    <t>LD-302706</t>
  </si>
  <si>
    <t>2025-12-10 19:44:00</t>
  </si>
  <si>
    <t>LD-302707</t>
  </si>
  <si>
    <t>2025-07-17 20:56:00</t>
  </si>
  <si>
    <t>2025-08-26 22:18:06.639596</t>
  </si>
  <si>
    <t>LD-302708</t>
  </si>
  <si>
    <t>2025-07-22 18:43:00</t>
  </si>
  <si>
    <t>LD-302709</t>
  </si>
  <si>
    <t>2026-03-06 13:16:00</t>
  </si>
  <si>
    <t>2026-03-31 00:32:04.215839</t>
  </si>
  <si>
    <t>LD-302710</t>
  </si>
  <si>
    <t>2025-08-08 14:32:00</t>
  </si>
  <si>
    <t>2025-10-08 11:49:32.329192</t>
  </si>
  <si>
    <t>LD-302711</t>
  </si>
  <si>
    <t>2026-01-09 08:19:00</t>
  </si>
  <si>
    <t>LD-302712</t>
  </si>
  <si>
    <t>2025-10-02 11:35:00</t>
  </si>
  <si>
    <t>LD-302713</t>
  </si>
  <si>
    <t>2025-10-24 12:03:00</t>
  </si>
  <si>
    <t>LD-302714</t>
  </si>
  <si>
    <t>2026-01-30 15:04:00</t>
  </si>
  <si>
    <t>2026-02-20 09:17:50.403629</t>
  </si>
  <si>
    <t>LD-302715</t>
  </si>
  <si>
    <t>2026-06-19 18:43:00</t>
  </si>
  <si>
    <t>LD-302716</t>
  </si>
  <si>
    <t>2025-08-12 20:43:00</t>
  </si>
  <si>
    <t>LD-302717</t>
  </si>
  <si>
    <t>2026-03-06 12:31:00</t>
  </si>
  <si>
    <t>LD-302718</t>
  </si>
  <si>
    <t>2026-06-10 16:15:00</t>
  </si>
  <si>
    <t>2026-07-12 21:14:03.570805</t>
  </si>
  <si>
    <t>LD-302719</t>
  </si>
  <si>
    <t>2026-06-27 15:48:00</t>
  </si>
  <si>
    <t>2026-08-07 07:12:24.237503</t>
  </si>
  <si>
    <t>LD-302720</t>
  </si>
  <si>
    <t>2025-04-06 16:51:00</t>
  </si>
  <si>
    <t>2025-05-10 15:11:45.072034</t>
  </si>
  <si>
    <t>LD-302721</t>
  </si>
  <si>
    <t>2025-12-30 10:41:00</t>
  </si>
  <si>
    <t>LD-302722</t>
  </si>
  <si>
    <t>2026-03-06 16:04:00</t>
  </si>
  <si>
    <t>2026-04-22 01:33:32.424208</t>
  </si>
  <si>
    <t>LD-302723</t>
  </si>
  <si>
    <t>2026-02-26 07:53:00</t>
  </si>
  <si>
    <t>2026-04-03 06:00:58.937582</t>
  </si>
  <si>
    <t>LD-302724</t>
  </si>
  <si>
    <t>2025-10-30 19:06:00</t>
  </si>
  <si>
    <t>2025-12-18 16:48:25.505389</t>
  </si>
  <si>
    <t>LD-302725</t>
  </si>
  <si>
    <t>2025-02-28 19:19:00</t>
  </si>
  <si>
    <t>LD-302726</t>
  </si>
  <si>
    <t>2025-10-03 13:13:00</t>
  </si>
  <si>
    <t>LD-302727</t>
  </si>
  <si>
    <t>2025-03-10 10:16:00</t>
  </si>
  <si>
    <t>2025-04-19 01:46:20.572241</t>
  </si>
  <si>
    <t>LD-302728</t>
  </si>
  <si>
    <t>2025-12-15 08:17:00</t>
  </si>
  <si>
    <t>2026-01-23 02:00:53.706735</t>
  </si>
  <si>
    <t>LD-302729</t>
  </si>
  <si>
    <t>2025-08-18 17:15:00</t>
  </si>
  <si>
    <t>LD-302730</t>
  </si>
  <si>
    <t>2025-02-21 14:35:00</t>
  </si>
  <si>
    <t>LD-302731</t>
  </si>
  <si>
    <t>2025-05-02 20:20:00</t>
  </si>
  <si>
    <t>2025-06-09 14:55:26.861640</t>
  </si>
  <si>
    <t>LD-302732</t>
  </si>
  <si>
    <t>2025-10-12 18:31:00</t>
  </si>
  <si>
    <t>LD-302733</t>
  </si>
  <si>
    <t>2025-04-04 15:22:00</t>
  </si>
  <si>
    <t>LD-302734</t>
  </si>
  <si>
    <t>2026-06-19 20:40:00</t>
  </si>
  <si>
    <t>LD-302735</t>
  </si>
  <si>
    <t>2025-02-15 08:19:00</t>
  </si>
  <si>
    <t>2025-03-22 05:45:29.432462</t>
  </si>
  <si>
    <t>LD-302736</t>
  </si>
  <si>
    <t>2025-06-02 07:21:00</t>
  </si>
  <si>
    <t>2025-07-01 14:39:42.412324</t>
  </si>
  <si>
    <t>LD-302737</t>
  </si>
  <si>
    <t>2025-07-04 16:25:00</t>
  </si>
  <si>
    <t>2025-08-11 21:25:28.292064</t>
  </si>
  <si>
    <t>LD-302738</t>
  </si>
  <si>
    <t>2025-08-28 19:52:00</t>
  </si>
  <si>
    <t>LD-302739</t>
  </si>
  <si>
    <t>2025-06-27 09:48:00</t>
  </si>
  <si>
    <t>2025-07-28 07:46:45.143450</t>
  </si>
  <si>
    <t>LD-302740</t>
  </si>
  <si>
    <t>2026-05-27 11:52:00</t>
  </si>
  <si>
    <t>LD-302741</t>
  </si>
  <si>
    <t>2026-03-03 17:32:00</t>
  </si>
  <si>
    <t>2026-03-26 00:03:30.581935</t>
  </si>
  <si>
    <t>LD-302742</t>
  </si>
  <si>
    <t>2025-05-12 19:58:00</t>
  </si>
  <si>
    <t>LD-302743</t>
  </si>
  <si>
    <t>2026-06-06 19:11:00</t>
  </si>
  <si>
    <t>LD-302744</t>
  </si>
  <si>
    <t>2026-02-22 17:04:00</t>
  </si>
  <si>
    <t>LD-302745</t>
  </si>
  <si>
    <t>2026-05-15 12:20:00</t>
  </si>
  <si>
    <t>LD-302746</t>
  </si>
  <si>
    <t>2026-06-22 20:37:00</t>
  </si>
  <si>
    <t>LD-302747</t>
  </si>
  <si>
    <t>2025-08-29 15:28:00</t>
  </si>
  <si>
    <t>LD-302748</t>
  </si>
  <si>
    <t>2025-10-11 17:00:00</t>
  </si>
  <si>
    <t>LD-302749</t>
  </si>
  <si>
    <t>2026-05-26 15:46:00</t>
  </si>
  <si>
    <t>LD-302750</t>
  </si>
  <si>
    <t>2026-06-08 08:24:00</t>
  </si>
  <si>
    <t>LD-302751</t>
  </si>
  <si>
    <t>2025-03-25 16:08:00</t>
  </si>
  <si>
    <t>LD-302752</t>
  </si>
  <si>
    <t>2025-04-09 19:58:00</t>
  </si>
  <si>
    <t>LD-302753</t>
  </si>
  <si>
    <t>2026-04-21 07:36:00</t>
  </si>
  <si>
    <t>2026-05-23 03:45:49.552199</t>
  </si>
  <si>
    <t>LD-302754</t>
  </si>
  <si>
    <t>2026-05-26 11:19:00</t>
  </si>
  <si>
    <t>LD-302755</t>
  </si>
  <si>
    <t>2025-06-13 14:04:00</t>
  </si>
  <si>
    <t>LD-302756</t>
  </si>
  <si>
    <t>2026-02-17 16:09:00</t>
  </si>
  <si>
    <t>LD-302757</t>
  </si>
  <si>
    <t>2026-03-10 10:59:00</t>
  </si>
  <si>
    <t>LD-302758</t>
  </si>
  <si>
    <t>2026-01-14 07:21:00</t>
  </si>
  <si>
    <t>2026-02-25 10:05:09.278084</t>
  </si>
  <si>
    <t>LD-302759</t>
  </si>
  <si>
    <t>2025-08-27 20:46:00</t>
  </si>
  <si>
    <t>LD-302760</t>
  </si>
  <si>
    <t>2025-06-13 12:36:00</t>
  </si>
  <si>
    <t>2025-07-23 00:40:38.936458</t>
  </si>
  <si>
    <t>LD-302761</t>
  </si>
  <si>
    <t>2025-07-21 10:30:00</t>
  </si>
  <si>
    <t>LD-302762</t>
  </si>
  <si>
    <t>2025-09-19 16:49:00</t>
  </si>
  <si>
    <t>2025-10-17 01:06:17.108297</t>
  </si>
  <si>
    <t>LD-302763</t>
  </si>
  <si>
    <t>2025-03-04 12:09:00</t>
  </si>
  <si>
    <t>LD-302764</t>
  </si>
  <si>
    <t>2025-11-17 15:37:00</t>
  </si>
  <si>
    <t>LD-302765</t>
  </si>
  <si>
    <t>2025-11-29 17:58:00</t>
  </si>
  <si>
    <t>LD-302766</t>
  </si>
  <si>
    <t>2025-02-07 17:25:00</t>
  </si>
  <si>
    <t>2025-03-29 08:43:45.444311</t>
  </si>
  <si>
    <t>LD-302767</t>
  </si>
  <si>
    <t>2026-06-15 14:39:00</t>
  </si>
  <si>
    <t>LD-302768</t>
  </si>
  <si>
    <t>2025-06-17 07:03:00</t>
  </si>
  <si>
    <t>LD-302769</t>
  </si>
  <si>
    <t>2026-05-20 11:35:00</t>
  </si>
  <si>
    <t>2026-06-27 19:38:56.604232</t>
  </si>
  <si>
    <t>LD-302770</t>
  </si>
  <si>
    <t>2025-05-09 20:17:00</t>
  </si>
  <si>
    <t>LD-302771</t>
  </si>
  <si>
    <t>2025-11-17 09:23:00</t>
  </si>
  <si>
    <t>2025-12-23 03:14:43.486459</t>
  </si>
  <si>
    <t>LD-302772</t>
  </si>
  <si>
    <t>2025-06-11 20:02:00</t>
  </si>
  <si>
    <t>2025-07-24 13:55:07.830708</t>
  </si>
  <si>
    <t>LD-302773</t>
  </si>
  <si>
    <t>2025-12-25 11:04:00</t>
  </si>
  <si>
    <t>LD-302774</t>
  </si>
  <si>
    <t>2025-04-19 17:29:00</t>
  </si>
  <si>
    <t>LD-302775</t>
  </si>
  <si>
    <t>2026-02-10 15:55:00</t>
  </si>
  <si>
    <t>LD-302776</t>
  </si>
  <si>
    <t>2025-09-19 14:00:00</t>
  </si>
  <si>
    <t>LD-302777</t>
  </si>
  <si>
    <t>2025-11-14 18:49:00</t>
  </si>
  <si>
    <t>LD-302778</t>
  </si>
  <si>
    <t>2026-06-11 19:05:00</t>
  </si>
  <si>
    <t>LD-302779</t>
  </si>
  <si>
    <t>2025-12-05 10:51:00</t>
  </si>
  <si>
    <t>LD-302780</t>
  </si>
  <si>
    <t>2025-04-05 16:38:00</t>
  </si>
  <si>
    <t>LD-302781</t>
  </si>
  <si>
    <t>2026-02-11 16:13:00</t>
  </si>
  <si>
    <t>2026-04-03 01:55:52.086187</t>
  </si>
  <si>
    <t>LD-302782</t>
  </si>
  <si>
    <t>2026-01-26 16:04:00</t>
  </si>
  <si>
    <t>LD-302783</t>
  </si>
  <si>
    <t>2025-02-01 07:14:00</t>
  </si>
  <si>
    <t>LD-302784</t>
  </si>
  <si>
    <t>2025-01-03 16:10:00</t>
  </si>
  <si>
    <t>2025-02-10 22:06:33.140962</t>
  </si>
  <si>
    <t>LD-302785</t>
  </si>
  <si>
    <t>2025-09-29 12:38:00</t>
  </si>
  <si>
    <t>LD-302786</t>
  </si>
  <si>
    <t>2025-11-22 19:37:00</t>
  </si>
  <si>
    <t>2026-01-03 10:41:35.978655</t>
  </si>
  <si>
    <t>LD-302787</t>
  </si>
  <si>
    <t>2025-01-06 18:39:00</t>
  </si>
  <si>
    <t>LD-302788</t>
  </si>
  <si>
    <t>2025-04-18 20:49:00</t>
  </si>
  <si>
    <t>2025-06-11 05:05:25.169714</t>
  </si>
  <si>
    <t>LD-302789</t>
  </si>
  <si>
    <t>2025-11-26 19:42:00</t>
  </si>
  <si>
    <t>2026-01-21 04:46:19.746770</t>
  </si>
  <si>
    <t>LD-302790</t>
  </si>
  <si>
    <t>2025-06-25 19:23:00</t>
  </si>
  <si>
    <t>LD-302791</t>
  </si>
  <si>
    <t>2026-05-30 08:34:00</t>
  </si>
  <si>
    <t>LD-302792</t>
  </si>
  <si>
    <t>2025-01-10 11:38:00</t>
  </si>
  <si>
    <t>2025-02-17 17:34:48.755440</t>
  </si>
  <si>
    <t>LD-302793</t>
  </si>
  <si>
    <t>2025-08-22 18:53:00</t>
  </si>
  <si>
    <t>LD-302794</t>
  </si>
  <si>
    <t>2026-04-24 17:37:00</t>
  </si>
  <si>
    <t>2026-06-05 18:30:32.496473</t>
  </si>
  <si>
    <t>LD-302795</t>
  </si>
  <si>
    <t>2025-11-07 08:53:00</t>
  </si>
  <si>
    <t>LD-302796</t>
  </si>
  <si>
    <t>2026-01-15 19:26:00</t>
  </si>
  <si>
    <t>2026-02-12 00:42:38.538461</t>
  </si>
  <si>
    <t>LD-302797</t>
  </si>
  <si>
    <t>2026-05-22 18:49:00</t>
  </si>
  <si>
    <t>LD-302798</t>
  </si>
  <si>
    <t>2025-04-02 14:52:00</t>
  </si>
  <si>
    <t>LD-302799</t>
  </si>
  <si>
    <t>2025-08-21 08:42:00</t>
  </si>
  <si>
    <t>LD-302800</t>
  </si>
  <si>
    <t>2025-01-21 13:07:00</t>
  </si>
  <si>
    <t>LD-302801</t>
  </si>
  <si>
    <t>2025-09-26 14:29:00</t>
  </si>
  <si>
    <t>LD-302802</t>
  </si>
  <si>
    <t>2025-09-17 15:46:00</t>
  </si>
  <si>
    <t>LD-302803</t>
  </si>
  <si>
    <t>2026-05-22 11:56:00</t>
  </si>
  <si>
    <t>LD-302804</t>
  </si>
  <si>
    <t>2026-06-19 15:53:00</t>
  </si>
  <si>
    <t>2026-07-21 09:36:09.791137</t>
  </si>
  <si>
    <t>LD-302805</t>
  </si>
  <si>
    <t>2025-01-17 18:05:00</t>
  </si>
  <si>
    <t>LD-302806</t>
  </si>
  <si>
    <t>2025-10-03 12:07:00</t>
  </si>
  <si>
    <t>2025-11-06 15:11:45.434201</t>
  </si>
  <si>
    <t>LD-302807</t>
  </si>
  <si>
    <t>2025-11-21 12:30:00</t>
  </si>
  <si>
    <t>LD-302808</t>
  </si>
  <si>
    <t>2025-10-14 18:40:00</t>
  </si>
  <si>
    <t>LD-302809</t>
  </si>
  <si>
    <t>2025-10-22 18:44:00</t>
  </si>
  <si>
    <t>LD-302810</t>
  </si>
  <si>
    <t>2025-04-17 19:57:00</t>
  </si>
  <si>
    <t>LD-302811</t>
  </si>
  <si>
    <t>2025-07-19 08:55:00</t>
  </si>
  <si>
    <t>LD-302812</t>
  </si>
  <si>
    <t>2025-12-03 11:21:00</t>
  </si>
  <si>
    <t>2025-12-19 06:03:44.994916</t>
  </si>
  <si>
    <t>LD-302813</t>
  </si>
  <si>
    <t>2025-05-26 20:31:00</t>
  </si>
  <si>
    <t>LD-302814</t>
  </si>
  <si>
    <t>2026-06-17 14:16:00</t>
  </si>
  <si>
    <t>LD-302815</t>
  </si>
  <si>
    <t>2025-11-08 10:34:00</t>
  </si>
  <si>
    <t>LD-302816</t>
  </si>
  <si>
    <t>2026-06-05 09:18:00</t>
  </si>
  <si>
    <t>2026-07-19 20:03:21.355335</t>
  </si>
  <si>
    <t>LD-302817</t>
  </si>
  <si>
    <t>2025-11-18 13:40:00</t>
  </si>
  <si>
    <t>2025-12-24 18:14:18.549093</t>
  </si>
  <si>
    <t>LD-302818</t>
  </si>
  <si>
    <t>2025-01-20 11:59:00</t>
  </si>
  <si>
    <t>2025-02-18 12:51:20.418953</t>
  </si>
  <si>
    <t>LD-302819</t>
  </si>
  <si>
    <t>2025-08-07 11:15:00</t>
  </si>
  <si>
    <t>LD-302820</t>
  </si>
  <si>
    <t>2026-04-22 08:52:00</t>
  </si>
  <si>
    <t>LD-302821</t>
  </si>
  <si>
    <t>2025-05-30 14:29:00</t>
  </si>
  <si>
    <t>2025-06-24 08:04:14.798217</t>
  </si>
  <si>
    <t>LD-302822</t>
  </si>
  <si>
    <t>2025-08-22 13:50:00</t>
  </si>
  <si>
    <t>2025-09-18 22:59:44.613583</t>
  </si>
  <si>
    <t>LD-302823</t>
  </si>
  <si>
    <t>2025-08-18 12:33:00</t>
  </si>
  <si>
    <t>LD-302824</t>
  </si>
  <si>
    <t>2026-06-24 16:53:00</t>
  </si>
  <si>
    <t>LD-302825</t>
  </si>
  <si>
    <t>2026-03-03 12:39:00</t>
  </si>
  <si>
    <t>2026-04-14 22:27:55.150239</t>
  </si>
  <si>
    <t>LD-302826</t>
  </si>
  <si>
    <t>2026-06-26 14:06:00</t>
  </si>
  <si>
    <t>LD-302827</t>
  </si>
  <si>
    <t>2025-05-28 12:55:00</t>
  </si>
  <si>
    <t>LD-302828</t>
  </si>
  <si>
    <t>2025-12-02 11:26:00</t>
  </si>
  <si>
    <t>LD-302829</t>
  </si>
  <si>
    <t>2026-06-01 20:55:00</t>
  </si>
  <si>
    <t>LD-302830</t>
  </si>
  <si>
    <t>2025-02-26 18:18:00</t>
  </si>
  <si>
    <t>LD-302831</t>
  </si>
  <si>
    <t>2025-05-28 09:18:00</t>
  </si>
  <si>
    <t>LD-302832</t>
  </si>
  <si>
    <t>2025-03-17 16:45:00</t>
  </si>
  <si>
    <t>LD-302833</t>
  </si>
  <si>
    <t>2025-09-29 08:44:00</t>
  </si>
  <si>
    <t>2025-11-09 09:32:13.380354</t>
  </si>
  <si>
    <t>LD-302834</t>
  </si>
  <si>
    <t>2025-08-09 20:55:00</t>
  </si>
  <si>
    <t>LD-302835</t>
  </si>
  <si>
    <t>2025-05-07 16:32:00</t>
  </si>
  <si>
    <t>2025-06-01 02:28:43.996091</t>
  </si>
  <si>
    <t>LD-302836</t>
  </si>
  <si>
    <t>2026-03-12 10:55:00</t>
  </si>
  <si>
    <t>LD-302837</t>
  </si>
  <si>
    <t>2025-02-19 09:06:00</t>
  </si>
  <si>
    <t>LD-302838</t>
  </si>
  <si>
    <t>2025-04-28 08:19:00</t>
  </si>
  <si>
    <t>LD-302839</t>
  </si>
  <si>
    <t>2026-01-07 08:59:00</t>
  </si>
  <si>
    <t>2026-02-21 23:57:53.930477</t>
  </si>
  <si>
    <t>LD-302840</t>
  </si>
  <si>
    <t>2025-09-24 08:07:00</t>
  </si>
  <si>
    <t>2025-10-19 17:46:00.473807</t>
  </si>
  <si>
    <t>LD-302841</t>
  </si>
  <si>
    <t>2026-06-01 11:06:00</t>
  </si>
  <si>
    <t>LD-302842</t>
  </si>
  <si>
    <t>2025-02-18 16:02:00</t>
  </si>
  <si>
    <t>2025-03-27 21:37:12.922280</t>
  </si>
  <si>
    <t>LD-302843</t>
  </si>
  <si>
    <t>2025-04-19 07:20:00</t>
  </si>
  <si>
    <t>2025-05-30 10:34:34.855731</t>
  </si>
  <si>
    <t>LD-302844</t>
  </si>
  <si>
    <t>2025-10-31 16:22:00</t>
  </si>
  <si>
    <t>LD-302845</t>
  </si>
  <si>
    <t>2025-01-26 13:30:00</t>
  </si>
  <si>
    <t>LD-302846</t>
  </si>
  <si>
    <t>2025-02-05 19:48:00</t>
  </si>
  <si>
    <t>2025-03-17 01:49:34.945588</t>
  </si>
  <si>
    <t>LD-302847</t>
  </si>
  <si>
    <t>2025-12-02 13:39:00</t>
  </si>
  <si>
    <t>2025-12-28 10:49:56.580862</t>
  </si>
  <si>
    <t>LD-302848</t>
  </si>
  <si>
    <t>2025-06-06 11:31:00</t>
  </si>
  <si>
    <t>LD-302849</t>
  </si>
  <si>
    <t>2025-09-19 13:10:00</t>
  </si>
  <si>
    <t>LD-302850</t>
  </si>
  <si>
    <t>2025-01-13 09:29:00</t>
  </si>
  <si>
    <t>2025-02-01 09:51:03.700802</t>
  </si>
  <si>
    <t>LD-302851</t>
  </si>
  <si>
    <t>2026-04-10 15:26:00</t>
  </si>
  <si>
    <t>2026-05-15 20:52:30.389782</t>
  </si>
  <si>
    <t>LD-302852</t>
  </si>
  <si>
    <t>2025-09-12 18:50:00</t>
  </si>
  <si>
    <t>LD-302853</t>
  </si>
  <si>
    <t>2026-04-12 09:31:00</t>
  </si>
  <si>
    <t>LD-302854</t>
  </si>
  <si>
    <t>2025-04-25 08:09:00</t>
  </si>
  <si>
    <t>LD-302855</t>
  </si>
  <si>
    <t>2025-03-28 20:28:00</t>
  </si>
  <si>
    <t>2025-05-11 02:37:28.494989</t>
  </si>
  <si>
    <t>LD-302856</t>
  </si>
  <si>
    <t>2025-03-07 15:22:00</t>
  </si>
  <si>
    <t>2025-03-30 17:02:03.298739</t>
  </si>
  <si>
    <t>LD-302857</t>
  </si>
  <si>
    <t>2026-01-21 11:28:00</t>
  </si>
  <si>
    <t>LD-302858</t>
  </si>
  <si>
    <t>2025-04-06 14:32:00</t>
  </si>
  <si>
    <t>LD-302859</t>
  </si>
  <si>
    <t>2026-05-04 13:18:00</t>
  </si>
  <si>
    <t>LD-302860</t>
  </si>
  <si>
    <t>2025-05-22 19:31:00</t>
  </si>
  <si>
    <t>2025-06-23 11:55:25.292017</t>
  </si>
  <si>
    <t>LD-302861</t>
  </si>
  <si>
    <t>2025-06-02 19:10:00</t>
  </si>
  <si>
    <t>LD-302862</t>
  </si>
  <si>
    <t>2026-05-08 12:38:00</t>
  </si>
  <si>
    <t>LD-302863</t>
  </si>
  <si>
    <t>2025-06-16 09:46:00</t>
  </si>
  <si>
    <t>LD-302864</t>
  </si>
  <si>
    <t>2025-03-08 08:05:00</t>
  </si>
  <si>
    <t>2025-03-30 21:09:54.868762</t>
  </si>
  <si>
    <t>LD-302865</t>
  </si>
  <si>
    <t>2025-03-22 12:24:00</t>
  </si>
  <si>
    <t>LD-302866</t>
  </si>
  <si>
    <t>2026-03-01 08:53:00</t>
  </si>
  <si>
    <t>LD-302867</t>
  </si>
  <si>
    <t>2025-06-01 17:51:00</t>
  </si>
  <si>
    <t>LD-302868</t>
  </si>
  <si>
    <t>2025-11-07 20:30:00</t>
  </si>
  <si>
    <t>LD-302869</t>
  </si>
  <si>
    <t>2025-11-27 19:53:00</t>
  </si>
  <si>
    <t>LD-302870</t>
  </si>
  <si>
    <t>2026-03-17 13:33:00</t>
  </si>
  <si>
    <t>2026-04-08 09:26:51.670005</t>
  </si>
  <si>
    <t>LD-302871</t>
  </si>
  <si>
    <t>2025-05-01 20:08:00</t>
  </si>
  <si>
    <t>LD-302872</t>
  </si>
  <si>
    <t>2025-03-07 14:55:00</t>
  </si>
  <si>
    <t>2025-04-03 20:03:47.845237</t>
  </si>
  <si>
    <t>LD-302873</t>
  </si>
  <si>
    <t>2025-08-25 15:25:00</t>
  </si>
  <si>
    <t>LD-302874</t>
  </si>
  <si>
    <t>2025-07-15 11:33:00</t>
  </si>
  <si>
    <t>2025-09-07 05:39:56.920475</t>
  </si>
  <si>
    <t>LD-302875</t>
  </si>
  <si>
    <t>2025-02-01 07:46:00</t>
  </si>
  <si>
    <t>2025-03-06 23:37:19.492088</t>
  </si>
  <si>
    <t>LD-302876</t>
  </si>
  <si>
    <t>2025-02-04 20:43:00</t>
  </si>
  <si>
    <t>LD-302877</t>
  </si>
  <si>
    <t>2025-12-19 20:41:00</t>
  </si>
  <si>
    <t>LD-302878</t>
  </si>
  <si>
    <t>2025-08-06 09:45:00</t>
  </si>
  <si>
    <t>LD-302879</t>
  </si>
  <si>
    <t>2025-12-09 07:59:00</t>
  </si>
  <si>
    <t>LD-302880</t>
  </si>
  <si>
    <t>2025-09-20 15:07:00</t>
  </si>
  <si>
    <t>LD-302881</t>
  </si>
  <si>
    <t>2026-03-11 16:07:00</t>
  </si>
  <si>
    <t>LD-302882</t>
  </si>
  <si>
    <t>2025-04-14 12:32:00</t>
  </si>
  <si>
    <t>LD-302883</t>
  </si>
  <si>
    <t>2025-02-26 19:18:00</t>
  </si>
  <si>
    <t>2025-04-13 19:27:29.721894</t>
  </si>
  <si>
    <t>LD-302884</t>
  </si>
  <si>
    <t>2025-06-03 08:12:00</t>
  </si>
  <si>
    <t>LD-302885</t>
  </si>
  <si>
    <t>2026-01-02 15:31:00</t>
  </si>
  <si>
    <t>2026-02-04 17:32:55.917991</t>
  </si>
  <si>
    <t>LD-302886</t>
  </si>
  <si>
    <t>2025-02-01 10:53:00</t>
  </si>
  <si>
    <t>LD-302887</t>
  </si>
  <si>
    <t>2026-01-30 10:05:00</t>
  </si>
  <si>
    <t>LD-302888</t>
  </si>
  <si>
    <t>2026-01-22 12:04:00</t>
  </si>
  <si>
    <t>LD-302889</t>
  </si>
  <si>
    <t>2025-02-07 18:46:00</t>
  </si>
  <si>
    <t>2025-03-25 04:36:25.912074</t>
  </si>
  <si>
    <t>LD-302890</t>
  </si>
  <si>
    <t>2025-07-04 07:10:00</t>
  </si>
  <si>
    <t>2025-08-15 14:10:00.752658</t>
  </si>
  <si>
    <t>LD-302891</t>
  </si>
  <si>
    <t>2025-12-01 19:15:00</t>
  </si>
  <si>
    <t>LD-302892</t>
  </si>
  <si>
    <t>2025-05-23 15:29:00</t>
  </si>
  <si>
    <t>LD-302893</t>
  </si>
  <si>
    <t>2025-07-07 07:58:00</t>
  </si>
  <si>
    <t>LD-302894</t>
  </si>
  <si>
    <t>2025-12-17 11:26:00</t>
  </si>
  <si>
    <t>LD-302895</t>
  </si>
  <si>
    <t>2026-03-24 12:48:00</t>
  </si>
  <si>
    <t>2026-05-01 08:49:25.677182</t>
  </si>
  <si>
    <t>LD-302896</t>
  </si>
  <si>
    <t>2026-01-27 14:15:00</t>
  </si>
  <si>
    <t>LD-302897</t>
  </si>
  <si>
    <t>2025-04-28 14:33:00</t>
  </si>
  <si>
    <t>LD-302898</t>
  </si>
  <si>
    <t>2026-02-12 19:56:00</t>
  </si>
  <si>
    <t>2026-03-12 10:08:10.632151</t>
  </si>
  <si>
    <t>LD-302899</t>
  </si>
  <si>
    <t>2025-05-22 12:27:00</t>
  </si>
  <si>
    <t>LD-302900</t>
  </si>
  <si>
    <t>2025-01-08 18:11:00</t>
  </si>
  <si>
    <t>LD-302901</t>
  </si>
  <si>
    <t>2026-02-26 07:45:00</t>
  </si>
  <si>
    <t>LD-302902</t>
  </si>
  <si>
    <t>2025-12-11 10:27:00</t>
  </si>
  <si>
    <t>LD-302903</t>
  </si>
  <si>
    <t>2025-05-12 08:03:00</t>
  </si>
  <si>
    <t>LD-302904</t>
  </si>
  <si>
    <t>2026-03-13 12:03:00</t>
  </si>
  <si>
    <t>LD-302905</t>
  </si>
  <si>
    <t>2025-12-26 09:32:00</t>
  </si>
  <si>
    <t>LD-302906</t>
  </si>
  <si>
    <t>2026-01-26 08:13:00</t>
  </si>
  <si>
    <t>LD-302907</t>
  </si>
  <si>
    <t>2025-06-13 07:42:00</t>
  </si>
  <si>
    <t>2025-07-18 03:38:15.838062</t>
  </si>
  <si>
    <t>LD-302908</t>
  </si>
  <si>
    <t>2025-07-04 10:21:00</t>
  </si>
  <si>
    <t>LD-302909</t>
  </si>
  <si>
    <t>2025-03-06 14:14:00</t>
  </si>
  <si>
    <t>LD-302910</t>
  </si>
  <si>
    <t>2025-07-10 16:02:00</t>
  </si>
  <si>
    <t>LD-302911</t>
  </si>
  <si>
    <t>2025-11-18 16:51:00</t>
  </si>
  <si>
    <t>LD-302912</t>
  </si>
  <si>
    <t>2026-04-24 08:02:00</t>
  </si>
  <si>
    <t>LD-302913</t>
  </si>
  <si>
    <t>2025-12-16 18:54:00</t>
  </si>
  <si>
    <t>LD-302914</t>
  </si>
  <si>
    <t>2025-07-10 09:30:00</t>
  </si>
  <si>
    <t>LD-302915</t>
  </si>
  <si>
    <t>2025-07-23 12:23:00</t>
  </si>
  <si>
    <t>2025-08-29 08:37:08.191007</t>
  </si>
  <si>
    <t>LD-302916</t>
  </si>
  <si>
    <t>2025-07-18 20:03:00</t>
  </si>
  <si>
    <t>2025-08-26 03:41:42.390305</t>
  </si>
  <si>
    <t>LD-302917</t>
  </si>
  <si>
    <t>2025-06-06 10:10:00</t>
  </si>
  <si>
    <t>LD-302918</t>
  </si>
  <si>
    <t>2025-12-17 12:07:00</t>
  </si>
  <si>
    <t>2026-01-27 14:40:08.225944</t>
  </si>
  <si>
    <t>LD-302919</t>
  </si>
  <si>
    <t>2026-05-06 18:09:00</t>
  </si>
  <si>
    <t>2026-06-15 07:40:45.121014</t>
  </si>
  <si>
    <t>LD-302920</t>
  </si>
  <si>
    <t>2026-01-12 13:00:00</t>
  </si>
  <si>
    <t>2026-02-21 12:04:32.210931</t>
  </si>
  <si>
    <t>LD-302921</t>
  </si>
  <si>
    <t>2025-02-27 20:57:00</t>
  </si>
  <si>
    <t>LD-302922</t>
  </si>
  <si>
    <t>2026-06-29 17:57:00</t>
  </si>
  <si>
    <t>2026-08-05 02:48:56.189327</t>
  </si>
  <si>
    <t>LD-302923</t>
  </si>
  <si>
    <t>2026-04-15 19:08:00</t>
  </si>
  <si>
    <t>LD-302924</t>
  </si>
  <si>
    <t>2025-03-18 08:48:00</t>
  </si>
  <si>
    <t>2025-05-06 15:48:54.972038</t>
  </si>
  <si>
    <t>LD-302925</t>
  </si>
  <si>
    <t>2025-03-04 14:20:00</t>
  </si>
  <si>
    <t>LD-302926</t>
  </si>
  <si>
    <t>2025-02-06 13:45:00</t>
  </si>
  <si>
    <t>LD-302927</t>
  </si>
  <si>
    <t>2025-02-16 07:11:00</t>
  </si>
  <si>
    <t>LD-302928</t>
  </si>
  <si>
    <t>2026-06-10 20:12:00</t>
  </si>
  <si>
    <t>LD-302929</t>
  </si>
  <si>
    <t>2026-05-02 08:35:00</t>
  </si>
  <si>
    <t>LD-302930</t>
  </si>
  <si>
    <t>2025-11-25 13:35:00</t>
  </si>
  <si>
    <t>2026-01-10 15:23:49.419039</t>
  </si>
  <si>
    <t>LD-302931</t>
  </si>
  <si>
    <t>2026-06-09 17:27:00</t>
  </si>
  <si>
    <t>2026-07-19 20:41:39.969312</t>
  </si>
  <si>
    <t>LD-302932</t>
  </si>
  <si>
    <t>2025-10-11 16:58:00</t>
  </si>
  <si>
    <t>LD-302933</t>
  </si>
  <si>
    <t>2026-01-16 17:03:00</t>
  </si>
  <si>
    <t>LD-302934</t>
  </si>
  <si>
    <t>2025-05-16 19:09:00</t>
  </si>
  <si>
    <t>2025-06-04 08:12:59.754655</t>
  </si>
  <si>
    <t>LD-302935</t>
  </si>
  <si>
    <t>2025-02-14 09:26:00</t>
  </si>
  <si>
    <t>2025-03-23 16:52:09.536399</t>
  </si>
  <si>
    <t>LD-302936</t>
  </si>
  <si>
    <t>2025-06-09 12:59:00</t>
  </si>
  <si>
    <t>LD-302937</t>
  </si>
  <si>
    <t>2025-04-11 07:57:00</t>
  </si>
  <si>
    <t>2025-06-23 03:45:16.675768</t>
  </si>
  <si>
    <t>LD-302938</t>
  </si>
  <si>
    <t>2025-08-17 18:43:00</t>
  </si>
  <si>
    <t>LD-302939</t>
  </si>
  <si>
    <t>2026-06-27 14:48:00</t>
  </si>
  <si>
    <t>LD-302940</t>
  </si>
  <si>
    <t>2025-06-20 12:59:00</t>
  </si>
  <si>
    <t>2025-07-18 15:41:34.552797</t>
  </si>
  <si>
    <t>LD-302941</t>
  </si>
  <si>
    <t>2025-06-04 11:39:00</t>
  </si>
  <si>
    <t>2025-07-13 23:49:10.639237</t>
  </si>
  <si>
    <t>LD-302942</t>
  </si>
  <si>
    <t>2026-05-10 16:58:00</t>
  </si>
  <si>
    <t>2026-05-31 19:01:02.469840</t>
  </si>
  <si>
    <t>LD-302943</t>
  </si>
  <si>
    <t>2025-09-26 13:48:00</t>
  </si>
  <si>
    <t>2025-11-17 04:07:02.545173</t>
  </si>
  <si>
    <t>LD-302944</t>
  </si>
  <si>
    <t>2025-09-05 10:57:00</t>
  </si>
  <si>
    <t>2025-10-09 23:19:35.161284</t>
  </si>
  <si>
    <t>LD-302945</t>
  </si>
  <si>
    <t>2025-08-19 12:40:00</t>
  </si>
  <si>
    <t>2025-10-05 06:10:58.504881</t>
  </si>
  <si>
    <t>LD-302946</t>
  </si>
  <si>
    <t>2025-10-20 18:27:00</t>
  </si>
  <si>
    <t>LD-302947</t>
  </si>
  <si>
    <t>2026-04-12 14:07:00</t>
  </si>
  <si>
    <t>LD-302948</t>
  </si>
  <si>
    <t>2025-08-18 18:28:00</t>
  </si>
  <si>
    <t>LD-302949</t>
  </si>
  <si>
    <t>2025-03-28 07:02:00</t>
  </si>
  <si>
    <t>LD-302950</t>
  </si>
  <si>
    <t>2026-02-23 19:49:00</t>
  </si>
  <si>
    <t>LD-302951</t>
  </si>
  <si>
    <t>2026-03-25 07:33:00</t>
  </si>
  <si>
    <t>LD-302952</t>
  </si>
  <si>
    <t>2025-12-10 22:29:01.578668</t>
  </si>
  <si>
    <t>LD-302953</t>
  </si>
  <si>
    <t>2026-06-15 09:45:00</t>
  </si>
  <si>
    <t>LD-302954</t>
  </si>
  <si>
    <t>2025-05-02 10:17:00</t>
  </si>
  <si>
    <t>2025-06-03 20:58:36.644075</t>
  </si>
  <si>
    <t>LD-302955</t>
  </si>
  <si>
    <t>2026-06-25 14:35:00</t>
  </si>
  <si>
    <t>LD-302956</t>
  </si>
  <si>
    <t>2025-11-22 11:07:00</t>
  </si>
  <si>
    <t>2025-12-30 09:12:06.234667</t>
  </si>
  <si>
    <t>LD-302957</t>
  </si>
  <si>
    <t>2025-10-17 20:53:00</t>
  </si>
  <si>
    <t>LD-302958</t>
  </si>
  <si>
    <t>2026-06-22 07:03:00</t>
  </si>
  <si>
    <t>2026-07-27 21:38:54.162548</t>
  </si>
  <si>
    <t>LD-302959</t>
  </si>
  <si>
    <t>2026-01-16 08:01:00</t>
  </si>
  <si>
    <t>2026-03-06 09:12:58.383231</t>
  </si>
  <si>
    <t>LD-302960</t>
  </si>
  <si>
    <t>2025-09-22 09:50:00</t>
  </si>
  <si>
    <t>LD-302961</t>
  </si>
  <si>
    <t>2025-08-15 14:41:00</t>
  </si>
  <si>
    <t>LD-302962</t>
  </si>
  <si>
    <t>2025-12-15 07:13:00</t>
  </si>
  <si>
    <t>LD-302963</t>
  </si>
  <si>
    <t>2025-03-22 07:25:00</t>
  </si>
  <si>
    <t>LD-302964</t>
  </si>
  <si>
    <t>2025-08-07 08:39:00</t>
  </si>
  <si>
    <t>2025-09-04 20:03:18.389224</t>
  </si>
  <si>
    <t>LD-302965</t>
  </si>
  <si>
    <t>2025-05-20 17:50:00</t>
  </si>
  <si>
    <t>LD-302966</t>
  </si>
  <si>
    <t>2025-10-10 09:17:00</t>
  </si>
  <si>
    <t>LD-302967</t>
  </si>
  <si>
    <t>2026-02-25 08:58:00</t>
  </si>
  <si>
    <t>2026-04-09 00:40:05.327692</t>
  </si>
  <si>
    <t>LD-302968</t>
  </si>
  <si>
    <t>2025-01-24 16:38:00</t>
  </si>
  <si>
    <t>LD-302969</t>
  </si>
  <si>
    <t>2025-06-18 10:03:00</t>
  </si>
  <si>
    <t>2025-07-22 03:49:46.837582</t>
  </si>
  <si>
    <t>LD-302970</t>
  </si>
  <si>
    <t>2026-05-13 19:37:00</t>
  </si>
  <si>
    <t>LD-302971</t>
  </si>
  <si>
    <t>2025-01-23 11:34:00</t>
  </si>
  <si>
    <t>2025-02-26 05:49:07.893482</t>
  </si>
  <si>
    <t>LD-302972</t>
  </si>
  <si>
    <t>2026-06-07 18:57:00</t>
  </si>
  <si>
    <t>LD-302973</t>
  </si>
  <si>
    <t>2026-05-22 08:51:00</t>
  </si>
  <si>
    <t>LD-302974</t>
  </si>
  <si>
    <t>2026-03-27 13:51:00</t>
  </si>
  <si>
    <t>LD-302975</t>
  </si>
  <si>
    <t>2025-09-26 08:47:00</t>
  </si>
  <si>
    <t>LD-302976</t>
  </si>
  <si>
    <t>2025-06-11 12:32:00</t>
  </si>
  <si>
    <t>LD-302977</t>
  </si>
  <si>
    <t>2025-01-17 15:29:00</t>
  </si>
  <si>
    <t>2025-03-03 06:32:07.373119</t>
  </si>
  <si>
    <t>LD-302978</t>
  </si>
  <si>
    <t>2025-08-06 08:57:00</t>
  </si>
  <si>
    <t>LD-302979</t>
  </si>
  <si>
    <t>2026-01-02 17:45:00</t>
  </si>
  <si>
    <t>2026-02-08 23:52:59.349416</t>
  </si>
  <si>
    <t>LD-302980</t>
  </si>
  <si>
    <t>2025-09-22 16:07:00</t>
  </si>
  <si>
    <t>LD-302981</t>
  </si>
  <si>
    <t>2025-06-11 11:07:00</t>
  </si>
  <si>
    <t>LD-302982</t>
  </si>
  <si>
    <t>2025-10-08 10:29:00</t>
  </si>
  <si>
    <t>2025-11-28 14:17:09.205832</t>
  </si>
  <si>
    <t>LD-302983</t>
  </si>
  <si>
    <t>2025-05-02 08:09:00</t>
  </si>
  <si>
    <t>2025-06-19 19:09:43.964835</t>
  </si>
  <si>
    <t>LD-302984</t>
  </si>
  <si>
    <t>2025-03-14 17:01:00</t>
  </si>
  <si>
    <t>2025-04-11 10:33:53.901675</t>
  </si>
  <si>
    <t>LD-302985</t>
  </si>
  <si>
    <t>2025-04-16 10:15:00</t>
  </si>
  <si>
    <t>LD-302986</t>
  </si>
  <si>
    <t>2025-08-15 13:31:00</t>
  </si>
  <si>
    <t>2025-09-14 12:52:38.701390</t>
  </si>
  <si>
    <t>LD-302987</t>
  </si>
  <si>
    <t>2026-02-13 07:03:00</t>
  </si>
  <si>
    <t>LD-302988</t>
  </si>
  <si>
    <t>2026-05-31 07:21:00</t>
  </si>
  <si>
    <t>LD-302989</t>
  </si>
  <si>
    <t>2025-09-22 16:27:00</t>
  </si>
  <si>
    <t>2025-11-04 10:51:43.109911</t>
  </si>
  <si>
    <t>LD-302990</t>
  </si>
  <si>
    <t>2025-04-27 16:17:00</t>
  </si>
  <si>
    <t>LD-302991</t>
  </si>
  <si>
    <t>2026-04-03 07:46:00</t>
  </si>
  <si>
    <t>LD-302992</t>
  </si>
  <si>
    <t>2026-06-16 07:49:00</t>
  </si>
  <si>
    <t>LD-302993</t>
  </si>
  <si>
    <t>2025-05-23 09:45:00</t>
  </si>
  <si>
    <t>2025-07-04 23:20:07.198426</t>
  </si>
  <si>
    <t>LD-302994</t>
  </si>
  <si>
    <t>2026-02-05 12:35:00</t>
  </si>
  <si>
    <t>LD-302995</t>
  </si>
  <si>
    <t>2025-03-26 07:03:00</t>
  </si>
  <si>
    <t>LD-302996</t>
  </si>
  <si>
    <t>2025-02-03 11:05:00</t>
  </si>
  <si>
    <t>2025-03-08 07:17:13.130825</t>
  </si>
  <si>
    <t>LD-302997</t>
  </si>
  <si>
    <t>2025-02-04 18:27:00</t>
  </si>
  <si>
    <t>2025-03-20 14:39:29.793023</t>
  </si>
  <si>
    <t>LD-302998</t>
  </si>
  <si>
    <t>2026-06-01 13:47:00</t>
  </si>
  <si>
    <t>LD-302999</t>
  </si>
  <si>
    <t>2025-03-08 17:34:00</t>
  </si>
  <si>
    <t>LD-303000</t>
  </si>
  <si>
    <t>2025-08-28 15:30:00</t>
  </si>
  <si>
    <t>2025-10-09 08:21:20.925436</t>
  </si>
  <si>
    <t>LD-303001</t>
  </si>
  <si>
    <t>2025-11-05 20:01:00</t>
  </si>
  <si>
    <t>LD-303002</t>
  </si>
  <si>
    <t>2026-06-02 14:04:00</t>
  </si>
  <si>
    <t>2026-07-24 13:55:06.577507</t>
  </si>
  <si>
    <t>LD-303003</t>
  </si>
  <si>
    <t>2026-02-24 07:52:00</t>
  </si>
  <si>
    <t>LD-303004</t>
  </si>
  <si>
    <t>2025-09-26 13:37:00</t>
  </si>
  <si>
    <t>LD-303005</t>
  </si>
  <si>
    <t>2026-04-01 12:21:00</t>
  </si>
  <si>
    <t>LD-303006</t>
  </si>
  <si>
    <t>2025-05-18 10:23:00</t>
  </si>
  <si>
    <t>LD-303007</t>
  </si>
  <si>
    <t>2025-05-26 11:40:00</t>
  </si>
  <si>
    <t>LD-303008</t>
  </si>
  <si>
    <t>2025-01-15 09:39:00</t>
  </si>
  <si>
    <t>LD-303009</t>
  </si>
  <si>
    <t>2026-06-20 10:43:00</t>
  </si>
  <si>
    <t>LD-303010</t>
  </si>
  <si>
    <t>2025-12-01 14:38:00</t>
  </si>
  <si>
    <t>LD-303011</t>
  </si>
  <si>
    <t>2025-02-04 10:53:00</t>
  </si>
  <si>
    <t>2025-03-11 01:17:16.612080</t>
  </si>
  <si>
    <t>LD-303012</t>
  </si>
  <si>
    <t>2025-05-22 08:21:00</t>
  </si>
  <si>
    <t>LD-303013</t>
  </si>
  <si>
    <t>2026-05-15 09:26:00</t>
  </si>
  <si>
    <t>LD-303014</t>
  </si>
  <si>
    <t>2025-06-03 19:02:00</t>
  </si>
  <si>
    <t>LD-303015</t>
  </si>
  <si>
    <t>2025-01-24 17:11:00</t>
  </si>
  <si>
    <t>2025-03-02 22:29:17.522817</t>
  </si>
  <si>
    <t>LD-303016</t>
  </si>
  <si>
    <t>2026-06-18 20:38:00</t>
  </si>
  <si>
    <t>LD-303017</t>
  </si>
  <si>
    <t>2025-04-28 19:46:00</t>
  </si>
  <si>
    <t>2025-06-06 19:50:48.108781</t>
  </si>
  <si>
    <t>LD-303018</t>
  </si>
  <si>
    <t>2026-05-08 07:01:00</t>
  </si>
  <si>
    <t>2026-06-11 05:50:42.989168</t>
  </si>
  <si>
    <t>LD-303019</t>
  </si>
  <si>
    <t>2026-06-11 08:12:00</t>
  </si>
  <si>
    <t>2026-08-02 13:09:44.448136</t>
  </si>
  <si>
    <t>LD-303020</t>
  </si>
  <si>
    <t>2026-06-26 19:41:00</t>
  </si>
  <si>
    <t>2026-08-07 00:03:33.896932</t>
  </si>
  <si>
    <t>LD-303021</t>
  </si>
  <si>
    <t>2025-09-19 19:31:00</t>
  </si>
  <si>
    <t>LD-303022</t>
  </si>
  <si>
    <t>2025-09-22 13:48:00</t>
  </si>
  <si>
    <t>LD-303023</t>
  </si>
  <si>
    <t>2026-06-26 16:45:00</t>
  </si>
  <si>
    <t>2026-08-08 14:26:37.426682</t>
  </si>
  <si>
    <t>LD-303024</t>
  </si>
  <si>
    <t>2026-02-06 12:26:00</t>
  </si>
  <si>
    <t>2026-03-27 19:43:13.776047</t>
  </si>
  <si>
    <t>LD-303025</t>
  </si>
  <si>
    <t>2025-07-11 18:59:00</t>
  </si>
  <si>
    <t>LD-303026</t>
  </si>
  <si>
    <t>2025-09-29 09:40:00</t>
  </si>
  <si>
    <t>LD-303027</t>
  </si>
  <si>
    <t>2026-01-05 07:16:00</t>
  </si>
  <si>
    <t>LD-303028</t>
  </si>
  <si>
    <t>2025-05-07 11:24:00</t>
  </si>
  <si>
    <t>LD-303029</t>
  </si>
  <si>
    <t>2025-03-21 12:49:00</t>
  </si>
  <si>
    <t>LD-303030</t>
  </si>
  <si>
    <t>2025-02-07 17:24:00</t>
  </si>
  <si>
    <t>LD-303031</t>
  </si>
  <si>
    <t>2025-05-28 16:43:00</t>
  </si>
  <si>
    <t>LD-303032</t>
  </si>
  <si>
    <t>2026-04-10 12:53:00</t>
  </si>
  <si>
    <t>LD-303033</t>
  </si>
  <si>
    <t>2026-04-07 15:50:00</t>
  </si>
  <si>
    <t>LD-303034</t>
  </si>
  <si>
    <t>2025-11-07 20:40:00</t>
  </si>
  <si>
    <t>LD-303035</t>
  </si>
  <si>
    <t>2025-03-19 18:24:00</t>
  </si>
  <si>
    <t>2025-05-07 01:46:33.361699</t>
  </si>
  <si>
    <t>LD-303036</t>
  </si>
  <si>
    <t>2025-07-26 13:27:00</t>
  </si>
  <si>
    <t>LD-303037</t>
  </si>
  <si>
    <t>2026-06-05 13:26:00</t>
  </si>
  <si>
    <t>2026-07-24 09:52:22.036288</t>
  </si>
  <si>
    <t>LD-303038</t>
  </si>
  <si>
    <t>2025-03-18 16:12:00</t>
  </si>
  <si>
    <t>2025-04-06 21:05:15.381130</t>
  </si>
  <si>
    <t>LD-303039</t>
  </si>
  <si>
    <t>2025-06-13 18:57:00</t>
  </si>
  <si>
    <t>LD-303040</t>
  </si>
  <si>
    <t>2025-08-24 09:47:00</t>
  </si>
  <si>
    <t>LD-303041</t>
  </si>
  <si>
    <t>2025-07-14 20:37:00</t>
  </si>
  <si>
    <t>LD-303042</t>
  </si>
  <si>
    <t>2025-08-04 07:40:00</t>
  </si>
  <si>
    <t>2025-09-11 12:13:32.013048</t>
  </si>
  <si>
    <t>LD-303043</t>
  </si>
  <si>
    <t>2025-03-28 16:07:00</t>
  </si>
  <si>
    <t>LD-303044</t>
  </si>
  <si>
    <t>2025-06-20 08:22:00</t>
  </si>
  <si>
    <t>LD-303045</t>
  </si>
  <si>
    <t>2025-07-13 07:04:00</t>
  </si>
  <si>
    <t>LD-303046</t>
  </si>
  <si>
    <t>2025-08-19 19:58:00</t>
  </si>
  <si>
    <t>2025-09-13 13:07:46.944593</t>
  </si>
  <si>
    <t>LD-303047</t>
  </si>
  <si>
    <t>2025-09-05 19:39:00</t>
  </si>
  <si>
    <t>LD-303048</t>
  </si>
  <si>
    <t>2026-05-29 20:21:00</t>
  </si>
  <si>
    <t>LD-303049</t>
  </si>
  <si>
    <t>2026-06-27 17:54:00</t>
  </si>
  <si>
    <t>2026-07-27 14:47:43.991401</t>
  </si>
  <si>
    <t>LD-303050</t>
  </si>
  <si>
    <t>2025-04-15 13:59:00</t>
  </si>
  <si>
    <t>LD-303051</t>
  </si>
  <si>
    <t>2025-05-02 16:33:00</t>
  </si>
  <si>
    <t>LD-303052</t>
  </si>
  <si>
    <t>2025-11-28 10:05:00</t>
  </si>
  <si>
    <t>LD-303053</t>
  </si>
  <si>
    <t>2026-06-23 09:16:00</t>
  </si>
  <si>
    <t>2026-07-30 12:03:19.092902</t>
  </si>
  <si>
    <t>LD-303054</t>
  </si>
  <si>
    <t>2025-09-19 12:13:00</t>
  </si>
  <si>
    <t>LD-303055</t>
  </si>
  <si>
    <t>2026-03-03 17:14:00</t>
  </si>
  <si>
    <t>2026-04-19 12:39:40.567921</t>
  </si>
  <si>
    <t>LD-303056</t>
  </si>
  <si>
    <t>2025-10-22 11:34:00</t>
  </si>
  <si>
    <t>2025-12-09 13:36:21.931303</t>
  </si>
  <si>
    <t>LD-303057</t>
  </si>
  <si>
    <t>2026-01-13 13:32:00</t>
  </si>
  <si>
    <t>LD-303058</t>
  </si>
  <si>
    <t>2025-04-25 07:22:00</t>
  </si>
  <si>
    <t>LD-303059</t>
  </si>
  <si>
    <t>2026-04-13 15:21:00</t>
  </si>
  <si>
    <t>2026-05-25 05:03:12.910969</t>
  </si>
  <si>
    <t>LD-303060</t>
  </si>
  <si>
    <t>2025-07-25 20:57:00</t>
  </si>
  <si>
    <t>LD-303061</t>
  </si>
  <si>
    <t>2026-01-21 18:06:00</t>
  </si>
  <si>
    <t>2026-03-09 17:11:27.648948</t>
  </si>
  <si>
    <t>LD-303062</t>
  </si>
  <si>
    <t>2026-04-02 14:07:00</t>
  </si>
  <si>
    <t>LD-303063</t>
  </si>
  <si>
    <t>2026-04-01 10:13:00</t>
  </si>
  <si>
    <t>2026-05-15 10:43:44.220336</t>
  </si>
  <si>
    <t>LD-303064</t>
  </si>
  <si>
    <t>2026-04-24 13:42:00</t>
  </si>
  <si>
    <t>LD-303065</t>
  </si>
  <si>
    <t>2026-01-14 10:52:00</t>
  </si>
  <si>
    <t>LD-303066</t>
  </si>
  <si>
    <t>2025-09-13 17:11:00</t>
  </si>
  <si>
    <t>2025-10-14 19:52:23.000022</t>
  </si>
  <si>
    <t>LD-303067</t>
  </si>
  <si>
    <t>2025-04-02 09:38:00</t>
  </si>
  <si>
    <t>2025-05-05 14:53:59.263409</t>
  </si>
  <si>
    <t>LD-303068</t>
  </si>
  <si>
    <t>2026-05-14 18:46:00</t>
  </si>
  <si>
    <t>2026-06-18 13:12:14.215462</t>
  </si>
  <si>
    <t>LD-303069</t>
  </si>
  <si>
    <t>2025-12-28 09:57:00</t>
  </si>
  <si>
    <t>2026-02-07 21:47:03.049761</t>
  </si>
  <si>
    <t>LD-303070</t>
  </si>
  <si>
    <t>2025-05-23 14:37:00</t>
  </si>
  <si>
    <t>LD-303071</t>
  </si>
  <si>
    <t>2025-06-13 18:27:00</t>
  </si>
  <si>
    <t>LD-303072</t>
  </si>
  <si>
    <t>2025-05-09 16:13:00</t>
  </si>
  <si>
    <t>LD-303073</t>
  </si>
  <si>
    <t>2025-03-21 20:17:00</t>
  </si>
  <si>
    <t>LD-303074</t>
  </si>
  <si>
    <t>2025-10-17 09:19:00</t>
  </si>
  <si>
    <t>LD-303075</t>
  </si>
  <si>
    <t>2026-05-15 09:38:00</t>
  </si>
  <si>
    <t>LD-303076</t>
  </si>
  <si>
    <t>2026-03-13 07:14:00</t>
  </si>
  <si>
    <t>2026-04-14 11:38:50.980916</t>
  </si>
  <si>
    <t>LD-303077</t>
  </si>
  <si>
    <t>2025-10-17 15:41:00</t>
  </si>
  <si>
    <t>LD-303078</t>
  </si>
  <si>
    <t>2025-03-28 19:34:00</t>
  </si>
  <si>
    <t>LD-303079</t>
  </si>
  <si>
    <t>2026-06-07 07:44:00</t>
  </si>
  <si>
    <t>2026-07-18 18:13:06.138589</t>
  </si>
  <si>
    <t>LD-303080</t>
  </si>
  <si>
    <t>2026-02-08 14:13:00</t>
  </si>
  <si>
    <t>LD-303081</t>
  </si>
  <si>
    <t>2025-03-18 11:49:00</t>
  </si>
  <si>
    <t>2025-05-12 02:05:35.339859</t>
  </si>
  <si>
    <t>LD-303082</t>
  </si>
  <si>
    <t>2025-01-16 18:32:00</t>
  </si>
  <si>
    <t>LD-303083</t>
  </si>
  <si>
    <t>2026-01-06 18:44:00</t>
  </si>
  <si>
    <t>2026-02-02 18:15:37.812747</t>
  </si>
  <si>
    <t>LD-303084</t>
  </si>
  <si>
    <t>2026-02-20 18:09:00</t>
  </si>
  <si>
    <t>LD-303085</t>
  </si>
  <si>
    <t>2025-08-13 18:56:00</t>
  </si>
  <si>
    <t>LD-303086</t>
  </si>
  <si>
    <t>2026-03-13 07:17:00</t>
  </si>
  <si>
    <t>LD-303087</t>
  </si>
  <si>
    <t>2026-06-08 17:45:00</t>
  </si>
  <si>
    <t>LD-303088</t>
  </si>
  <si>
    <t>2025-03-14 14:31:00</t>
  </si>
  <si>
    <t>LD-303089</t>
  </si>
  <si>
    <t>2025-07-04 17:02:00</t>
  </si>
  <si>
    <t>LD-303090</t>
  </si>
  <si>
    <t>2026-05-25 13:16:00</t>
  </si>
  <si>
    <t>2026-07-09 13:51:31.973235</t>
  </si>
  <si>
    <t>LD-303091</t>
  </si>
  <si>
    <t>2025-04-10 07:36:00</t>
  </si>
  <si>
    <t>2025-06-10 03:34:03.851611</t>
  </si>
  <si>
    <t>LD-303092</t>
  </si>
  <si>
    <t>2025-05-03 09:41:00</t>
  </si>
  <si>
    <t>LD-303093</t>
  </si>
  <si>
    <t>2026-02-27 07:33:00</t>
  </si>
  <si>
    <t>2026-04-16 05:11:54.779683</t>
  </si>
  <si>
    <t>LD-303094</t>
  </si>
  <si>
    <t>2026-05-02 07:07:00</t>
  </si>
  <si>
    <t>2026-06-14 16:27:24.506881</t>
  </si>
  <si>
    <t>LD-303095</t>
  </si>
  <si>
    <t>2025-11-28 12:56:00</t>
  </si>
  <si>
    <t>LD-303096</t>
  </si>
  <si>
    <t>2026-03-26 16:21:00</t>
  </si>
  <si>
    <t>LD-303097</t>
  </si>
  <si>
    <t>2025-01-22 09:45:00</t>
  </si>
  <si>
    <t>2025-03-04 10:46:07.399694</t>
  </si>
  <si>
    <t>LD-303098</t>
  </si>
  <si>
    <t>2025-09-10 07:51:00</t>
  </si>
  <si>
    <t>2025-10-19 09:25:31.736154</t>
  </si>
  <si>
    <t>LD-303099</t>
  </si>
  <si>
    <t>2026-01-16 16:30:00</t>
  </si>
  <si>
    <t>LD-303100</t>
  </si>
  <si>
    <t>2026-04-03 10:55:00</t>
  </si>
  <si>
    <t>LD-303101</t>
  </si>
  <si>
    <t>2025-08-09 12:19:00</t>
  </si>
  <si>
    <t>LD-303102</t>
  </si>
  <si>
    <t>2026-02-16 19:15:00</t>
  </si>
  <si>
    <t>2026-03-21 00:05:03.291792</t>
  </si>
  <si>
    <t>LD-303103</t>
  </si>
  <si>
    <t>2026-05-14 20:39:00</t>
  </si>
  <si>
    <t>2026-06-12 17:05:36.962817</t>
  </si>
  <si>
    <t>LD-303104</t>
  </si>
  <si>
    <t>2025-03-14 20:17:00</t>
  </si>
  <si>
    <t>2025-04-27 18:30:06.728332</t>
  </si>
  <si>
    <t>LD-303105</t>
  </si>
  <si>
    <t>2025-03-09 17:05:00</t>
  </si>
  <si>
    <t>LD-303106</t>
  </si>
  <si>
    <t>2026-06-01 18:51:00</t>
  </si>
  <si>
    <t>LD-303107</t>
  </si>
  <si>
    <t>2025-08-04 11:37:00</t>
  </si>
  <si>
    <t>2025-09-13 15:40:41.333075</t>
  </si>
  <si>
    <t>LD-303108</t>
  </si>
  <si>
    <t>2025-03-21 08:55:00</t>
  </si>
  <si>
    <t>LD-303109</t>
  </si>
  <si>
    <t>2026-01-30 07:53:00</t>
  </si>
  <si>
    <t>2026-03-10 09:38:14.346842</t>
  </si>
  <si>
    <t>LD-303110</t>
  </si>
  <si>
    <t>2025-08-24 20:25:00</t>
  </si>
  <si>
    <t>LD-303111</t>
  </si>
  <si>
    <t>2025-05-02 11:44:00</t>
  </si>
  <si>
    <t>LD-303112</t>
  </si>
  <si>
    <t>2025-12-10 20:53:00</t>
  </si>
  <si>
    <t>LD-303113</t>
  </si>
  <si>
    <t>2025-01-29 18:12:00</t>
  </si>
  <si>
    <t>LD-303114</t>
  </si>
  <si>
    <t>2025-10-31 12:17:00</t>
  </si>
  <si>
    <t>2025-12-02 14:17:09.291188</t>
  </si>
  <si>
    <t>LD-303115</t>
  </si>
  <si>
    <t>2026-03-05 20:44:00</t>
  </si>
  <si>
    <t>LD-303116</t>
  </si>
  <si>
    <t>2025-07-25 08:37:00</t>
  </si>
  <si>
    <t>LD-303117</t>
  </si>
  <si>
    <t>2025-05-24 09:10:00</t>
  </si>
  <si>
    <t>2025-07-09 00:06:04.855576</t>
  </si>
  <si>
    <t>LD-303118</t>
  </si>
  <si>
    <t>2025-11-12 20:25:00</t>
  </si>
  <si>
    <t>LD-303119</t>
  </si>
  <si>
    <t>2026-04-25 10:08:00</t>
  </si>
  <si>
    <t>2026-05-22 09:12:42.550232</t>
  </si>
  <si>
    <t>LD-303120</t>
  </si>
  <si>
    <t>2026-02-04 18:56:00</t>
  </si>
  <si>
    <t>LD-303121</t>
  </si>
  <si>
    <t>2025-03-18 08:53:00</t>
  </si>
  <si>
    <t>2025-04-23 15:21:14.399110</t>
  </si>
  <si>
    <t>LD-303122</t>
  </si>
  <si>
    <t>2025-09-12 18:08:00</t>
  </si>
  <si>
    <t>2025-10-11 00:56:21.076418</t>
  </si>
  <si>
    <t>LD-303123</t>
  </si>
  <si>
    <t>2025-11-11 07:08:00</t>
  </si>
  <si>
    <t>LD-303124</t>
  </si>
  <si>
    <t>2025-11-23 17:28:00</t>
  </si>
  <si>
    <t>2025-12-27 22:33:17.323210</t>
  </si>
  <si>
    <t>LD-303125</t>
  </si>
  <si>
    <t>2025-01-22 18:01:00</t>
  </si>
  <si>
    <t>2025-03-09 02:02:52.547880</t>
  </si>
  <si>
    <t>LD-303126</t>
  </si>
  <si>
    <t>2025-06-20 11:43:00</t>
  </si>
  <si>
    <t>LD-303127</t>
  </si>
  <si>
    <t>2025-12-03 13:01:00</t>
  </si>
  <si>
    <t>LD-303128</t>
  </si>
  <si>
    <t>2025-05-02 16:14:00</t>
  </si>
  <si>
    <t>2025-06-06 12:05:13.655089</t>
  </si>
  <si>
    <t>LD-303129</t>
  </si>
  <si>
    <t>2025-04-15 17:13:00</t>
  </si>
  <si>
    <t>LD-303130</t>
  </si>
  <si>
    <t>2026-04-02 15:55:00</t>
  </si>
  <si>
    <t>2026-05-08 12:24:52.938823</t>
  </si>
  <si>
    <t>LD-303131</t>
  </si>
  <si>
    <t>2025-04-07 19:12:00</t>
  </si>
  <si>
    <t>LD-303132</t>
  </si>
  <si>
    <t>2025-09-03 10:45:00</t>
  </si>
  <si>
    <t>LD-303133</t>
  </si>
  <si>
    <t>2025-12-05 10:32:00</t>
  </si>
  <si>
    <t>LD-303134</t>
  </si>
  <si>
    <t>2025-12-29 14:35:00</t>
  </si>
  <si>
    <t>LD-303135</t>
  </si>
  <si>
    <t>2025-05-18 09:53:00</t>
  </si>
  <si>
    <t>LD-303136</t>
  </si>
  <si>
    <t>2026-04-30 13:39:00</t>
  </si>
  <si>
    <t>LD-303137</t>
  </si>
  <si>
    <t>2025-07-02 17:10:00</t>
  </si>
  <si>
    <t>LD-303138</t>
  </si>
  <si>
    <t>2025-12-06 12:20:00</t>
  </si>
  <si>
    <t>2026-02-02 18:16:32.975506</t>
  </si>
  <si>
    <t>LD-303139</t>
  </si>
  <si>
    <t>2025-04-17 19:12:00</t>
  </si>
  <si>
    <t>LD-303140</t>
  </si>
  <si>
    <t>2025-03-08 11:57:00</t>
  </si>
  <si>
    <t>LD-303141</t>
  </si>
  <si>
    <t>2025-01-12 15:58:00</t>
  </si>
  <si>
    <t>LD-303142</t>
  </si>
  <si>
    <t>2025-04-09 18:01:00</t>
  </si>
  <si>
    <t>LD-303143</t>
  </si>
  <si>
    <t>2026-05-05 17:05:00</t>
  </si>
  <si>
    <t>LD-303144</t>
  </si>
  <si>
    <t>2025-02-07 11:24:00</t>
  </si>
  <si>
    <t>LD-303145</t>
  </si>
  <si>
    <t>2025-11-22 08:21:00</t>
  </si>
  <si>
    <t>LD-303146</t>
  </si>
  <si>
    <t>2026-04-27 16:12:00</t>
  </si>
  <si>
    <t>LD-303147</t>
  </si>
  <si>
    <t>2026-01-22 19:53:00</t>
  </si>
  <si>
    <t>2026-02-19 04:05:33.217420</t>
  </si>
  <si>
    <t>LD-303148</t>
  </si>
  <si>
    <t>2025-02-21 08:54:00</t>
  </si>
  <si>
    <t>2025-04-09 04:20:26.746842</t>
  </si>
  <si>
    <t>LD-303149</t>
  </si>
  <si>
    <t>2025-04-02 10:12:00</t>
  </si>
  <si>
    <t>LD-303150</t>
  </si>
  <si>
    <t>2025-09-22 16:57:00</t>
  </si>
  <si>
    <t>LD-303151</t>
  </si>
  <si>
    <t>2025-09-23 10:41:00</t>
  </si>
  <si>
    <t>LD-303152</t>
  </si>
  <si>
    <t>2025-12-24 17:53:00</t>
  </si>
  <si>
    <t>2026-01-28 23:41:45.655366</t>
  </si>
  <si>
    <t>LD-303153</t>
  </si>
  <si>
    <t>2026-06-05 09:32:00</t>
  </si>
  <si>
    <t>2026-07-12 14:17:33.379528</t>
  </si>
  <si>
    <t>LD-303154</t>
  </si>
  <si>
    <t>2025-05-16 16:16:00</t>
  </si>
  <si>
    <t>LD-303155</t>
  </si>
  <si>
    <t>2026-03-26 16:33:00</t>
  </si>
  <si>
    <t>LD-303156</t>
  </si>
  <si>
    <t>2026-03-09 15:42:00</t>
  </si>
  <si>
    <t>LD-303157</t>
  </si>
  <si>
    <t>2025-11-11 09:42:00</t>
  </si>
  <si>
    <t>LD-303158</t>
  </si>
  <si>
    <t>2025-11-20 18:09:00</t>
  </si>
  <si>
    <t>2026-01-03 10:03:22.990707</t>
  </si>
  <si>
    <t>LD-303159</t>
  </si>
  <si>
    <t>2025-02-22 19:25:00</t>
  </si>
  <si>
    <t>LD-303160</t>
  </si>
  <si>
    <t>2026-05-04 18:36:00</t>
  </si>
  <si>
    <t>LD-303161</t>
  </si>
  <si>
    <t>2026-05-24 18:21:00</t>
  </si>
  <si>
    <t>LD-303162</t>
  </si>
  <si>
    <t>2025-08-13 17:48:00</t>
  </si>
  <si>
    <t>2025-09-10 04:00:34.846556</t>
  </si>
  <si>
    <t>LD-303163</t>
  </si>
  <si>
    <t>2026-02-17 10:10:00</t>
  </si>
  <si>
    <t>2026-03-17 18:30:17.958981</t>
  </si>
  <si>
    <t>LD-303164</t>
  </si>
  <si>
    <t>2026-06-25 09:50:00</t>
  </si>
  <si>
    <t>2026-08-15 17:34:16.616987</t>
  </si>
  <si>
    <t>LD-303165</t>
  </si>
  <si>
    <t>2025-12-21 13:14:00</t>
  </si>
  <si>
    <t>2026-01-19 11:56:11.955997</t>
  </si>
  <si>
    <t>LD-303166</t>
  </si>
  <si>
    <t>2026-03-06 10:59:00</t>
  </si>
  <si>
    <t>LD-303167</t>
  </si>
  <si>
    <t>2025-04-01 10:45:00</t>
  </si>
  <si>
    <t>LD-303168</t>
  </si>
  <si>
    <t>2026-05-28 07:02:00</t>
  </si>
  <si>
    <t>2026-07-21 13:35:02.252534</t>
  </si>
  <si>
    <t>LD-303169</t>
  </si>
  <si>
    <t>2026-04-09 20:29:00</t>
  </si>
  <si>
    <t>LD-303170</t>
  </si>
  <si>
    <t>2025-03-24 17:35:00</t>
  </si>
  <si>
    <t>LD-303171</t>
  </si>
  <si>
    <t>2025-12-31 07:10:00</t>
  </si>
  <si>
    <t>LD-303172</t>
  </si>
  <si>
    <t>2025-07-25 09:17:00</t>
  </si>
  <si>
    <t>LD-303173</t>
  </si>
  <si>
    <t>2025-05-21 16:02:00</t>
  </si>
  <si>
    <t>2025-06-25 13:12:16.780977</t>
  </si>
  <si>
    <t>LD-303174</t>
  </si>
  <si>
    <t>2026-05-25 13:44:00</t>
  </si>
  <si>
    <t>2026-07-07 05:51:16.012236</t>
  </si>
  <si>
    <t>LD-303175</t>
  </si>
  <si>
    <t>2025-09-11 12:28:00</t>
  </si>
  <si>
    <t>2025-10-24 06:17:25.658623</t>
  </si>
  <si>
    <t>LD-303176</t>
  </si>
  <si>
    <t>2025-03-25 20:34:00</t>
  </si>
  <si>
    <t>2025-05-15 11:28:55.306907</t>
  </si>
  <si>
    <t>LD-303177</t>
  </si>
  <si>
    <t>2026-01-23 15:38:00</t>
  </si>
  <si>
    <t>LD-303178</t>
  </si>
  <si>
    <t>2025-09-12 13:39:00</t>
  </si>
  <si>
    <t>LD-303179</t>
  </si>
  <si>
    <t>2025-07-01 13:33:00</t>
  </si>
  <si>
    <t>LD-303180</t>
  </si>
  <si>
    <t>2026-03-06 19:44:00</t>
  </si>
  <si>
    <t>2026-04-23 22:59:50.316776</t>
  </si>
  <si>
    <t>LD-303181</t>
  </si>
  <si>
    <t>2026-04-21 14:49:00</t>
  </si>
  <si>
    <t>LD-303182</t>
  </si>
  <si>
    <t>2025-06-13 09:36:00</t>
  </si>
  <si>
    <t>LD-303183</t>
  </si>
  <si>
    <t>2025-09-16 10:22:00</t>
  </si>
  <si>
    <t>LD-303184</t>
  </si>
  <si>
    <t>2026-01-26 16:46:00</t>
  </si>
  <si>
    <t>2026-03-04 17:54:01.064357</t>
  </si>
  <si>
    <t>LD-303185</t>
  </si>
  <si>
    <t>2025-07-09 14:25:00</t>
  </si>
  <si>
    <t>LD-303186</t>
  </si>
  <si>
    <t>2026-01-01 14:18:00</t>
  </si>
  <si>
    <t>LD-303187</t>
  </si>
  <si>
    <t>2025-06-27 14:34:00</t>
  </si>
  <si>
    <t>2025-08-18 15:22:16.282587</t>
  </si>
  <si>
    <t>LD-303188</t>
  </si>
  <si>
    <t>2025-12-19 18:41:00</t>
  </si>
  <si>
    <t>2026-01-22 10:52:04.597064</t>
  </si>
  <si>
    <t>LD-303189</t>
  </si>
  <si>
    <t>2025-12-07 15:21:00</t>
  </si>
  <si>
    <t>2026-01-11 04:31:40.077982</t>
  </si>
  <si>
    <t>LD-303190</t>
  </si>
  <si>
    <t>2026-05-27 09:02:00</t>
  </si>
  <si>
    <t>LD-303191</t>
  </si>
  <si>
    <t>2025-04-15 13:52:00</t>
  </si>
  <si>
    <t>LD-303192</t>
  </si>
  <si>
    <t>2025-04-30 09:32:00</t>
  </si>
  <si>
    <t>LD-303193</t>
  </si>
  <si>
    <t>2025-02-17 11:10:00</t>
  </si>
  <si>
    <t>2025-03-28 17:28:13.384183</t>
  </si>
  <si>
    <t>LD-303194</t>
  </si>
  <si>
    <t>2025-08-22 11:11:00</t>
  </si>
  <si>
    <t>LD-303195</t>
  </si>
  <si>
    <t>2026-03-28 18:19:00</t>
  </si>
  <si>
    <t>2026-04-29 10:35:03.867095</t>
  </si>
  <si>
    <t>LD-303196</t>
  </si>
  <si>
    <t>2026-04-17 08:05:00</t>
  </si>
  <si>
    <t>LD-303197</t>
  </si>
  <si>
    <t>2025-02-25 16:15:00</t>
  </si>
  <si>
    <t>LD-303198</t>
  </si>
  <si>
    <t>2025-01-28 20:50:00</t>
  </si>
  <si>
    <t>LD-303199</t>
  </si>
  <si>
    <t>2025-07-17 10:14:00</t>
  </si>
  <si>
    <t>2025-08-22 17:11:48.130000</t>
  </si>
  <si>
    <t>LD-303200</t>
  </si>
  <si>
    <t>2026-04-09 12:26:00</t>
  </si>
  <si>
    <t>LD-303201</t>
  </si>
  <si>
    <t>2025-06-18 11:39:00</t>
  </si>
  <si>
    <t>2025-07-22 05:25:52.795654</t>
  </si>
  <si>
    <t>LD-303202</t>
  </si>
  <si>
    <t>2025-07-29 12:26:00</t>
  </si>
  <si>
    <t>2025-09-09 17:44:44.189704</t>
  </si>
  <si>
    <t>LD-303203</t>
  </si>
  <si>
    <t>2025-08-08 19:30:00</t>
  </si>
  <si>
    <t>2025-10-08 07:56:35.014285</t>
  </si>
  <si>
    <t>LD-303204</t>
  </si>
  <si>
    <t>2025-03-01 14:10:00</t>
  </si>
  <si>
    <t>LD-303205</t>
  </si>
  <si>
    <t>2025-07-15 14:48:00</t>
  </si>
  <si>
    <t>LD-303206</t>
  </si>
  <si>
    <t>2025-10-25 14:35:00</t>
  </si>
  <si>
    <t>LD-303207</t>
  </si>
  <si>
    <t>2026-04-29 12:39:00</t>
  </si>
  <si>
    <t>LD-303208</t>
  </si>
  <si>
    <t>2025-10-28 07:12:00</t>
  </si>
  <si>
    <t>2025-12-07 20:34:29.202154</t>
  </si>
  <si>
    <t>LD-303209</t>
  </si>
  <si>
    <t>2025-02-28 20:06:00</t>
  </si>
  <si>
    <t>LD-303210</t>
  </si>
  <si>
    <t>2025-09-23 16:43:00</t>
  </si>
  <si>
    <t>2025-10-21 07:04:15.814953</t>
  </si>
  <si>
    <t>LD-303211</t>
  </si>
  <si>
    <t>2025-05-25 18:50:00</t>
  </si>
  <si>
    <t>LD-303212</t>
  </si>
  <si>
    <t>2026-04-23 15:27:00</t>
  </si>
  <si>
    <t>LD-303213</t>
  </si>
  <si>
    <t>2026-02-06 17:40:00</t>
  </si>
  <si>
    <t>2026-03-12 03:25:23.319038</t>
  </si>
  <si>
    <t>LD-303214</t>
  </si>
  <si>
    <t>2026-03-02 19:58:00</t>
  </si>
  <si>
    <t>2026-04-10 14:27:31.889729</t>
  </si>
  <si>
    <t>LD-303215</t>
  </si>
  <si>
    <t>2026-02-11 17:19:00</t>
  </si>
  <si>
    <t>2026-03-11 17:08:17.192219</t>
  </si>
  <si>
    <t>LD-303216</t>
  </si>
  <si>
    <t>2026-02-02 09:16:00</t>
  </si>
  <si>
    <t>LD-303217</t>
  </si>
  <si>
    <t>2026-03-16 11:25:00</t>
  </si>
  <si>
    <t>LD-303218</t>
  </si>
  <si>
    <t>LD-303219</t>
  </si>
  <si>
    <t>2025-09-25 11:59:00</t>
  </si>
  <si>
    <t>2025-11-01 03:50:17.565266</t>
  </si>
  <si>
    <t>LD-303220</t>
  </si>
  <si>
    <t>2025-10-01 19:20:00</t>
  </si>
  <si>
    <t>LD-303221</t>
  </si>
  <si>
    <t>2026-06-03 15:28:00</t>
  </si>
  <si>
    <t>2026-07-16 07:54:00.653245</t>
  </si>
  <si>
    <t>LD-303222</t>
  </si>
  <si>
    <t>2026-06-18 11:47:00</t>
  </si>
  <si>
    <t>LD-303223</t>
  </si>
  <si>
    <t>2026-01-27 07:50:00</t>
  </si>
  <si>
    <t>LD-303224</t>
  </si>
  <si>
    <t>2025-09-10 17:43:00</t>
  </si>
  <si>
    <t>LD-303225</t>
  </si>
  <si>
    <t>2026-01-16 17:27:00</t>
  </si>
  <si>
    <t>LD-303226</t>
  </si>
  <si>
    <t>2026-03-16 18:56:00</t>
  </si>
  <si>
    <t>LD-303227</t>
  </si>
  <si>
    <t>2025-05-22 16:00:00</t>
  </si>
  <si>
    <t>LD-303228</t>
  </si>
  <si>
    <t>2025-11-24 18:10:00</t>
  </si>
  <si>
    <t>2026-01-11 16:43:52.015328</t>
  </si>
  <si>
    <t>LD-303229</t>
  </si>
  <si>
    <t>2025-04-10 12:48:00</t>
  </si>
  <si>
    <t>2025-06-07 13:06:05.237376</t>
  </si>
  <si>
    <t>LD-303230</t>
  </si>
  <si>
    <t>2026-06-12 15:29:00</t>
  </si>
  <si>
    <t>LD-303231</t>
  </si>
  <si>
    <t>2026-01-05 09:09:00</t>
  </si>
  <si>
    <t>LD-303232</t>
  </si>
  <si>
    <t>2025-05-16 07:20:00</t>
  </si>
  <si>
    <t>LD-303233</t>
  </si>
  <si>
    <t>2025-02-26 14:51:00</t>
  </si>
  <si>
    <t>LD-303234</t>
  </si>
  <si>
    <t>2025-06-09 16:57:00</t>
  </si>
  <si>
    <t>LD-303235</t>
  </si>
  <si>
    <t>2025-06-05 07:50:00</t>
  </si>
  <si>
    <t>LD-303236</t>
  </si>
  <si>
    <t>2025-03-27 13:33:00</t>
  </si>
  <si>
    <t>LD-303237</t>
  </si>
  <si>
    <t>2025-03-10 15:44:00</t>
  </si>
  <si>
    <t>2025-04-29 01:50:23.412803</t>
  </si>
  <si>
    <t>LD-303238</t>
  </si>
  <si>
    <t>2025-06-13 20:50:00</t>
  </si>
  <si>
    <t>LD-303239</t>
  </si>
  <si>
    <t>2025-04-28 15:39:00</t>
  </si>
  <si>
    <t>LD-303240</t>
  </si>
  <si>
    <t>2026-01-27 20:54:00</t>
  </si>
  <si>
    <t>LD-303241</t>
  </si>
  <si>
    <t>2025-05-22 20:31:00</t>
  </si>
  <si>
    <t>LD-303242</t>
  </si>
  <si>
    <t>2026-06-05 19:31:00</t>
  </si>
  <si>
    <t>2026-07-05 13:04:34.737521</t>
  </si>
  <si>
    <t>LD-303243</t>
  </si>
  <si>
    <t>2026-05-01 07:57:00</t>
  </si>
  <si>
    <t>2026-05-24 12:50:19.684082</t>
  </si>
  <si>
    <t>LD-303244</t>
  </si>
  <si>
    <t>2025-10-31 10:50:00</t>
  </si>
  <si>
    <t>LD-303245</t>
  </si>
  <si>
    <t>2025-12-04 08:16:00</t>
  </si>
  <si>
    <t>2026-01-26 07:49:08.858030</t>
  </si>
  <si>
    <t>LD-303246</t>
  </si>
  <si>
    <t>2025-04-30 16:10:00</t>
  </si>
  <si>
    <t>2025-05-31 19:09:26.714180</t>
  </si>
  <si>
    <t>LD-303247</t>
  </si>
  <si>
    <t>2025-03-13 20:00:00</t>
  </si>
  <si>
    <t>LD-303248</t>
  </si>
  <si>
    <t>2026-06-11 17:08:00</t>
  </si>
  <si>
    <t>2026-07-20 22:47:23.054838</t>
  </si>
  <si>
    <t>LD-303249</t>
  </si>
  <si>
    <t>2025-05-06 07:07:00</t>
  </si>
  <si>
    <t>LD-303250</t>
  </si>
  <si>
    <t>2026-02-17 20:53:00</t>
  </si>
  <si>
    <t>LD-303251</t>
  </si>
  <si>
    <t>2025-09-04 09:13:00</t>
  </si>
  <si>
    <t>LD-303252</t>
  </si>
  <si>
    <t>2026-03-23 12:42:00</t>
  </si>
  <si>
    <t>LD-303253</t>
  </si>
  <si>
    <t>2025-02-14 14:32:00</t>
  </si>
  <si>
    <t>2025-03-23 11:12:41.278644</t>
  </si>
  <si>
    <t>LD-303254</t>
  </si>
  <si>
    <t>2026-04-02 20:04:00</t>
  </si>
  <si>
    <t>LD-303255</t>
  </si>
  <si>
    <t>2025-11-13 15:52:00</t>
  </si>
  <si>
    <t>LD-303256</t>
  </si>
  <si>
    <t>2026-02-06 07:16:00</t>
  </si>
  <si>
    <t>LD-303257</t>
  </si>
  <si>
    <t>2025-05-05 09:39:00</t>
  </si>
  <si>
    <t>LD-303258</t>
  </si>
  <si>
    <t>2026-04-06 20:00:00</t>
  </si>
  <si>
    <t>2026-05-23 04:26:18.828030</t>
  </si>
  <si>
    <t>LD-303259</t>
  </si>
  <si>
    <t>2025-04-11 09:50:00</t>
  </si>
  <si>
    <t>2025-05-16 02:58:14.513665</t>
  </si>
  <si>
    <t>LD-303260</t>
  </si>
  <si>
    <t>2026-02-04 07:50:00</t>
  </si>
  <si>
    <t>LD-303261</t>
  </si>
  <si>
    <t>2026-05-15 16:58:00</t>
  </si>
  <si>
    <t>LD-303262</t>
  </si>
  <si>
    <t>2025-06-19 13:07:00</t>
  </si>
  <si>
    <t>2025-07-25 02:46:05.647601</t>
  </si>
  <si>
    <t>LD-303263</t>
  </si>
  <si>
    <t>2026-03-24 11:09:00</t>
  </si>
  <si>
    <t>2026-05-08 18:03:51.558896</t>
  </si>
  <si>
    <t>LD-303264</t>
  </si>
  <si>
    <t>2025-07-22 19:05:00</t>
  </si>
  <si>
    <t>LD-303265</t>
  </si>
  <si>
    <t>2025-09-10 19:33:00</t>
  </si>
  <si>
    <t>LD-303266</t>
  </si>
  <si>
    <t>2025-06-18 10:55:00</t>
  </si>
  <si>
    <t>LD-303267</t>
  </si>
  <si>
    <t>2025-09-11 09:26:00</t>
  </si>
  <si>
    <t>LD-303268</t>
  </si>
  <si>
    <t>2025-08-28 15:34:00</t>
  </si>
  <si>
    <t>LD-303269</t>
  </si>
  <si>
    <t>2026-01-13 20:51:00</t>
  </si>
  <si>
    <t>LD-303270</t>
  </si>
  <si>
    <t>2025-04-15 10:13:00</t>
  </si>
  <si>
    <t>LD-303271</t>
  </si>
  <si>
    <t>2026-05-15 07:43:00</t>
  </si>
  <si>
    <t>LD-303272</t>
  </si>
  <si>
    <t>2026-05-01 18:33:00</t>
  </si>
  <si>
    <t>LD-303273</t>
  </si>
  <si>
    <t>2026-03-20 10:33:00</t>
  </si>
  <si>
    <t>LD-303274</t>
  </si>
  <si>
    <t>2025-04-04 13:44:00</t>
  </si>
  <si>
    <t>LD-303275</t>
  </si>
  <si>
    <t>2026-01-05 12:12:00</t>
  </si>
  <si>
    <t>2026-02-04 20:43:56.779291</t>
  </si>
  <si>
    <t>LD-303276</t>
  </si>
  <si>
    <t>2026-01-13 07:35:00</t>
  </si>
  <si>
    <t>LD-303277</t>
  </si>
  <si>
    <t>2026-06-15 13:51:00</t>
  </si>
  <si>
    <t>2026-08-01 22:32:51.437255</t>
  </si>
  <si>
    <t>LD-303278</t>
  </si>
  <si>
    <t>2025-04-21 11:07:00</t>
  </si>
  <si>
    <t>2025-06-08 09:12:17.790891</t>
  </si>
  <si>
    <t>LD-303279</t>
  </si>
  <si>
    <t>2025-10-07 11:18:00</t>
  </si>
  <si>
    <t>LD-303280</t>
  </si>
  <si>
    <t>2026-04-04 17:15:00</t>
  </si>
  <si>
    <t>LD-303281</t>
  </si>
  <si>
    <t>2026-04-09 11:00:00</t>
  </si>
  <si>
    <t>2026-05-10 03:55:21.863877</t>
  </si>
  <si>
    <t>LD-303282</t>
  </si>
  <si>
    <t>2025-06-13 12:50:00</t>
  </si>
  <si>
    <t>LD-303283</t>
  </si>
  <si>
    <t>2025-03-04 12:03:00</t>
  </si>
  <si>
    <t>2025-04-18 11:50:20.756749</t>
  </si>
  <si>
    <t>LD-303284</t>
  </si>
  <si>
    <t>2026-02-25 10:34:00</t>
  </si>
  <si>
    <t>2026-04-16 07:57:39.966455</t>
  </si>
  <si>
    <t>LD-303285</t>
  </si>
  <si>
    <t>2025-02-07 19:51:00</t>
  </si>
  <si>
    <t>LD-303286</t>
  </si>
  <si>
    <t>2026-06-22 14:43:00</t>
  </si>
  <si>
    <t>LD-303287</t>
  </si>
  <si>
    <t>2025-05-23 18:11:00</t>
  </si>
  <si>
    <t>2025-06-18 04:18:22.996652</t>
  </si>
  <si>
    <t>LD-303288</t>
  </si>
  <si>
    <t>2025-12-26 12:32:00</t>
  </si>
  <si>
    <t>LD-303289</t>
  </si>
  <si>
    <t>2025-12-21 10:47:00</t>
  </si>
  <si>
    <t>LD-303290</t>
  </si>
  <si>
    <t>2025-12-23 18:50:00</t>
  </si>
  <si>
    <t>LD-303291</t>
  </si>
  <si>
    <t>2025-10-24 20:50:00</t>
  </si>
  <si>
    <t>LD-303292</t>
  </si>
  <si>
    <t>2025-02-14 09:29:00</t>
  </si>
  <si>
    <t>2025-03-25 18:34:26.613554</t>
  </si>
  <si>
    <t>LD-303293</t>
  </si>
  <si>
    <t>2026-04-17 19:49:00</t>
  </si>
  <si>
    <t>LD-303294</t>
  </si>
  <si>
    <t>2025-04-25 09:20:00</t>
  </si>
  <si>
    <t>2025-05-18 04:37:44.861706</t>
  </si>
  <si>
    <t>LD-303295</t>
  </si>
  <si>
    <t>2026-06-15 15:37:00</t>
  </si>
  <si>
    <t>LD-303296</t>
  </si>
  <si>
    <t>2026-06-09 13:17:00</t>
  </si>
  <si>
    <t>2026-07-20 21:40:39.315516</t>
  </si>
  <si>
    <t>LD-303297</t>
  </si>
  <si>
    <t>2025-05-25 14:26:00</t>
  </si>
  <si>
    <t>LD-303298</t>
  </si>
  <si>
    <t>2026-04-17 10:11:00</t>
  </si>
  <si>
    <t>2026-05-24 10:14:45.021540</t>
  </si>
  <si>
    <t>LD-303299</t>
  </si>
  <si>
    <t>LD-303300</t>
  </si>
  <si>
    <t>2026-01-28 19:57:00</t>
  </si>
  <si>
    <t>LD-303301</t>
  </si>
  <si>
    <t>2026-01-12 13:02:00</t>
  </si>
  <si>
    <t>2026-03-02 10:31:31.221430</t>
  </si>
  <si>
    <t>LD-303302</t>
  </si>
  <si>
    <t>2025-08-08 14:56:00</t>
  </si>
  <si>
    <t>LD-303303</t>
  </si>
  <si>
    <t>2025-03-07 17:00:00</t>
  </si>
  <si>
    <t>LD-303304</t>
  </si>
  <si>
    <t>2025-06-19 10:23:00</t>
  </si>
  <si>
    <t>2025-07-11 02:15:17.876394</t>
  </si>
  <si>
    <t>LD-303305</t>
  </si>
  <si>
    <t>2025-10-28 16:57:00</t>
  </si>
  <si>
    <t>LD-303306</t>
  </si>
  <si>
    <t>2026-04-24 08:15:00</t>
  </si>
  <si>
    <t>LD-303307</t>
  </si>
  <si>
    <t>2026-03-24 18:59:00</t>
  </si>
  <si>
    <t>LD-303308</t>
  </si>
  <si>
    <t>2025-11-08 12:31:00</t>
  </si>
  <si>
    <t>2025-12-30 03:43:21.504865</t>
  </si>
  <si>
    <t>LD-303309</t>
  </si>
  <si>
    <t>2025-02-06 07:33:00</t>
  </si>
  <si>
    <t>LD-303310</t>
  </si>
  <si>
    <t>2026-06-19 07:20:00</t>
  </si>
  <si>
    <t>LD-303311</t>
  </si>
  <si>
    <t>2026-01-01 13:03:00</t>
  </si>
  <si>
    <t>LD-303312</t>
  </si>
  <si>
    <t>2025-06-07 17:02:00</t>
  </si>
  <si>
    <t>LD-303313</t>
  </si>
  <si>
    <t>2026-05-07 09:03:00</t>
  </si>
  <si>
    <t>2026-06-18 17:20:57.443390</t>
  </si>
  <si>
    <t>LD-303314</t>
  </si>
  <si>
    <t>2026-01-22 10:41:00</t>
  </si>
  <si>
    <t>LD-303315</t>
  </si>
  <si>
    <t>2025-05-13 11:06:00</t>
  </si>
  <si>
    <t>LD-303316</t>
  </si>
  <si>
    <t>2025-09-01 20:17:00</t>
  </si>
  <si>
    <t>LD-303317</t>
  </si>
  <si>
    <t>2026-05-26 20:31:00</t>
  </si>
  <si>
    <t>2026-06-27 17:05:41.134631</t>
  </si>
  <si>
    <t>LD-303318</t>
  </si>
  <si>
    <t>2025-10-17 08:24:00</t>
  </si>
  <si>
    <t>LD-303319</t>
  </si>
  <si>
    <t>2025-11-15 18:11:00</t>
  </si>
  <si>
    <t>2025-12-08 06:43:35.113031</t>
  </si>
  <si>
    <t>LD-303320</t>
  </si>
  <si>
    <t>2025-02-14 13:36:00</t>
  </si>
  <si>
    <t>LD-303321</t>
  </si>
  <si>
    <t>2026-06-26 19:37:00</t>
  </si>
  <si>
    <t>LD-303322</t>
  </si>
  <si>
    <t>2025-11-06 09:19:00</t>
  </si>
  <si>
    <t>2025-12-13 07:09:28.109275</t>
  </si>
  <si>
    <t>LD-303323</t>
  </si>
  <si>
    <t>2025-08-12 19:29:00</t>
  </si>
  <si>
    <t>LD-303324</t>
  </si>
  <si>
    <t>2025-09-30 09:09:00</t>
  </si>
  <si>
    <t>LD-303325</t>
  </si>
  <si>
    <t>2026-04-22 13:52:00</t>
  </si>
  <si>
    <t>LD-303326</t>
  </si>
  <si>
    <t>2026-05-22 20:54:00</t>
  </si>
  <si>
    <t>LD-303327</t>
  </si>
  <si>
    <t>2026-02-26 19:15:00</t>
  </si>
  <si>
    <t>LD-303328</t>
  </si>
  <si>
    <t>2026-05-01 20:11:00</t>
  </si>
  <si>
    <t>LD-303329</t>
  </si>
  <si>
    <t>2025-09-05 11:20:00</t>
  </si>
  <si>
    <t>LD-303330</t>
  </si>
  <si>
    <t>2026-06-25 11:00:00</t>
  </si>
  <si>
    <t>LD-303331</t>
  </si>
  <si>
    <t>2025-01-08 08:41:00</t>
  </si>
  <si>
    <t>LD-303332</t>
  </si>
  <si>
    <t>2025-06-27 17:46:00</t>
  </si>
  <si>
    <t>2025-08-15 21:46:15.092709</t>
  </si>
  <si>
    <t>LD-303333</t>
  </si>
  <si>
    <t>2025-08-24 14:47:00</t>
  </si>
  <si>
    <t>LD-303334</t>
  </si>
  <si>
    <t>2025-11-04 17:13:00</t>
  </si>
  <si>
    <t>LD-303335</t>
  </si>
  <si>
    <t>2025-07-24 09:00:00</t>
  </si>
  <si>
    <t>LD-303336</t>
  </si>
  <si>
    <t>2025-02-20 18:54:00</t>
  </si>
  <si>
    <t>LD-303337</t>
  </si>
  <si>
    <t>2025-12-12 19:51:00</t>
  </si>
  <si>
    <t>2026-01-07 19:14:45.902551</t>
  </si>
  <si>
    <t>LD-303338</t>
  </si>
  <si>
    <t>2025-12-09 08:29:00</t>
  </si>
  <si>
    <t>2026-01-13 17:48:01.121104</t>
  </si>
  <si>
    <t>LD-303339</t>
  </si>
  <si>
    <t>2025-07-21 17:57:00</t>
  </si>
  <si>
    <t>LD-303340</t>
  </si>
  <si>
    <t>2025-11-07 09:26:00</t>
  </si>
  <si>
    <t>LD-303341</t>
  </si>
  <si>
    <t>2026-01-02 12:08:00</t>
  </si>
  <si>
    <t>LD-303342</t>
  </si>
  <si>
    <t>2025-07-18 08:26:00</t>
  </si>
  <si>
    <t>LD-303343</t>
  </si>
  <si>
    <t>2025-11-23 15:41:00</t>
  </si>
  <si>
    <t>LD-303344</t>
  </si>
  <si>
    <t>2025-09-06 17:39:00</t>
  </si>
  <si>
    <t>2025-10-16 10:16:16.444289</t>
  </si>
  <si>
    <t>LD-303345</t>
  </si>
  <si>
    <t>2025-10-22 17:11:00</t>
  </si>
  <si>
    <t>LD-303346</t>
  </si>
  <si>
    <t>2026-04-03 20:07:00</t>
  </si>
  <si>
    <t>2026-05-13 00:18:16.613806</t>
  </si>
  <si>
    <t>LD-303347</t>
  </si>
  <si>
    <t>2026-01-28 14:26:00</t>
  </si>
  <si>
    <t>2026-03-01 17:13:40.352749</t>
  </si>
  <si>
    <t>LD-303348</t>
  </si>
  <si>
    <t>2025-12-19 18:58:00</t>
  </si>
  <si>
    <t>2026-02-18 06:03:23.207674</t>
  </si>
  <si>
    <t>LD-303349</t>
  </si>
  <si>
    <t>2025-11-18 12:33:00</t>
  </si>
  <si>
    <t>LD-303350</t>
  </si>
  <si>
    <t>2025-10-31 14:29:00</t>
  </si>
  <si>
    <t>2025-12-01 09:44:52.103126</t>
  </si>
  <si>
    <t>LD-303351</t>
  </si>
  <si>
    <t>2025-10-22 17:59:00</t>
  </si>
  <si>
    <t>2025-11-29 19:05:16.956374</t>
  </si>
  <si>
    <t>LD-303352</t>
  </si>
  <si>
    <t>2025-11-14 07:54:00</t>
  </si>
  <si>
    <t>LD-303353</t>
  </si>
  <si>
    <t>2025-05-22 12:01:00</t>
  </si>
  <si>
    <t>LD-303354</t>
  </si>
  <si>
    <t>2026-04-17 18:25:00</t>
  </si>
  <si>
    <t>2026-05-22 21:39:02.436113</t>
  </si>
  <si>
    <t>LD-303355</t>
  </si>
  <si>
    <t>2026-03-27 08:48:00</t>
  </si>
  <si>
    <t>2026-04-29 07:29:40.416352</t>
  </si>
  <si>
    <t>LD-303356</t>
  </si>
  <si>
    <t>2026-06-26 13:01:00</t>
  </si>
  <si>
    <t>2026-07-26 18:19:42.278777</t>
  </si>
  <si>
    <t>LD-303357</t>
  </si>
  <si>
    <t>2025-10-14 16:36:00</t>
  </si>
  <si>
    <t>2025-11-20 07:28:51.526993</t>
  </si>
  <si>
    <t>LD-303358</t>
  </si>
  <si>
    <t>2025-06-27 15:05:00</t>
  </si>
  <si>
    <t>LD-303359</t>
  </si>
  <si>
    <t>2025-12-31 09:58:00</t>
  </si>
  <si>
    <t>LD-303360</t>
  </si>
  <si>
    <t>2025-01-05 19:01:00</t>
  </si>
  <si>
    <t>2025-02-12 07:07:22.655118</t>
  </si>
  <si>
    <t>LD-303361</t>
  </si>
  <si>
    <t>2026-03-06 11:30:00</t>
  </si>
  <si>
    <t>LD-303362</t>
  </si>
  <si>
    <t>2026-03-13 19:11:00</t>
  </si>
  <si>
    <t>2026-04-07 16:02:54.622947</t>
  </si>
  <si>
    <t>LD-303363</t>
  </si>
  <si>
    <t>2026-05-29 12:21:00</t>
  </si>
  <si>
    <t>LD-303364</t>
  </si>
  <si>
    <t>2026-03-20 12:38:00</t>
  </si>
  <si>
    <t>2026-04-23 04:01:46.891444</t>
  </si>
  <si>
    <t>LD-303365</t>
  </si>
  <si>
    <t>2026-02-09 13:38:00</t>
  </si>
  <si>
    <t>2026-03-23 23:27:35.328744</t>
  </si>
  <si>
    <t>LD-303366</t>
  </si>
  <si>
    <t>2025-11-28 07:59:00</t>
  </si>
  <si>
    <t>LD-303367</t>
  </si>
  <si>
    <t>2025-09-24 10:28:00</t>
  </si>
  <si>
    <t>LD-303368</t>
  </si>
  <si>
    <t>2025-11-04 16:08:00</t>
  </si>
  <si>
    <t>LD-303369</t>
  </si>
  <si>
    <t>2025-10-23 13:10:00</t>
  </si>
  <si>
    <t>LD-303370</t>
  </si>
  <si>
    <t>2025-10-03 19:18:00</t>
  </si>
  <si>
    <t>LD-303371</t>
  </si>
  <si>
    <t>2025-08-08 19:36:00</t>
  </si>
  <si>
    <t>LD-303372</t>
  </si>
  <si>
    <t>2025-11-05 15:28:00</t>
  </si>
  <si>
    <t>LD-303373</t>
  </si>
  <si>
    <t>2025-11-19 19:29:00</t>
  </si>
  <si>
    <t>LD-303374</t>
  </si>
  <si>
    <t>2025-03-05 14:38:00</t>
  </si>
  <si>
    <t>2025-03-31 00:20:27.818015</t>
  </si>
  <si>
    <t>LD-303375</t>
  </si>
  <si>
    <t>2026-06-24 16:20:00</t>
  </si>
  <si>
    <t>LD-303376</t>
  </si>
  <si>
    <t>2026-03-06 10:40:00</t>
  </si>
  <si>
    <t>2026-04-06 16:33:23.239434</t>
  </si>
  <si>
    <t>LD-303377</t>
  </si>
  <si>
    <t>2025-05-18 15:18:00</t>
  </si>
  <si>
    <t>2025-07-05 16:27:38.597119</t>
  </si>
  <si>
    <t>LD-303378</t>
  </si>
  <si>
    <t>2025-04-11 15:33:00</t>
  </si>
  <si>
    <t>LD-303379</t>
  </si>
  <si>
    <t>2026-06-12 16:11:00</t>
  </si>
  <si>
    <t>LD-303380</t>
  </si>
  <si>
    <t>2025-02-24 07:54:00</t>
  </si>
  <si>
    <t>LD-303381</t>
  </si>
  <si>
    <t>2025-10-12 11:15:00</t>
  </si>
  <si>
    <t>LD-303382</t>
  </si>
  <si>
    <t>2025-07-11 10:17:00</t>
  </si>
  <si>
    <t>LD-303383</t>
  </si>
  <si>
    <t>2026-02-13 18:39:00</t>
  </si>
  <si>
    <t>2026-03-12 18:50:57.179641</t>
  </si>
  <si>
    <t>LD-303384</t>
  </si>
  <si>
    <t>2025-01-17 08:37:00</t>
  </si>
  <si>
    <t>LD-303385</t>
  </si>
  <si>
    <t>2026-05-06 15:26:00</t>
  </si>
  <si>
    <t>LD-303386</t>
  </si>
  <si>
    <t>2025-03-25 08:27:00</t>
  </si>
  <si>
    <t>2025-05-06 06:43:40.120605</t>
  </si>
  <si>
    <t>LD-303387</t>
  </si>
  <si>
    <t>2025-12-14 18:54:00</t>
  </si>
  <si>
    <t>LD-303388</t>
  </si>
  <si>
    <t>2026-04-29 07:37:00</t>
  </si>
  <si>
    <t>2026-06-10 03:54:46.050122</t>
  </si>
  <si>
    <t>LD-303389</t>
  </si>
  <si>
    <t>2025-10-14 13:57:00</t>
  </si>
  <si>
    <t>2025-11-23 08:12:29.966196</t>
  </si>
  <si>
    <t>LD-303390</t>
  </si>
  <si>
    <t>2025-11-03 10:00:00</t>
  </si>
  <si>
    <t>LD-303391</t>
  </si>
  <si>
    <t>2025-10-03 10:14:00</t>
  </si>
  <si>
    <t>LD-303392</t>
  </si>
  <si>
    <t>2025-07-03 14:38:00</t>
  </si>
  <si>
    <t>2025-08-12 22:46:14.877608</t>
  </si>
  <si>
    <t>LD-303393</t>
  </si>
  <si>
    <t>2025-09-22 16:23:00</t>
  </si>
  <si>
    <t>LD-303394</t>
  </si>
  <si>
    <t>2025-03-31 14:02:00</t>
  </si>
  <si>
    <t>LD-303395</t>
  </si>
  <si>
    <t>2026-02-22 11:20:00</t>
  </si>
  <si>
    <t>LD-303396</t>
  </si>
  <si>
    <t>2025-05-23 16:11:00</t>
  </si>
  <si>
    <t>LD-303397</t>
  </si>
  <si>
    <t>2026-04-24 15:04:00</t>
  </si>
  <si>
    <t>LD-303398</t>
  </si>
  <si>
    <t>2025-12-27 07:26:00</t>
  </si>
  <si>
    <t>LD-303399</t>
  </si>
  <si>
    <t>2026-02-02 13:30:00</t>
  </si>
  <si>
    <t>LD-303400</t>
  </si>
  <si>
    <t>2025-08-22 11:09:00</t>
  </si>
  <si>
    <t>2025-10-16 09:56:06.537431</t>
  </si>
  <si>
    <t>LD-303401</t>
  </si>
  <si>
    <t>2025-12-19 17:57:00</t>
  </si>
  <si>
    <t>LD-303402</t>
  </si>
  <si>
    <t>2026-05-27 08:00:00</t>
  </si>
  <si>
    <t>LD-303403</t>
  </si>
  <si>
    <t>2025-02-03 12:37:00</t>
  </si>
  <si>
    <t>2025-02-25 04:49:08.130039</t>
  </si>
  <si>
    <t>LD-303404</t>
  </si>
  <si>
    <t>2025-08-26 14:04:00</t>
  </si>
  <si>
    <t>LD-303405</t>
  </si>
  <si>
    <t>2025-11-14 07:42:00</t>
  </si>
  <si>
    <t>2025-12-23 05:26:57.108884</t>
  </si>
  <si>
    <t>LD-303406</t>
  </si>
  <si>
    <t>2025-09-12 14:22:00</t>
  </si>
  <si>
    <t>2025-10-19 17:42:39.303099</t>
  </si>
  <si>
    <t>LD-303407</t>
  </si>
  <si>
    <t>2026-07-11 04:46:00.885053</t>
  </si>
  <si>
    <t>LD-303408</t>
  </si>
  <si>
    <t>2026-01-17 19:41:00</t>
  </si>
  <si>
    <t>LD-303409</t>
  </si>
  <si>
    <t>2025-07-15 20:48:00</t>
  </si>
  <si>
    <t>LD-303410</t>
  </si>
  <si>
    <t>2025-05-22 13:05:00</t>
  </si>
  <si>
    <t>2025-07-09 05:30:43.115885</t>
  </si>
  <si>
    <t>LD-303411</t>
  </si>
  <si>
    <t>2025-12-04 11:56:00</t>
  </si>
  <si>
    <t>2026-01-15 10:41:03.882805</t>
  </si>
  <si>
    <t>LD-303412</t>
  </si>
  <si>
    <t>2025-10-22 13:43:00</t>
  </si>
  <si>
    <t>LD-303413</t>
  </si>
  <si>
    <t>2025-07-24 18:17:00</t>
  </si>
  <si>
    <t>2025-09-03 05:52:14.943785</t>
  </si>
  <si>
    <t>LD-303414</t>
  </si>
  <si>
    <t>2026-05-24 14:21:00</t>
  </si>
  <si>
    <t>LD-303415</t>
  </si>
  <si>
    <t>2025-06-20 18:18:00</t>
  </si>
  <si>
    <t>LD-303416</t>
  </si>
  <si>
    <t>2026-05-04 15:11:00</t>
  </si>
  <si>
    <t>LD-303417</t>
  </si>
  <si>
    <t>2025-06-14 17:40:00</t>
  </si>
  <si>
    <t>2025-07-02 11:31:17.260957</t>
  </si>
  <si>
    <t>LD-303418</t>
  </si>
  <si>
    <t>2025-02-21 16:25:00</t>
  </si>
  <si>
    <t>LD-303419</t>
  </si>
  <si>
    <t>2025-05-09 13:30:00</t>
  </si>
  <si>
    <t>LD-303420</t>
  </si>
  <si>
    <t>2025-07-28 09:42:00</t>
  </si>
  <si>
    <t>LD-303421</t>
  </si>
  <si>
    <t>2025-01-20 13:22:00</t>
  </si>
  <si>
    <t>2025-03-06 09:38:58.135348</t>
  </si>
  <si>
    <t>LD-303422</t>
  </si>
  <si>
    <t>2025-04-08 17:54:00</t>
  </si>
  <si>
    <t>LD-303423</t>
  </si>
  <si>
    <t>2025-03-25 10:26:00</t>
  </si>
  <si>
    <t>2025-04-26 10:59:11.381095</t>
  </si>
  <si>
    <t>LD-303424</t>
  </si>
  <si>
    <t>2025-10-02 11:43:00</t>
  </si>
  <si>
    <t>LD-303425</t>
  </si>
  <si>
    <t>2025-09-18 18:16:00</t>
  </si>
  <si>
    <t>2025-10-21 21:25:11.113666</t>
  </si>
  <si>
    <t>LD-303426</t>
  </si>
  <si>
    <t>2025-10-17 13:16:00</t>
  </si>
  <si>
    <t>2025-12-13 18:55:23.234759</t>
  </si>
  <si>
    <t>LD-303427</t>
  </si>
  <si>
    <t>2025-11-30 20:28:00</t>
  </si>
  <si>
    <t>LD-303428</t>
  </si>
  <si>
    <t>2025-05-16 17:46:00</t>
  </si>
  <si>
    <t>LD-303429</t>
  </si>
  <si>
    <t>2025-02-14 16:40:00</t>
  </si>
  <si>
    <t>2025-04-03 23:50:24.765604</t>
  </si>
  <si>
    <t>LD-303430</t>
  </si>
  <si>
    <t>2025-06-27 08:57:00</t>
  </si>
  <si>
    <t>LD-303431</t>
  </si>
  <si>
    <t>2025-02-21 19:08:00</t>
  </si>
  <si>
    <t>2025-04-18 16:15:12.510969</t>
  </si>
  <si>
    <t>LD-303432</t>
  </si>
  <si>
    <t>2025-12-30 15:30:00</t>
  </si>
  <si>
    <t>2026-02-18 21:01:53.729607</t>
  </si>
  <si>
    <t>LD-303433</t>
  </si>
  <si>
    <t>2025-10-17 07:22:00</t>
  </si>
  <si>
    <t>2025-11-26 23:22:00.683470</t>
  </si>
  <si>
    <t>LD-303434</t>
  </si>
  <si>
    <t>2025-12-24 08:02:00</t>
  </si>
  <si>
    <t>LD-303435</t>
  </si>
  <si>
    <t>2025-11-05 12:21:00</t>
  </si>
  <si>
    <t>2025-12-12 10:03:56.410758</t>
  </si>
  <si>
    <t>LD-303436</t>
  </si>
  <si>
    <t>2025-10-03 09:20:00</t>
  </si>
  <si>
    <t>2025-11-20 08:54:06.686753</t>
  </si>
  <si>
    <t>LD-303437</t>
  </si>
  <si>
    <t>2025-03-31 09:57:00</t>
  </si>
  <si>
    <t>LD-303438</t>
  </si>
  <si>
    <t>2025-11-17 16:13:00</t>
  </si>
  <si>
    <t>2025-12-18 12:18:28.045514</t>
  </si>
  <si>
    <t>LD-303439</t>
  </si>
  <si>
    <t>2026-02-09 08:09:00</t>
  </si>
  <si>
    <t>LD-303440</t>
  </si>
  <si>
    <t>2025-04-28 08:29:00</t>
  </si>
  <si>
    <t>2025-06-09 19:45:24.590609</t>
  </si>
  <si>
    <t>LD-303441</t>
  </si>
  <si>
    <t>2026-04-20 17:06:00</t>
  </si>
  <si>
    <t>LD-303442</t>
  </si>
  <si>
    <t>2026-04-10 15:05:00</t>
  </si>
  <si>
    <t>LD-303443</t>
  </si>
  <si>
    <t>2026-05-08 14:12:00</t>
  </si>
  <si>
    <t>LD-303444</t>
  </si>
  <si>
    <t>2026-03-11 19:00:00</t>
  </si>
  <si>
    <t>2026-04-08 13:19:24.114934</t>
  </si>
  <si>
    <t>LD-303445</t>
  </si>
  <si>
    <t>2025-01-06 10:13:00</t>
  </si>
  <si>
    <t>LD-303446</t>
  </si>
  <si>
    <t>2025-05-14 15:55:00</t>
  </si>
  <si>
    <t>LD-303447</t>
  </si>
  <si>
    <t>2025-06-21 19:57:00</t>
  </si>
  <si>
    <t>2025-07-22 08:36:28.420199</t>
  </si>
  <si>
    <t>LD-303448</t>
  </si>
  <si>
    <t>2025-12-02 12:47:00</t>
  </si>
  <si>
    <t>LD-303449</t>
  </si>
  <si>
    <t>2025-04-21 20:20:00</t>
  </si>
  <si>
    <t>LD-303450</t>
  </si>
  <si>
    <t>2025-11-25 09:29:00</t>
  </si>
  <si>
    <t>LD-303451</t>
  </si>
  <si>
    <t>2025-09-09 08:01:00</t>
  </si>
  <si>
    <t>2025-10-06 18:09:00.289710</t>
  </si>
  <si>
    <t>LD-303452</t>
  </si>
  <si>
    <t>2025-03-09 12:11:00</t>
  </si>
  <si>
    <t>2025-04-21 05:34:06.338194</t>
  </si>
  <si>
    <t>LD-303453</t>
  </si>
  <si>
    <t>2025-03-12 14:30:00</t>
  </si>
  <si>
    <t>LD-303454</t>
  </si>
  <si>
    <t>2026-01-13 13:26:00</t>
  </si>
  <si>
    <t>2026-02-26 12:33:45.331533</t>
  </si>
  <si>
    <t>LD-303455</t>
  </si>
  <si>
    <t>2026-06-09 14:16:00</t>
  </si>
  <si>
    <t>2026-08-04 08:37:34.359418</t>
  </si>
  <si>
    <t>LD-303456</t>
  </si>
  <si>
    <t>2025-08-29 13:42:00</t>
  </si>
  <si>
    <t>LD-303457</t>
  </si>
  <si>
    <t>2026-04-19 10:36:00</t>
  </si>
  <si>
    <t>LD-303458</t>
  </si>
  <si>
    <t>2025-09-24 16:48:00</t>
  </si>
  <si>
    <t>2025-11-03 16:00:45.153917</t>
  </si>
  <si>
    <t>LD-303459</t>
  </si>
  <si>
    <t>2025-10-31 19:57:00</t>
  </si>
  <si>
    <t>2025-12-15 15:50:44.262673</t>
  </si>
  <si>
    <t>LD-303460</t>
  </si>
  <si>
    <t>2026-05-29 07:17:00</t>
  </si>
  <si>
    <t>LD-303461</t>
  </si>
  <si>
    <t>2026-04-08 19:13:00</t>
  </si>
  <si>
    <t>LD-303462</t>
  </si>
  <si>
    <t>2026-02-11 15:58:00</t>
  </si>
  <si>
    <t>LD-303463</t>
  </si>
  <si>
    <t>2026-05-15 10:07:00</t>
  </si>
  <si>
    <t>LD-303464</t>
  </si>
  <si>
    <t>2025-04-18 16:15:00</t>
  </si>
  <si>
    <t>LD-303465</t>
  </si>
  <si>
    <t>2026-01-14 15:37:00</t>
  </si>
  <si>
    <t>LD-303466</t>
  </si>
  <si>
    <t>2025-06-05 07:18:00</t>
  </si>
  <si>
    <t>2025-07-24 20:20:33.335407</t>
  </si>
  <si>
    <t>LD-303467</t>
  </si>
  <si>
    <t>2025-12-29 19:46:00</t>
  </si>
  <si>
    <t>LD-303468</t>
  </si>
  <si>
    <t>2026-05-19 07:13:00</t>
  </si>
  <si>
    <t>LD-303469</t>
  </si>
  <si>
    <t>2026-04-02 17:45:00</t>
  </si>
  <si>
    <t>LD-303470</t>
  </si>
  <si>
    <t>2025-07-09 12:27:00</t>
  </si>
  <si>
    <t>2025-08-11 07:04:44.300422</t>
  </si>
  <si>
    <t>LD-303471</t>
  </si>
  <si>
    <t>2025-12-05 12:08:00</t>
  </si>
  <si>
    <t>LD-303472</t>
  </si>
  <si>
    <t>2025-05-09 19:57:00</t>
  </si>
  <si>
    <t>LD-303473</t>
  </si>
  <si>
    <t>2025-09-12 12:41:00</t>
  </si>
  <si>
    <t>LD-303474</t>
  </si>
  <si>
    <t>2025-08-18 17:27:00</t>
  </si>
  <si>
    <t>2025-09-22 09:02:01.212446</t>
  </si>
  <si>
    <t>LD-303475</t>
  </si>
  <si>
    <t>2026-01-09 15:19:00</t>
  </si>
  <si>
    <t>LD-303476</t>
  </si>
  <si>
    <t>2025-11-03 19:50:00</t>
  </si>
  <si>
    <t>2025-12-22 22:12:56.248375</t>
  </si>
  <si>
    <t>LD-303477</t>
  </si>
  <si>
    <t>2026-04-23 07:59:00</t>
  </si>
  <si>
    <t>LD-303478</t>
  </si>
  <si>
    <t>2026-06-03 15:54:00</t>
  </si>
  <si>
    <t>2026-07-14 18:42:26.242641</t>
  </si>
  <si>
    <t>LD-303479</t>
  </si>
  <si>
    <t>2025-06-02 07:29:00</t>
  </si>
  <si>
    <t>2025-07-24 19:58:10.066725</t>
  </si>
  <si>
    <t>LD-303480</t>
  </si>
  <si>
    <t>2025-07-07 20:34:00</t>
  </si>
  <si>
    <t>LD-303481</t>
  </si>
  <si>
    <t>2026-02-27 19:30:00</t>
  </si>
  <si>
    <t>2026-04-07 22:22:15.482556</t>
  </si>
  <si>
    <t>LD-303482</t>
  </si>
  <si>
    <t>2025-11-04 07:18:00</t>
  </si>
  <si>
    <t>LD-303483</t>
  </si>
  <si>
    <t>2025-09-11 20:09:00</t>
  </si>
  <si>
    <t>2025-10-07 10:25:52.425057</t>
  </si>
  <si>
    <t>LD-303484</t>
  </si>
  <si>
    <t>2025-11-05 08:02:00</t>
  </si>
  <si>
    <t>LD-303485</t>
  </si>
  <si>
    <t>2025-12-26 18:41:00</t>
  </si>
  <si>
    <t>2026-02-03 07:33:25.520518</t>
  </si>
  <si>
    <t>LD-303486</t>
  </si>
  <si>
    <t>2025-07-17 12:24:00</t>
  </si>
  <si>
    <t>2025-08-12 05:37:29.923231</t>
  </si>
  <si>
    <t>LD-303487</t>
  </si>
  <si>
    <t>2026-01-29 17:40:00</t>
  </si>
  <si>
    <t>LD-303488</t>
  </si>
  <si>
    <t>2026-01-21 17:40:00</t>
  </si>
  <si>
    <t>LD-303489</t>
  </si>
  <si>
    <t>2025-12-10 18:45:00</t>
  </si>
  <si>
    <t>2025-12-30 18:56:34.660129</t>
  </si>
  <si>
    <t>LD-303490</t>
  </si>
  <si>
    <t>2026-06-12 08:08:00</t>
  </si>
  <si>
    <t>LD-303491</t>
  </si>
  <si>
    <t>2025-09-05 19:52:00</t>
  </si>
  <si>
    <t>LD-303492</t>
  </si>
  <si>
    <t>2025-08-08 15:18:00</t>
  </si>
  <si>
    <t>LD-303493</t>
  </si>
  <si>
    <t>2026-03-31 13:18:00</t>
  </si>
  <si>
    <t>2026-05-08 00:07:34.818129</t>
  </si>
  <si>
    <t>LD-303494</t>
  </si>
  <si>
    <t>2026-02-20 18:43:00</t>
  </si>
  <si>
    <t>2026-04-07 23:00:33.204082</t>
  </si>
  <si>
    <t>LD-303495</t>
  </si>
  <si>
    <t>2025-01-31 19:26:00</t>
  </si>
  <si>
    <t>2025-03-22 07:30:26.150743</t>
  </si>
  <si>
    <t>LD-303496</t>
  </si>
  <si>
    <t>2025-12-10 18:07:00</t>
  </si>
  <si>
    <t>LD-303497</t>
  </si>
  <si>
    <t>2025-10-24 14:29:00</t>
  </si>
  <si>
    <t>LD-303498</t>
  </si>
  <si>
    <t>2025-01-03 10:05:00</t>
  </si>
  <si>
    <t>LD-303499</t>
  </si>
  <si>
    <t>2026-06-08 11:58:00</t>
  </si>
  <si>
    <t>LD-303500</t>
  </si>
  <si>
    <t>2025-01-21 17:32:00</t>
  </si>
  <si>
    <t>LD-303501</t>
  </si>
  <si>
    <t>2025-01-10 10:12:00</t>
  </si>
  <si>
    <t>2025-02-03 21:59:25.862121</t>
  </si>
  <si>
    <t>LD-303502</t>
  </si>
  <si>
    <t>2025-09-18 20:53:00</t>
  </si>
  <si>
    <t>2025-11-03 10:03:50.571919</t>
  </si>
  <si>
    <t>LD-303503</t>
  </si>
  <si>
    <t>2025-07-18 07:54:00</t>
  </si>
  <si>
    <t>LD-303504</t>
  </si>
  <si>
    <t>2025-02-03 16:37:00</t>
  </si>
  <si>
    <t>LD-303505</t>
  </si>
  <si>
    <t>2025-03-17 08:28:00</t>
  </si>
  <si>
    <t>2025-04-18 19:46:56.308221</t>
  </si>
  <si>
    <t>LD-303506</t>
  </si>
  <si>
    <t>2025-05-20 16:33:00</t>
  </si>
  <si>
    <t>LD-303507</t>
  </si>
  <si>
    <t>2025-04-26 07:30:00</t>
  </si>
  <si>
    <t>2025-05-16 16:59:33.341058</t>
  </si>
  <si>
    <t>LD-303508</t>
  </si>
  <si>
    <t>2025-11-21 19:33:00</t>
  </si>
  <si>
    <t>LD-303509</t>
  </si>
  <si>
    <t>2025-03-18 20:30:00</t>
  </si>
  <si>
    <t>LD-303510</t>
  </si>
  <si>
    <t>2025-04-24 09:39:00</t>
  </si>
  <si>
    <t>LD-303511</t>
  </si>
  <si>
    <t>2026-05-08 10:17:00</t>
  </si>
  <si>
    <t>2026-06-13 20:40:45.371057</t>
  </si>
  <si>
    <t>LD-303512</t>
  </si>
  <si>
    <t>2025-01-11 13:08:00</t>
  </si>
  <si>
    <t>2025-02-22 05:09:59.460075</t>
  </si>
  <si>
    <t>LD-303513</t>
  </si>
  <si>
    <t>2025-08-23 11:53:00</t>
  </si>
  <si>
    <t>LD-303514</t>
  </si>
  <si>
    <t>2025-02-28 20:33:00</t>
  </si>
  <si>
    <t>LD-303515</t>
  </si>
  <si>
    <t>2026-01-09 16:40:00</t>
  </si>
  <si>
    <t>2026-02-19 06:13:52.670904</t>
  </si>
  <si>
    <t>LD-303516</t>
  </si>
  <si>
    <t>2025-03-10 16:13:00</t>
  </si>
  <si>
    <t>LD-303517</t>
  </si>
  <si>
    <t>2026-01-30 14:01:00</t>
  </si>
  <si>
    <t>LD-303518</t>
  </si>
  <si>
    <t>2025-11-19 11:19:00</t>
  </si>
  <si>
    <t>LD-303519</t>
  </si>
  <si>
    <t>2025-05-06 08:48:00</t>
  </si>
  <si>
    <t>2025-06-10 10:02:33.374146</t>
  </si>
  <si>
    <t>LD-303520</t>
  </si>
  <si>
    <t>2026-01-02 20:51:00</t>
  </si>
  <si>
    <t>2026-02-04 14:48:01.167033</t>
  </si>
  <si>
    <t>LD-303521</t>
  </si>
  <si>
    <t>2025-12-19 15:01:00</t>
  </si>
  <si>
    <t>2026-02-01 08:55:17.977257</t>
  </si>
  <si>
    <t>LD-303522</t>
  </si>
  <si>
    <t>2026-05-05 13:37:00</t>
  </si>
  <si>
    <t>2026-06-15 14:42:38.796354</t>
  </si>
  <si>
    <t>LD-303523</t>
  </si>
  <si>
    <t>2025-04-07 14:29:00</t>
  </si>
  <si>
    <t>2025-05-06 14:00:58.480337</t>
  </si>
  <si>
    <t>LD-303524</t>
  </si>
  <si>
    <t>2025-06-08 13:19:00</t>
  </si>
  <si>
    <t>LD-303525</t>
  </si>
  <si>
    <t>2026-05-24 07:29:00</t>
  </si>
  <si>
    <t>LD-303526</t>
  </si>
  <si>
    <t>2025-01-17 20:13:00</t>
  </si>
  <si>
    <t>LD-303527</t>
  </si>
  <si>
    <t>2026-03-13 16:04:00</t>
  </si>
  <si>
    <t>LD-303528</t>
  </si>
  <si>
    <t>2025-02-05 16:42:00</t>
  </si>
  <si>
    <t>LD-303529</t>
  </si>
  <si>
    <t>2026-05-29 19:48:00</t>
  </si>
  <si>
    <t>LD-303530</t>
  </si>
  <si>
    <t>2025-07-07 10:13:00</t>
  </si>
  <si>
    <t>2025-08-15 00:52:26.462462</t>
  </si>
  <si>
    <t>LD-303531</t>
  </si>
  <si>
    <t>2026-05-06 08:09:00</t>
  </si>
  <si>
    <t>2026-06-22 03:15:56.778105</t>
  </si>
  <si>
    <t>LD-303532</t>
  </si>
  <si>
    <t>2026-03-31 17:11:00</t>
  </si>
  <si>
    <t>LD-303533</t>
  </si>
  <si>
    <t>2026-02-20 20:54:00</t>
  </si>
  <si>
    <t>2026-03-26 18:09:52.932036</t>
  </si>
  <si>
    <t>LD-303534</t>
  </si>
  <si>
    <t>2025-12-04 17:32:00</t>
  </si>
  <si>
    <t>LD-303535</t>
  </si>
  <si>
    <t>2025-01-10 16:00:00</t>
  </si>
  <si>
    <t>LD-303536</t>
  </si>
  <si>
    <t>2025-01-10 20:25:00</t>
  </si>
  <si>
    <t>2025-02-05 14:07:34.330745</t>
  </si>
  <si>
    <t>LD-303537</t>
  </si>
  <si>
    <t>2025-06-04 10:02:00</t>
  </si>
  <si>
    <t>LD-303538</t>
  </si>
  <si>
    <t>2026-04-23 14:14:00</t>
  </si>
  <si>
    <t>LD-303539</t>
  </si>
  <si>
    <t>2025-07-21 15:10:00</t>
  </si>
  <si>
    <t>2025-08-29 22:05:21.926583</t>
  </si>
  <si>
    <t>LD-303540</t>
  </si>
  <si>
    <t>2025-02-17 15:24:00</t>
  </si>
  <si>
    <t>LD-303541</t>
  </si>
  <si>
    <t>2025-02-19 07:12:00</t>
  </si>
  <si>
    <t>LD-303542</t>
  </si>
  <si>
    <t>2025-11-21 18:23:00</t>
  </si>
  <si>
    <t>2025-12-29 17:00:32.354870</t>
  </si>
  <si>
    <t>LD-303543</t>
  </si>
  <si>
    <t>2025-08-08 18:45:00</t>
  </si>
  <si>
    <t>LD-303544</t>
  </si>
  <si>
    <t>2026-01-08 09:26:00</t>
  </si>
  <si>
    <t>LD-303545</t>
  </si>
  <si>
    <t>2025-04-21 10:50:00</t>
  </si>
  <si>
    <t>2025-05-23 11:48:33.722149</t>
  </si>
  <si>
    <t>LD-303546</t>
  </si>
  <si>
    <t>2025-01-23 17:30:00</t>
  </si>
  <si>
    <t>LD-303547</t>
  </si>
  <si>
    <t>2025-07-28 11:32:00</t>
  </si>
  <si>
    <t>LD-303548</t>
  </si>
  <si>
    <t>2025-07-18 15:11:00</t>
  </si>
  <si>
    <t>LD-303549</t>
  </si>
  <si>
    <t>2025-10-15 13:40:00</t>
  </si>
  <si>
    <t>LD-303550</t>
  </si>
  <si>
    <t>2025-10-14 07:28:00</t>
  </si>
  <si>
    <t>LD-303551</t>
  </si>
  <si>
    <t>2025-12-26 15:33:00</t>
  </si>
  <si>
    <t>2026-02-07 23:45:18.401249</t>
  </si>
  <si>
    <t>LD-303552</t>
  </si>
  <si>
    <t>2025-12-29 08:32:00</t>
  </si>
  <si>
    <t>LD-303553</t>
  </si>
  <si>
    <t>2025-06-09 11:43:00</t>
  </si>
  <si>
    <t>LD-303554</t>
  </si>
  <si>
    <t>2025-10-03 10:56:00</t>
  </si>
  <si>
    <t>LD-303555</t>
  </si>
  <si>
    <t>2025-03-24 09:38:00</t>
  </si>
  <si>
    <t>2025-05-07 03:37:54.125676</t>
  </si>
  <si>
    <t>LD-303556</t>
  </si>
  <si>
    <t>2026-06-12 20:06:00</t>
  </si>
  <si>
    <t>LD-303557</t>
  </si>
  <si>
    <t>2025-08-01 14:37:00</t>
  </si>
  <si>
    <t>LD-303558</t>
  </si>
  <si>
    <t>2026-02-13 19:16:00</t>
  </si>
  <si>
    <t>2026-03-22 23:36:50.604120</t>
  </si>
  <si>
    <t>LD-303559</t>
  </si>
  <si>
    <t>2026-03-06 10:38:00</t>
  </si>
  <si>
    <t>LD-303560</t>
  </si>
  <si>
    <t>2025-01-24 15:29:00</t>
  </si>
  <si>
    <t>LD-303561</t>
  </si>
  <si>
    <t>2025-03-18 07:42:00</t>
  </si>
  <si>
    <t>LD-303562</t>
  </si>
  <si>
    <t>2026-01-10 11:25:00</t>
  </si>
  <si>
    <t>LD-303563</t>
  </si>
  <si>
    <t>2026-05-19 10:28:00</t>
  </si>
  <si>
    <t>LD-303564</t>
  </si>
  <si>
    <t>2026-02-28 09:46:00</t>
  </si>
  <si>
    <t>2026-04-03 18:52:52.841078</t>
  </si>
  <si>
    <t>LD-303565</t>
  </si>
  <si>
    <t>2025-08-11 20:01:00</t>
  </si>
  <si>
    <t>2025-09-01 11:07:23.002017</t>
  </si>
  <si>
    <t>LD-303566</t>
  </si>
  <si>
    <t>2025-10-25 16:25:00</t>
  </si>
  <si>
    <t>LD-303567</t>
  </si>
  <si>
    <t>2026-01-30 13:21:00</t>
  </si>
  <si>
    <t>LD-303568</t>
  </si>
  <si>
    <t>2026-05-21 08:21:00</t>
  </si>
  <si>
    <t>2026-06-18 16:53:10.627735</t>
  </si>
  <si>
    <t>LD-303569</t>
  </si>
  <si>
    <t>2025-08-18 19:40:00</t>
  </si>
  <si>
    <t>2025-09-27 11:37:59.830453</t>
  </si>
  <si>
    <t>LD-303570</t>
  </si>
  <si>
    <t>2025-04-22 15:08:00</t>
  </si>
  <si>
    <t>LD-303571</t>
  </si>
  <si>
    <t>2026-01-09 17:19:00</t>
  </si>
  <si>
    <t>LD-303572</t>
  </si>
  <si>
    <t>2025-08-12 19:14:00</t>
  </si>
  <si>
    <t>2025-09-17 16:20:55.140223</t>
  </si>
  <si>
    <t>LD-303573</t>
  </si>
  <si>
    <t>2025-04-25 14:07:00</t>
  </si>
  <si>
    <t>LD-303574</t>
  </si>
  <si>
    <t>2025-01-09 08:22:00</t>
  </si>
  <si>
    <t>LD-303575</t>
  </si>
  <si>
    <t>2026-02-27 13:23:00</t>
  </si>
  <si>
    <t>LD-303576</t>
  </si>
  <si>
    <t>2025-08-06 08:16:00</t>
  </si>
  <si>
    <t>LD-303577</t>
  </si>
  <si>
    <t>2025-05-28 15:53:00</t>
  </si>
  <si>
    <t>LD-303578</t>
  </si>
  <si>
    <t>2025-11-18 13:53:00</t>
  </si>
  <si>
    <t>LD-303579</t>
  </si>
  <si>
    <t>2025-03-13 20:09:00</t>
  </si>
  <si>
    <t>2025-04-08 23:59:01.513568</t>
  </si>
  <si>
    <t>LD-303580</t>
  </si>
  <si>
    <t>2025-06-25 07:26:00</t>
  </si>
  <si>
    <t>LD-303581</t>
  </si>
  <si>
    <t>2025-10-10 09:58:00</t>
  </si>
  <si>
    <t>LD-303582</t>
  </si>
  <si>
    <t>2025-04-10 13:36:00</t>
  </si>
  <si>
    <t>2025-05-17 11:48:56.233033</t>
  </si>
  <si>
    <t>LD-303583</t>
  </si>
  <si>
    <t>2026-05-01 07:06:00</t>
  </si>
  <si>
    <t>2026-06-02 14:06:08.674216</t>
  </si>
  <si>
    <t>LD-303584</t>
  </si>
  <si>
    <t>2025-11-21 14:25:00</t>
  </si>
  <si>
    <t>LD-303585</t>
  </si>
  <si>
    <t>2025-08-24 11:11:00</t>
  </si>
  <si>
    <t>LD-303586</t>
  </si>
  <si>
    <t>2025-11-18 13:30:00</t>
  </si>
  <si>
    <t>2025-12-24 23:04:32.939410</t>
  </si>
  <si>
    <t>LD-303587</t>
  </si>
  <si>
    <t>2026-04-21 08:09:00</t>
  </si>
  <si>
    <t>LD-303588</t>
  </si>
  <si>
    <t>2025-10-08 14:04:00</t>
  </si>
  <si>
    <t>LD-303589</t>
  </si>
  <si>
    <t>2025-10-31 12:37:00</t>
  </si>
  <si>
    <t>2025-12-18 10:17:41.740992</t>
  </si>
  <si>
    <t>LD-303590</t>
  </si>
  <si>
    <t>2025-06-10 07:15:00</t>
  </si>
  <si>
    <t>LD-303591</t>
  </si>
  <si>
    <t>2025-02-26 08:27:00</t>
  </si>
  <si>
    <t>2025-04-20 13:41:01.175624</t>
  </si>
  <si>
    <t>LD-303592</t>
  </si>
  <si>
    <t>2025-04-24 11:34:00</t>
  </si>
  <si>
    <t>LD-303593</t>
  </si>
  <si>
    <t>2025-09-19 07:41:00</t>
  </si>
  <si>
    <t>LD-303594</t>
  </si>
  <si>
    <t>2025-03-17 14:04:00</t>
  </si>
  <si>
    <t>LD-303595</t>
  </si>
  <si>
    <t>2025-12-17 14:39:00</t>
  </si>
  <si>
    <t>LD-303596</t>
  </si>
  <si>
    <t>2025-06-27 08:22:00</t>
  </si>
  <si>
    <t>2025-07-25 08:54:27.514503</t>
  </si>
  <si>
    <t>LD-303597</t>
  </si>
  <si>
    <t>2025-10-09 12:58:00</t>
  </si>
  <si>
    <t>LD-303598</t>
  </si>
  <si>
    <t>2026-03-29 12:29:00</t>
  </si>
  <si>
    <t>LD-303599</t>
  </si>
  <si>
    <t>2025-01-22 15:39:00</t>
  </si>
  <si>
    <t>LD-303600</t>
  </si>
  <si>
    <t>2025-05-16 08:50:00</t>
  </si>
  <si>
    <t>LD-303601</t>
  </si>
  <si>
    <t>2026-05-11 16:26:00</t>
  </si>
  <si>
    <t>LD-303602</t>
  </si>
  <si>
    <t>2025-12-12 15:36:00</t>
  </si>
  <si>
    <t>LD-303603</t>
  </si>
  <si>
    <t>2025-12-29 17:50:00</t>
  </si>
  <si>
    <t>2026-02-20 13:26:17.868150</t>
  </si>
  <si>
    <t>LD-303604</t>
  </si>
  <si>
    <t>2025-01-03 08:31:00</t>
  </si>
  <si>
    <t>LD-303605</t>
  </si>
  <si>
    <t>2025-06-18 11:30:00</t>
  </si>
  <si>
    <t>LD-303606</t>
  </si>
  <si>
    <t>2025-02-27 12:34:00</t>
  </si>
  <si>
    <t>LD-303607</t>
  </si>
  <si>
    <t>2025-03-21 09:51:00</t>
  </si>
  <si>
    <t>LD-303608</t>
  </si>
  <si>
    <t>2025-03-24 09:14:00</t>
  </si>
  <si>
    <t>LD-303609</t>
  </si>
  <si>
    <t>2026-03-01 14:06:00</t>
  </si>
  <si>
    <t>LD-303610</t>
  </si>
  <si>
    <t>2025-03-01 08:47:00</t>
  </si>
  <si>
    <t>LD-303611</t>
  </si>
  <si>
    <t>2025-10-30 16:17:00</t>
  </si>
  <si>
    <t>LD-303612</t>
  </si>
  <si>
    <t>2026-03-07 20:57:00</t>
  </si>
  <si>
    <t>LD-303613</t>
  </si>
  <si>
    <t>2025-08-22 14:34:00</t>
  </si>
  <si>
    <t>LD-303614</t>
  </si>
  <si>
    <t>2026-03-21 16:46:00</t>
  </si>
  <si>
    <t>LD-303615</t>
  </si>
  <si>
    <t>2026-06-29 07:57:00</t>
  </si>
  <si>
    <t>LD-303616</t>
  </si>
  <si>
    <t>2025-06-13 13:22:00</t>
  </si>
  <si>
    <t>LD-303617</t>
  </si>
  <si>
    <t>2025-01-23 08:24:00</t>
  </si>
  <si>
    <t>2025-03-09 04:54:59.514505</t>
  </si>
  <si>
    <t>LD-303618</t>
  </si>
  <si>
    <t>2025-02-21 20:24:00</t>
  </si>
  <si>
    <t>LD-303619</t>
  </si>
  <si>
    <t>2026-03-28 10:46:00</t>
  </si>
  <si>
    <t>LD-303620</t>
  </si>
  <si>
    <t>2025-06-16 18:49:00</t>
  </si>
  <si>
    <t>2025-07-19 20:38:04.868346</t>
  </si>
  <si>
    <t>LD-303621</t>
  </si>
  <si>
    <t>2025-02-20 12:04:00</t>
  </si>
  <si>
    <t>LD-303622</t>
  </si>
  <si>
    <t>2025-06-27 15:16:00</t>
  </si>
  <si>
    <t>LD-303623</t>
  </si>
  <si>
    <t>2025-12-29 14:32:00</t>
  </si>
  <si>
    <t>2026-02-18 19:56:44.255706</t>
  </si>
  <si>
    <t>LD-303624</t>
  </si>
  <si>
    <t>2026-02-22 16:10:00</t>
  </si>
  <si>
    <t>LD-303625</t>
  </si>
  <si>
    <t>2025-04-26 18:59:00</t>
  </si>
  <si>
    <t>LD-303626</t>
  </si>
  <si>
    <t>2025-03-11 12:58:00</t>
  </si>
  <si>
    <t>LD-303627</t>
  </si>
  <si>
    <t>2025-01-31 17:52:00</t>
  </si>
  <si>
    <t>LD-303628</t>
  </si>
  <si>
    <t>2025-05-15 11:05:00</t>
  </si>
  <si>
    <t>2025-06-08 07:11:36.142171</t>
  </si>
  <si>
    <t>LD-303629</t>
  </si>
  <si>
    <t>2025-08-28 09:38:00</t>
  </si>
  <si>
    <t>LD-303630</t>
  </si>
  <si>
    <t>2025-12-09 14:38:00</t>
  </si>
  <si>
    <t>2026-01-13 20:38:11.430304</t>
  </si>
  <si>
    <t>LD-303631</t>
  </si>
  <si>
    <t>2025-10-24 14:01:00</t>
  </si>
  <si>
    <t>LD-303632</t>
  </si>
  <si>
    <t>2026-01-06 09:42:00</t>
  </si>
  <si>
    <t>LD-303633</t>
  </si>
  <si>
    <t>2025-06-03 08:32:00</t>
  </si>
  <si>
    <t>LD-303634</t>
  </si>
  <si>
    <t>2025-01-18 19:45:00</t>
  </si>
  <si>
    <t>LD-303635</t>
  </si>
  <si>
    <t>2025-07-11 08:44:00</t>
  </si>
  <si>
    <t>2025-08-21 05:33:43.629508</t>
  </si>
  <si>
    <t>LD-303636</t>
  </si>
  <si>
    <t>2025-02-19 18:49:00</t>
  </si>
  <si>
    <t>2025-04-04 01:55:54.275089</t>
  </si>
  <si>
    <t>LD-303637</t>
  </si>
  <si>
    <t>2025-11-14 12:32:00</t>
  </si>
  <si>
    <t>LD-303638</t>
  </si>
  <si>
    <t>2026-01-26 08:32:00</t>
  </si>
  <si>
    <t>2026-02-20 01:38:49.530402</t>
  </si>
  <si>
    <t>LD-303639</t>
  </si>
  <si>
    <t>2025-09-03 15:11:00</t>
  </si>
  <si>
    <t>LD-303640</t>
  </si>
  <si>
    <t>2025-07-11 15:45:00</t>
  </si>
  <si>
    <t>2025-08-23 14:26:11.302992</t>
  </si>
  <si>
    <t>LD-303641</t>
  </si>
  <si>
    <t>2025-07-21 19:58:00</t>
  </si>
  <si>
    <t>LD-303642</t>
  </si>
  <si>
    <t>2025-07-11 09:43:00</t>
  </si>
  <si>
    <t>2025-08-23 19:26:41.943421</t>
  </si>
  <si>
    <t>LD-303643</t>
  </si>
  <si>
    <t>2026-02-13 18:55:00</t>
  </si>
  <si>
    <t>LD-303644</t>
  </si>
  <si>
    <t>2025-03-13 11:48:00</t>
  </si>
  <si>
    <t>LD-303645</t>
  </si>
  <si>
    <t>2025-02-07 16:58:00</t>
  </si>
  <si>
    <t>2025-03-13 18:18:04.326102</t>
  </si>
  <si>
    <t>LD-303646</t>
  </si>
  <si>
    <t>2025-02-13 20:18:00</t>
  </si>
  <si>
    <t>2025-03-24 08:51:07.182383</t>
  </si>
  <si>
    <t>LD-303647</t>
  </si>
  <si>
    <t>2025-11-11 13:56:00</t>
  </si>
  <si>
    <t>LD-303648</t>
  </si>
  <si>
    <t>2025-01-07 07:32:00</t>
  </si>
  <si>
    <t>LD-303649</t>
  </si>
  <si>
    <t>2025-10-02 09:14:00</t>
  </si>
  <si>
    <t>2025-11-12 17:39:22.473556</t>
  </si>
  <si>
    <t>LD-303650</t>
  </si>
  <si>
    <t>2025-11-04 20:11:00</t>
  </si>
  <si>
    <t>LD-303651</t>
  </si>
  <si>
    <t>2025-06-02 11:00:00</t>
  </si>
  <si>
    <t>2025-06-30 07:43:08.716323</t>
  </si>
  <si>
    <t>LD-303652</t>
  </si>
  <si>
    <t>2025-09-05 17:32:00</t>
  </si>
  <si>
    <t>LD-303653</t>
  </si>
  <si>
    <t>2026-01-18 20:36:00</t>
  </si>
  <si>
    <t>2026-02-28 16:36:11.846162</t>
  </si>
  <si>
    <t>LD-303654</t>
  </si>
  <si>
    <t>2025-05-09 18:54:00</t>
  </si>
  <si>
    <t>LD-303655</t>
  </si>
  <si>
    <t>2025-05-29 19:38:00</t>
  </si>
  <si>
    <t>LD-303656</t>
  </si>
  <si>
    <t>2025-02-07 19:01:00</t>
  </si>
  <si>
    <t>2025-03-18 06:47:20.134367</t>
  </si>
  <si>
    <t>LD-303657</t>
  </si>
  <si>
    <t>2025-03-11 12:16:00</t>
  </si>
  <si>
    <t>LD-303658</t>
  </si>
  <si>
    <t>2025-02-04 17:15:00</t>
  </si>
  <si>
    <t>2025-04-06 05:06:17.266674</t>
  </si>
  <si>
    <t>LD-303659</t>
  </si>
  <si>
    <t>2025-10-30 16:09:00</t>
  </si>
  <si>
    <t>LD-303660</t>
  </si>
  <si>
    <t>2025-06-13 11:59:00</t>
  </si>
  <si>
    <t>LD-303661</t>
  </si>
  <si>
    <t>2025-02-25 08:18:00</t>
  </si>
  <si>
    <t>LD-303662</t>
  </si>
  <si>
    <t>2025-09-02 16:31:00</t>
  </si>
  <si>
    <t>2025-10-12 14:06:34.849615</t>
  </si>
  <si>
    <t>LD-303663</t>
  </si>
  <si>
    <t>2025-05-27 19:00:00</t>
  </si>
  <si>
    <t>2025-07-04 22:34:17.578451</t>
  </si>
  <si>
    <t>LD-303664</t>
  </si>
  <si>
    <t>2025-04-18 08:48:00</t>
  </si>
  <si>
    <t>2025-06-06 21:39:17.046076</t>
  </si>
  <si>
    <t>LD-303665</t>
  </si>
  <si>
    <t>2025-09-15 13:10:00</t>
  </si>
  <si>
    <t>LD-303666</t>
  </si>
  <si>
    <t>2026-02-03 15:58:00</t>
  </si>
  <si>
    <t>LD-303667</t>
  </si>
  <si>
    <t>2026-04-23 07:46:00</t>
  </si>
  <si>
    <t>LD-303668</t>
  </si>
  <si>
    <t>2025-11-19 16:24:00</t>
  </si>
  <si>
    <t>2025-12-23 01:55:08.450591</t>
  </si>
  <si>
    <t>LD-303669</t>
  </si>
  <si>
    <t>2026-01-12 10:19:00</t>
  </si>
  <si>
    <t>2026-02-15 06:29:09.239131</t>
  </si>
  <si>
    <t>LD-303670</t>
  </si>
  <si>
    <t>2025-03-09 10:00:00</t>
  </si>
  <si>
    <t>2025-04-06 22:08:39.368310</t>
  </si>
  <si>
    <t>LD-303671</t>
  </si>
  <si>
    <t>2025-07-18 19:58:00</t>
  </si>
  <si>
    <t>LD-303672</t>
  </si>
  <si>
    <t>2025-05-05 18:35:00</t>
  </si>
  <si>
    <t>LD-303673</t>
  </si>
  <si>
    <t>2026-05-08 16:27:00</t>
  </si>
  <si>
    <t>2026-06-13 20:21:35.982794</t>
  </si>
  <si>
    <t>LD-303674</t>
  </si>
  <si>
    <t>2025-03-26 07:15:00</t>
  </si>
  <si>
    <t>2025-04-27 22:13:30.541678</t>
  </si>
  <si>
    <t>LD-303675</t>
  </si>
  <si>
    <t>2025-11-26 17:46:00</t>
  </si>
  <si>
    <t>LD-303676</t>
  </si>
  <si>
    <t>2025-02-20 08:20:00</t>
  </si>
  <si>
    <t>2025-03-24 14:36:20.003623</t>
  </si>
  <si>
    <t>LD-303677</t>
  </si>
  <si>
    <t>2025-05-02 15:54:00</t>
  </si>
  <si>
    <t>LD-303678</t>
  </si>
  <si>
    <t>2025-04-11 17:45:00</t>
  </si>
  <si>
    <t>LD-303679</t>
  </si>
  <si>
    <t>2025-10-05 07:51:00</t>
  </si>
  <si>
    <t>LD-303680</t>
  </si>
  <si>
    <t>2025-03-07 14:35:00</t>
  </si>
  <si>
    <t>2025-03-30 08:24:52.849288</t>
  </si>
  <si>
    <t>LD-303681</t>
  </si>
  <si>
    <t>2025-08-01 14:57:00</t>
  </si>
  <si>
    <t>LD-303682</t>
  </si>
  <si>
    <t>2025-11-20 18:11:00</t>
  </si>
  <si>
    <t>LD-303683</t>
  </si>
  <si>
    <t>2025-04-30 07:40:00</t>
  </si>
  <si>
    <t>2025-06-10 13:03:48.051004</t>
  </si>
  <si>
    <t>LD-303684</t>
  </si>
  <si>
    <t>2025-11-20 07:37:00</t>
  </si>
  <si>
    <t>LD-303685</t>
  </si>
  <si>
    <t>2025-03-21 11:34:00</t>
  </si>
  <si>
    <t>LD-303686</t>
  </si>
  <si>
    <t>2025-04-04 14:03:00</t>
  </si>
  <si>
    <t>LD-303687</t>
  </si>
  <si>
    <t>2025-02-05 08:13:00</t>
  </si>
  <si>
    <t>LD-303688</t>
  </si>
  <si>
    <t>2026-05-04 12:48:00</t>
  </si>
  <si>
    <t>2026-06-10 03:09:45.673166</t>
  </si>
  <si>
    <t>LD-303689</t>
  </si>
  <si>
    <t>2025-12-27 09:54:00</t>
  </si>
  <si>
    <t>LD-303690</t>
  </si>
  <si>
    <t>2026-03-01 18:03:00</t>
  </si>
  <si>
    <t>LD-303691</t>
  </si>
  <si>
    <t>2025-04-09 07:23:00</t>
  </si>
  <si>
    <t>LD-303692</t>
  </si>
  <si>
    <t>2025-12-19 09:36:00</t>
  </si>
  <si>
    <t>LD-303693</t>
  </si>
  <si>
    <t>2025-08-14 17:23:00</t>
  </si>
  <si>
    <t>2025-09-18 19:46:35.556080</t>
  </si>
  <si>
    <t>LD-303694</t>
  </si>
  <si>
    <t>2025-01-09 13:02:00</t>
  </si>
  <si>
    <t>LD-303695</t>
  </si>
  <si>
    <t>2025-08-14 16:28:00</t>
  </si>
  <si>
    <t>LD-303696</t>
  </si>
  <si>
    <t>2025-03-28 16:22:00</t>
  </si>
  <si>
    <t>2025-05-08 09:00:25.299564</t>
  </si>
  <si>
    <t>LD-303697</t>
  </si>
  <si>
    <t>2026-05-07 09:09:00</t>
  </si>
  <si>
    <t>LD-303698</t>
  </si>
  <si>
    <t>2025-02-20 17:44:00</t>
  </si>
  <si>
    <t>LD-303699</t>
  </si>
  <si>
    <t>2026-02-27 13:40:00</t>
  </si>
  <si>
    <t>LD-303700</t>
  </si>
  <si>
    <t>2026-01-30 19:46:00</t>
  </si>
  <si>
    <t>2026-03-24 13:30:49.507373</t>
  </si>
  <si>
    <t>LD-303701</t>
  </si>
  <si>
    <t>2025-09-10 19:06:00</t>
  </si>
  <si>
    <t>LD-303702</t>
  </si>
  <si>
    <t>2025-01-18 11:08:00</t>
  </si>
  <si>
    <t>LD-303703</t>
  </si>
  <si>
    <t>2025-08-08 07:00:00</t>
  </si>
  <si>
    <t>LD-303704</t>
  </si>
  <si>
    <t>2025-01-05 12:38:00</t>
  </si>
  <si>
    <t>LD-303705</t>
  </si>
  <si>
    <t>2025-04-05 18:24:00</t>
  </si>
  <si>
    <t>2025-05-12 17:35:55.188662</t>
  </si>
  <si>
    <t>LD-303706</t>
  </si>
  <si>
    <t>2025-11-25 17:57:00</t>
  </si>
  <si>
    <t>2026-01-05 18:01:10.635294</t>
  </si>
  <si>
    <t>LD-303707</t>
  </si>
  <si>
    <t>2025-02-06 18:20:00</t>
  </si>
  <si>
    <t>LD-303708</t>
  </si>
  <si>
    <t>2026-06-04 12:36:00</t>
  </si>
  <si>
    <t>2026-07-11 13:06:37.424628</t>
  </si>
  <si>
    <t>LD-303709</t>
  </si>
  <si>
    <t>2026-06-18 10:41:00</t>
  </si>
  <si>
    <t>LD-303710</t>
  </si>
  <si>
    <t>2026-06-14 09:42:00</t>
  </si>
  <si>
    <t>LD-303711</t>
  </si>
  <si>
    <t>2025-10-03 07:45:00</t>
  </si>
  <si>
    <t>LD-303712</t>
  </si>
  <si>
    <t>2025-08-05 13:35:00</t>
  </si>
  <si>
    <t>LD-303713</t>
  </si>
  <si>
    <t>2025-10-21 13:43:00</t>
  </si>
  <si>
    <t>LD-303714</t>
  </si>
  <si>
    <t>2025-10-14 15:11:00</t>
  </si>
  <si>
    <t>LD-303715</t>
  </si>
  <si>
    <t>2026-06-05 07:53:00</t>
  </si>
  <si>
    <t>LD-303716</t>
  </si>
  <si>
    <t>2025-06-13 11:08:00</t>
  </si>
  <si>
    <t>2025-07-27 12:01:05.072235</t>
  </si>
  <si>
    <t>LD-303717</t>
  </si>
  <si>
    <t>2026-06-28 09:20:00</t>
  </si>
  <si>
    <t>LD-303718</t>
  </si>
  <si>
    <t>2025-12-17 16:08:00</t>
  </si>
  <si>
    <t>2026-02-01 08:57:45.207908</t>
  </si>
  <si>
    <t>LD-303719</t>
  </si>
  <si>
    <t>2025-01-03 09:09:00</t>
  </si>
  <si>
    <t>2025-02-05 05:53:04.343522</t>
  </si>
  <si>
    <t>LD-303720</t>
  </si>
  <si>
    <t>2026-04-20 12:59:00</t>
  </si>
  <si>
    <t>2026-05-26 17:40:44.861574</t>
  </si>
  <si>
    <t>LD-303721</t>
  </si>
  <si>
    <t>2026-04-09 12:55:00</t>
  </si>
  <si>
    <t>LD-303722</t>
  </si>
  <si>
    <t>2026-01-29 19:28:00</t>
  </si>
  <si>
    <t>LD-303723</t>
  </si>
  <si>
    <t>2025-07-31 16:30:00</t>
  </si>
  <si>
    <t>LD-303724</t>
  </si>
  <si>
    <t>2025-04-11 18:20:00</t>
  </si>
  <si>
    <t>LD-303725</t>
  </si>
  <si>
    <t>2025-10-08 14:36:00</t>
  </si>
  <si>
    <t>LD-303726</t>
  </si>
  <si>
    <t>2025-07-14 12:19:00</t>
  </si>
  <si>
    <t>2025-08-17 18:20:33.825060</t>
  </si>
  <si>
    <t>LD-303727</t>
  </si>
  <si>
    <t>2026-01-23 14:56:00</t>
  </si>
  <si>
    <t>LD-303728</t>
  </si>
  <si>
    <t>2025-06-20 17:55:00</t>
  </si>
  <si>
    <t>LD-303729</t>
  </si>
  <si>
    <t>2025-10-15 12:27:00</t>
  </si>
  <si>
    <t>LD-303730</t>
  </si>
  <si>
    <t>2025-11-28 19:04:00</t>
  </si>
  <si>
    <t>2026-01-14 02:07:54.169768</t>
  </si>
  <si>
    <t>LD-303731</t>
  </si>
  <si>
    <t>2026-02-05 12:38:00</t>
  </si>
  <si>
    <t>LD-303732</t>
  </si>
  <si>
    <t>2025-04-01 09:20:00</t>
  </si>
  <si>
    <t>LD-303733</t>
  </si>
  <si>
    <t>2025-08-01 13:24:00</t>
  </si>
  <si>
    <t>LD-303734</t>
  </si>
  <si>
    <t>2025-01-10 11:07:00</t>
  </si>
  <si>
    <t>LD-303735</t>
  </si>
  <si>
    <t>2025-08-28 13:34:00</t>
  </si>
  <si>
    <t>2025-10-14 08:34:27.241573</t>
  </si>
  <si>
    <t>LD-303736</t>
  </si>
  <si>
    <t>2025-09-03 08:48:00</t>
  </si>
  <si>
    <t>2025-10-20 07:46:11.094374</t>
  </si>
  <si>
    <t>LD-303737</t>
  </si>
  <si>
    <t>2026-05-06 13:14:00</t>
  </si>
  <si>
    <t>LD-303738</t>
  </si>
  <si>
    <t>2026-05-05 13:55:00</t>
  </si>
  <si>
    <t>LD-303739</t>
  </si>
  <si>
    <t>2026-01-07 12:17:00</t>
  </si>
  <si>
    <t>LD-303740</t>
  </si>
  <si>
    <t>2025-04-23 10:58:00</t>
  </si>
  <si>
    <t>LD-303741</t>
  </si>
  <si>
    <t>2026-04-22 15:15:00</t>
  </si>
  <si>
    <t>LD-303742</t>
  </si>
  <si>
    <t>2026-04-10 07:24:00</t>
  </si>
  <si>
    <t>LD-303743</t>
  </si>
  <si>
    <t>2026-06-12 13:40:00</t>
  </si>
  <si>
    <t>LD-303744</t>
  </si>
  <si>
    <t>2026-03-13 14:33:00</t>
  </si>
  <si>
    <t>2026-04-05 02:48:45.991548</t>
  </si>
  <si>
    <t>LD-303745</t>
  </si>
  <si>
    <t>2025-07-17 14:13:00</t>
  </si>
  <si>
    <t>LD-303746</t>
  </si>
  <si>
    <t>2025-12-19 11:56:00</t>
  </si>
  <si>
    <t>LD-303747</t>
  </si>
  <si>
    <t>2026-04-12 15:39:00</t>
  </si>
  <si>
    <t>2026-05-29 20:26:38.056480</t>
  </si>
  <si>
    <t>LD-303748</t>
  </si>
  <si>
    <t>2026-04-11 12:20:00</t>
  </si>
  <si>
    <t>LD-303749</t>
  </si>
  <si>
    <t>2025-11-06 07:35:00</t>
  </si>
  <si>
    <t>LD-303750</t>
  </si>
  <si>
    <t>2026-03-12 17:29:00</t>
  </si>
  <si>
    <t>LD-303751</t>
  </si>
  <si>
    <t>2025-12-04 15:39:00</t>
  </si>
  <si>
    <t>LD-303752</t>
  </si>
  <si>
    <t>2025-10-03 09:05:00</t>
  </si>
  <si>
    <t>2025-11-07 11:30:48.080089</t>
  </si>
  <si>
    <t>LD-303753</t>
  </si>
  <si>
    <t>2025-01-07 20:38:00</t>
  </si>
  <si>
    <t>2025-02-28 13:02:11.700966</t>
  </si>
  <si>
    <t>LD-303754</t>
  </si>
  <si>
    <t>2025-12-20 15:26:00</t>
  </si>
  <si>
    <t>LD-303755</t>
  </si>
  <si>
    <t>2026-01-02 08:58:00</t>
  </si>
  <si>
    <t>LD-303756</t>
  </si>
  <si>
    <t>2026-06-04 19:19:00</t>
  </si>
  <si>
    <t>LD-303757</t>
  </si>
  <si>
    <t>2025-03-24 10:27:00</t>
  </si>
  <si>
    <t>LD-303758</t>
  </si>
  <si>
    <t>2025-04-17 13:40:00</t>
  </si>
  <si>
    <t>2025-05-19 07:49:50.379614</t>
  </si>
  <si>
    <t>LD-303759</t>
  </si>
  <si>
    <t>2025-09-01 15:05:00</t>
  </si>
  <si>
    <t>LD-303760</t>
  </si>
  <si>
    <t>2026-06-18 10:15:00</t>
  </si>
  <si>
    <t>LD-303761</t>
  </si>
  <si>
    <t>2026-04-22 16:24:00</t>
  </si>
  <si>
    <t>LD-303762</t>
  </si>
  <si>
    <t>2026-02-28 13:29:00</t>
  </si>
  <si>
    <t>LD-303763</t>
  </si>
  <si>
    <t>2026-05-11 16:30:00</t>
  </si>
  <si>
    <t>LD-303764</t>
  </si>
  <si>
    <t>2025-12-19 20:32:00</t>
  </si>
  <si>
    <t>2026-02-07 06:49:45.930498</t>
  </si>
  <si>
    <t>LD-303765</t>
  </si>
  <si>
    <t>2025-10-11 13:31:00</t>
  </si>
  <si>
    <t>LD-303766</t>
  </si>
  <si>
    <t>2025-01-24 07:50:00</t>
  </si>
  <si>
    <t>LD-303767</t>
  </si>
  <si>
    <t>2025-02-28 20:55:00</t>
  </si>
  <si>
    <t>LD-303768</t>
  </si>
  <si>
    <t>LD-303769</t>
  </si>
  <si>
    <t>2025-04-29 12:55:00</t>
  </si>
  <si>
    <t>LD-303770</t>
  </si>
  <si>
    <t>2025-04-04 19:58:00</t>
  </si>
  <si>
    <t>LD-303771</t>
  </si>
  <si>
    <t>2025-07-11 19:44:00</t>
  </si>
  <si>
    <t>LD-303772</t>
  </si>
  <si>
    <t>2026-04-09 16:56:00</t>
  </si>
  <si>
    <t>2026-05-19 18:00:59.422838</t>
  </si>
  <si>
    <t>LD-303773</t>
  </si>
  <si>
    <t>2025-03-31 18:05:00</t>
  </si>
  <si>
    <t>LD-303774</t>
  </si>
  <si>
    <t>2025-10-14 18:02:00</t>
  </si>
  <si>
    <t>2025-11-16 01:23:30.789683</t>
  </si>
  <si>
    <t>LD-303775</t>
  </si>
  <si>
    <t>2026-04-10 15:11:00</t>
  </si>
  <si>
    <t>LD-303776</t>
  </si>
  <si>
    <t>2025-01-24 18:15:00</t>
  </si>
  <si>
    <t>LD-303777</t>
  </si>
  <si>
    <t>2025-06-06 09:58:00</t>
  </si>
  <si>
    <t>LD-303778</t>
  </si>
  <si>
    <t>2025-06-24 15:04:00</t>
  </si>
  <si>
    <t>2025-08-11 05:57:21.795055</t>
  </si>
  <si>
    <t>LD-303779</t>
  </si>
  <si>
    <t>2026-06-24 15:28:00</t>
  </si>
  <si>
    <t>LD-303780</t>
  </si>
  <si>
    <t>2025-05-26 17:51:00</t>
  </si>
  <si>
    <t>LD-303781</t>
  </si>
  <si>
    <t>2025-03-21 17:58:00</t>
  </si>
  <si>
    <t>LD-303782</t>
  </si>
  <si>
    <t>2025-07-23 12:49:00</t>
  </si>
  <si>
    <t>LD-303783</t>
  </si>
  <si>
    <t>2026-03-20 08:12:00</t>
  </si>
  <si>
    <t>LD-303784</t>
  </si>
  <si>
    <t>2025-04-25 13:48:00</t>
  </si>
  <si>
    <t>LD-303785</t>
  </si>
  <si>
    <t>2026-01-19 19:47:00</t>
  </si>
  <si>
    <t>LD-303786</t>
  </si>
  <si>
    <t>2025-02-25 08:05:00</t>
  </si>
  <si>
    <t>LD-303787</t>
  </si>
  <si>
    <t>2026-03-20 11:59:00</t>
  </si>
  <si>
    <t>LD-303788</t>
  </si>
  <si>
    <t>2025-12-19 20:50:00</t>
  </si>
  <si>
    <t>LD-303789</t>
  </si>
  <si>
    <t>2025-11-03 08:04:00</t>
  </si>
  <si>
    <t>LD-303790</t>
  </si>
  <si>
    <t>2025-02-21 20:36:00</t>
  </si>
  <si>
    <t>2025-04-17 04:24:06.823221</t>
  </si>
  <si>
    <t>LD-303791</t>
  </si>
  <si>
    <t>2025-03-17 07:35:00</t>
  </si>
  <si>
    <t>LD-303792</t>
  </si>
  <si>
    <t>2025-11-13 15:50:00</t>
  </si>
  <si>
    <t>LD-303793</t>
  </si>
  <si>
    <t>2025-12-19 10:45:00</t>
  </si>
  <si>
    <t>LD-303794</t>
  </si>
  <si>
    <t>2025-08-26 16:22:00</t>
  </si>
  <si>
    <t>LD-303795</t>
  </si>
  <si>
    <t>2025-08-07 07:05:00</t>
  </si>
  <si>
    <t>LD-303796</t>
  </si>
  <si>
    <t>2025-05-22 11:43:00</t>
  </si>
  <si>
    <t>2025-06-27 08:43:54.242857</t>
  </si>
  <si>
    <t>LD-303797</t>
  </si>
  <si>
    <t>2026-01-20 17:56:00</t>
  </si>
  <si>
    <t>2026-03-04 20:43:47.254514</t>
  </si>
  <si>
    <t>LD-303798</t>
  </si>
  <si>
    <t>2025-07-10 07:39:00</t>
  </si>
  <si>
    <t>LD-303799</t>
  </si>
  <si>
    <t>2025-08-04 08:48:00</t>
  </si>
  <si>
    <t>LD-303800</t>
  </si>
  <si>
    <t>2025-02-07 17:37:00</t>
  </si>
  <si>
    <t>LD-303801</t>
  </si>
  <si>
    <t>2025-09-26 19:03:00</t>
  </si>
  <si>
    <t>LD-303802</t>
  </si>
  <si>
    <t>2025-03-07 15:21:00</t>
  </si>
  <si>
    <t>LD-303803</t>
  </si>
  <si>
    <t>2026-03-20 10:09:00</t>
  </si>
  <si>
    <t>2026-04-23 03:47:34.742791</t>
  </si>
  <si>
    <t>LD-303804</t>
  </si>
  <si>
    <t>2026-03-06 08:04:00</t>
  </si>
  <si>
    <t>LD-303805</t>
  </si>
  <si>
    <t>2026-04-29 18:31:00</t>
  </si>
  <si>
    <t>2026-05-30 21:13:47.151883</t>
  </si>
  <si>
    <t>LD-303806</t>
  </si>
  <si>
    <t>2025-09-12 10:29:00</t>
  </si>
  <si>
    <t>LD-303807</t>
  </si>
  <si>
    <t>2026-01-16 18:41:00</t>
  </si>
  <si>
    <t>LD-303808</t>
  </si>
  <si>
    <t>2025-07-09 07:00:00</t>
  </si>
  <si>
    <t>LD-303809</t>
  </si>
  <si>
    <t>2026-02-27 09:17:00</t>
  </si>
  <si>
    <t>2026-03-24 22:20:58.088262</t>
  </si>
  <si>
    <t>LD-303810</t>
  </si>
  <si>
    <t>2026-01-23 08:43:00</t>
  </si>
  <si>
    <t>LD-303811</t>
  </si>
  <si>
    <t>2025-08-09 10:36:00</t>
  </si>
  <si>
    <t>LD-303812</t>
  </si>
  <si>
    <t>2025-09-03 10:28:00</t>
  </si>
  <si>
    <t>2025-10-13 02:11:50.395732</t>
  </si>
  <si>
    <t>LD-303813</t>
  </si>
  <si>
    <t>2025-01-31 07:57:00</t>
  </si>
  <si>
    <t>2025-03-23 07:57:45.861338</t>
  </si>
  <si>
    <t>LD-303814</t>
  </si>
  <si>
    <t>2025-05-30 15:16:00</t>
  </si>
  <si>
    <t>2025-07-04 20:02:57.471969</t>
  </si>
  <si>
    <t>LD-303815</t>
  </si>
  <si>
    <t>2026-06-11 13:30:00</t>
  </si>
  <si>
    <t>LD-303816</t>
  </si>
  <si>
    <t>2025-10-29 20:25:00</t>
  </si>
  <si>
    <t>2025-12-13 09:35:17.486487</t>
  </si>
  <si>
    <t>LD-303817</t>
  </si>
  <si>
    <t>2025-01-27 14:30:00</t>
  </si>
  <si>
    <t>LD-303818</t>
  </si>
  <si>
    <t>2026-03-26 19:48:00</t>
  </si>
  <si>
    <t>2026-04-25 21:03:46.358802</t>
  </si>
  <si>
    <t>LD-303819</t>
  </si>
  <si>
    <t>2025-09-25 16:54:00</t>
  </si>
  <si>
    <t>LD-303820</t>
  </si>
  <si>
    <t>2026-05-25 08:41:00</t>
  </si>
  <si>
    <t>LD-303821</t>
  </si>
  <si>
    <t>2025-11-10 10:28:00</t>
  </si>
  <si>
    <t>2025-12-17 08:32:07.537865</t>
  </si>
  <si>
    <t>LD-303822</t>
  </si>
  <si>
    <t>2025-06-14 10:25:00</t>
  </si>
  <si>
    <t>LD-303823</t>
  </si>
  <si>
    <t>2025-09-26 15:32:00</t>
  </si>
  <si>
    <t>2025-11-05 09:22:29.535728</t>
  </si>
  <si>
    <t>LD-303824</t>
  </si>
  <si>
    <t>2025-03-20 13:09:00</t>
  </si>
  <si>
    <t>LD-303825</t>
  </si>
  <si>
    <t>2025-05-23 17:46:00</t>
  </si>
  <si>
    <t>2025-06-12 00:57:57.821295</t>
  </si>
  <si>
    <t>LD-303826</t>
  </si>
  <si>
    <t>2026-05-15 10:50:00</t>
  </si>
  <si>
    <t>LD-303827</t>
  </si>
  <si>
    <t>2025-03-24 19:36:00</t>
  </si>
  <si>
    <t>2025-04-25 10:23:08.334439</t>
  </si>
  <si>
    <t>LD-303828</t>
  </si>
  <si>
    <t>2025-08-29 17:23:00</t>
  </si>
  <si>
    <t>LD-303829</t>
  </si>
  <si>
    <t>2025-06-13 20:23:00</t>
  </si>
  <si>
    <t>LD-303830</t>
  </si>
  <si>
    <t>2026-01-02 19:44:00</t>
  </si>
  <si>
    <t>LD-303831</t>
  </si>
  <si>
    <t>2026-05-12 10:41:00</t>
  </si>
  <si>
    <t>2026-06-14 04:31:43.455975</t>
  </si>
  <si>
    <t>LD-303832</t>
  </si>
  <si>
    <t>2025-07-04 12:42:00</t>
  </si>
  <si>
    <t>2025-08-02 22:49:06.835607</t>
  </si>
  <si>
    <t>LD-303833</t>
  </si>
  <si>
    <t>2025-01-06 20:52:00</t>
  </si>
  <si>
    <t>LD-303834</t>
  </si>
  <si>
    <t>2026-04-17 10:20:00</t>
  </si>
  <si>
    <t>LD-303835</t>
  </si>
  <si>
    <t>2025-03-07 19:04:00</t>
  </si>
  <si>
    <t>LD-303836</t>
  </si>
  <si>
    <t>2025-05-18 10:51:00</t>
  </si>
  <si>
    <t>LD-303837</t>
  </si>
  <si>
    <t>2025-06-25 18:30:00</t>
  </si>
  <si>
    <t>LD-303838</t>
  </si>
  <si>
    <t>2026-04-28 11:47:00</t>
  </si>
  <si>
    <t>LD-303839</t>
  </si>
  <si>
    <t>2025-04-07 16:49:00</t>
  </si>
  <si>
    <t>2025-05-09 22:58:47.809089</t>
  </si>
  <si>
    <t>LD-303840</t>
  </si>
  <si>
    <t>2025-10-14 12:51:00</t>
  </si>
  <si>
    <t>LD-303841</t>
  </si>
  <si>
    <t>2025-05-23 11:56:00</t>
  </si>
  <si>
    <t>2025-07-06 08:20:32.892703</t>
  </si>
  <si>
    <t>LD-303842</t>
  </si>
  <si>
    <t>2025-04-29 07:58:00</t>
  </si>
  <si>
    <t>2025-05-28 02:15:32.095182</t>
  </si>
  <si>
    <t>LD-303843</t>
  </si>
  <si>
    <t>2026-02-24 15:58:00</t>
  </si>
  <si>
    <t>LD-303844</t>
  </si>
  <si>
    <t>2025-07-18 13:57:00</t>
  </si>
  <si>
    <t>LD-303845</t>
  </si>
  <si>
    <t>2025-03-12 15:12:00</t>
  </si>
  <si>
    <t>2025-04-30 08:25:18.606019</t>
  </si>
  <si>
    <t>LD-303846</t>
  </si>
  <si>
    <t>2025-04-15 18:51:00</t>
  </si>
  <si>
    <t>LD-303847</t>
  </si>
  <si>
    <t>2026-02-27 16:46:00</t>
  </si>
  <si>
    <t>LD-303848</t>
  </si>
  <si>
    <t>2025-12-28 13:05:00</t>
  </si>
  <si>
    <t>LD-303849</t>
  </si>
  <si>
    <t>2026-04-17 08:44:00</t>
  </si>
  <si>
    <t>LD-303850</t>
  </si>
  <si>
    <t>2025-04-20 07:15:00</t>
  </si>
  <si>
    <t>LD-303851</t>
  </si>
  <si>
    <t>2025-12-06 20:38:00</t>
  </si>
  <si>
    <t>2026-01-24 22:18:38.774682</t>
  </si>
  <si>
    <t>LD-303852</t>
  </si>
  <si>
    <t>2025-11-06 13:16:00</t>
  </si>
  <si>
    <t>LD-303853</t>
  </si>
  <si>
    <t>2025-07-22 15:39:00</t>
  </si>
  <si>
    <t>LD-303854</t>
  </si>
  <si>
    <t>2025-02-03 10:59:00</t>
  </si>
  <si>
    <t>2025-03-06 07:01:19.564146</t>
  </si>
  <si>
    <t>LD-303855</t>
  </si>
  <si>
    <t>2026-03-27 17:50:00</t>
  </si>
  <si>
    <t>LD-303856</t>
  </si>
  <si>
    <t>2025-07-03 14:40:00</t>
  </si>
  <si>
    <t>2025-08-11 07:24:00.406176</t>
  </si>
  <si>
    <t>LD-303857</t>
  </si>
  <si>
    <t>2025-04-25 09:05:00</t>
  </si>
  <si>
    <t>LD-303858</t>
  </si>
  <si>
    <t>2026-05-22 10:34:00</t>
  </si>
  <si>
    <t>2026-06-22 11:51:47.575478</t>
  </si>
  <si>
    <t>LD-303859</t>
  </si>
  <si>
    <t>2026-04-16 12:55:00</t>
  </si>
  <si>
    <t>2026-05-30 23:28:57.255444</t>
  </si>
  <si>
    <t>LD-303860</t>
  </si>
  <si>
    <t>2026-02-23 19:01:00</t>
  </si>
  <si>
    <t>2026-04-01 11:47:50.461721</t>
  </si>
  <si>
    <t>LD-303861</t>
  </si>
  <si>
    <t>2025-03-11 13:48:00</t>
  </si>
  <si>
    <t>2025-04-28 10:04:37.108448</t>
  </si>
  <si>
    <t>LD-303862</t>
  </si>
  <si>
    <t>2025-04-28 11:01:00</t>
  </si>
  <si>
    <t>LD-303863</t>
  </si>
  <si>
    <t>2025-04-10 20:55:00</t>
  </si>
  <si>
    <t>LD-303864</t>
  </si>
  <si>
    <t>2026-04-27 18:02:00</t>
  </si>
  <si>
    <t>2026-06-20 17:26:45.010714</t>
  </si>
  <si>
    <t>LD-303865</t>
  </si>
  <si>
    <t>2025-12-03 17:56:00</t>
  </si>
  <si>
    <t>LD-303866</t>
  </si>
  <si>
    <t>2026-04-09 08:32:00</t>
  </si>
  <si>
    <t>2026-06-15 19:11:05.483596</t>
  </si>
  <si>
    <t>LD-303867</t>
  </si>
  <si>
    <t>2025-08-22 14:57:00</t>
  </si>
  <si>
    <t>2025-09-29 11:44:37.618306</t>
  </si>
  <si>
    <t>LD-303868</t>
  </si>
  <si>
    <t>2025-04-29 16:07:00</t>
  </si>
  <si>
    <t>LD-303869</t>
  </si>
  <si>
    <t>2025-08-10 10:43:00</t>
  </si>
  <si>
    <t>LD-303870</t>
  </si>
  <si>
    <t>2025-12-02 09:47:00</t>
  </si>
  <si>
    <t>2026-01-11 07:12:50.396990</t>
  </si>
  <si>
    <t>LD-303871</t>
  </si>
  <si>
    <t>2025-11-05 16:52:00</t>
  </si>
  <si>
    <t>LD-303872</t>
  </si>
  <si>
    <t>2026-03-27 10:11:00</t>
  </si>
  <si>
    <t>LD-303873</t>
  </si>
  <si>
    <t>2025-10-09 20:40:00</t>
  </si>
  <si>
    <t>LD-303874</t>
  </si>
  <si>
    <t>2026-03-25 19:09:00</t>
  </si>
  <si>
    <t>LD-303875</t>
  </si>
  <si>
    <t>2025-08-28 20:37:00</t>
  </si>
  <si>
    <t>LD-303876</t>
  </si>
  <si>
    <t>2025-04-24 16:55:00</t>
  </si>
  <si>
    <t>2025-05-29 16:26:08.471575</t>
  </si>
  <si>
    <t>LD-303877</t>
  </si>
  <si>
    <t>2025-08-01 09:48:00</t>
  </si>
  <si>
    <t>2025-09-08 05:16:03.919398</t>
  </si>
  <si>
    <t>LD-303878</t>
  </si>
  <si>
    <t>2025-04-22 08:48:00</t>
  </si>
  <si>
    <t>LD-303879</t>
  </si>
  <si>
    <t>2026-06-15 20:19:00</t>
  </si>
  <si>
    <t>LD-303880</t>
  </si>
  <si>
    <t>2025-06-14 12:38:00</t>
  </si>
  <si>
    <t>LD-303881</t>
  </si>
  <si>
    <t>2025-01-08 10:08:00</t>
  </si>
  <si>
    <t>LD-303882</t>
  </si>
  <si>
    <t>2025-06-20 20:07:00</t>
  </si>
  <si>
    <t>LD-303883</t>
  </si>
  <si>
    <t>2025-10-04 07:17:00</t>
  </si>
  <si>
    <t>LD-303884</t>
  </si>
  <si>
    <t>2026-03-23 19:43:00</t>
  </si>
  <si>
    <t>LD-303885</t>
  </si>
  <si>
    <t>2025-12-01 20:37:00</t>
  </si>
  <si>
    <t>2026-01-12 19:33:22.792014</t>
  </si>
  <si>
    <t>LD-303886</t>
  </si>
  <si>
    <t>2025-05-19 20:39:00</t>
  </si>
  <si>
    <t>LD-303887</t>
  </si>
  <si>
    <t>2025-02-28 19:58:00</t>
  </si>
  <si>
    <t>LD-303888</t>
  </si>
  <si>
    <t>2025-07-07 11:14:00</t>
  </si>
  <si>
    <t>LD-303889</t>
  </si>
  <si>
    <t>2026-05-10 19:38:00</t>
  </si>
  <si>
    <t>LD-303890</t>
  </si>
  <si>
    <t>2025-06-06 17:10:00</t>
  </si>
  <si>
    <t>LD-303891</t>
  </si>
  <si>
    <t>2026-01-30 12:58:00</t>
  </si>
  <si>
    <t>2026-03-09 00:47:30.776171</t>
  </si>
  <si>
    <t>LD-303892</t>
  </si>
  <si>
    <t>2026-06-24 15:22:00</t>
  </si>
  <si>
    <t>2026-08-07 02:00:52.250257</t>
  </si>
  <si>
    <t>LD-303893</t>
  </si>
  <si>
    <t>2025-11-10 12:40:00</t>
  </si>
  <si>
    <t>2025-12-07 06:18:39.672232</t>
  </si>
  <si>
    <t>LD-303894</t>
  </si>
  <si>
    <t>2025-01-31 07:06:00</t>
  </si>
  <si>
    <t>2025-03-15 01:03:41.385189</t>
  </si>
  <si>
    <t>LD-303895</t>
  </si>
  <si>
    <t>2026-01-02 15:16:00</t>
  </si>
  <si>
    <t>LD-303896</t>
  </si>
  <si>
    <t>2025-09-26 20:56:00</t>
  </si>
  <si>
    <t>LD-303897</t>
  </si>
  <si>
    <t>2026-04-29 10:52:00</t>
  </si>
  <si>
    <t>2026-06-03 15:38:24.186820</t>
  </si>
  <si>
    <t>LD-303898</t>
  </si>
  <si>
    <t>2025-05-23 10:50:00</t>
  </si>
  <si>
    <t>2025-06-25 22:18:56.063682</t>
  </si>
  <si>
    <t>LD-303899</t>
  </si>
  <si>
    <t>2025-12-18 15:15:00</t>
  </si>
  <si>
    <t>LD-303900</t>
  </si>
  <si>
    <t>2026-05-12 09:33:00</t>
  </si>
  <si>
    <t>2026-06-20 17:37:55.486418</t>
  </si>
  <si>
    <t>LD-303901</t>
  </si>
  <si>
    <t>2025-06-01 19:11:00</t>
  </si>
  <si>
    <t>2025-07-03 00:16:36.450218</t>
  </si>
  <si>
    <t>LD-303902</t>
  </si>
  <si>
    <t>2025-02-27 15:11:00</t>
  </si>
  <si>
    <t>LD-303903</t>
  </si>
  <si>
    <t>2025-12-10 17:24:00</t>
  </si>
  <si>
    <t>2026-01-10 05:06:20.759330</t>
  </si>
  <si>
    <t>LD-303904</t>
  </si>
  <si>
    <t>2025-07-18 10:28:00</t>
  </si>
  <si>
    <t>2025-08-18 16:21:42.465288</t>
  </si>
  <si>
    <t>LD-303905</t>
  </si>
  <si>
    <t>2026-02-05 13:58:00</t>
  </si>
  <si>
    <t>2026-03-25 09:56:13.641471</t>
  </si>
  <si>
    <t>LD-303906</t>
  </si>
  <si>
    <t>2026-02-22 07:10:00</t>
  </si>
  <si>
    <t>LD-303907</t>
  </si>
  <si>
    <t>2026-03-13 14:52:00</t>
  </si>
  <si>
    <t>2026-04-22 23:17:29.727357</t>
  </si>
  <si>
    <t>LD-303908</t>
  </si>
  <si>
    <t>2026-01-25 13:59:00</t>
  </si>
  <si>
    <t>LD-303909</t>
  </si>
  <si>
    <t>2025-06-13 11:29:00</t>
  </si>
  <si>
    <t>LD-303910</t>
  </si>
  <si>
    <t>2025-02-26 10:22:00</t>
  </si>
  <si>
    <t>2025-03-18 06:09:19.705231</t>
  </si>
  <si>
    <t>LD-303911</t>
  </si>
  <si>
    <t>2025-07-04 18:49:00</t>
  </si>
  <si>
    <t>2025-08-16 17:53:17.267557</t>
  </si>
  <si>
    <t>LD-303912</t>
  </si>
  <si>
    <t>2025-05-21 12:27:00</t>
  </si>
  <si>
    <t>LD-303913</t>
  </si>
  <si>
    <t>2025-11-12 12:41:00</t>
  </si>
  <si>
    <t>2025-12-24 11:12:53.782211</t>
  </si>
  <si>
    <t>LD-303914</t>
  </si>
  <si>
    <t>2025-10-31 11:46:00</t>
  </si>
  <si>
    <t>LD-303915</t>
  </si>
  <si>
    <t>2025-08-22 20:11:00</t>
  </si>
  <si>
    <t>LD-303916</t>
  </si>
  <si>
    <t>2025-11-27 15:18:00</t>
  </si>
  <si>
    <t>2026-01-24 22:11:59.589480</t>
  </si>
  <si>
    <t>LD-303917</t>
  </si>
  <si>
    <t>2025-10-10 15:45:00</t>
  </si>
  <si>
    <t>LD-303918</t>
  </si>
  <si>
    <t>2026-03-06 08:55:00</t>
  </si>
  <si>
    <t>LD-303919</t>
  </si>
  <si>
    <t>2025-07-08 09:59:00</t>
  </si>
  <si>
    <t>LD-303920</t>
  </si>
  <si>
    <t>2025-09-12 13:55:00</t>
  </si>
  <si>
    <t>LD-303921</t>
  </si>
  <si>
    <t>2025-07-07 18:50:00</t>
  </si>
  <si>
    <t>LD-303922</t>
  </si>
  <si>
    <t>2026-03-20 17:47:00</t>
  </si>
  <si>
    <t>2026-04-19 20:44:31.302819</t>
  </si>
  <si>
    <t>LD-303923</t>
  </si>
  <si>
    <t>2025-04-15 16:44:00</t>
  </si>
  <si>
    <t>2025-05-17 09:18:24.577722</t>
  </si>
  <si>
    <t>LD-303924</t>
  </si>
  <si>
    <t>2026-03-18 08:27:00</t>
  </si>
  <si>
    <t>LD-303925</t>
  </si>
  <si>
    <t>2025-11-11 17:06:00</t>
  </si>
  <si>
    <t>2025-12-26 18:29:39.865940</t>
  </si>
  <si>
    <t>LD-303926</t>
  </si>
  <si>
    <t>2025-01-28 19:51:00</t>
  </si>
  <si>
    <t>LD-303927</t>
  </si>
  <si>
    <t>2025-08-05 10:27:00</t>
  </si>
  <si>
    <t>2025-09-07 04:02:57.942091</t>
  </si>
  <si>
    <t>LD-303928</t>
  </si>
  <si>
    <t>2025-09-26 19:02:00</t>
  </si>
  <si>
    <t>LD-303929</t>
  </si>
  <si>
    <t>2025-01-03 15:43:00</t>
  </si>
  <si>
    <t>LD-303930</t>
  </si>
  <si>
    <t>2025-03-05 17:45:00</t>
  </si>
  <si>
    <t>LD-303931</t>
  </si>
  <si>
    <t>2025-12-13 18:04:00</t>
  </si>
  <si>
    <t>LD-303932</t>
  </si>
  <si>
    <t>2025-04-09 11:19:00</t>
  </si>
  <si>
    <t>LD-303933</t>
  </si>
  <si>
    <t>2026-02-04 14:14:00</t>
  </si>
  <si>
    <t>2026-03-23 13:57:13.159597</t>
  </si>
  <si>
    <t>LD-303934</t>
  </si>
  <si>
    <t>2025-11-21 11:00:00</t>
  </si>
  <si>
    <t>LD-303935</t>
  </si>
  <si>
    <t>2026-02-12 13:57:00</t>
  </si>
  <si>
    <t>LD-303936</t>
  </si>
  <si>
    <t>2025-08-14 15:11:00</t>
  </si>
  <si>
    <t>LD-303937</t>
  </si>
  <si>
    <t>2025-11-12 14:32:00</t>
  </si>
  <si>
    <t>LD-303938</t>
  </si>
  <si>
    <t>2025-08-11 18:10:00</t>
  </si>
  <si>
    <t>LD-303939</t>
  </si>
  <si>
    <t>2025-08-29 07:48:00</t>
  </si>
  <si>
    <t>2025-10-14 10:58:06.570784</t>
  </si>
  <si>
    <t>LD-303940</t>
  </si>
  <si>
    <t>2026-05-22 20:18:00</t>
  </si>
  <si>
    <t>LD-303941</t>
  </si>
  <si>
    <t>2025-11-24 15:38:00</t>
  </si>
  <si>
    <t>2025-12-28 05:46:11.179821</t>
  </si>
  <si>
    <t>LD-303942</t>
  </si>
  <si>
    <t>2026-01-11 11:31:00</t>
  </si>
  <si>
    <t>LD-303943</t>
  </si>
  <si>
    <t>2025-05-29 14:17:00</t>
  </si>
  <si>
    <t>LD-303944</t>
  </si>
  <si>
    <t>2025-01-31 20:22:00</t>
  </si>
  <si>
    <t>LD-303945</t>
  </si>
  <si>
    <t>2025-12-02 13:46:00</t>
  </si>
  <si>
    <t>LD-303946</t>
  </si>
  <si>
    <t>2026-04-03 10:45:00</t>
  </si>
  <si>
    <t>LD-303947</t>
  </si>
  <si>
    <t>2025-06-13 19:16:00</t>
  </si>
  <si>
    <t>LD-303948</t>
  </si>
  <si>
    <t>2025-04-23 18:20:00</t>
  </si>
  <si>
    <t>LD-303949</t>
  </si>
  <si>
    <t>2026-01-25 14:45:00</t>
  </si>
  <si>
    <t>LD-303950</t>
  </si>
  <si>
    <t>2026-02-15 13:05:00</t>
  </si>
  <si>
    <t>LD-303951</t>
  </si>
  <si>
    <t>2026-03-25 08:23:00</t>
  </si>
  <si>
    <t>2026-05-10 18:54:13.680973</t>
  </si>
  <si>
    <t>LD-303952</t>
  </si>
  <si>
    <t>2025-11-02 11:14:00</t>
  </si>
  <si>
    <t>LD-303953</t>
  </si>
  <si>
    <t>2025-12-01 11:40:00</t>
  </si>
  <si>
    <t>LD-303954</t>
  </si>
  <si>
    <t>2025-05-04 16:53:00</t>
  </si>
  <si>
    <t>LD-303955</t>
  </si>
  <si>
    <t>2025-01-27 19:39:00</t>
  </si>
  <si>
    <t>LD-303956</t>
  </si>
  <si>
    <t>2025-03-29 07:54:00</t>
  </si>
  <si>
    <t>2025-04-27 22:49:58.334712</t>
  </si>
  <si>
    <t>LD-303957</t>
  </si>
  <si>
    <t>2026-01-08 10:25:00</t>
  </si>
  <si>
    <t>LD-303958</t>
  </si>
  <si>
    <t>2025-10-03 15:29:00</t>
  </si>
  <si>
    <t>2025-11-17 16:58:53.209328</t>
  </si>
  <si>
    <t>LD-303959</t>
  </si>
  <si>
    <t>2025-02-01 07:12:00</t>
  </si>
  <si>
    <t>LD-303960</t>
  </si>
  <si>
    <t>2025-12-22 17:38:00</t>
  </si>
  <si>
    <t>LD-303961</t>
  </si>
  <si>
    <t>2025-06-20 20:35:00</t>
  </si>
  <si>
    <t>LD-303962</t>
  </si>
  <si>
    <t>2025-07-25 20:23:00</t>
  </si>
  <si>
    <t>LD-303963</t>
  </si>
  <si>
    <t>2026-01-01 08:42:00</t>
  </si>
  <si>
    <t>LD-303964</t>
  </si>
  <si>
    <t>2025-12-23 07:48:00</t>
  </si>
  <si>
    <t>2026-02-14 03:32:28.066615</t>
  </si>
  <si>
    <t>LD-303965</t>
  </si>
  <si>
    <t>2026-02-11 17:01:00</t>
  </si>
  <si>
    <t>LD-303966</t>
  </si>
  <si>
    <t>2025-06-03 20:21:00</t>
  </si>
  <si>
    <t>LD-303967</t>
  </si>
  <si>
    <t>2026-06-03 20:58:00</t>
  </si>
  <si>
    <t>LD-303968</t>
  </si>
  <si>
    <t>2026-05-08 10:26:00</t>
  </si>
  <si>
    <t>LD-303969</t>
  </si>
  <si>
    <t>2025-04-21 17:21:00</t>
  </si>
  <si>
    <t>LD-303970</t>
  </si>
  <si>
    <t>2025-05-26 17:31:00</t>
  </si>
  <si>
    <t>2025-06-25 18:18:02.558082</t>
  </si>
  <si>
    <t>LD-303971</t>
  </si>
  <si>
    <t>2025-08-08 10:02:00</t>
  </si>
  <si>
    <t>LD-303972</t>
  </si>
  <si>
    <t>2026-04-25 10:00:00</t>
  </si>
  <si>
    <t>LD-303973</t>
  </si>
  <si>
    <t>2025-09-14 13:22:00</t>
  </si>
  <si>
    <t>LD-303974</t>
  </si>
  <si>
    <t>2026-06-12 08:32:00</t>
  </si>
  <si>
    <t>2026-07-25 00:18:46.095844</t>
  </si>
  <si>
    <t>LD-303975</t>
  </si>
  <si>
    <t>2026-01-16 10:13:00</t>
  </si>
  <si>
    <t>2026-02-18 03:50:35.404930</t>
  </si>
  <si>
    <t>LD-303976</t>
  </si>
  <si>
    <t>2025-02-11 07:52:00</t>
  </si>
  <si>
    <t>LD-303977</t>
  </si>
  <si>
    <t>2025-12-09 15:29:00</t>
  </si>
  <si>
    <t>2026-01-23 15:11:22.715928</t>
  </si>
  <si>
    <t>LD-303978</t>
  </si>
  <si>
    <t>2025-05-22 09:52:00</t>
  </si>
  <si>
    <t>LD-303979</t>
  </si>
  <si>
    <t>2025-05-14 13:43:00</t>
  </si>
  <si>
    <t>LD-303980</t>
  </si>
  <si>
    <t>2025-12-11 18:49:00</t>
  </si>
  <si>
    <t>LD-303981</t>
  </si>
  <si>
    <t>2026-05-11 16:41:00</t>
  </si>
  <si>
    <t>LD-303982</t>
  </si>
  <si>
    <t>2025-04-03 15:24:00</t>
  </si>
  <si>
    <t>2025-05-14 12:21:55.600371</t>
  </si>
  <si>
    <t>LD-303983</t>
  </si>
  <si>
    <t>2025-09-05 11:57:00</t>
  </si>
  <si>
    <t>LD-303984</t>
  </si>
  <si>
    <t>2025-03-21 17:27:00</t>
  </si>
  <si>
    <t>LD-303985</t>
  </si>
  <si>
    <t>2025-02-22 10:41:00</t>
  </si>
  <si>
    <t>LD-303986</t>
  </si>
  <si>
    <t>2026-04-19 12:49:00</t>
  </si>
  <si>
    <t>LD-303987</t>
  </si>
  <si>
    <t>2025-01-27 17:45:00</t>
  </si>
  <si>
    <t>LD-303988</t>
  </si>
  <si>
    <t>2025-03-25 13:33:00</t>
  </si>
  <si>
    <t>2025-05-10 05:49:39.569397</t>
  </si>
  <si>
    <t>LD-303989</t>
  </si>
  <si>
    <t>2025-05-16 17:54:00</t>
  </si>
  <si>
    <t>LD-303990</t>
  </si>
  <si>
    <t>2025-12-09 10:06:00</t>
  </si>
  <si>
    <t>LD-303991</t>
  </si>
  <si>
    <t>2025-12-16 12:32:00</t>
  </si>
  <si>
    <t>LD-303992</t>
  </si>
  <si>
    <t>2026-05-28 07:29:00</t>
  </si>
  <si>
    <t>LD-303993</t>
  </si>
  <si>
    <t>2025-07-25 20:46:00</t>
  </si>
  <si>
    <t>2025-08-27 14:18:33.318934</t>
  </si>
  <si>
    <t>LD-303994</t>
  </si>
  <si>
    <t>2025-09-18 18:23:00</t>
  </si>
  <si>
    <t>LD-303995</t>
  </si>
  <si>
    <t>2025-08-14 10:55:00</t>
  </si>
  <si>
    <t>2025-10-07 06:04:39.478186</t>
  </si>
  <si>
    <t>LD-303996</t>
  </si>
  <si>
    <t>2025-12-23 07:54:00</t>
  </si>
  <si>
    <t>LD-303997</t>
  </si>
  <si>
    <t>2025-12-10 17:52:00</t>
  </si>
  <si>
    <t>LD-303998</t>
  </si>
  <si>
    <t>2025-04-03 14:41:00</t>
  </si>
  <si>
    <t>2025-05-25 07:07:13.218806</t>
  </si>
  <si>
    <t>LD-303999</t>
  </si>
  <si>
    <t>2025-03-24 17:47:00</t>
  </si>
  <si>
    <t>2025-04-26 05:09:57.963723</t>
  </si>
  <si>
    <t>LD-304000</t>
  </si>
  <si>
    <t>2025-01-01 10:59:00</t>
  </si>
  <si>
    <t>LD-304001</t>
  </si>
  <si>
    <t>2026-05-27 15:31:00</t>
  </si>
  <si>
    <t>2026-06-16 04:24:49.734711</t>
  </si>
  <si>
    <t>LD-304002</t>
  </si>
  <si>
    <t>2025-10-13 07:37:00</t>
  </si>
  <si>
    <t>2025-12-01 11:26:14.888445</t>
  </si>
  <si>
    <t>LD-304003</t>
  </si>
  <si>
    <t>2026-06-14 07:04:00</t>
  </si>
  <si>
    <t>LD-304004</t>
  </si>
  <si>
    <t>2025-08-27 12:11:00</t>
  </si>
  <si>
    <t>LD-304005</t>
  </si>
  <si>
    <t>2025-12-02 07:53:00</t>
  </si>
  <si>
    <t>LD-304006</t>
  </si>
  <si>
    <t>2026-05-04 17:19:00</t>
  </si>
  <si>
    <t>LD-304007</t>
  </si>
  <si>
    <t>2025-11-08 14:40:00</t>
  </si>
  <si>
    <t>2025-12-16 10:47:03.170835</t>
  </si>
  <si>
    <t>LD-304008</t>
  </si>
  <si>
    <t>2026-05-28 16:44:00</t>
  </si>
  <si>
    <t>LD-304009</t>
  </si>
  <si>
    <t>2025-02-09 12:46:00</t>
  </si>
  <si>
    <t>LD-304010</t>
  </si>
  <si>
    <t>2026-03-16 13:06:00</t>
  </si>
  <si>
    <t>LD-304011</t>
  </si>
  <si>
    <t>2025-02-24 19:13:00</t>
  </si>
  <si>
    <t>LD-304012</t>
  </si>
  <si>
    <t>2025-06-22 14:15:00</t>
  </si>
  <si>
    <t>LD-304013</t>
  </si>
  <si>
    <t>2025-03-07 12:43:00</t>
  </si>
  <si>
    <t>LD-304014</t>
  </si>
  <si>
    <t>2026-04-05 12:52:28.478354</t>
  </si>
  <si>
    <t>LD-304015</t>
  </si>
  <si>
    <t>2026-06-19 16:13:00</t>
  </si>
  <si>
    <t>LD-304016</t>
  </si>
  <si>
    <t>2025-04-11 20:37:00</t>
  </si>
  <si>
    <t>LD-304017</t>
  </si>
  <si>
    <t>2026-06-15 12:56:00</t>
  </si>
  <si>
    <t>LD-304018</t>
  </si>
  <si>
    <t>2025-01-29 09:19:00</t>
  </si>
  <si>
    <t>2025-03-22 20:22:00.659453</t>
  </si>
  <si>
    <t>LD-304019</t>
  </si>
  <si>
    <t>2026-06-24 13:13:00</t>
  </si>
  <si>
    <t>LD-304020</t>
  </si>
  <si>
    <t>2025-12-28 09:09:00</t>
  </si>
  <si>
    <t>2026-01-27 10:01:57.567662</t>
  </si>
  <si>
    <t>LD-304021</t>
  </si>
  <si>
    <t>2025-06-10 10:37:00</t>
  </si>
  <si>
    <t>LD-304022</t>
  </si>
  <si>
    <t>2025-07-04 13:29:00</t>
  </si>
  <si>
    <t>LD-304023</t>
  </si>
  <si>
    <t>2025-02-14 15:34:00</t>
  </si>
  <si>
    <t>LD-304024</t>
  </si>
  <si>
    <t>2025-04-25 10:00:00</t>
  </si>
  <si>
    <t>LD-304025</t>
  </si>
  <si>
    <t>2025-08-06 08:41:00</t>
  </si>
  <si>
    <t>LD-304026</t>
  </si>
  <si>
    <t>2025-03-28 16:16:00</t>
  </si>
  <si>
    <t>LD-304027</t>
  </si>
  <si>
    <t>2026-06-12 08:04:00</t>
  </si>
  <si>
    <t>2026-07-14 23:49:23.996807</t>
  </si>
  <si>
    <t>LD-304028</t>
  </si>
  <si>
    <t>2025-08-15 14:04:00</t>
  </si>
  <si>
    <t>LD-304029</t>
  </si>
  <si>
    <t>2026-01-19 09:34:00</t>
  </si>
  <si>
    <t>LD-304030</t>
  </si>
  <si>
    <t>2025-03-08 10:00:00</t>
  </si>
  <si>
    <t>LD-304031</t>
  </si>
  <si>
    <t>2025-10-10 13:59:00</t>
  </si>
  <si>
    <t>2025-11-15 02:53:52.475013</t>
  </si>
  <si>
    <t>LD-304032</t>
  </si>
  <si>
    <t>2026-03-01 10:05:00</t>
  </si>
  <si>
    <t>LD-304033</t>
  </si>
  <si>
    <t>2025-06-13 14:30:00</t>
  </si>
  <si>
    <t>2025-07-24 02:24:33.640583</t>
  </si>
  <si>
    <t>LD-304034</t>
  </si>
  <si>
    <t>2025-01-31 17:14:00</t>
  </si>
  <si>
    <t>LD-304035</t>
  </si>
  <si>
    <t>2026-02-09 19:17:00</t>
  </si>
  <si>
    <t>2026-03-27 11:48:32.986557</t>
  </si>
  <si>
    <t>LD-304036</t>
  </si>
  <si>
    <t>2026-01-02 15:11:00</t>
  </si>
  <si>
    <t>2026-01-29 07:38:51.412898</t>
  </si>
  <si>
    <t>LD-304037</t>
  </si>
  <si>
    <t>2025-01-27 10:14:00</t>
  </si>
  <si>
    <t>LD-304038</t>
  </si>
  <si>
    <t>2025-10-03 14:06:00</t>
  </si>
  <si>
    <t>LD-304039</t>
  </si>
  <si>
    <t>2026-01-25 15:46:00</t>
  </si>
  <si>
    <t>LD-304040</t>
  </si>
  <si>
    <t>2026-05-30 19:53:00</t>
  </si>
  <si>
    <t>2026-07-07 00:46:08.234055</t>
  </si>
  <si>
    <t>LD-304041</t>
  </si>
  <si>
    <t>2026-01-26 19:39:00</t>
  </si>
  <si>
    <t>2026-03-14 23:18:50.557032</t>
  </si>
  <si>
    <t>LD-304042</t>
  </si>
  <si>
    <t>2025-09-05 20:45:00</t>
  </si>
  <si>
    <t>LD-304043</t>
  </si>
  <si>
    <t>2025-08-09 10:00:00</t>
  </si>
  <si>
    <t>LD-304044</t>
  </si>
  <si>
    <t>2025-03-08 08:24:00</t>
  </si>
  <si>
    <t>LD-304045</t>
  </si>
  <si>
    <t>2026-02-26 16:38:00</t>
  </si>
  <si>
    <t>LD-304046</t>
  </si>
  <si>
    <t>2025-11-26 17:41:00</t>
  </si>
  <si>
    <t>LD-304047</t>
  </si>
  <si>
    <t>2026-01-05 11:42:00</t>
  </si>
  <si>
    <t>LD-304048</t>
  </si>
  <si>
    <t>2025-03-08 20:39:00</t>
  </si>
  <si>
    <t>2025-04-26 17:03:38.574990</t>
  </si>
  <si>
    <t>LD-304049</t>
  </si>
  <si>
    <t>2026-05-29 15:46:00</t>
  </si>
  <si>
    <t>2026-07-07 19:35:34.348156</t>
  </si>
  <si>
    <t>LD-304050</t>
  </si>
  <si>
    <t>2025-04-06 19:14:00</t>
  </si>
  <si>
    <t>LD-304051</t>
  </si>
  <si>
    <t>2025-02-20 07:16:00</t>
  </si>
  <si>
    <t>2025-04-02 16:37:30.575914</t>
  </si>
  <si>
    <t>LD-304052</t>
  </si>
  <si>
    <t>2025-03-13 20:14:00</t>
  </si>
  <si>
    <t>LD-304053</t>
  </si>
  <si>
    <t>2025-11-05 18:31:00</t>
  </si>
  <si>
    <t>LD-304054</t>
  </si>
  <si>
    <t>2026-02-16 08:09:00</t>
  </si>
  <si>
    <t>2026-03-30 18:35:57.332499</t>
  </si>
  <si>
    <t>LD-304055</t>
  </si>
  <si>
    <t>2025-04-07 09:04:00</t>
  </si>
  <si>
    <t>LD-304056</t>
  </si>
  <si>
    <t>2025-06-09 07:42:00</t>
  </si>
  <si>
    <t>LD-304057</t>
  </si>
  <si>
    <t>2025-04-18 17:00:00</t>
  </si>
  <si>
    <t>LD-304058</t>
  </si>
  <si>
    <t>2026-01-19 12:57:00</t>
  </si>
  <si>
    <t>LD-304059</t>
  </si>
  <si>
    <t>2025-07-16 16:39:00</t>
  </si>
  <si>
    <t>2025-08-29 20:33:00.682337</t>
  </si>
  <si>
    <t>LD-304060</t>
  </si>
  <si>
    <t>2026-06-17 10:10:00</t>
  </si>
  <si>
    <t>2026-07-19 17:26:33.243788</t>
  </si>
  <si>
    <t>LD-304061</t>
  </si>
  <si>
    <t>2025-03-14 15:07:00</t>
  </si>
  <si>
    <t>LD-304062</t>
  </si>
  <si>
    <t>2026-04-03 19:05:00</t>
  </si>
  <si>
    <t>LD-304063</t>
  </si>
  <si>
    <t>2025-04-16 19:32:00</t>
  </si>
  <si>
    <t>LD-304064</t>
  </si>
  <si>
    <t>2025-12-18 10:00:00</t>
  </si>
  <si>
    <t>LD-304065</t>
  </si>
  <si>
    <t>2025-06-20 12:55:00</t>
  </si>
  <si>
    <t>LD-304066</t>
  </si>
  <si>
    <t>2026-01-28 07:16:00</t>
  </si>
  <si>
    <t>2026-03-12 17:19:50.641854</t>
  </si>
  <si>
    <t>LD-304067</t>
  </si>
  <si>
    <t>2026-06-29 10:47:00</t>
  </si>
  <si>
    <t>LD-304068</t>
  </si>
  <si>
    <t>2025-04-28 20:11:00</t>
  </si>
  <si>
    <t>LD-304069</t>
  </si>
  <si>
    <t>2025-12-20 07:47:00</t>
  </si>
  <si>
    <t>LD-304070</t>
  </si>
  <si>
    <t>2025-02-25 11:51:00</t>
  </si>
  <si>
    <t>2025-04-02 15:02:35.672519</t>
  </si>
  <si>
    <t>LD-304071</t>
  </si>
  <si>
    <t>2026-02-10 12:48:00</t>
  </si>
  <si>
    <t>LD-304072</t>
  </si>
  <si>
    <t>2025-07-04 20:42:00</t>
  </si>
  <si>
    <t>LD-304073</t>
  </si>
  <si>
    <t>2025-01-06 18:31:00</t>
  </si>
  <si>
    <t>2025-02-03 22:47:31.564888</t>
  </si>
  <si>
    <t>LD-304074</t>
  </si>
  <si>
    <t>2025-09-26 19:22:00</t>
  </si>
  <si>
    <t>LD-304075</t>
  </si>
  <si>
    <t>2026-03-25 08:15:00</t>
  </si>
  <si>
    <t>LD-304076</t>
  </si>
  <si>
    <t>2026-02-04 16:02:00</t>
  </si>
  <si>
    <t>2026-03-11 16:35:21.012669</t>
  </si>
  <si>
    <t>LD-304077</t>
  </si>
  <si>
    <t>2026-01-05 16:59:00</t>
  </si>
  <si>
    <t>LD-304078</t>
  </si>
  <si>
    <t>2025-02-14 11:12:00</t>
  </si>
  <si>
    <t>LD-304079</t>
  </si>
  <si>
    <t>2025-03-05 15:48:00</t>
  </si>
  <si>
    <t>LD-304080</t>
  </si>
  <si>
    <t>2026-05-17 11:17:00</t>
  </si>
  <si>
    <t>LD-304081</t>
  </si>
  <si>
    <t>2025-10-20 15:30:00</t>
  </si>
  <si>
    <t>LD-304082</t>
  </si>
  <si>
    <t>2025-06-23 20:50:00</t>
  </si>
  <si>
    <t>2025-07-29 23:58:24.780446</t>
  </si>
  <si>
    <t>LD-304083</t>
  </si>
  <si>
    <t>2025-02-14 12:42:00</t>
  </si>
  <si>
    <t>2025-04-13 13:35:20.182901</t>
  </si>
  <si>
    <t>LD-304084</t>
  </si>
  <si>
    <t>2025-08-05 07:28:00</t>
  </si>
  <si>
    <t>2025-09-08 02:47:20.796801</t>
  </si>
  <si>
    <t>LD-304085</t>
  </si>
  <si>
    <t>2025-08-27 07:56:00</t>
  </si>
  <si>
    <t>2025-10-06 07:27:59.340351</t>
  </si>
  <si>
    <t>LD-304086</t>
  </si>
  <si>
    <t>2026-04-07 13:27:00</t>
  </si>
  <si>
    <t>LD-304087</t>
  </si>
  <si>
    <t>2025-11-24 09:15:00</t>
  </si>
  <si>
    <t>2026-01-09 07:23:14.792294</t>
  </si>
  <si>
    <t>LD-304088</t>
  </si>
  <si>
    <t>2026-02-06 12:08:00</t>
  </si>
  <si>
    <t>LD-304089</t>
  </si>
  <si>
    <t>2026-05-20 20:15:00</t>
  </si>
  <si>
    <t>LD-304090</t>
  </si>
  <si>
    <t>2025-11-29 10:13:00</t>
  </si>
  <si>
    <t>LD-304091</t>
  </si>
  <si>
    <t>2025-11-29 10:06:00</t>
  </si>
  <si>
    <t>2026-01-09 16:16:55.923626</t>
  </si>
  <si>
    <t>LD-304092</t>
  </si>
  <si>
    <t>2025-07-23 08:35:00</t>
  </si>
  <si>
    <t>LD-304093</t>
  </si>
  <si>
    <t>2025-09-17 19:49:00</t>
  </si>
  <si>
    <t>LD-304094</t>
  </si>
  <si>
    <t>2025-04-25 18:00:00</t>
  </si>
  <si>
    <t>LD-304095</t>
  </si>
  <si>
    <t>2025-02-10 13:21:00</t>
  </si>
  <si>
    <t>2025-04-03 05:17:10.079958</t>
  </si>
  <si>
    <t>LD-304096</t>
  </si>
  <si>
    <t>2026-01-22 12:39:00</t>
  </si>
  <si>
    <t>2026-02-19 16:51:12.328805</t>
  </si>
  <si>
    <t>LD-304097</t>
  </si>
  <si>
    <t>2025-09-24 19:12:00</t>
  </si>
  <si>
    <t>2025-10-08 21:58:43.494215</t>
  </si>
  <si>
    <t>LD-304098</t>
  </si>
  <si>
    <t>2025-09-23 09:34:00</t>
  </si>
  <si>
    <t>2025-10-30 05:55:38.962894</t>
  </si>
  <si>
    <t>LD-304099</t>
  </si>
  <si>
    <t>2026-04-24 12:49:00</t>
  </si>
  <si>
    <t>LD-304100</t>
  </si>
  <si>
    <t>2025-06-05 12:48:00</t>
  </si>
  <si>
    <t>2025-07-08 10:23:36.495783</t>
  </si>
  <si>
    <t>LD-304101</t>
  </si>
  <si>
    <t>2025-05-21 16:01:00</t>
  </si>
  <si>
    <t>2025-06-26 15:26:16.208271</t>
  </si>
  <si>
    <t>LD-304102</t>
  </si>
  <si>
    <t>2026-04-10 16:42:00</t>
  </si>
  <si>
    <t>LD-304103</t>
  </si>
  <si>
    <t>2025-11-17 08:20:00</t>
  </si>
  <si>
    <t>LD-304104</t>
  </si>
  <si>
    <t>2025-03-27 15:42:00</t>
  </si>
  <si>
    <t>LD-304105</t>
  </si>
  <si>
    <t>2025-12-24 18:23:00</t>
  </si>
  <si>
    <t>LD-304106</t>
  </si>
  <si>
    <t>2026-01-12 20:12:00</t>
  </si>
  <si>
    <t>LD-304107</t>
  </si>
  <si>
    <t>2026-02-17 12:45:00</t>
  </si>
  <si>
    <t>LD-304108</t>
  </si>
  <si>
    <t>2026-04-23 11:58:00</t>
  </si>
  <si>
    <t>LD-304109</t>
  </si>
  <si>
    <t>2026-05-07 11:28:00</t>
  </si>
  <si>
    <t>LD-304110</t>
  </si>
  <si>
    <t>2025-02-14 11:26:00</t>
  </si>
  <si>
    <t>LD-304111</t>
  </si>
  <si>
    <t>2025-01-03 18:07:00</t>
  </si>
  <si>
    <t>LD-304112</t>
  </si>
  <si>
    <t>2025-06-18 12:01:00</t>
  </si>
  <si>
    <t>LD-304113</t>
  </si>
  <si>
    <t>2026-05-19 12:09:00</t>
  </si>
  <si>
    <t>LD-304114</t>
  </si>
  <si>
    <t>2025-05-29 15:44:00</t>
  </si>
  <si>
    <t>2025-06-18 21:13:08.930762</t>
  </si>
  <si>
    <t>LD-304115</t>
  </si>
  <si>
    <t>2026-03-31 08:53:00</t>
  </si>
  <si>
    <t>2026-05-14 16:30:35.193815</t>
  </si>
  <si>
    <t>LD-304116</t>
  </si>
  <si>
    <t>2025-08-15 18:42:00</t>
  </si>
  <si>
    <t>2025-09-25 03:38:17.174051</t>
  </si>
  <si>
    <t>LD-304117</t>
  </si>
  <si>
    <t>2025-08-29 19:36:00</t>
  </si>
  <si>
    <t>LD-304118</t>
  </si>
  <si>
    <t>2026-01-30 16:23:00</t>
  </si>
  <si>
    <t>2026-03-25 17:47:15.418349</t>
  </si>
  <si>
    <t>LD-304119</t>
  </si>
  <si>
    <t>2025-09-03 13:14:00</t>
  </si>
  <si>
    <t>LD-304120</t>
  </si>
  <si>
    <t>2026-05-05 14:16:00</t>
  </si>
  <si>
    <t>2026-06-20 05:48:20.631601</t>
  </si>
  <si>
    <t>LD-304121</t>
  </si>
  <si>
    <t>2026-02-20 14:49:00</t>
  </si>
  <si>
    <t>2026-04-04 11:16:14.822251</t>
  </si>
  <si>
    <t>LD-304122</t>
  </si>
  <si>
    <t>2025-01-10 12:11:00</t>
  </si>
  <si>
    <t>2025-02-18 03:20:15.253678</t>
  </si>
  <si>
    <t>LD-304123</t>
  </si>
  <si>
    <t>2025-02-27 10:29:00</t>
  </si>
  <si>
    <t>LD-304124</t>
  </si>
  <si>
    <t>2025-01-20 20:26:00</t>
  </si>
  <si>
    <t>LD-304125</t>
  </si>
  <si>
    <t>2025-09-30 16:19:00</t>
  </si>
  <si>
    <t>LD-304126</t>
  </si>
  <si>
    <t>2025-11-28 17:37:00</t>
  </si>
  <si>
    <t>LD-304127</t>
  </si>
  <si>
    <t>2026-03-10 09:29:00</t>
  </si>
  <si>
    <t>2026-05-14 05:31:13.508729</t>
  </si>
  <si>
    <t>LD-304128</t>
  </si>
  <si>
    <t>2026-01-07 13:09:00</t>
  </si>
  <si>
    <t>2026-02-08 23:11:30.300449</t>
  </si>
  <si>
    <t>LD-304129</t>
  </si>
  <si>
    <t>2025-10-09 18:39:00</t>
  </si>
  <si>
    <t>2025-11-23 05:18:51.030096</t>
  </si>
  <si>
    <t>LD-304130</t>
  </si>
  <si>
    <t>2026-03-06 08:12:00</t>
  </si>
  <si>
    <t>2026-04-17 02:42:30.542463</t>
  </si>
  <si>
    <t>LD-304131</t>
  </si>
  <si>
    <t>2025-02-14 20:49:00</t>
  </si>
  <si>
    <t>LD-304132</t>
  </si>
  <si>
    <t>2026-06-11 19:44:00</t>
  </si>
  <si>
    <t>LD-304133</t>
  </si>
  <si>
    <t>2026-05-26 13:04:00</t>
  </si>
  <si>
    <t>LD-304134</t>
  </si>
  <si>
    <t>2025-05-05 12:31:00</t>
  </si>
  <si>
    <t>2025-06-16 21:06:52.974707</t>
  </si>
  <si>
    <t>LD-304135</t>
  </si>
  <si>
    <t>2025-07-11 12:13:00</t>
  </si>
  <si>
    <t>LD-304136</t>
  </si>
  <si>
    <t>2025-03-03 12:08:00</t>
  </si>
  <si>
    <t>LD-304137</t>
  </si>
  <si>
    <t>2025-12-05 11:04:00</t>
  </si>
  <si>
    <t>LD-304138</t>
  </si>
  <si>
    <t>2025-10-13 10:07:00</t>
  </si>
  <si>
    <t>LD-304139</t>
  </si>
  <si>
    <t>2026-03-30 19:30:00</t>
  </si>
  <si>
    <t>LD-304140</t>
  </si>
  <si>
    <t>2025-04-01 11:40:00</t>
  </si>
  <si>
    <t>2025-04-30 02:52:46.649414</t>
  </si>
  <si>
    <t>LD-304141</t>
  </si>
  <si>
    <t>2025-07-18 15:06:00</t>
  </si>
  <si>
    <t>LD-304142</t>
  </si>
  <si>
    <t>2025-08-05 09:48:00</t>
  </si>
  <si>
    <t>2025-09-21 00:40:19.341385</t>
  </si>
  <si>
    <t>LD-304143</t>
  </si>
  <si>
    <t>2025-09-12 09:43:00</t>
  </si>
  <si>
    <t>LD-304144</t>
  </si>
  <si>
    <t>2025-12-18 21:19:19.770694</t>
  </si>
  <si>
    <t>LD-304145</t>
  </si>
  <si>
    <t>2025-04-02 16:54:00</t>
  </si>
  <si>
    <t>2025-05-09 22:35:00.213276</t>
  </si>
  <si>
    <t>LD-304146</t>
  </si>
  <si>
    <t>2025-12-15 15:42:00</t>
  </si>
  <si>
    <t>LD-304147</t>
  </si>
  <si>
    <t>2026-04-23 11:36:00</t>
  </si>
  <si>
    <t>LD-304148</t>
  </si>
  <si>
    <t>2026-06-11 07:56:00</t>
  </si>
  <si>
    <t>LD-304149</t>
  </si>
  <si>
    <t>2025-12-24 20:29:00</t>
  </si>
  <si>
    <t>LD-304150</t>
  </si>
  <si>
    <t>2025-03-27 12:13:00</t>
  </si>
  <si>
    <t>LD-304151</t>
  </si>
  <si>
    <t>2026-03-30 08:55:00</t>
  </si>
  <si>
    <t>LD-304152</t>
  </si>
  <si>
    <t>2025-09-29 18:01:00</t>
  </si>
  <si>
    <t>2025-11-26 10:42:27.718837</t>
  </si>
  <si>
    <t>LD-304153</t>
  </si>
  <si>
    <t>2025-05-07 15:22:00</t>
  </si>
  <si>
    <t>2025-05-30 10:08:52.154555</t>
  </si>
  <si>
    <t>LD-304154</t>
  </si>
  <si>
    <t>2025-03-18 09:41:00</t>
  </si>
  <si>
    <t>LD-304155</t>
  </si>
  <si>
    <t>2026-03-06 10:13:00</t>
  </si>
  <si>
    <t>2026-04-28 18:53:22.846583</t>
  </si>
  <si>
    <t>LD-304156</t>
  </si>
  <si>
    <t>2025-06-09 19:39:00</t>
  </si>
  <si>
    <t>2025-07-15 19:27:15.162467</t>
  </si>
  <si>
    <t>LD-304157</t>
  </si>
  <si>
    <t>2025-05-29 17:07:00</t>
  </si>
  <si>
    <t>LD-304158</t>
  </si>
  <si>
    <t>2025-07-23 15:58:00</t>
  </si>
  <si>
    <t>LD-304159</t>
  </si>
  <si>
    <t>2026-01-26 11:52:00</t>
  </si>
  <si>
    <t>LD-304160</t>
  </si>
  <si>
    <t>2026-03-20 18:57:00</t>
  </si>
  <si>
    <t>LD-304161</t>
  </si>
  <si>
    <t>2025-04-11 14:42:00</t>
  </si>
  <si>
    <t>2025-05-03 02:58:17.421683</t>
  </si>
  <si>
    <t>LD-304162</t>
  </si>
  <si>
    <t>2025-11-28 13:39:00</t>
  </si>
  <si>
    <t>2025-12-31 04:58:38.255447</t>
  </si>
  <si>
    <t>LD-304163</t>
  </si>
  <si>
    <t>2025-09-22 15:24:00</t>
  </si>
  <si>
    <t>LD-304164</t>
  </si>
  <si>
    <t>2025-06-30 12:14:00</t>
  </si>
  <si>
    <t>LD-304165</t>
  </si>
  <si>
    <t>2025-03-14 20:23:00</t>
  </si>
  <si>
    <t>LD-304166</t>
  </si>
  <si>
    <t>2025-08-26 18:37:00</t>
  </si>
  <si>
    <t>LD-304167</t>
  </si>
  <si>
    <t>2025-08-03 13:03:00</t>
  </si>
  <si>
    <t>LD-304168</t>
  </si>
  <si>
    <t>2025-10-16 15:11:00</t>
  </si>
  <si>
    <t>LD-304169</t>
  </si>
  <si>
    <t>2026-04-01 16:40:00</t>
  </si>
  <si>
    <t>LD-304170</t>
  </si>
  <si>
    <t>2025-08-09 07:04:00</t>
  </si>
  <si>
    <t>LD-304171</t>
  </si>
  <si>
    <t>2025-07-26 16:43:00</t>
  </si>
  <si>
    <t>2025-08-19 03:27:50.861923</t>
  </si>
  <si>
    <t>LD-304172</t>
  </si>
  <si>
    <t>2025-01-25 16:51:00</t>
  </si>
  <si>
    <t>LD-304173</t>
  </si>
  <si>
    <t>2025-04-17 17:23:00</t>
  </si>
  <si>
    <t>LD-304174</t>
  </si>
  <si>
    <t>2026-04-03 16:01:00</t>
  </si>
  <si>
    <t>LD-304175</t>
  </si>
  <si>
    <t>2025-11-24 14:22:00</t>
  </si>
  <si>
    <t>2026-01-01 01:58:47.344085</t>
  </si>
  <si>
    <t>LD-304176</t>
  </si>
  <si>
    <t>2026-01-01 19:25:00</t>
  </si>
  <si>
    <t>LD-304177</t>
  </si>
  <si>
    <t>2026-03-23 16:17:00</t>
  </si>
  <si>
    <t>LD-304178</t>
  </si>
  <si>
    <t>2025-08-09 17:03:00</t>
  </si>
  <si>
    <t>2025-09-16 00:09:47.593555</t>
  </si>
  <si>
    <t>LD-304179</t>
  </si>
  <si>
    <t>2025-05-08 19:22:00</t>
  </si>
  <si>
    <t>2025-06-21 04:32:02.318456</t>
  </si>
  <si>
    <t>LD-304180</t>
  </si>
  <si>
    <t>2026-04-28 19:57:00</t>
  </si>
  <si>
    <t>2026-05-26 02:22:19.471674</t>
  </si>
  <si>
    <t>LD-304181</t>
  </si>
  <si>
    <t>2026-05-22 08:37:00</t>
  </si>
  <si>
    <t>LD-304182</t>
  </si>
  <si>
    <t>2025-11-07 19:41:00</t>
  </si>
  <si>
    <t>LD-304183</t>
  </si>
  <si>
    <t>2025-08-27 16:10:00</t>
  </si>
  <si>
    <t>LD-304184</t>
  </si>
  <si>
    <t>2025-06-27 17:38:00</t>
  </si>
  <si>
    <t>2025-08-13 22:07:27.170348</t>
  </si>
  <si>
    <t>LD-304185</t>
  </si>
  <si>
    <t>2025-11-21 08:11:00</t>
  </si>
  <si>
    <t>2025-12-21 12:02:22.973808</t>
  </si>
  <si>
    <t>LD-304186</t>
  </si>
  <si>
    <t>2026-05-01 20:20:00</t>
  </si>
  <si>
    <t>LD-304187</t>
  </si>
  <si>
    <t>2026-02-05 11:24:00</t>
  </si>
  <si>
    <t>LD-304188</t>
  </si>
  <si>
    <t>2025-08-13 11:10:00</t>
  </si>
  <si>
    <t>2025-09-19 18:12:41.457643</t>
  </si>
  <si>
    <t>LD-304189</t>
  </si>
  <si>
    <t>2025-05-23 08:08:00</t>
  </si>
  <si>
    <t>2025-06-24 08:44:53.976922</t>
  </si>
  <si>
    <t>LD-304190</t>
  </si>
  <si>
    <t>2025-12-31 15:43:00</t>
  </si>
  <si>
    <t>LD-304191</t>
  </si>
  <si>
    <t>2025-05-28 14:12:00</t>
  </si>
  <si>
    <t>2025-07-11 03:50:40.775342</t>
  </si>
  <si>
    <t>LD-304192</t>
  </si>
  <si>
    <t>LD-304193</t>
  </si>
  <si>
    <t>2025-06-17 17:16:00</t>
  </si>
  <si>
    <t>2025-08-05 05:40:26.570573</t>
  </si>
  <si>
    <t>LD-304194</t>
  </si>
  <si>
    <t>2026-05-29 17:07:00</t>
  </si>
  <si>
    <t>LD-304195</t>
  </si>
  <si>
    <t>2025-05-13 17:29:00</t>
  </si>
  <si>
    <t>LD-304196</t>
  </si>
  <si>
    <t>2025-10-31 16:07:00</t>
  </si>
  <si>
    <t>LD-304197</t>
  </si>
  <si>
    <t>2025-12-11 08:26:00</t>
  </si>
  <si>
    <t>2026-01-21 09:51:54.153926</t>
  </si>
  <si>
    <t>LD-304198</t>
  </si>
  <si>
    <t>2025-03-07 10:52:00</t>
  </si>
  <si>
    <t>LD-304199</t>
  </si>
  <si>
    <t>2026-04-24 19:37:00</t>
  </si>
  <si>
    <t>LD-304200</t>
  </si>
  <si>
    <t>2025-08-02 20:21:00</t>
  </si>
  <si>
    <t>LD-304201</t>
  </si>
  <si>
    <t>2026-05-06 11:20:00</t>
  </si>
  <si>
    <t>2026-06-20 02:45:48.467825</t>
  </si>
  <si>
    <t>LD-304202</t>
  </si>
  <si>
    <t>2025-02-24 14:01:00</t>
  </si>
  <si>
    <t>LD-304203</t>
  </si>
  <si>
    <t>2025-06-24 09:18:00</t>
  </si>
  <si>
    <t>2025-07-21 13:58:45.801874</t>
  </si>
  <si>
    <t>LD-304204</t>
  </si>
  <si>
    <t>2025-06-07 20:34:00</t>
  </si>
  <si>
    <t>LD-304205</t>
  </si>
  <si>
    <t>2025-08-08 13:39:00</t>
  </si>
  <si>
    <t>LD-304206</t>
  </si>
  <si>
    <t>2025-01-08 16:10:00</t>
  </si>
  <si>
    <t>LD-304207</t>
  </si>
  <si>
    <t>2026-04-23 09:05:00</t>
  </si>
  <si>
    <t>LD-304208</t>
  </si>
  <si>
    <t>2025-11-10 11:40:00</t>
  </si>
  <si>
    <t>LD-304209</t>
  </si>
  <si>
    <t>2025-04-29 10:30:00</t>
  </si>
  <si>
    <t>LD-304210</t>
  </si>
  <si>
    <t>2025-02-27 07:17:00</t>
  </si>
  <si>
    <t>2025-04-11 12:07:00.371382</t>
  </si>
  <si>
    <t>LD-304211</t>
  </si>
  <si>
    <t>2025-06-15 11:05:00</t>
  </si>
  <si>
    <t>LD-304212</t>
  </si>
  <si>
    <t>2025-05-20 07:53:00</t>
  </si>
  <si>
    <t>2025-06-18 12:21:04.667234</t>
  </si>
  <si>
    <t>LD-304213</t>
  </si>
  <si>
    <t>2025-03-21 16:57:00</t>
  </si>
  <si>
    <t>LD-304214</t>
  </si>
  <si>
    <t>2026-04-13 14:47:00</t>
  </si>
  <si>
    <t>2026-05-08 09:06:12.365010</t>
  </si>
  <si>
    <t>LD-304215</t>
  </si>
  <si>
    <t>2025-11-11 13:09:00</t>
  </si>
  <si>
    <t>LD-304216</t>
  </si>
  <si>
    <t>2025-10-03 15:18:00</t>
  </si>
  <si>
    <t>2025-11-10 08:45:40.180925</t>
  </si>
  <si>
    <t>LD-304217</t>
  </si>
  <si>
    <t>2026-05-07 15:36:00</t>
  </si>
  <si>
    <t>2026-06-26 22:08:05.644484</t>
  </si>
  <si>
    <t>LD-304218</t>
  </si>
  <si>
    <t>2025-10-20 08:17:00</t>
  </si>
  <si>
    <t>LD-304219</t>
  </si>
  <si>
    <t>2025-11-17 18:53:00</t>
  </si>
  <si>
    <t>LD-304220</t>
  </si>
  <si>
    <t>2025-05-02 15:18:00</t>
  </si>
  <si>
    <t>2025-05-23 01:48:45.997332</t>
  </si>
  <si>
    <t>LD-304221</t>
  </si>
  <si>
    <t>2025-06-12 09:19:00</t>
  </si>
  <si>
    <t>LD-304222</t>
  </si>
  <si>
    <t>2026-03-23 13:02:00</t>
  </si>
  <si>
    <t>2026-05-05 18:51:05.209769</t>
  </si>
  <si>
    <t>LD-304223</t>
  </si>
  <si>
    <t>2025-12-13 14:27:00</t>
  </si>
  <si>
    <t>LD-304224</t>
  </si>
  <si>
    <t>2026-05-09 15:18:00</t>
  </si>
  <si>
    <t>2026-07-04 11:29:48.119597</t>
  </si>
  <si>
    <t>LD-304225</t>
  </si>
  <si>
    <t>2026-01-01 08:09:00</t>
  </si>
  <si>
    <t>LD-304226</t>
  </si>
  <si>
    <t>2025-09-16 20:19:00</t>
  </si>
  <si>
    <t>LD-304227</t>
  </si>
  <si>
    <t>2026-05-08 09:08:00</t>
  </si>
  <si>
    <t>2026-06-19 19:28:23.832536</t>
  </si>
  <si>
    <t>LD-304228</t>
  </si>
  <si>
    <t>2025-10-10 11:42:00</t>
  </si>
  <si>
    <t>2025-11-09 01:10:31.794302</t>
  </si>
  <si>
    <t>LD-304229</t>
  </si>
  <si>
    <t>2026-05-04 10:10:00</t>
  </si>
  <si>
    <t>2026-06-26 01:52:44.006773</t>
  </si>
  <si>
    <t>LD-304230</t>
  </si>
  <si>
    <t>2025-09-12 19:10:00</t>
  </si>
  <si>
    <t>LD-304231</t>
  </si>
  <si>
    <t>2025-11-25 20:52:00</t>
  </si>
  <si>
    <t>LD-304232</t>
  </si>
  <si>
    <t>2026-02-18 12:17:00</t>
  </si>
  <si>
    <t>LD-304233</t>
  </si>
  <si>
    <t>2025-06-27 08:51:00</t>
  </si>
  <si>
    <t>LD-304234</t>
  </si>
  <si>
    <t>2025-12-14 13:34:00</t>
  </si>
  <si>
    <t>LD-304235</t>
  </si>
  <si>
    <t>2026-04-28 18:44:00</t>
  </si>
  <si>
    <t>2026-06-04 05:27:21.505359</t>
  </si>
  <si>
    <t>LD-304236</t>
  </si>
  <si>
    <t>2025-02-07 13:42:00</t>
  </si>
  <si>
    <t>2025-03-10 21:52:04.448224</t>
  </si>
  <si>
    <t>LD-304237</t>
  </si>
  <si>
    <t>2025-07-10 18:10:00</t>
  </si>
  <si>
    <t>LD-304238</t>
  </si>
  <si>
    <t>2026-06-19 17:31:00</t>
  </si>
  <si>
    <t>LD-304239</t>
  </si>
  <si>
    <t>2025-01-31 20:51:00</t>
  </si>
  <si>
    <t>LD-304240</t>
  </si>
  <si>
    <t>2025-06-06 18:22:00</t>
  </si>
  <si>
    <t>2025-07-15 02:55:36.620907</t>
  </si>
  <si>
    <t>LD-304241</t>
  </si>
  <si>
    <t>2025-11-09 08:49:00</t>
  </si>
  <si>
    <t>LD-304242</t>
  </si>
  <si>
    <t>2025-07-16 17:14:00</t>
  </si>
  <si>
    <t>LD-304243</t>
  </si>
  <si>
    <t>2025-11-14 11:49:00</t>
  </si>
  <si>
    <t>LD-304244</t>
  </si>
  <si>
    <t>2025-08-16 19:17:00</t>
  </si>
  <si>
    <t>2025-09-17 19:39:06.320867</t>
  </si>
  <si>
    <t>LD-304245</t>
  </si>
  <si>
    <t>2025-12-05 13:17:00</t>
  </si>
  <si>
    <t>LD-304246</t>
  </si>
  <si>
    <t>2025-12-16 12:02:00</t>
  </si>
  <si>
    <t>2026-01-20 00:05:29.137652</t>
  </si>
  <si>
    <t>LD-304247</t>
  </si>
  <si>
    <t>2026-06-01 19:55:00</t>
  </si>
  <si>
    <t>LD-304248</t>
  </si>
  <si>
    <t>2025-03-14 15:16:00</t>
  </si>
  <si>
    <t>2025-04-23 20:26:42.974703</t>
  </si>
  <si>
    <t>LD-304249</t>
  </si>
  <si>
    <t>2025-09-07 17:35:00</t>
  </si>
  <si>
    <t>2025-10-11 21:47:11.576367</t>
  </si>
  <si>
    <t>LD-304250</t>
  </si>
  <si>
    <t>2025-09-05 20:59:00</t>
  </si>
  <si>
    <t>2025-10-14 12:40:47.075780</t>
  </si>
  <si>
    <t>LD-304251</t>
  </si>
  <si>
    <t>2025-02-21 16:47:00</t>
  </si>
  <si>
    <t>2025-04-24 11:06:34.529072</t>
  </si>
  <si>
    <t>LD-304252</t>
  </si>
  <si>
    <t>2026-04-26 14:37:00</t>
  </si>
  <si>
    <t>LD-304253</t>
  </si>
  <si>
    <t>2025-11-19 12:06:00</t>
  </si>
  <si>
    <t>LD-304254</t>
  </si>
  <si>
    <t>2026-06-08 11:05:00</t>
  </si>
  <si>
    <t>2026-07-21 09:49:14.181212</t>
  </si>
  <si>
    <t>LD-304255</t>
  </si>
  <si>
    <t>2026-06-29 08:18:00</t>
  </si>
  <si>
    <t>LD-304256</t>
  </si>
  <si>
    <t>2026-05-02 11:14:00</t>
  </si>
  <si>
    <t>LD-304257</t>
  </si>
  <si>
    <t>2026-03-13 14:46:00</t>
  </si>
  <si>
    <t>LD-304258</t>
  </si>
  <si>
    <t>2025-03-13 15:35:00</t>
  </si>
  <si>
    <t>LD-304259</t>
  </si>
  <si>
    <t>2025-12-04 16:48:00</t>
  </si>
  <si>
    <t>LD-304260</t>
  </si>
  <si>
    <t>2026-01-29 16:48:00</t>
  </si>
  <si>
    <t>2026-03-25 17:59:04.275061</t>
  </si>
  <si>
    <t>LD-304261</t>
  </si>
  <si>
    <t>2026-02-06 15:05:00</t>
  </si>
  <si>
    <t>LD-304262</t>
  </si>
  <si>
    <t>2025-06-12 09:34:00</t>
  </si>
  <si>
    <t>LD-304263</t>
  </si>
  <si>
    <t>2025-10-03 11:15:00</t>
  </si>
  <si>
    <t>LD-304264</t>
  </si>
  <si>
    <t>2025-05-16 16:43:00</t>
  </si>
  <si>
    <t>LD-304265</t>
  </si>
  <si>
    <t>2025-06-21 07:39:00</t>
  </si>
  <si>
    <t>LD-304266</t>
  </si>
  <si>
    <t>2025-09-01 12:30:00</t>
  </si>
  <si>
    <t>LD-304267</t>
  </si>
  <si>
    <t>2025-01-14 19:25:00</t>
  </si>
  <si>
    <t>2025-02-03 00:04:39.916058</t>
  </si>
  <si>
    <t>LD-304268</t>
  </si>
  <si>
    <t>2025-12-02 20:05:00</t>
  </si>
  <si>
    <t>LD-304269</t>
  </si>
  <si>
    <t>2025-10-23 11:21:00</t>
  </si>
  <si>
    <t>LD-304270</t>
  </si>
  <si>
    <t>2025-09-02 15:38:00</t>
  </si>
  <si>
    <t>2025-10-15 01:51:39.740330</t>
  </si>
  <si>
    <t>LD-304271</t>
  </si>
  <si>
    <t>2026-02-13 14:28:00</t>
  </si>
  <si>
    <t>LD-304272</t>
  </si>
  <si>
    <t>2025-10-02 12:02:00</t>
  </si>
  <si>
    <t>LD-304273</t>
  </si>
  <si>
    <t>2025-04-13 20:21:00</t>
  </si>
  <si>
    <t>2025-05-16 16:27:14.922488</t>
  </si>
  <si>
    <t>LD-304274</t>
  </si>
  <si>
    <t>2026-06-16 18:13:00</t>
  </si>
  <si>
    <t>2026-07-27 18:39:32.144599</t>
  </si>
  <si>
    <t>LD-304275</t>
  </si>
  <si>
    <t>2026-04-23 14:42:00</t>
  </si>
  <si>
    <t>LD-304276</t>
  </si>
  <si>
    <t>2026-01-23 07:04:00</t>
  </si>
  <si>
    <t>2026-03-09 10:14:45.526507</t>
  </si>
  <si>
    <t>LD-304277</t>
  </si>
  <si>
    <t>2026-02-04 17:53:00</t>
  </si>
  <si>
    <t>2026-03-31 07:07:24.060329</t>
  </si>
  <si>
    <t>LD-304278</t>
  </si>
  <si>
    <t>2026-05-08 12:43:00</t>
  </si>
  <si>
    <t>LD-304279</t>
  </si>
  <si>
    <t>2025-07-13 15:37:00</t>
  </si>
  <si>
    <t>LD-304280</t>
  </si>
  <si>
    <t>2025-08-27 19:19:00</t>
  </si>
  <si>
    <t>LD-304281</t>
  </si>
  <si>
    <t>2026-06-03 11:20:00</t>
  </si>
  <si>
    <t>2026-06-28 23:36:54.489249</t>
  </si>
  <si>
    <t>LD-304282</t>
  </si>
  <si>
    <t>2026-03-11 09:59:00</t>
  </si>
  <si>
    <t>2026-04-15 04:16:06.133087</t>
  </si>
  <si>
    <t>LD-304283</t>
  </si>
  <si>
    <t>2025-04-03 16:35:00</t>
  </si>
  <si>
    <t>LD-304284</t>
  </si>
  <si>
    <t>2025-03-28 13:23:00</t>
  </si>
  <si>
    <t>LD-304285</t>
  </si>
  <si>
    <t>2025-04-29 12:03:00</t>
  </si>
  <si>
    <t>LD-304286</t>
  </si>
  <si>
    <t>2026-05-29 13:00:00</t>
  </si>
  <si>
    <t>2026-06-26 08:53:55.039874</t>
  </si>
  <si>
    <t>LD-304287</t>
  </si>
  <si>
    <t>2026-05-22 18:14:00</t>
  </si>
  <si>
    <t>2026-06-25 10:50:02.202819</t>
  </si>
  <si>
    <t>LD-304288</t>
  </si>
  <si>
    <t>2026-03-12 17:01:00</t>
  </si>
  <si>
    <t>2026-04-22 09:59:17.878331</t>
  </si>
  <si>
    <t>LD-304289</t>
  </si>
  <si>
    <t>2025-12-31 20:54:00</t>
  </si>
  <si>
    <t>2026-02-16 10:03:02.918479</t>
  </si>
  <si>
    <t>LD-304290</t>
  </si>
  <si>
    <t>2025-03-17 09:46:00</t>
  </si>
  <si>
    <t>LD-304291</t>
  </si>
  <si>
    <t>2025-02-28 09:38:00</t>
  </si>
  <si>
    <t>LD-304292</t>
  </si>
  <si>
    <t>2025-08-22 18:29:00</t>
  </si>
  <si>
    <t>LD-304293</t>
  </si>
  <si>
    <t>2026-02-13 14:31:00</t>
  </si>
  <si>
    <t>2026-04-05 12:39:35.886834</t>
  </si>
  <si>
    <t>LD-304294</t>
  </si>
  <si>
    <t>2026-03-10 19:55:00</t>
  </si>
  <si>
    <t>LD-304295</t>
  </si>
  <si>
    <t>2026-01-22 11:02:00</t>
  </si>
  <si>
    <t>2026-03-08 03:47:17.789948</t>
  </si>
  <si>
    <t>LD-304296</t>
  </si>
  <si>
    <t>2025-07-21 13:37:00</t>
  </si>
  <si>
    <t>LD-304297</t>
  </si>
  <si>
    <t>2026-06-11 20:37:00</t>
  </si>
  <si>
    <t>LD-304298</t>
  </si>
  <si>
    <t>2026-05-04 14:27:00</t>
  </si>
  <si>
    <t>LD-304299</t>
  </si>
  <si>
    <t>2026-01-09 12:28:00</t>
  </si>
  <si>
    <t>2026-02-11 10:34:54.880719</t>
  </si>
  <si>
    <t>LD-304300</t>
  </si>
  <si>
    <t>2026-04-30 20:56:00</t>
  </si>
  <si>
    <t>LD-304301</t>
  </si>
  <si>
    <t>2026-06-26 15:16:00</t>
  </si>
  <si>
    <t>LD-304302</t>
  </si>
  <si>
    <t>2025-01-25 17:40:00</t>
  </si>
  <si>
    <t>LD-304303</t>
  </si>
  <si>
    <t>2026-03-25 09:16:00</t>
  </si>
  <si>
    <t>2026-04-30 22:54:35.880767</t>
  </si>
  <si>
    <t>LD-304304</t>
  </si>
  <si>
    <t>2025-11-08 14:59:00</t>
  </si>
  <si>
    <t>LD-304305</t>
  </si>
  <si>
    <t>2025-01-03 13:00:00</t>
  </si>
  <si>
    <t>2025-02-07 19:58:15.453279</t>
  </si>
  <si>
    <t>LD-304306</t>
  </si>
  <si>
    <t>2025-06-19 19:06:00</t>
  </si>
  <si>
    <t>2025-07-17 14:17:29.524869</t>
  </si>
  <si>
    <t>LD-304307</t>
  </si>
  <si>
    <t>2025-05-08 11:56:00</t>
  </si>
  <si>
    <t>2025-06-15 05:09:52.827170</t>
  </si>
  <si>
    <t>LD-304308</t>
  </si>
  <si>
    <t>2026-06-12 15:04:00</t>
  </si>
  <si>
    <t>LD-304309</t>
  </si>
  <si>
    <t>2025-02-12 12:04:00</t>
  </si>
  <si>
    <t>LD-304310</t>
  </si>
  <si>
    <t>2026-06-20 18:20:00</t>
  </si>
  <si>
    <t>2026-07-30 17:15:44.195564</t>
  </si>
  <si>
    <t>LD-304311</t>
  </si>
  <si>
    <t>2026-06-21 10:10:00</t>
  </si>
  <si>
    <t>LD-304312</t>
  </si>
  <si>
    <t>2025-07-21 13:51:00</t>
  </si>
  <si>
    <t>LD-304313</t>
  </si>
  <si>
    <t>2025-05-23 08:12:00</t>
  </si>
  <si>
    <t>LD-304314</t>
  </si>
  <si>
    <t>2025-06-06 07:41:00</t>
  </si>
  <si>
    <t>LD-304315</t>
  </si>
  <si>
    <t>2025-03-24 08:03:00</t>
  </si>
  <si>
    <t>LD-304316</t>
  </si>
  <si>
    <t>2025-03-28 16:37:00</t>
  </si>
  <si>
    <t>LD-304317</t>
  </si>
  <si>
    <t>2025-11-27 09:12:00</t>
  </si>
  <si>
    <t>LD-304318</t>
  </si>
  <si>
    <t>LD-304319</t>
  </si>
  <si>
    <t>2026-02-13 14:49:00</t>
  </si>
  <si>
    <t>LD-304320</t>
  </si>
  <si>
    <t>2025-05-09 14:20:00</t>
  </si>
  <si>
    <t>LD-304321</t>
  </si>
  <si>
    <t>2025-04-28 09:23:00</t>
  </si>
  <si>
    <t>LD-304322</t>
  </si>
  <si>
    <t>2026-05-30 12:12:00</t>
  </si>
  <si>
    <t>LD-304323</t>
  </si>
  <si>
    <t>2025-10-06 17:36:00</t>
  </si>
  <si>
    <t>LD-304324</t>
  </si>
  <si>
    <t>2025-04-22 17:58:00</t>
  </si>
  <si>
    <t>LD-304325</t>
  </si>
  <si>
    <t>2026-01-21 16:15:00</t>
  </si>
  <si>
    <t>2026-03-04 11:52:39.884543</t>
  </si>
  <si>
    <t>LD-304326</t>
  </si>
  <si>
    <t>2025-05-16 17:45:00</t>
  </si>
  <si>
    <t>2025-07-04 13:55:07.146331</t>
  </si>
  <si>
    <t>LD-304327</t>
  </si>
  <si>
    <t>2025-01-09 13:38:00</t>
  </si>
  <si>
    <t>LD-304328</t>
  </si>
  <si>
    <t>2025-09-05 10:54:00</t>
  </si>
  <si>
    <t>2025-10-09 23:05:56.530362</t>
  </si>
  <si>
    <t>LD-304329</t>
  </si>
  <si>
    <t>2025-02-26 13:40:00</t>
  </si>
  <si>
    <t>2025-04-08 21:16:00.653466</t>
  </si>
  <si>
    <t>LD-304330</t>
  </si>
  <si>
    <t>2025-03-14 15:24:00</t>
  </si>
  <si>
    <t>LD-304331</t>
  </si>
  <si>
    <t>2025-09-27 16:38:00</t>
  </si>
  <si>
    <t>LD-304332</t>
  </si>
  <si>
    <t>2026-04-14 10:28:00</t>
  </si>
  <si>
    <t>LD-304333</t>
  </si>
  <si>
    <t>2025-04-14 15:55:00</t>
  </si>
  <si>
    <t>LD-304334</t>
  </si>
  <si>
    <t>2026-03-03 15:50:00</t>
  </si>
  <si>
    <t>LD-304335</t>
  </si>
  <si>
    <t>2025-03-30 19:33:00</t>
  </si>
  <si>
    <t>LD-304336</t>
  </si>
  <si>
    <t>2025-10-29 20:20:00</t>
  </si>
  <si>
    <t>LD-304337</t>
  </si>
  <si>
    <t>2026-08-03 16:28:33.790425</t>
  </si>
  <si>
    <t>LD-304338</t>
  </si>
  <si>
    <t>2026-06-12 11:00:00</t>
  </si>
  <si>
    <t>2026-08-01 11:08:14.892306</t>
  </si>
  <si>
    <t>LD-304339</t>
  </si>
  <si>
    <t>2025-06-15 14:12:00</t>
  </si>
  <si>
    <t>2025-07-23 07:42:45.570862</t>
  </si>
  <si>
    <t>LD-304340</t>
  </si>
  <si>
    <t>2025-07-25 10:51:00</t>
  </si>
  <si>
    <t>2025-08-08 17:55:05.344822</t>
  </si>
  <si>
    <t>LD-304341</t>
  </si>
  <si>
    <t>2025-03-27 17:48:00</t>
  </si>
  <si>
    <t>LD-304342</t>
  </si>
  <si>
    <t>2025-10-15 17:18:00</t>
  </si>
  <si>
    <t>2025-11-19 14:28:31.488361</t>
  </si>
  <si>
    <t>LD-304343</t>
  </si>
  <si>
    <t>2025-01-23 18:34:00</t>
  </si>
  <si>
    <t>2025-03-01 13:47:54.184618</t>
  </si>
  <si>
    <t>LD-304344</t>
  </si>
  <si>
    <t>2025-04-04 15:32:00</t>
  </si>
  <si>
    <t>LD-304345</t>
  </si>
  <si>
    <t>2025-01-10 09:24:00</t>
  </si>
  <si>
    <t>LD-304346</t>
  </si>
  <si>
    <t>2026-02-04 18:05:00</t>
  </si>
  <si>
    <t>LD-304347</t>
  </si>
  <si>
    <t>2025-08-25 18:25:00</t>
  </si>
  <si>
    <t>2025-09-26 10:24:17.344968</t>
  </si>
  <si>
    <t>LD-304348</t>
  </si>
  <si>
    <t>2025-06-09 10:33:00</t>
  </si>
  <si>
    <t>2025-07-11 14:46:20.106212</t>
  </si>
  <si>
    <t>LD-304349</t>
  </si>
  <si>
    <t>2026-01-16 19:31:00</t>
  </si>
  <si>
    <t>LD-304350</t>
  </si>
  <si>
    <t>2026-05-21 11:02:00</t>
  </si>
  <si>
    <t>LD-304351</t>
  </si>
  <si>
    <t>2025-09-05 19:31:00</t>
  </si>
  <si>
    <t>2025-10-23 14:53:34.139669</t>
  </si>
  <si>
    <t>LD-304352</t>
  </si>
  <si>
    <t>2026-01-15 09:43:00</t>
  </si>
  <si>
    <t>2026-02-27 12:24:56.459535</t>
  </si>
  <si>
    <t>LD-304353</t>
  </si>
  <si>
    <t>2026-02-27 18:22:00</t>
  </si>
  <si>
    <t>LD-304354</t>
  </si>
  <si>
    <t>2026-05-12 11:39:00</t>
  </si>
  <si>
    <t>LD-304355</t>
  </si>
  <si>
    <t>2026-04-03 17:28:00</t>
  </si>
  <si>
    <t>2026-05-01 09:14:45.592217</t>
  </si>
  <si>
    <t>LD-304356</t>
  </si>
  <si>
    <t>2026-01-20 08:42:00</t>
  </si>
  <si>
    <t>2026-02-17 09:43:13.368737</t>
  </si>
  <si>
    <t>LD-304357</t>
  </si>
  <si>
    <t>2025-02-14 09:13:00</t>
  </si>
  <si>
    <t>LD-304358</t>
  </si>
  <si>
    <t>2026-05-23 10:41:00</t>
  </si>
  <si>
    <t>2026-06-23 11:29:28.258581</t>
  </si>
  <si>
    <t>LD-304359</t>
  </si>
  <si>
    <t>2025-12-19 15:58:00</t>
  </si>
  <si>
    <t>2026-01-23 11:54:02.323078</t>
  </si>
  <si>
    <t>LD-304360</t>
  </si>
  <si>
    <t>2026-05-06 08:52:00</t>
  </si>
  <si>
    <t>2026-06-13 00:42:33.099538</t>
  </si>
  <si>
    <t>LD-304361</t>
  </si>
  <si>
    <t>2025-07-01 11:58:00</t>
  </si>
  <si>
    <t>2025-07-20 22:36:50.210225</t>
  </si>
  <si>
    <t>LD-304362</t>
  </si>
  <si>
    <t>2026-03-07 19:27:00</t>
  </si>
  <si>
    <t>LD-304363</t>
  </si>
  <si>
    <t>2025-03-12 09:37:00</t>
  </si>
  <si>
    <t>2025-04-15 10:34:00.638017</t>
  </si>
  <si>
    <t>LD-304364</t>
  </si>
  <si>
    <t>2025-12-14 13:05:00</t>
  </si>
  <si>
    <t>2026-01-27 04:28:05.129135</t>
  </si>
  <si>
    <t>LD-304365</t>
  </si>
  <si>
    <t>2025-10-27 13:34:00</t>
  </si>
  <si>
    <t>LD-304366</t>
  </si>
  <si>
    <t>2025-08-01 12:38:00</t>
  </si>
  <si>
    <t>LD-304367</t>
  </si>
  <si>
    <t>2025-09-21 12:56:00</t>
  </si>
  <si>
    <t>LD-304368</t>
  </si>
  <si>
    <t>2026-06-09 15:11:00</t>
  </si>
  <si>
    <t>LD-304369</t>
  </si>
  <si>
    <t>2025-01-17 19:58:00</t>
  </si>
  <si>
    <t>2025-03-02 04:16:37.356858</t>
  </si>
  <si>
    <t>LD-304370</t>
  </si>
  <si>
    <t>2025-10-30 10:09:00</t>
  </si>
  <si>
    <t>2025-12-10 01:25:19.196323</t>
  </si>
  <si>
    <t>LD-304371</t>
  </si>
  <si>
    <t>2026-03-28 07:27:00</t>
  </si>
  <si>
    <t>LD-304372</t>
  </si>
  <si>
    <t>2025-09-19 12:22:00</t>
  </si>
  <si>
    <t>2025-10-26 08:16:54.908033</t>
  </si>
  <si>
    <t>LD-304373</t>
  </si>
  <si>
    <t>2025-03-14 19:16:00</t>
  </si>
  <si>
    <t>2025-04-27 02:36:27.970350</t>
  </si>
  <si>
    <t>LD-304374</t>
  </si>
  <si>
    <t>2026-06-26 20:45:00</t>
  </si>
  <si>
    <t>LD-304375</t>
  </si>
  <si>
    <t>2026-02-28 10:00:00</t>
  </si>
  <si>
    <t>LD-304376</t>
  </si>
  <si>
    <t>2025-12-19 11:00:00</t>
  </si>
  <si>
    <t>LD-304377</t>
  </si>
  <si>
    <t>2026-02-12 08:52:00</t>
  </si>
  <si>
    <t>LD-304378</t>
  </si>
  <si>
    <t>2025-12-25 20:44:00</t>
  </si>
  <si>
    <t>2026-01-16 13:11:47.506104</t>
  </si>
  <si>
    <t>LD-304379</t>
  </si>
  <si>
    <t>2025-07-15 17:25:00</t>
  </si>
  <si>
    <t>2025-08-25 21:12:29.002915</t>
  </si>
  <si>
    <t>LD-304380</t>
  </si>
  <si>
    <t>2025-09-24 08:11:00</t>
  </si>
  <si>
    <t>LD-304381</t>
  </si>
  <si>
    <t>2025-08-02 14:20:00</t>
  </si>
  <si>
    <t>LD-304382</t>
  </si>
  <si>
    <t>2025-11-14 17:14:00</t>
  </si>
  <si>
    <t>LD-304383</t>
  </si>
  <si>
    <t>2026-01-25 10:38:00</t>
  </si>
  <si>
    <t>2026-03-03 22:31:59.266960</t>
  </si>
  <si>
    <t>LD-304384</t>
  </si>
  <si>
    <t>2025-02-21 09:54:00</t>
  </si>
  <si>
    <t>LD-304385</t>
  </si>
  <si>
    <t>2025-10-06 11:25:00</t>
  </si>
  <si>
    <t>LD-304386</t>
  </si>
  <si>
    <t>2025-10-24 13:35:00</t>
  </si>
  <si>
    <t>LD-304387</t>
  </si>
  <si>
    <t>2025-07-22 07:02:00</t>
  </si>
  <si>
    <t>LD-304388</t>
  </si>
  <si>
    <t>2025-01-15 16:41:00</t>
  </si>
  <si>
    <t>2025-02-08 09:51:20.702887</t>
  </si>
  <si>
    <t>LD-304389</t>
  </si>
  <si>
    <t>2026-03-14 15:33:00</t>
  </si>
  <si>
    <t>LD-304390</t>
  </si>
  <si>
    <t>2026-05-22 11:36:00</t>
  </si>
  <si>
    <t>LD-304391</t>
  </si>
  <si>
    <t>2025-12-11 18:04:00</t>
  </si>
  <si>
    <t>LD-304392</t>
  </si>
  <si>
    <t>2025-09-05 16:16:00</t>
  </si>
  <si>
    <t>2025-10-15 17:08:04.294601</t>
  </si>
  <si>
    <t>LD-304393</t>
  </si>
  <si>
    <t>2026-05-22 19:46:00</t>
  </si>
  <si>
    <t>2026-06-24 07:05:25.203642</t>
  </si>
  <si>
    <t>LD-304394</t>
  </si>
  <si>
    <t>2025-07-28 11:31:00</t>
  </si>
  <si>
    <t>LD-304395</t>
  </si>
  <si>
    <t>2025-06-09 17:35:00</t>
  </si>
  <si>
    <t>LD-304396</t>
  </si>
  <si>
    <t>2025-11-06 07:53:00</t>
  </si>
  <si>
    <t>LD-304397</t>
  </si>
  <si>
    <t>2026-04-20 09:22:00</t>
  </si>
  <si>
    <t>2026-05-18 01:52:37.240600</t>
  </si>
  <si>
    <t>LD-304398</t>
  </si>
  <si>
    <t>2025-02-25 08:40:00</t>
  </si>
  <si>
    <t>LD-304399</t>
  </si>
  <si>
    <t>2025-07-11 17:55:00</t>
  </si>
  <si>
    <t>LD-304400</t>
  </si>
  <si>
    <t>2026-02-20 15:51:00</t>
  </si>
  <si>
    <t>LD-304401</t>
  </si>
  <si>
    <t>2025-11-21 10:19:00</t>
  </si>
  <si>
    <t>LD-304402</t>
  </si>
  <si>
    <t>2025-12-25 10:45:00</t>
  </si>
  <si>
    <t>LD-304403</t>
  </si>
  <si>
    <t>2025-02-07 20:38:00</t>
  </si>
  <si>
    <t>LD-304404</t>
  </si>
  <si>
    <t>2025-07-28 07:18:00</t>
  </si>
  <si>
    <t>LD-304405</t>
  </si>
  <si>
    <t>2025-02-14 11:09:00</t>
  </si>
  <si>
    <t>LD-304406</t>
  </si>
  <si>
    <t>2025-11-07 17:29:00</t>
  </si>
  <si>
    <t>2025-12-25 13:49:51.631747</t>
  </si>
  <si>
    <t>LD-304407</t>
  </si>
  <si>
    <t>2026-02-20 20:09:00</t>
  </si>
  <si>
    <t>LD-304408</t>
  </si>
  <si>
    <t>2026-03-23 08:28:00</t>
  </si>
  <si>
    <t>LD-304409</t>
  </si>
  <si>
    <t>2025-10-02 09:44:00</t>
  </si>
  <si>
    <t>2025-11-01 22:58:42.016340</t>
  </si>
  <si>
    <t>LD-304410</t>
  </si>
  <si>
    <t>2025-04-01 07:37:00</t>
  </si>
  <si>
    <t>2025-05-14 15:51:49.415652</t>
  </si>
  <si>
    <t>LD-304411</t>
  </si>
  <si>
    <t>2025-06-26 08:59:00</t>
  </si>
  <si>
    <t>LD-304412</t>
  </si>
  <si>
    <t>2025-09-26 19:43:00</t>
  </si>
  <si>
    <t>2025-11-05 22:59:19.207563</t>
  </si>
  <si>
    <t>LD-304413</t>
  </si>
  <si>
    <t>2025-04-10 14:48:00</t>
  </si>
  <si>
    <t>LD-304414</t>
  </si>
  <si>
    <t>2025-05-22 18:34:00</t>
  </si>
  <si>
    <t>LD-304415</t>
  </si>
  <si>
    <t>2026-01-15 16:27:00</t>
  </si>
  <si>
    <t>2026-03-08 10:01:22.639072</t>
  </si>
  <si>
    <t>LD-304416</t>
  </si>
  <si>
    <t>2026-06-09 07:26:00</t>
  </si>
  <si>
    <t>2026-07-18 01:13:31.286550</t>
  </si>
  <si>
    <t>LD-304417</t>
  </si>
  <si>
    <t>2025-01-29 11:06:00</t>
  </si>
  <si>
    <t>LD-304418</t>
  </si>
  <si>
    <t>2026-05-29 07:28:00</t>
  </si>
  <si>
    <t>LD-304419</t>
  </si>
  <si>
    <t>2025-08-26 13:47:00</t>
  </si>
  <si>
    <t>LD-304420</t>
  </si>
  <si>
    <t>2025-05-06 14:08:00</t>
  </si>
  <si>
    <t>LD-304421</t>
  </si>
  <si>
    <t>2025-10-31 14:23:00</t>
  </si>
  <si>
    <t>LD-304422</t>
  </si>
  <si>
    <t>2025-10-05 13:52:00</t>
  </si>
  <si>
    <t>LD-304423</t>
  </si>
  <si>
    <t>2026-02-04 12:14:00</t>
  </si>
  <si>
    <t>LD-304424</t>
  </si>
  <si>
    <t>2025-02-24 10:58:00</t>
  </si>
  <si>
    <t>LD-304425</t>
  </si>
  <si>
    <t>2026-01-27 09:14:00</t>
  </si>
  <si>
    <t>LD-304426</t>
  </si>
  <si>
    <t>2025-02-05 14:20:00</t>
  </si>
  <si>
    <t>LD-304427</t>
  </si>
  <si>
    <t>2025-07-04 13:34:00</t>
  </si>
  <si>
    <t>LD-304428</t>
  </si>
  <si>
    <t>2025-10-04 12:58:00</t>
  </si>
  <si>
    <t>LD-304429</t>
  </si>
  <si>
    <t>2026-01-21 09:35:00</t>
  </si>
  <si>
    <t>LD-304430</t>
  </si>
  <si>
    <t>2025-11-14 07:23:00</t>
  </si>
  <si>
    <t>LD-304431</t>
  </si>
  <si>
    <t>2025-11-10 20:36:00</t>
  </si>
  <si>
    <t>2025-12-27 04:41:32.845456</t>
  </si>
  <si>
    <t>LD-304432</t>
  </si>
  <si>
    <t>2025-01-30 09:41:00</t>
  </si>
  <si>
    <t>2025-02-23 06:21:13.996485</t>
  </si>
  <si>
    <t>LD-304433</t>
  </si>
  <si>
    <t>2025-05-09 10:38:00</t>
  </si>
  <si>
    <t>2025-06-21 16:45:12.166291</t>
  </si>
  <si>
    <t>LD-304434</t>
  </si>
  <si>
    <t>2026-02-05 07:37:00</t>
  </si>
  <si>
    <t>LD-304435</t>
  </si>
  <si>
    <t>2026-04-07 16:36:00</t>
  </si>
  <si>
    <t>LD-304436</t>
  </si>
  <si>
    <t>2025-12-30 09:51:00</t>
  </si>
  <si>
    <t>2026-01-21 22:42:09.196041</t>
  </si>
  <si>
    <t>LD-304437</t>
  </si>
  <si>
    <t>2025-08-12 11:33:00</t>
  </si>
  <si>
    <t>LD-304438</t>
  </si>
  <si>
    <t>2025-10-24 08:16:00</t>
  </si>
  <si>
    <t>LD-304439</t>
  </si>
  <si>
    <t>2025-03-11 07:55:00</t>
  </si>
  <si>
    <t>LD-304440</t>
  </si>
  <si>
    <t>2025-03-04 19:54:00</t>
  </si>
  <si>
    <t>LD-304441</t>
  </si>
  <si>
    <t>2026-04-17 19:36:00</t>
  </si>
  <si>
    <t>LD-304442</t>
  </si>
  <si>
    <t>2025-03-26 05:16:16.886302</t>
  </si>
  <si>
    <t>LD-304443</t>
  </si>
  <si>
    <t>2026-02-09 15:06:00</t>
  </si>
  <si>
    <t>LD-304444</t>
  </si>
  <si>
    <t>2026-05-26 09:13:00</t>
  </si>
  <si>
    <t>LD-304445</t>
  </si>
  <si>
    <t>2025-09-16 16:01:00</t>
  </si>
  <si>
    <t>LD-304446</t>
  </si>
  <si>
    <t>2026-05-08 15:27:00</t>
  </si>
  <si>
    <t>LD-304447</t>
  </si>
  <si>
    <t>2025-12-15 17:41:00</t>
  </si>
  <si>
    <t>LD-304448</t>
  </si>
  <si>
    <t>2025-10-31 11:52:00</t>
  </si>
  <si>
    <t>LD-304449</t>
  </si>
  <si>
    <t>2025-01-14 07:03:00</t>
  </si>
  <si>
    <t>LD-304450</t>
  </si>
  <si>
    <t>2025-02-21 13:32:00</t>
  </si>
  <si>
    <t>LD-304451</t>
  </si>
  <si>
    <t>2026-02-16 20:02:00</t>
  </si>
  <si>
    <t>2026-03-28 15:08:36.470618</t>
  </si>
  <si>
    <t>LD-304452</t>
  </si>
  <si>
    <t>2025-01-31 17:08:00</t>
  </si>
  <si>
    <t>LD-304453</t>
  </si>
  <si>
    <t>2026-04-03 08:00:00</t>
  </si>
  <si>
    <t>2026-05-20 17:08:47.784549</t>
  </si>
  <si>
    <t>LD-304454</t>
  </si>
  <si>
    <t>2025-07-11 19:20:00</t>
  </si>
  <si>
    <t>LD-304455</t>
  </si>
  <si>
    <t>2026-03-30 14:30:00</t>
  </si>
  <si>
    <t>LD-304456</t>
  </si>
  <si>
    <t>2025-11-22 08:07:00</t>
  </si>
  <si>
    <t>LD-304457</t>
  </si>
  <si>
    <t>2026-01-28 19:17:00</t>
  </si>
  <si>
    <t>LD-304458</t>
  </si>
  <si>
    <t>2025-05-25 09:23:00</t>
  </si>
  <si>
    <t>LD-304459</t>
  </si>
  <si>
    <t>2025-04-28 07:55:00</t>
  </si>
  <si>
    <t>LD-304460</t>
  </si>
  <si>
    <t>2025-10-25 20:15:00</t>
  </si>
  <si>
    <t>LD-304461</t>
  </si>
  <si>
    <t>2026-06-29 20:24:00</t>
  </si>
  <si>
    <t>2026-08-10 13:14:44.231967</t>
  </si>
  <si>
    <t>LD-304462</t>
  </si>
  <si>
    <t>2026-06-12 12:31:00</t>
  </si>
  <si>
    <t>LD-304463</t>
  </si>
  <si>
    <t>2025-03-22 12:42:00</t>
  </si>
  <si>
    <t>2025-04-24 04:02:32.898765</t>
  </si>
  <si>
    <t>LD-304464</t>
  </si>
  <si>
    <t>2026-02-03 07:43:00</t>
  </si>
  <si>
    <t>2026-03-09 00:14:43.950311</t>
  </si>
  <si>
    <t>LD-304465</t>
  </si>
  <si>
    <t>2025-05-10 13:09:00</t>
  </si>
  <si>
    <t>LD-304466</t>
  </si>
  <si>
    <t>2025-03-03 15:56:00</t>
  </si>
  <si>
    <t>LD-304467</t>
  </si>
  <si>
    <t>2026-03-22 16:50:00</t>
  </si>
  <si>
    <t>LD-304468</t>
  </si>
  <si>
    <t>2025-03-12 15:57:00</t>
  </si>
  <si>
    <t>LD-304469</t>
  </si>
  <si>
    <t>2026-01-19 19:32:00</t>
  </si>
  <si>
    <t>LD-304470</t>
  </si>
  <si>
    <t>2025-10-03 11:08:00</t>
  </si>
  <si>
    <t>2025-11-22 12:35:17.002038</t>
  </si>
  <si>
    <t>LD-304471</t>
  </si>
  <si>
    <t>2026-03-28 07:16:00</t>
  </si>
  <si>
    <t>LD-304472</t>
  </si>
  <si>
    <t>2026-02-23 18:19:00</t>
  </si>
  <si>
    <t>2026-04-09 06:40:00.826856</t>
  </si>
  <si>
    <t>LD-304473</t>
  </si>
  <si>
    <t>2025-04-16 12:54:00</t>
  </si>
  <si>
    <t>LD-304474</t>
  </si>
  <si>
    <t>2025-05-30 20:12:00</t>
  </si>
  <si>
    <t>LD-304475</t>
  </si>
  <si>
    <t>2026-06-16 07:39:00</t>
  </si>
  <si>
    <t>2026-08-06 23:22:36.989955</t>
  </si>
  <si>
    <t>LD-304476</t>
  </si>
  <si>
    <t>2026-01-31 07:47:00</t>
  </si>
  <si>
    <t>LD-304477</t>
  </si>
  <si>
    <t>2026-05-26 09:25:00</t>
  </si>
  <si>
    <t>LD-304478</t>
  </si>
  <si>
    <t>2026-06-22 10:02:00</t>
  </si>
  <si>
    <t>LD-304479</t>
  </si>
  <si>
    <t>2026-01-01 17:36:00</t>
  </si>
  <si>
    <t>LD-304480</t>
  </si>
  <si>
    <t>2026-02-19 13:29:00</t>
  </si>
  <si>
    <t>LD-304481</t>
  </si>
  <si>
    <t>2025-01-26 09:22:00</t>
  </si>
  <si>
    <t>2025-03-04 16:05:27.337599</t>
  </si>
  <si>
    <t>LD-304482</t>
  </si>
  <si>
    <t>2025-05-03 08:18:00</t>
  </si>
  <si>
    <t>LD-304483</t>
  </si>
  <si>
    <t>2026-02-19 07:57:00</t>
  </si>
  <si>
    <t>LD-304484</t>
  </si>
  <si>
    <t>2026-01-15 14:37:00</t>
  </si>
  <si>
    <t>LD-304485</t>
  </si>
  <si>
    <t>2026-02-11 16:45:00</t>
  </si>
  <si>
    <t>2026-04-10 11:07:31.988607</t>
  </si>
  <si>
    <t>LD-304486</t>
  </si>
  <si>
    <t>2025-12-24 17:42:00</t>
  </si>
  <si>
    <t>LD-304487</t>
  </si>
  <si>
    <t>2025-07-23 19:26:00</t>
  </si>
  <si>
    <t>LD-304488</t>
  </si>
  <si>
    <t>2025-10-31 17:49:00</t>
  </si>
  <si>
    <t>2025-11-29 08:45:26.163466</t>
  </si>
  <si>
    <t>LD-304489</t>
  </si>
  <si>
    <t>2026-01-05 20:21:00</t>
  </si>
  <si>
    <t>LD-304490</t>
  </si>
  <si>
    <t>2025-07-30 12:37:00</t>
  </si>
  <si>
    <t>2025-08-25 01:37:38.435406</t>
  </si>
  <si>
    <t>LD-304491</t>
  </si>
  <si>
    <t>2025-03-03 18:58:00</t>
  </si>
  <si>
    <t>2025-04-22 13:47:57.986510</t>
  </si>
  <si>
    <t>LD-304492</t>
  </si>
  <si>
    <t>2025-09-29 16:59:00</t>
  </si>
  <si>
    <t>LD-304493</t>
  </si>
  <si>
    <t>2025-09-25 20:59:00</t>
  </si>
  <si>
    <t>2025-10-23 18:06:34.470386</t>
  </si>
  <si>
    <t>LD-304494</t>
  </si>
  <si>
    <t>2025-05-16 09:51:00</t>
  </si>
  <si>
    <t>LD-304495</t>
  </si>
  <si>
    <t>2025-12-22 13:50:00</t>
  </si>
  <si>
    <t>2026-02-09 09:18:50.290218</t>
  </si>
  <si>
    <t>LD-304496</t>
  </si>
  <si>
    <t>2026-03-20 16:28:00</t>
  </si>
  <si>
    <t>2026-04-24 15:46:55.652996</t>
  </si>
  <si>
    <t>LD-304497</t>
  </si>
  <si>
    <t>2025-08-19 14:02:00</t>
  </si>
  <si>
    <t>LD-304498</t>
  </si>
  <si>
    <t>2026-05-08 09:00:00</t>
  </si>
  <si>
    <t>2026-06-23 06:44:45.600316</t>
  </si>
  <si>
    <t>LD-304499</t>
  </si>
  <si>
    <t>2025-06-12 13:29:00</t>
  </si>
  <si>
    <t>LD-304500</t>
  </si>
  <si>
    <t>2025-11-13 19:50:00</t>
  </si>
  <si>
    <t>2025-12-15 10:37:39.518525</t>
  </si>
  <si>
    <t>LD-304501</t>
  </si>
  <si>
    <t>2025-06-13 16:03:00</t>
  </si>
  <si>
    <t>LD-304502</t>
  </si>
  <si>
    <t>2026-02-18 10:56:00</t>
  </si>
  <si>
    <t>LD-304503</t>
  </si>
  <si>
    <t>2025-06-07 20:55:00</t>
  </si>
  <si>
    <t>2025-07-08 11:41:35.611092</t>
  </si>
  <si>
    <t>LD-304504</t>
  </si>
  <si>
    <t>2025-02-24 11:02:00</t>
  </si>
  <si>
    <t>LD-304505</t>
  </si>
  <si>
    <t>2025-09-19 14:27:00</t>
  </si>
  <si>
    <t>2025-11-01 06:48:53.923285</t>
  </si>
  <si>
    <t>LD-304506</t>
  </si>
  <si>
    <t>2026-06-17 11:17:00</t>
  </si>
  <si>
    <t>2026-07-25 08:54:34.707674</t>
  </si>
  <si>
    <t>LD-304507</t>
  </si>
  <si>
    <t>2025-11-07 11:50:00</t>
  </si>
  <si>
    <t>LD-304508</t>
  </si>
  <si>
    <t>2025-06-13 08:26:00</t>
  </si>
  <si>
    <t>LD-304509</t>
  </si>
  <si>
    <t>2025-10-21 07:47:00</t>
  </si>
  <si>
    <t>2025-11-21 23:54:44.872232</t>
  </si>
  <si>
    <t>LD-304510</t>
  </si>
  <si>
    <t>2026-05-16 08:45:00</t>
  </si>
  <si>
    <t>2026-06-20 07:09:09.855768</t>
  </si>
  <si>
    <t>LD-304511</t>
  </si>
  <si>
    <t>2026-03-02 10:55:00</t>
  </si>
  <si>
    <t>2026-04-07 22:35:45.187483</t>
  </si>
  <si>
    <t>LD-304512</t>
  </si>
  <si>
    <t>2025-01-06 17:52:00</t>
  </si>
  <si>
    <t>LD-304513</t>
  </si>
  <si>
    <t>2025-12-16 08:58:00</t>
  </si>
  <si>
    <t>LD-304514</t>
  </si>
  <si>
    <t>2025-11-03 19:10:00</t>
  </si>
  <si>
    <t>LD-304515</t>
  </si>
  <si>
    <t>2026-01-27 15:00:00</t>
  </si>
  <si>
    <t>LD-304516</t>
  </si>
  <si>
    <t>2025-04-25 14:33:00</t>
  </si>
  <si>
    <t>2025-06-10 10:44:15.079065</t>
  </si>
  <si>
    <t>LD-304517</t>
  </si>
  <si>
    <t>2025-04-02 12:55:00</t>
  </si>
  <si>
    <t>2025-05-14 17:55:38.654498</t>
  </si>
  <si>
    <t>LD-304518</t>
  </si>
  <si>
    <t>2026-04-07 12:17:00</t>
  </si>
  <si>
    <t>LD-304519</t>
  </si>
  <si>
    <t>2025-09-02 09:01:00</t>
  </si>
  <si>
    <t>LD-304520</t>
  </si>
  <si>
    <t>2025-07-25 14:43:00</t>
  </si>
  <si>
    <t>2025-08-24 04:16:24.706349</t>
  </si>
  <si>
    <t>LD-304521</t>
  </si>
  <si>
    <t>2026-05-25 19:26:00</t>
  </si>
  <si>
    <t>LD-304522</t>
  </si>
  <si>
    <t>2025-05-20 16:01:00</t>
  </si>
  <si>
    <t>2025-07-02 05:48:06.560256</t>
  </si>
  <si>
    <t>LD-304523</t>
  </si>
  <si>
    <t>2025-01-31 07:33:00</t>
  </si>
  <si>
    <t>2025-03-28 13:35:29.770269</t>
  </si>
  <si>
    <t>LD-304524</t>
  </si>
  <si>
    <t>2026-04-03 09:00:00</t>
  </si>
  <si>
    <t>LD-304525</t>
  </si>
  <si>
    <t>2026-03-08 16:19:00</t>
  </si>
  <si>
    <t>LD-304526</t>
  </si>
  <si>
    <t>2025-03-07 16:12:00</t>
  </si>
  <si>
    <t>LD-304527</t>
  </si>
  <si>
    <t>2026-06-15 15:59:00</t>
  </si>
  <si>
    <t>2026-07-28 05:27:43.434637</t>
  </si>
  <si>
    <t>LD-304528</t>
  </si>
  <si>
    <t>2026-06-26 14:12:00</t>
  </si>
  <si>
    <t>LD-304529</t>
  </si>
  <si>
    <t>2026-02-20 20:40:00</t>
  </si>
  <si>
    <t>2026-03-15 20:34:51.458298</t>
  </si>
  <si>
    <t>LD-304530</t>
  </si>
  <si>
    <t>2026-04-17 20:15:00</t>
  </si>
  <si>
    <t>LD-304531</t>
  </si>
  <si>
    <t>2026-05-22 17:53:00</t>
  </si>
  <si>
    <t>LD-304532</t>
  </si>
  <si>
    <t>2026-01-22 13:13:00</t>
  </si>
  <si>
    <t>LD-304533</t>
  </si>
  <si>
    <t>2025-01-13 13:44:00</t>
  </si>
  <si>
    <t>2025-03-02 07:58:15.322293</t>
  </si>
  <si>
    <t>LD-304534</t>
  </si>
  <si>
    <t>2025-06-27 18:07:00</t>
  </si>
  <si>
    <t>LD-304535</t>
  </si>
  <si>
    <t>2026-05-22 10:14:00</t>
  </si>
  <si>
    <t>LD-304536</t>
  </si>
  <si>
    <t>2025-03-18 08:15:00</t>
  </si>
  <si>
    <t>LD-304537</t>
  </si>
  <si>
    <t>2025-02-25 17:32:00</t>
  </si>
  <si>
    <t>LD-304538</t>
  </si>
  <si>
    <t>2025-05-13 10:50:00</t>
  </si>
  <si>
    <t>2025-06-23 10:59:34.355969</t>
  </si>
  <si>
    <t>LD-304539</t>
  </si>
  <si>
    <t>2025-08-20 20:11:00</t>
  </si>
  <si>
    <t>2025-10-06 14:07:06.285783</t>
  </si>
  <si>
    <t>LD-304540</t>
  </si>
  <si>
    <t>2025-09-26 10:31:00</t>
  </si>
  <si>
    <t>LD-304541</t>
  </si>
  <si>
    <t>2026-03-04 14:39:00</t>
  </si>
  <si>
    <t>LD-304542</t>
  </si>
  <si>
    <t>2025-12-31 13:49:00</t>
  </si>
  <si>
    <t>2026-02-04 18:07:53.032712</t>
  </si>
  <si>
    <t>LD-304543</t>
  </si>
  <si>
    <t>2025-12-24 17:27:00</t>
  </si>
  <si>
    <t>LD-304544</t>
  </si>
  <si>
    <t>2026-01-30 09:35:00</t>
  </si>
  <si>
    <t>2026-03-16 07:01:26.330859</t>
  </si>
  <si>
    <t>LD-304545</t>
  </si>
  <si>
    <t>2025-08-05 09:13:00</t>
  </si>
  <si>
    <t>LD-304546</t>
  </si>
  <si>
    <t>2025-08-26 12:15:00</t>
  </si>
  <si>
    <t>LD-304547</t>
  </si>
  <si>
    <t>2026-02-02 17:10:00</t>
  </si>
  <si>
    <t>2026-03-08 09:37:41.951342</t>
  </si>
  <si>
    <t>LD-304548</t>
  </si>
  <si>
    <t>2026-04-29 20:20:00</t>
  </si>
  <si>
    <t>LD-304549</t>
  </si>
  <si>
    <t>2026-03-03 19:25:00</t>
  </si>
  <si>
    <t>2026-03-30 19:41:18.556300</t>
  </si>
  <si>
    <t>LD-304550</t>
  </si>
  <si>
    <t>2026-04-06 19:42:00</t>
  </si>
  <si>
    <t>2026-05-20 18:36:46.079750</t>
  </si>
  <si>
    <t>LD-304551</t>
  </si>
  <si>
    <t>2025-11-14 07:47:00</t>
  </si>
  <si>
    <t>LD-304552</t>
  </si>
  <si>
    <t>2025-02-24 14:26:00</t>
  </si>
  <si>
    <t>LD-304553</t>
  </si>
  <si>
    <t>2025-05-09 12:34:00</t>
  </si>
  <si>
    <t>LD-304554</t>
  </si>
  <si>
    <t>2025-01-27 15:05:00</t>
  </si>
  <si>
    <t>2025-02-28 03:25:39.373973</t>
  </si>
  <si>
    <t>LD-304555</t>
  </si>
  <si>
    <t>2025-12-26 16:57:00</t>
  </si>
  <si>
    <t>2026-01-21 23:22:34.840876</t>
  </si>
  <si>
    <t>LD-304556</t>
  </si>
  <si>
    <t>2025-10-10 15:39:00</t>
  </si>
  <si>
    <t>LD-304557</t>
  </si>
  <si>
    <t>2025-02-23 12:25:00</t>
  </si>
  <si>
    <t>LD-304558</t>
  </si>
  <si>
    <t>2025-03-28 15:09:00</t>
  </si>
  <si>
    <t>LD-304559</t>
  </si>
  <si>
    <t>2025-08-15 18:04:00</t>
  </si>
  <si>
    <t>LD-304560</t>
  </si>
  <si>
    <t>2026-01-16 17:39:00</t>
  </si>
  <si>
    <t>LD-304561</t>
  </si>
  <si>
    <t>2025-03-27 19:41:00</t>
  </si>
  <si>
    <t>2025-04-16 18:08:11.801402</t>
  </si>
  <si>
    <t>LD-304562</t>
  </si>
  <si>
    <t>2025-04-18 13:22:00</t>
  </si>
  <si>
    <t>LD-304563</t>
  </si>
  <si>
    <t>2025-11-19 20:41:00</t>
  </si>
  <si>
    <t>2026-01-01 13:21:38.981857</t>
  </si>
  <si>
    <t>LD-304564</t>
  </si>
  <si>
    <t>2026-03-13 19:45:00</t>
  </si>
  <si>
    <t>LD-304565</t>
  </si>
  <si>
    <t>2025-02-28 14:28:00</t>
  </si>
  <si>
    <t>LD-304566</t>
  </si>
  <si>
    <t>2026-01-03 11:58:00</t>
  </si>
  <si>
    <t>2026-02-03 12:18:39.323154</t>
  </si>
  <si>
    <t>LD-304567</t>
  </si>
  <si>
    <t>2025-04-03 09:29:00</t>
  </si>
  <si>
    <t>LD-304568</t>
  </si>
  <si>
    <t>2025-08-06 14:03:00</t>
  </si>
  <si>
    <t>LD-304569</t>
  </si>
  <si>
    <t>2025-12-19 20:52:00</t>
  </si>
  <si>
    <t>LD-304570</t>
  </si>
  <si>
    <t>2025-04-18 09:17:00</t>
  </si>
  <si>
    <t>LD-304571</t>
  </si>
  <si>
    <t>2025-09-18 18:05:00</t>
  </si>
  <si>
    <t>2025-10-27 06:15:41.214253</t>
  </si>
  <si>
    <t>LD-304572</t>
  </si>
  <si>
    <t>2026-04-21 11:49:00</t>
  </si>
  <si>
    <t>2026-06-13 15:09:36.270862</t>
  </si>
  <si>
    <t>LD-304573</t>
  </si>
  <si>
    <t>2025-07-20 11:04:00</t>
  </si>
  <si>
    <t>LD-304574</t>
  </si>
  <si>
    <t>2025-03-22 14:52:00</t>
  </si>
  <si>
    <t>LD-304575</t>
  </si>
  <si>
    <t>2025-07-21 19:25:00</t>
  </si>
  <si>
    <t>LD-304576</t>
  </si>
  <si>
    <t>2026-01-30 18:02:00</t>
  </si>
  <si>
    <t>LD-304577</t>
  </si>
  <si>
    <t>2025-08-14 09:44:00</t>
  </si>
  <si>
    <t>LD-304578</t>
  </si>
  <si>
    <t>2026-01-29 19:51:00</t>
  </si>
  <si>
    <t>LD-304579</t>
  </si>
  <si>
    <t>2025-08-14 13:37:00</t>
  </si>
  <si>
    <t>LD-304580</t>
  </si>
  <si>
    <t>2025-06-18 10:08:00</t>
  </si>
  <si>
    <t>2025-07-17 17:37:31.033073</t>
  </si>
  <si>
    <t>LD-304581</t>
  </si>
  <si>
    <t>2025-05-02 18:12:00</t>
  </si>
  <si>
    <t>LD-304582</t>
  </si>
  <si>
    <t>2025-03-19 08:24:00</t>
  </si>
  <si>
    <t>LD-304583</t>
  </si>
  <si>
    <t>2025-03-27 08:52:00</t>
  </si>
  <si>
    <t>LD-304584</t>
  </si>
  <si>
    <t>2025-11-26 15:20:00</t>
  </si>
  <si>
    <t>LD-304585</t>
  </si>
  <si>
    <t>2025-09-18 12:00:00</t>
  </si>
  <si>
    <t>2025-10-23 21:27:21.338487</t>
  </si>
  <si>
    <t>LD-304586</t>
  </si>
  <si>
    <t>2026-04-15 16:24:00</t>
  </si>
  <si>
    <t>LD-304587</t>
  </si>
  <si>
    <t>2025-08-11 10:09:00</t>
  </si>
  <si>
    <t>2025-09-14 15:27:22.983378</t>
  </si>
  <si>
    <t>LD-304588</t>
  </si>
  <si>
    <t>2026-03-05 18:59:00</t>
  </si>
  <si>
    <t>2026-04-09 02:16:13.236313</t>
  </si>
  <si>
    <t>LD-304589</t>
  </si>
  <si>
    <t>2026-05-05 08:17:00</t>
  </si>
  <si>
    <t>LD-304590</t>
  </si>
  <si>
    <t>2026-02-06 19:52:00</t>
  </si>
  <si>
    <t>2026-03-03 16:15:34.312761</t>
  </si>
  <si>
    <t>LD-304591</t>
  </si>
  <si>
    <t>2025-04-18 19:46:00</t>
  </si>
  <si>
    <t>2025-05-06 04:55:47.280760</t>
  </si>
  <si>
    <t>LD-304592</t>
  </si>
  <si>
    <t>2026-03-05 13:35:00</t>
  </si>
  <si>
    <t>LD-304593</t>
  </si>
  <si>
    <t>2026-05-19 09:40:00</t>
  </si>
  <si>
    <t>LD-304594</t>
  </si>
  <si>
    <t>2025-04-01 16:18:00</t>
  </si>
  <si>
    <t>LD-304595</t>
  </si>
  <si>
    <t>2025-02-28 09:25:00</t>
  </si>
  <si>
    <t>LD-304596</t>
  </si>
  <si>
    <t>2026-06-25 13:13:00</t>
  </si>
  <si>
    <t>LD-304597</t>
  </si>
  <si>
    <t>2025-08-22 15:51:00</t>
  </si>
  <si>
    <t>LD-304598</t>
  </si>
  <si>
    <t>2025-10-10 11:55:00</t>
  </si>
  <si>
    <t>LD-304599</t>
  </si>
  <si>
    <t>2025-12-08 18:28:00</t>
  </si>
  <si>
    <t>2026-01-17 03:18:35.712494</t>
  </si>
  <si>
    <t>LD-304600</t>
  </si>
  <si>
    <t>2026-03-21 17:06:00</t>
  </si>
  <si>
    <t>LD-304601</t>
  </si>
  <si>
    <t>2025-10-31 08:32:00</t>
  </si>
  <si>
    <t>LD-304602</t>
  </si>
  <si>
    <t>2026-05-25 09:37:00</t>
  </si>
  <si>
    <t>2026-07-09 11:03:26.837651</t>
  </si>
  <si>
    <t>LD-304603</t>
  </si>
  <si>
    <t>2026-05-05 14:02:00</t>
  </si>
  <si>
    <t>LD-304604</t>
  </si>
  <si>
    <t>2026-03-26 17:34:00</t>
  </si>
  <si>
    <t>LD-304605</t>
  </si>
  <si>
    <t>2025-12-27 19:57:00</t>
  </si>
  <si>
    <t>LD-304606</t>
  </si>
  <si>
    <t>2025-11-20 09:19:00</t>
  </si>
  <si>
    <t>LD-304607</t>
  </si>
  <si>
    <t>2025-12-13 19:45:00</t>
  </si>
  <si>
    <t>LD-304608</t>
  </si>
  <si>
    <t>2025-02-13 18:09:00</t>
  </si>
  <si>
    <t>LD-304609</t>
  </si>
  <si>
    <t>2026-02-05 10:25:00</t>
  </si>
  <si>
    <t>2026-03-12 22:15:40.713242</t>
  </si>
  <si>
    <t>LD-304610</t>
  </si>
  <si>
    <t>2026-04-03 13:34:00</t>
  </si>
  <si>
    <t>LD-304611</t>
  </si>
  <si>
    <t>2025-05-09 19:24:00</t>
  </si>
  <si>
    <t>LD-304612</t>
  </si>
  <si>
    <t>2026-02-08 15:50:00</t>
  </si>
  <si>
    <t>LD-304613</t>
  </si>
  <si>
    <t>2025-11-28 20:44:00</t>
  </si>
  <si>
    <t>LD-304614</t>
  </si>
  <si>
    <t>2026-04-24 18:55:00</t>
  </si>
  <si>
    <t>LD-304615</t>
  </si>
  <si>
    <t>2025-10-02 18:06:00</t>
  </si>
  <si>
    <t>2025-11-11 22:24:26.676390</t>
  </si>
  <si>
    <t>LD-304616</t>
  </si>
  <si>
    <t>2025-11-21 19:52:00</t>
  </si>
  <si>
    <t>LD-304617</t>
  </si>
  <si>
    <t>2026-01-21 15:36:00</t>
  </si>
  <si>
    <t>LD-304618</t>
  </si>
  <si>
    <t>2025-10-15 07:43:00</t>
  </si>
  <si>
    <t>2025-11-14 20:12:24.368812</t>
  </si>
  <si>
    <t>LD-304619</t>
  </si>
  <si>
    <t>2026-06-12 12:25:00</t>
  </si>
  <si>
    <t>LD-304620</t>
  </si>
  <si>
    <t>2025-02-28 11:57:00</t>
  </si>
  <si>
    <t>2025-04-17 00:08:03.211382</t>
  </si>
  <si>
    <t>LD-304621</t>
  </si>
  <si>
    <t>2025-03-21 18:39:00</t>
  </si>
  <si>
    <t>LD-304622</t>
  </si>
  <si>
    <t>2025-10-10 18:49:00</t>
  </si>
  <si>
    <t>LD-304623</t>
  </si>
  <si>
    <t>2025-11-27 07:06:00</t>
  </si>
  <si>
    <t>LD-304624</t>
  </si>
  <si>
    <t>2025-06-12 07:59:00</t>
  </si>
  <si>
    <t>2025-08-07 15:53:45.029678</t>
  </si>
  <si>
    <t>LD-304625</t>
  </si>
  <si>
    <t>2026-01-16 12:12:00</t>
  </si>
  <si>
    <t>LD-304626</t>
  </si>
  <si>
    <t>2026-01-05 15:32:00</t>
  </si>
  <si>
    <t>LD-304627</t>
  </si>
  <si>
    <t>2025-08-05 20:54:00</t>
  </si>
  <si>
    <t>LD-304628</t>
  </si>
  <si>
    <t>2026-05-15 13:10:00</t>
  </si>
  <si>
    <t>LD-304629</t>
  </si>
  <si>
    <t>2026-03-03 09:24:00</t>
  </si>
  <si>
    <t>LD-304630</t>
  </si>
  <si>
    <t>2025-03-21 18:32:00</t>
  </si>
  <si>
    <t>2025-05-13 01:56:40.165142</t>
  </si>
  <si>
    <t>LD-304631</t>
  </si>
  <si>
    <t>2025-05-27 10:34:00</t>
  </si>
  <si>
    <t>2025-07-04 15:54:40.842488</t>
  </si>
  <si>
    <t>LD-304632</t>
  </si>
  <si>
    <t>2025-07-25 14:20:00</t>
  </si>
  <si>
    <t>LD-304633</t>
  </si>
  <si>
    <t>2025-07-28 17:43:00</t>
  </si>
  <si>
    <t>2025-08-17 14:50:26.937534</t>
  </si>
  <si>
    <t>LD-304634</t>
  </si>
  <si>
    <t>2025-03-04 15:56:00</t>
  </si>
  <si>
    <t>2025-03-30 02:15:33.350232</t>
  </si>
  <si>
    <t>LD-304635</t>
  </si>
  <si>
    <t>2025-04-18 07:37:00</t>
  </si>
  <si>
    <t>LD-304636</t>
  </si>
  <si>
    <t>2025-12-15 15:51:00</t>
  </si>
  <si>
    <t>LD-304637</t>
  </si>
  <si>
    <t>2025-07-04 12:31:00</t>
  </si>
  <si>
    <t>LD-304638</t>
  </si>
  <si>
    <t>2026-01-09 18:27:00</t>
  </si>
  <si>
    <t>LD-304639</t>
  </si>
  <si>
    <t>2025-06-16 13:43:00</t>
  </si>
  <si>
    <t>2025-07-16 02:41:38.793702</t>
  </si>
  <si>
    <t>LD-304640</t>
  </si>
  <si>
    <t>2025-11-11 08:47:00</t>
  </si>
  <si>
    <t>2025-12-24 15:00:28.277430</t>
  </si>
  <si>
    <t>LD-304641</t>
  </si>
  <si>
    <t>2026-04-01 15:55:00</t>
  </si>
  <si>
    <t>LD-304642</t>
  </si>
  <si>
    <t>2025-08-30 16:18:00</t>
  </si>
  <si>
    <t>LD-304643</t>
  </si>
  <si>
    <t>2026-06-07 16:08:00</t>
  </si>
  <si>
    <t>LD-304644</t>
  </si>
  <si>
    <t>2026-03-27 17:17:00</t>
  </si>
  <si>
    <t>LD-304645</t>
  </si>
  <si>
    <t>2025-08-19 19:00:00</t>
  </si>
  <si>
    <t>LD-304646</t>
  </si>
  <si>
    <t>2025-09-25 10:35:00</t>
  </si>
  <si>
    <t>LD-304647</t>
  </si>
  <si>
    <t>2026-01-13 15:20:00</t>
  </si>
  <si>
    <t>2026-02-20 04:14:00.274337</t>
  </si>
  <si>
    <t>LD-304648</t>
  </si>
  <si>
    <t>2025-09-08 14:03:00</t>
  </si>
  <si>
    <t>2025-10-14 00:55:39.067839</t>
  </si>
  <si>
    <t>LD-304649</t>
  </si>
  <si>
    <t>2026-06-11 16:30:00</t>
  </si>
  <si>
    <t>2026-07-28 08:37:47.051108</t>
  </si>
  <si>
    <t>LD-304650</t>
  </si>
  <si>
    <t>2025-07-18 14:14:00</t>
  </si>
  <si>
    <t>LD-304651</t>
  </si>
  <si>
    <t>2026-05-07 08:19:00</t>
  </si>
  <si>
    <t>LD-304652</t>
  </si>
  <si>
    <t>2025-05-08 14:29:00</t>
  </si>
  <si>
    <t>LD-304653</t>
  </si>
  <si>
    <t>2026-05-07 12:58:00</t>
  </si>
  <si>
    <t>LD-304654</t>
  </si>
  <si>
    <t>2025-01-10 11:59:00</t>
  </si>
  <si>
    <t>LD-304655</t>
  </si>
  <si>
    <t>2026-03-20 14:52:00</t>
  </si>
  <si>
    <t>2026-04-19 02:42:08.341050</t>
  </si>
  <si>
    <t>LD-304656</t>
  </si>
  <si>
    <t>2025-10-12 17:23:00</t>
  </si>
  <si>
    <t>LD-304657</t>
  </si>
  <si>
    <t>2026-06-02 10:50:00</t>
  </si>
  <si>
    <t>LD-304658</t>
  </si>
  <si>
    <t>2025-12-23 19:31:00</t>
  </si>
  <si>
    <t>LD-304659</t>
  </si>
  <si>
    <t>2026-04-01 18:23:00</t>
  </si>
  <si>
    <t>2026-05-22 13:29:43.605588</t>
  </si>
  <si>
    <t>LD-304660</t>
  </si>
  <si>
    <t>2025-01-10 18:13:00</t>
  </si>
  <si>
    <t>LD-304661</t>
  </si>
  <si>
    <t>2025-12-29 11:50:00</t>
  </si>
  <si>
    <t>LD-304662</t>
  </si>
  <si>
    <t>2025-11-11 11:44:00</t>
  </si>
  <si>
    <t>2025-12-10 11:49:48.765863</t>
  </si>
  <si>
    <t>LD-304663</t>
  </si>
  <si>
    <t>2025-09-12 11:41:00</t>
  </si>
  <si>
    <t>2025-10-22 17:59:58.866920</t>
  </si>
  <si>
    <t>LD-304664</t>
  </si>
  <si>
    <t>2026-05-15 14:04:00</t>
  </si>
  <si>
    <t>2026-06-15 19:47:43.418974</t>
  </si>
  <si>
    <t>LD-304665</t>
  </si>
  <si>
    <t>2025-09-29 10:53:00</t>
  </si>
  <si>
    <t>LD-304666</t>
  </si>
  <si>
    <t>2026-03-20 14:51:00</t>
  </si>
  <si>
    <t>LD-304667</t>
  </si>
  <si>
    <t>2025-07-18 20:26:00</t>
  </si>
  <si>
    <t>LD-304668</t>
  </si>
  <si>
    <t>2026-05-07 11:01:00</t>
  </si>
  <si>
    <t>LD-304669</t>
  </si>
  <si>
    <t>2025-01-03 15:36:00</t>
  </si>
  <si>
    <t>2025-02-07 03:07:52.094842</t>
  </si>
  <si>
    <t>LD-304670</t>
  </si>
  <si>
    <t>2025-09-22 14:35:00</t>
  </si>
  <si>
    <t>2025-11-02 22:11:31.833039</t>
  </si>
  <si>
    <t>LD-304671</t>
  </si>
  <si>
    <t>2025-11-28 17:31:00</t>
  </si>
  <si>
    <t>LD-304672</t>
  </si>
  <si>
    <t>2026-03-24 09:30:00</t>
  </si>
  <si>
    <t>2026-04-25 12:10:16.697614</t>
  </si>
  <si>
    <t>LD-304673</t>
  </si>
  <si>
    <t>2025-07-04 14:50:00</t>
  </si>
  <si>
    <t>2025-07-29 10:35:34.888932</t>
  </si>
  <si>
    <t>LD-304674</t>
  </si>
  <si>
    <t>2026-01-02 07:29:00</t>
  </si>
  <si>
    <t>LD-304675</t>
  </si>
  <si>
    <t>2025-10-12 08:53:00</t>
  </si>
  <si>
    <t>2025-11-16 18:33:17.488905</t>
  </si>
  <si>
    <t>LD-304676</t>
  </si>
  <si>
    <t>2026-05-01 11:54:00</t>
  </si>
  <si>
    <t>LD-304677</t>
  </si>
  <si>
    <t>2026-04-07 12:49:00</t>
  </si>
  <si>
    <t>LD-304678</t>
  </si>
  <si>
    <t>2025-07-20 10:11:00</t>
  </si>
  <si>
    <t>2025-08-25 18:47:00.318934</t>
  </si>
  <si>
    <t>LD-304679</t>
  </si>
  <si>
    <t>2025-09-10 16:27:00</t>
  </si>
  <si>
    <t>LD-304680</t>
  </si>
  <si>
    <t>2025-06-20 12:26:00</t>
  </si>
  <si>
    <t>LD-304681</t>
  </si>
  <si>
    <t>2025-05-29 20:10:00</t>
  </si>
  <si>
    <t>LD-304682</t>
  </si>
  <si>
    <t>2026-05-24 14:15:00</t>
  </si>
  <si>
    <t>LD-304683</t>
  </si>
  <si>
    <t>2026-06-15 20:32:00</t>
  </si>
  <si>
    <t>2026-07-21 15:10:07.682105</t>
  </si>
  <si>
    <t>LD-304684</t>
  </si>
  <si>
    <t>2025-08-20 14:28:00</t>
  </si>
  <si>
    <t>2025-10-09 05:01:25.975051</t>
  </si>
  <si>
    <t>LD-304685</t>
  </si>
  <si>
    <t>2025-01-22 11:43:00</t>
  </si>
  <si>
    <t>LD-304686</t>
  </si>
  <si>
    <t>2026-06-15 08:07:00</t>
  </si>
  <si>
    <t>LD-304687</t>
  </si>
  <si>
    <t>2025-07-25 10:02:00</t>
  </si>
  <si>
    <t>LD-304688</t>
  </si>
  <si>
    <t>2026-06-17 12:42:00</t>
  </si>
  <si>
    <t>LD-304689</t>
  </si>
  <si>
    <t>2025-06-20 14:30:00</t>
  </si>
  <si>
    <t>LD-304690</t>
  </si>
  <si>
    <t>2025-11-09 10:51:00</t>
  </si>
  <si>
    <t>2025-12-17 10:51:20.292598</t>
  </si>
  <si>
    <t>LD-304691</t>
  </si>
  <si>
    <t>2025-01-31 10:15:00</t>
  </si>
  <si>
    <t>LD-304692</t>
  </si>
  <si>
    <t>2025-08-05 09:31:00</t>
  </si>
  <si>
    <t>LD-304693</t>
  </si>
  <si>
    <t>2025-12-12 19:25:00</t>
  </si>
  <si>
    <t>2026-01-16 00:27:04.018422</t>
  </si>
  <si>
    <t>LD-304694</t>
  </si>
  <si>
    <t>2025-11-22 19:56:00</t>
  </si>
  <si>
    <t>LD-304695</t>
  </si>
  <si>
    <t>2025-12-20 11:47:00</t>
  </si>
  <si>
    <t>LD-304696</t>
  </si>
  <si>
    <t>2025-04-10 10:25:00</t>
  </si>
  <si>
    <t>2025-05-13 05:23:51.541758</t>
  </si>
  <si>
    <t>LD-304697</t>
  </si>
  <si>
    <t>2025-09-05 09:23:00</t>
  </si>
  <si>
    <t>2025-10-09 12:38:27.119094</t>
  </si>
  <si>
    <t>LD-304698</t>
  </si>
  <si>
    <t>2026-05-30 16:00:00</t>
  </si>
  <si>
    <t>2026-06-21 12:54:25.266129</t>
  </si>
  <si>
    <t>LD-304699</t>
  </si>
  <si>
    <t>2025-07-26 09:19:00</t>
  </si>
  <si>
    <t>LD-304700</t>
  </si>
  <si>
    <t>2026-04-23 19:09:00</t>
  </si>
  <si>
    <t>2026-06-12 14:20:10.929065</t>
  </si>
  <si>
    <t>LD-304701</t>
  </si>
  <si>
    <t>2026-03-11 07:23:00</t>
  </si>
  <si>
    <t>2026-04-20 07:37:40.219396</t>
  </si>
  <si>
    <t>LD-304702</t>
  </si>
  <si>
    <t>2026-06-05 13:44:00</t>
  </si>
  <si>
    <t>2026-06-30 17:07:05.737575</t>
  </si>
  <si>
    <t>LD-304703</t>
  </si>
  <si>
    <t>2026-05-29 16:28:00</t>
  </si>
  <si>
    <t>LD-304704</t>
  </si>
  <si>
    <t>2025-12-26 09:16:00</t>
  </si>
  <si>
    <t>LD-304705</t>
  </si>
  <si>
    <t>2025-08-15 15:51:00</t>
  </si>
  <si>
    <t>LD-304706</t>
  </si>
  <si>
    <t>2025-03-12 14:37:00</t>
  </si>
  <si>
    <t>LD-304707</t>
  </si>
  <si>
    <t>2025-01-21 11:42:00</t>
  </si>
  <si>
    <t>2025-02-20 11:47:16.335372</t>
  </si>
  <si>
    <t>LD-304708</t>
  </si>
  <si>
    <t>2025-08-26 15:38:00</t>
  </si>
  <si>
    <t>LD-304709</t>
  </si>
  <si>
    <t>2025-07-31 08:47:00</t>
  </si>
  <si>
    <t>LD-304710</t>
  </si>
  <si>
    <t>2026-04-03 17:43:00</t>
  </si>
  <si>
    <t>2026-04-29 20:18:27.931800</t>
  </si>
  <si>
    <t>LD-304711</t>
  </si>
  <si>
    <t>2026-02-13 11:24:00</t>
  </si>
  <si>
    <t>LD-304712</t>
  </si>
  <si>
    <t>2025-05-20 19:11:00</t>
  </si>
  <si>
    <t>LD-304713</t>
  </si>
  <si>
    <t>2025-04-09 10:48:00</t>
  </si>
  <si>
    <t>2025-05-06 10:06:20.925403</t>
  </si>
  <si>
    <t>LD-304714</t>
  </si>
  <si>
    <t>2025-01-06 11:20:00</t>
  </si>
  <si>
    <t>2025-02-05 21:54:57.060844</t>
  </si>
  <si>
    <t>LD-304715</t>
  </si>
  <si>
    <t>2025-10-24 14:28:00</t>
  </si>
  <si>
    <t>LD-304716</t>
  </si>
  <si>
    <t>2025-07-20 15:16:00</t>
  </si>
  <si>
    <t>LD-304717</t>
  </si>
  <si>
    <t>2025-12-11 07:29:00</t>
  </si>
  <si>
    <t>LD-304718</t>
  </si>
  <si>
    <t>2025-08-26 09:16:00</t>
  </si>
  <si>
    <t>LD-304719</t>
  </si>
  <si>
    <t>2025-07-19 20:37:00</t>
  </si>
  <si>
    <t>2025-08-26 10:01:36.637938</t>
  </si>
  <si>
    <t>LD-304720</t>
  </si>
  <si>
    <t>2025-07-09 14:44:00</t>
  </si>
  <si>
    <t>LD-304721</t>
  </si>
  <si>
    <t>2025-08-20 16:01:00</t>
  </si>
  <si>
    <t>LD-304722</t>
  </si>
  <si>
    <t>2025-02-21 08:58:00</t>
  </si>
  <si>
    <t>LD-304723</t>
  </si>
  <si>
    <t>2025-04-11 09:24:00</t>
  </si>
  <si>
    <t>LD-304724</t>
  </si>
  <si>
    <t>2026-05-01 20:05:00</t>
  </si>
  <si>
    <t>LD-304725</t>
  </si>
  <si>
    <t>2025-07-07 20:38:00</t>
  </si>
  <si>
    <t>LD-304726</t>
  </si>
  <si>
    <t>2025-04-21 19:51:00</t>
  </si>
  <si>
    <t>2025-05-24 09:46:35.584536</t>
  </si>
  <si>
    <t>LD-304727</t>
  </si>
  <si>
    <t>2026-03-02 17:31:00</t>
  </si>
  <si>
    <t>LD-304728</t>
  </si>
  <si>
    <t>2026-01-19 09:57:00</t>
  </si>
  <si>
    <t>LD-304729</t>
  </si>
  <si>
    <t>2025-02-13 18:08:00</t>
  </si>
  <si>
    <t>2025-03-21 20:31:08.198794</t>
  </si>
  <si>
    <t>LD-304730</t>
  </si>
  <si>
    <t>2025-10-10 13:24:00</t>
  </si>
  <si>
    <t>2025-11-20 08:28:12.052812</t>
  </si>
  <si>
    <t>LD-304731</t>
  </si>
  <si>
    <t>2025-10-28 09:16:00</t>
  </si>
  <si>
    <t>2025-11-25 15:47:45.864264</t>
  </si>
  <si>
    <t>LD-304732</t>
  </si>
  <si>
    <t>2026-02-21 16:51:00</t>
  </si>
  <si>
    <t>2026-04-04 12:46:19.320700</t>
  </si>
  <si>
    <t>LD-304733</t>
  </si>
  <si>
    <t>2025-04-25 17:45:00</t>
  </si>
  <si>
    <t>LD-304734</t>
  </si>
  <si>
    <t>2026-03-30 15:51:00</t>
  </si>
  <si>
    <t>LD-304735</t>
  </si>
  <si>
    <t>2025-08-31 15:01:00</t>
  </si>
  <si>
    <t>2025-09-26 07:42:50.838615</t>
  </si>
  <si>
    <t>LD-304736</t>
  </si>
  <si>
    <t>2025-08-26 17:57:00</t>
  </si>
  <si>
    <t>2025-09-23 07:11:23.555138</t>
  </si>
  <si>
    <t>LD-304737</t>
  </si>
  <si>
    <t>2025-08-11 12:03:00</t>
  </si>
  <si>
    <t>LD-304738</t>
  </si>
  <si>
    <t>2026-01-02 14:52:00</t>
  </si>
  <si>
    <t>LD-304739</t>
  </si>
  <si>
    <t>2025-10-13 12:35:00</t>
  </si>
  <si>
    <t>2025-12-07 04:07:51.669388</t>
  </si>
  <si>
    <t>LD-304740</t>
  </si>
  <si>
    <t>2025-05-26 08:17:00</t>
  </si>
  <si>
    <t>2025-06-20 06:54:26.432905</t>
  </si>
  <si>
    <t>LD-304741</t>
  </si>
  <si>
    <t>2025-08-06 18:12:00</t>
  </si>
  <si>
    <t>LD-304742</t>
  </si>
  <si>
    <t>2025-02-11 19:06:00</t>
  </si>
  <si>
    <t>LD-304743</t>
  </si>
  <si>
    <t>2026-01-16 12:48:00</t>
  </si>
  <si>
    <t>2026-03-02 10:34:14.946436</t>
  </si>
  <si>
    <t>LD-304744</t>
  </si>
  <si>
    <t>2025-07-18 18:20:00</t>
  </si>
  <si>
    <t>LD-304745</t>
  </si>
  <si>
    <t>2026-05-24 14:20:00</t>
  </si>
  <si>
    <t>2026-06-19 22:52:44.634866</t>
  </si>
  <si>
    <t>LD-304746</t>
  </si>
  <si>
    <t>2025-08-18 19:46:00</t>
  </si>
  <si>
    <t>2025-09-10 12:12:52.285185</t>
  </si>
  <si>
    <t>LD-304747</t>
  </si>
  <si>
    <t>2026-04-10 19:36:00</t>
  </si>
  <si>
    <t>2026-05-22 16:55:37.853745</t>
  </si>
  <si>
    <t>LD-304748</t>
  </si>
  <si>
    <t>2026-03-04 13:46:00</t>
  </si>
  <si>
    <t>2026-03-30 06:46:57.261211</t>
  </si>
  <si>
    <t>LD-304749</t>
  </si>
  <si>
    <t>2025-05-18 07:14:00</t>
  </si>
  <si>
    <t>LD-304750</t>
  </si>
  <si>
    <t>2026-04-03 10:34:00</t>
  </si>
  <si>
    <t>LD-304751</t>
  </si>
  <si>
    <t>2026-02-27 16:00:00</t>
  </si>
  <si>
    <t>LD-304752</t>
  </si>
  <si>
    <t>2025-01-10 19:45:00</t>
  </si>
  <si>
    <t>LD-304753</t>
  </si>
  <si>
    <t>2026-06-23 14:20:00</t>
  </si>
  <si>
    <t>2026-08-07 04:57:43.706511</t>
  </si>
  <si>
    <t>LD-304754</t>
  </si>
  <si>
    <t>2026-05-15 19:40:00</t>
  </si>
  <si>
    <t>LD-304755</t>
  </si>
  <si>
    <t>2025-05-27 16:02:00</t>
  </si>
  <si>
    <t>LD-304756</t>
  </si>
  <si>
    <t>2026-06-11 12:50:00</t>
  </si>
  <si>
    <t>LD-304757</t>
  </si>
  <si>
    <t>2025-07-13 17:17:00</t>
  </si>
  <si>
    <t>2025-08-19 05:48:09.924625</t>
  </si>
  <si>
    <t>LD-304758</t>
  </si>
  <si>
    <t>2026-01-01 14:30:00</t>
  </si>
  <si>
    <t>2026-02-04 06:57:44.918326</t>
  </si>
  <si>
    <t>LD-304759</t>
  </si>
  <si>
    <t>2025-08-08 15:19:00</t>
  </si>
  <si>
    <t>2025-09-04 09:33:12.398368</t>
  </si>
  <si>
    <t>LD-304760</t>
  </si>
  <si>
    <t>2025-05-08 14:49:00</t>
  </si>
  <si>
    <t>LD-304761</t>
  </si>
  <si>
    <t>2025-05-16 08:17:00</t>
  </si>
  <si>
    <t>LD-304762</t>
  </si>
  <si>
    <t>2025-10-29 19:28:00</t>
  </si>
  <si>
    <t>LD-304763</t>
  </si>
  <si>
    <t>2026-03-24 15:16:00</t>
  </si>
  <si>
    <t>2026-05-08 11:57:19.887912</t>
  </si>
  <si>
    <t>LD-304764</t>
  </si>
  <si>
    <t>2025-12-22 19:04:00</t>
  </si>
  <si>
    <t>2026-01-31 11:57:49.582154</t>
  </si>
  <si>
    <t>LD-304765</t>
  </si>
  <si>
    <t>2025-09-12 09:34:00</t>
  </si>
  <si>
    <t>LD-304766</t>
  </si>
  <si>
    <t>2025-07-14 09:39:00</t>
  </si>
  <si>
    <t>2025-08-25 09:12:46.757303</t>
  </si>
  <si>
    <t>LD-304767</t>
  </si>
  <si>
    <t>2025-09-07 17:07:00</t>
  </si>
  <si>
    <t>LD-304768</t>
  </si>
  <si>
    <t>2025-08-24 17:04:00</t>
  </si>
  <si>
    <t>2025-09-27 23:18:57.302413</t>
  </si>
  <si>
    <t>LD-304769</t>
  </si>
  <si>
    <t>2025-02-03 19:59:00</t>
  </si>
  <si>
    <t>2025-03-27 11:23:50.814630</t>
  </si>
  <si>
    <t>LD-304770</t>
  </si>
  <si>
    <t>2025-01-17 20:24:00</t>
  </si>
  <si>
    <t>LD-304771</t>
  </si>
  <si>
    <t>2025-06-20 11:49:00</t>
  </si>
  <si>
    <t>LD-304772</t>
  </si>
  <si>
    <t>2025-07-01 12:09:00</t>
  </si>
  <si>
    <t>LD-304773</t>
  </si>
  <si>
    <t>2026-01-03 14:24:00</t>
  </si>
  <si>
    <t>LD-304774</t>
  </si>
  <si>
    <t>2025-08-22 17:35:00</t>
  </si>
  <si>
    <t>LD-304775</t>
  </si>
  <si>
    <t>2025-01-06 15:53:00</t>
  </si>
  <si>
    <t>LD-304776</t>
  </si>
  <si>
    <t>2026-05-22 12:49:00</t>
  </si>
  <si>
    <t>2026-07-05 21:04:50.130518</t>
  </si>
  <si>
    <t>LD-304777</t>
  </si>
  <si>
    <t>2026-04-29 20:00:00</t>
  </si>
  <si>
    <t>LD-304778</t>
  </si>
  <si>
    <t>2025-12-30 12:43:00</t>
  </si>
  <si>
    <t>LD-304779</t>
  </si>
  <si>
    <t>2025-12-02 09:18:00</t>
  </si>
  <si>
    <t>LD-304780</t>
  </si>
  <si>
    <t>2025-10-10 16:45:00</t>
  </si>
  <si>
    <t>2025-11-26 15:40:02.110951</t>
  </si>
  <si>
    <t>LD-304781</t>
  </si>
  <si>
    <t>2025-10-17 20:06:00</t>
  </si>
  <si>
    <t>LD-304782</t>
  </si>
  <si>
    <t>2025-05-14 14:48:00</t>
  </si>
  <si>
    <t>2025-06-26 06:57:17.512775</t>
  </si>
  <si>
    <t>LD-304783</t>
  </si>
  <si>
    <t>2025-12-04 14:34:00</t>
  </si>
  <si>
    <t>2026-01-14 16:05:58.634447</t>
  </si>
  <si>
    <t>LD-304784</t>
  </si>
  <si>
    <t>2025-06-17 09:44:00</t>
  </si>
  <si>
    <t>LD-304785</t>
  </si>
  <si>
    <t>2025-04-30 13:30:00</t>
  </si>
  <si>
    <t>2025-06-02 17:23:34.367663</t>
  </si>
  <si>
    <t>LD-304786</t>
  </si>
  <si>
    <t>2025-11-07 07:24:00</t>
  </si>
  <si>
    <t>2025-11-27 16:06:46.383370</t>
  </si>
  <si>
    <t>LD-304787</t>
  </si>
  <si>
    <t>2026-05-22 15:27:00</t>
  </si>
  <si>
    <t>LD-304788</t>
  </si>
  <si>
    <t>2025-07-31 15:02:00</t>
  </si>
  <si>
    <t>2025-08-28 00:10:42.064216</t>
  </si>
  <si>
    <t>LD-304789</t>
  </si>
  <si>
    <t>2025-10-31 10:44:00</t>
  </si>
  <si>
    <t>2025-12-03 12:34:59.612245</t>
  </si>
  <si>
    <t>LD-304790</t>
  </si>
  <si>
    <t>2026-03-31 14:55:00</t>
  </si>
  <si>
    <t>LD-304791</t>
  </si>
  <si>
    <t>2026-04-30 09:37:00</t>
  </si>
  <si>
    <t>2026-06-13 19:03:34.146614</t>
  </si>
  <si>
    <t>LD-304792</t>
  </si>
  <si>
    <t>2025-07-23 17:14:00</t>
  </si>
  <si>
    <t>2025-09-03 22:28:50.264764</t>
  </si>
  <si>
    <t>LD-304793</t>
  </si>
  <si>
    <t>2025-04-02 09:47:00</t>
  </si>
  <si>
    <t>LD-304794</t>
  </si>
  <si>
    <t>2025-12-10 12:22:00</t>
  </si>
  <si>
    <t>LD-304795</t>
  </si>
  <si>
    <t>2025-02-04 12:35:00</t>
  </si>
  <si>
    <t>LD-304796</t>
  </si>
  <si>
    <t>2026-01-18 15:10:00</t>
  </si>
  <si>
    <t>LD-304797</t>
  </si>
  <si>
    <t>2025-10-29 17:58:00</t>
  </si>
  <si>
    <t>LD-304798</t>
  </si>
  <si>
    <t>2026-01-05 14:08:00</t>
  </si>
  <si>
    <t>LD-304799</t>
  </si>
  <si>
    <t>2026-05-13 20:38:00</t>
  </si>
  <si>
    <t>2026-06-19 20:13:04.785032</t>
  </si>
  <si>
    <t>LD-304800</t>
  </si>
  <si>
    <t>2025-06-08 11:05:00</t>
  </si>
  <si>
    <t>LD-304801</t>
  </si>
  <si>
    <t>2025-09-21 08:28:00</t>
  </si>
  <si>
    <t>LD-304802</t>
  </si>
  <si>
    <t>2026-02-12 15:17:00</t>
  </si>
  <si>
    <t>LD-304803</t>
  </si>
  <si>
    <t>2026-01-29 13:06:00</t>
  </si>
  <si>
    <t>LD-304804</t>
  </si>
  <si>
    <t>2025-10-24 18:49:00</t>
  </si>
  <si>
    <t>2025-11-20 22:24:29.710776</t>
  </si>
  <si>
    <t>LD-304805</t>
  </si>
  <si>
    <t>2026-04-15 13:31:00</t>
  </si>
  <si>
    <t>LD-304806</t>
  </si>
  <si>
    <t>2025-09-11 13:28:00</t>
  </si>
  <si>
    <t>LD-304807</t>
  </si>
  <si>
    <t>2026-04-22 09:35:00</t>
  </si>
  <si>
    <t>2026-06-15 06:43:12.374527</t>
  </si>
  <si>
    <t>LD-304808</t>
  </si>
  <si>
    <t>2025-05-18 09:57:00</t>
  </si>
  <si>
    <t>2025-06-27 13:16:16.025435</t>
  </si>
  <si>
    <t>LD-304809</t>
  </si>
  <si>
    <t>2025-02-26 13:29:00</t>
  </si>
  <si>
    <t>LD-304810</t>
  </si>
  <si>
    <t>2026-04-17 08:27:00</t>
  </si>
  <si>
    <t>LD-304811</t>
  </si>
  <si>
    <t>2026-06-12 08:19:00</t>
  </si>
  <si>
    <t>LD-304812</t>
  </si>
  <si>
    <t>2025-05-30 09:29:00</t>
  </si>
  <si>
    <t>LD-304813</t>
  </si>
  <si>
    <t>2025-02-11 16:52:00</t>
  </si>
  <si>
    <t>2025-04-05 21:00:34.356012</t>
  </si>
  <si>
    <t>LD-304814</t>
  </si>
  <si>
    <t>2025-01-31 17:12:00</t>
  </si>
  <si>
    <t>LD-304815</t>
  </si>
  <si>
    <t>2026-04-15 09:14:00</t>
  </si>
  <si>
    <t>LD-304816</t>
  </si>
  <si>
    <t>2026-01-19 08:02:00</t>
  </si>
  <si>
    <t>LD-304817</t>
  </si>
  <si>
    <t>2025-11-14 10:18:00</t>
  </si>
  <si>
    <t>LD-304818</t>
  </si>
  <si>
    <t>2026-02-10 13:05:00</t>
  </si>
  <si>
    <t>LD-304819</t>
  </si>
  <si>
    <t>2025-09-05 07:24:00</t>
  </si>
  <si>
    <t>2025-10-08 15:48:44.641768</t>
  </si>
  <si>
    <t>LD-304820</t>
  </si>
  <si>
    <t>2025-06-13 08:06:00</t>
  </si>
  <si>
    <t>LD-304821</t>
  </si>
  <si>
    <t>2026-03-27 10:05:00</t>
  </si>
  <si>
    <t>LD-304822</t>
  </si>
  <si>
    <t>2025-06-03 20:24:00</t>
  </si>
  <si>
    <t>2025-07-19 18:41:28.119275</t>
  </si>
  <si>
    <t>LD-304823</t>
  </si>
  <si>
    <t>2025-08-20 15:01:00</t>
  </si>
  <si>
    <t>LD-304824</t>
  </si>
  <si>
    <t>2025-01-08 20:08:00</t>
  </si>
  <si>
    <t>LD-304825</t>
  </si>
  <si>
    <t>2025-07-03 10:01:00</t>
  </si>
  <si>
    <t>LD-304826</t>
  </si>
  <si>
    <t>2026-06-15 12:53:00</t>
  </si>
  <si>
    <t>LD-304827</t>
  </si>
  <si>
    <t>2025-12-02 18:56:00</t>
  </si>
  <si>
    <t>LD-304828</t>
  </si>
  <si>
    <t>2026-01-09 20:39:00</t>
  </si>
  <si>
    <t>2026-02-11 18:22:04.226965</t>
  </si>
  <si>
    <t>LD-304829</t>
  </si>
  <si>
    <t>2025-04-23 12:29:00</t>
  </si>
  <si>
    <t>LD-304830</t>
  </si>
  <si>
    <t>2025-08-03 09:51:00</t>
  </si>
  <si>
    <t>2025-09-13 23:16:02.998336</t>
  </si>
  <si>
    <t>LD-304831</t>
  </si>
  <si>
    <t>2026-06-17 11:52:00</t>
  </si>
  <si>
    <t>2026-08-14 01:52:54.642199</t>
  </si>
  <si>
    <t>LD-304832</t>
  </si>
  <si>
    <t>2026-06-05 07:52:00</t>
  </si>
  <si>
    <t>2026-07-02 03:47:15.417295</t>
  </si>
  <si>
    <t>LD-304833</t>
  </si>
  <si>
    <t>2025-09-15 11:26:00</t>
  </si>
  <si>
    <t>2025-10-25 12:07:38.352045</t>
  </si>
  <si>
    <t>LD-304834</t>
  </si>
  <si>
    <t>2025-05-23 16:06:00</t>
  </si>
  <si>
    <t>LD-304835</t>
  </si>
  <si>
    <t>2025-05-02 10:11:00</t>
  </si>
  <si>
    <t>2025-05-23 15:52:15.345744</t>
  </si>
  <si>
    <t>LD-304836</t>
  </si>
  <si>
    <t>2025-10-20 07:05:00</t>
  </si>
  <si>
    <t>2025-11-23 09:02:31.714723</t>
  </si>
  <si>
    <t>LD-304837</t>
  </si>
  <si>
    <t>2025-06-08 10:32:00</t>
  </si>
  <si>
    <t>2025-07-19 16:52:35.849243</t>
  </si>
  <si>
    <t>LD-304838</t>
  </si>
  <si>
    <t>2025-08-24 15:12:00</t>
  </si>
  <si>
    <t>LD-304839</t>
  </si>
  <si>
    <t>2025-06-26 17:39:00</t>
  </si>
  <si>
    <t>LD-304840</t>
  </si>
  <si>
    <t>2026-03-19 11:59:00</t>
  </si>
  <si>
    <t>LD-304841</t>
  </si>
  <si>
    <t>2025-08-15 08:56:00</t>
  </si>
  <si>
    <t>LD-304842</t>
  </si>
  <si>
    <t>2025-03-24 09:11:00</t>
  </si>
  <si>
    <t>2025-04-21 23:09:45.598103</t>
  </si>
  <si>
    <t>LD-304843</t>
  </si>
  <si>
    <t>2026-06-18 13:26:00</t>
  </si>
  <si>
    <t>LD-304844</t>
  </si>
  <si>
    <t>2025-06-03 20:54:00</t>
  </si>
  <si>
    <t>LD-304845</t>
  </si>
  <si>
    <t>2026-04-16 16:14:00</t>
  </si>
  <si>
    <t>LD-304846</t>
  </si>
  <si>
    <t>2026-02-06 10:50:00</t>
  </si>
  <si>
    <t>2026-03-24 16:56:56.658908</t>
  </si>
  <si>
    <t>LD-304847</t>
  </si>
  <si>
    <t>2025-10-09 09:17:00</t>
  </si>
  <si>
    <t>LD-304848</t>
  </si>
  <si>
    <t>2025-10-07 09:51:00</t>
  </si>
  <si>
    <t>LD-304849</t>
  </si>
  <si>
    <t>2026-04-24 20:41:00</t>
  </si>
  <si>
    <t>LD-304850</t>
  </si>
  <si>
    <t>2025-09-08 11:07:00</t>
  </si>
  <si>
    <t>LD-304851</t>
  </si>
  <si>
    <t>2025-07-08 10:57:00</t>
  </si>
  <si>
    <t>2025-08-24 06:54:34.927425</t>
  </si>
  <si>
    <t>LD-304852</t>
  </si>
  <si>
    <t>2025-03-31 13:53:00</t>
  </si>
  <si>
    <t>2025-05-12 16:54:24.371278</t>
  </si>
  <si>
    <t>LD-304853</t>
  </si>
  <si>
    <t>2025-01-09 13:33:00</t>
  </si>
  <si>
    <t>LD-304854</t>
  </si>
  <si>
    <t>2026-06-19 11:24:00</t>
  </si>
  <si>
    <t>2026-08-07 19:27:05.162322</t>
  </si>
  <si>
    <t>LD-304855</t>
  </si>
  <si>
    <t>2025-07-17 10:16:00</t>
  </si>
  <si>
    <t>LD-304856</t>
  </si>
  <si>
    <t>2025-12-09 15:57:00</t>
  </si>
  <si>
    <t>LD-304857</t>
  </si>
  <si>
    <t>2025-08-08 18:55:00</t>
  </si>
  <si>
    <t>LD-304858</t>
  </si>
  <si>
    <t>2026-05-28 12:39:00</t>
  </si>
  <si>
    <t>LD-304859</t>
  </si>
  <si>
    <t>2025-03-11 13:10:00</t>
  </si>
  <si>
    <t>2025-04-20 09:51:28.565252</t>
  </si>
  <si>
    <t>LD-304860</t>
  </si>
  <si>
    <t>2025-10-20 16:20:00</t>
  </si>
  <si>
    <t>LD-304861</t>
  </si>
  <si>
    <t>2025-04-22 15:48:00</t>
  </si>
  <si>
    <t>LD-304862</t>
  </si>
  <si>
    <t>2026-02-06 14:59:00</t>
  </si>
  <si>
    <t>LD-304863</t>
  </si>
  <si>
    <t>2025-03-12 07:22:00</t>
  </si>
  <si>
    <t>2025-04-24 12:34:39.898128</t>
  </si>
  <si>
    <t>LD-304864</t>
  </si>
  <si>
    <t>2025-12-13 12:39:00</t>
  </si>
  <si>
    <t>2026-01-21 00:42:28.202641</t>
  </si>
  <si>
    <t>LD-304865</t>
  </si>
  <si>
    <t>2026-02-01 11:30:00</t>
  </si>
  <si>
    <t>2026-03-15 19:18:44.652160</t>
  </si>
  <si>
    <t>LD-304866</t>
  </si>
  <si>
    <t>2025-09-30 07:13:00</t>
  </si>
  <si>
    <t>LD-304867</t>
  </si>
  <si>
    <t>2025-05-08 20:38:00</t>
  </si>
  <si>
    <t>LD-304868</t>
  </si>
  <si>
    <t>2025-08-29 19:42:00</t>
  </si>
  <si>
    <t>LD-304869</t>
  </si>
  <si>
    <t>2026-02-24 10:54:00</t>
  </si>
  <si>
    <t>LD-304870</t>
  </si>
  <si>
    <t>2025-08-04 13:22:00</t>
  </si>
  <si>
    <t>LD-304871</t>
  </si>
  <si>
    <t>2026-03-29 18:00:00</t>
  </si>
  <si>
    <t>2026-04-20 17:09:24.399176</t>
  </si>
  <si>
    <t>LD-304872</t>
  </si>
  <si>
    <t>2025-04-25 15:29:00</t>
  </si>
  <si>
    <t>LD-304873</t>
  </si>
  <si>
    <t>2025-02-28 17:56:00</t>
  </si>
  <si>
    <t>2025-03-30 00:56:00.712569</t>
  </si>
  <si>
    <t>LD-304874</t>
  </si>
  <si>
    <t>2025-06-13 07:51:00</t>
  </si>
  <si>
    <t>LD-304875</t>
  </si>
  <si>
    <t>2025-05-11 09:34:00</t>
  </si>
  <si>
    <t>LD-304876</t>
  </si>
  <si>
    <t>2025-07-04 19:33:00</t>
  </si>
  <si>
    <t>LD-304877</t>
  </si>
  <si>
    <t>2025-12-03 08:59:00</t>
  </si>
  <si>
    <t>LD-304878</t>
  </si>
  <si>
    <t>2025-08-01 18:17:00</t>
  </si>
  <si>
    <t>2025-09-16 14:49:03.027377</t>
  </si>
  <si>
    <t>LD-304879</t>
  </si>
  <si>
    <t>2026-04-14 18:02:00</t>
  </si>
  <si>
    <t>2026-06-02 17:04:47.597727</t>
  </si>
  <si>
    <t>LD-304880</t>
  </si>
  <si>
    <t>2026-01-23 10:02:00</t>
  </si>
  <si>
    <t>LD-304881</t>
  </si>
  <si>
    <t>2025-08-21 20:49:00</t>
  </si>
  <si>
    <t>2025-09-24 11:18:36.967823</t>
  </si>
  <si>
    <t>LD-304882</t>
  </si>
  <si>
    <t>2025-08-12 17:28:00</t>
  </si>
  <si>
    <t>LD-304883</t>
  </si>
  <si>
    <t>2025-08-25 07:20:00</t>
  </si>
  <si>
    <t>LD-304884</t>
  </si>
  <si>
    <t>2026-03-12 15:24:00</t>
  </si>
  <si>
    <t>LD-304885</t>
  </si>
  <si>
    <t>2025-07-11 20:00:00</t>
  </si>
  <si>
    <t>LD-304886</t>
  </si>
  <si>
    <t>2025-05-19 14:29:00</t>
  </si>
  <si>
    <t>2025-07-02 03:20:09.303813</t>
  </si>
  <si>
    <t>LD-304887</t>
  </si>
  <si>
    <t>2025-07-01 14:27:00</t>
  </si>
  <si>
    <t>2025-08-12 11:07:15.593004</t>
  </si>
  <si>
    <t>LD-304888</t>
  </si>
  <si>
    <t>2025-05-15 14:25:00</t>
  </si>
  <si>
    <t>2025-06-26 02:12:27.811311</t>
  </si>
  <si>
    <t>LD-304889</t>
  </si>
  <si>
    <t>2025-07-30 10:57:00</t>
  </si>
  <si>
    <t>LD-304890</t>
  </si>
  <si>
    <t>2025-07-10 18:19:00</t>
  </si>
  <si>
    <t>2025-08-16 20:06:04.343361</t>
  </si>
  <si>
    <t>LD-304891</t>
  </si>
  <si>
    <t>2026-05-29 18:31:00</t>
  </si>
  <si>
    <t>2026-06-28 10:49:30.636834</t>
  </si>
  <si>
    <t>LD-304892</t>
  </si>
  <si>
    <t>2025-12-18 12:24:00</t>
  </si>
  <si>
    <t>LD-304893</t>
  </si>
  <si>
    <t>2025-01-12 14:26:00</t>
  </si>
  <si>
    <t>LD-304894</t>
  </si>
  <si>
    <t>2026-04-01 07:22:00</t>
  </si>
  <si>
    <t>2026-05-21 15:35:40.865943</t>
  </si>
  <si>
    <t>LD-304895</t>
  </si>
  <si>
    <t>2025-07-03 11:54:00</t>
  </si>
  <si>
    <t>LD-304896</t>
  </si>
  <si>
    <t>2025-12-22 10:20:00</t>
  </si>
  <si>
    <t>2026-02-14 19:33:43.629629</t>
  </si>
  <si>
    <t>LD-304897</t>
  </si>
  <si>
    <t>2026-06-26 19:21:00</t>
  </si>
  <si>
    <t>LD-304898</t>
  </si>
  <si>
    <t>2025-07-24 20:55:00</t>
  </si>
  <si>
    <t>2025-09-10 21:07:30.023779</t>
  </si>
  <si>
    <t>LD-304899</t>
  </si>
  <si>
    <t>2025-06-11 07:48:00</t>
  </si>
  <si>
    <t>LD-304900</t>
  </si>
  <si>
    <t>2025-12-25 16:39:00</t>
  </si>
  <si>
    <t>2026-02-02 17:08:42.813175</t>
  </si>
  <si>
    <t>LD-304901</t>
  </si>
  <si>
    <t>2025-01-12 09:49:00</t>
  </si>
  <si>
    <t>2025-02-25 12:14:58.117472</t>
  </si>
  <si>
    <t>LD-304902</t>
  </si>
  <si>
    <t>2025-04-24 11:53:00</t>
  </si>
  <si>
    <t>LD-304903</t>
  </si>
  <si>
    <t>2025-06-06 07:23:00</t>
  </si>
  <si>
    <t>2025-07-12 16:18:09.900699</t>
  </si>
  <si>
    <t>LD-304904</t>
  </si>
  <si>
    <t>2025-11-06 16:49:00</t>
  </si>
  <si>
    <t>2025-12-25 01:40:38.284176</t>
  </si>
  <si>
    <t>LD-304905</t>
  </si>
  <si>
    <t>2025-08-07 15:12:00</t>
  </si>
  <si>
    <t>2025-09-13 05:44:35.978323</t>
  </si>
  <si>
    <t>LD-304906</t>
  </si>
  <si>
    <t>2025-10-27 09:17:00</t>
  </si>
  <si>
    <t>LD-304907</t>
  </si>
  <si>
    <t>2025-06-06 14:51:00</t>
  </si>
  <si>
    <t>LD-304908</t>
  </si>
  <si>
    <t>2025-03-20 19:11:00</t>
  </si>
  <si>
    <t>LD-304909</t>
  </si>
  <si>
    <t>2025-09-12 16:53:00</t>
  </si>
  <si>
    <t>LD-304910</t>
  </si>
  <si>
    <t>2026-03-17 20:44:00</t>
  </si>
  <si>
    <t>LD-304911</t>
  </si>
  <si>
    <t>2025-09-05 08:40:00</t>
  </si>
  <si>
    <t>LD-304912</t>
  </si>
  <si>
    <t>2025-06-12 11:25:00</t>
  </si>
  <si>
    <t>LD-304913</t>
  </si>
  <si>
    <t>2025-04-22 08:29:00</t>
  </si>
  <si>
    <t>LD-304914</t>
  </si>
  <si>
    <t>2025-03-11 09:36:00</t>
  </si>
  <si>
    <t>2025-04-16 05:01:26.905440</t>
  </si>
  <si>
    <t>LD-304915</t>
  </si>
  <si>
    <t>2026-03-19 15:29:00</t>
  </si>
  <si>
    <t>2026-05-24 08:04:01.621571</t>
  </si>
  <si>
    <t>LD-304916</t>
  </si>
  <si>
    <t>2025-05-15 19:06:00</t>
  </si>
  <si>
    <t>LD-304917</t>
  </si>
  <si>
    <t>2025-09-19 09:13:00</t>
  </si>
  <si>
    <t>LD-304918</t>
  </si>
  <si>
    <t>2025-05-27 10:46:00</t>
  </si>
  <si>
    <t>2025-06-18 01:07:42.700388</t>
  </si>
  <si>
    <t>LD-304919</t>
  </si>
  <si>
    <t>2026-06-23 16:17:00</t>
  </si>
  <si>
    <t>LD-304920</t>
  </si>
  <si>
    <t>2026-03-13 08:36:00</t>
  </si>
  <si>
    <t>LD-304921</t>
  </si>
  <si>
    <t>2025-04-30 20:40:00</t>
  </si>
  <si>
    <t>LD-304922</t>
  </si>
  <si>
    <t>2026-01-10 07:54:00</t>
  </si>
  <si>
    <t>2026-02-16 07:13:03.429976</t>
  </si>
  <si>
    <t>LD-304923</t>
  </si>
  <si>
    <t>2026-01-14 08:50:00</t>
  </si>
  <si>
    <t>2026-02-22 03:59:13.441026</t>
  </si>
  <si>
    <t>LD-304924</t>
  </si>
  <si>
    <t>2026-06-03 15:34:00</t>
  </si>
  <si>
    <t>LD-304925</t>
  </si>
  <si>
    <t>2026-05-07 07:22:00</t>
  </si>
  <si>
    <t>2026-06-07 12:42:30.756833</t>
  </si>
  <si>
    <t>LD-304926</t>
  </si>
  <si>
    <t>2025-04-23 17:54:00</t>
  </si>
  <si>
    <t>LD-304927</t>
  </si>
  <si>
    <t>2026-05-17 19:14:00</t>
  </si>
  <si>
    <t>2026-07-08 22:44:50.033761</t>
  </si>
  <si>
    <t>LD-304928</t>
  </si>
  <si>
    <t>2025-01-27 12:42:00</t>
  </si>
  <si>
    <t>LD-304929</t>
  </si>
  <si>
    <t>2026-05-04 16:04:00</t>
  </si>
  <si>
    <t>LD-304930</t>
  </si>
  <si>
    <t>2026-04-02 15:01:00</t>
  </si>
  <si>
    <t>LD-304931</t>
  </si>
  <si>
    <t>2025-12-11 10:23:00</t>
  </si>
  <si>
    <t>LD-304932</t>
  </si>
  <si>
    <t>2025-01-23 15:59:00</t>
  </si>
  <si>
    <t>LD-304933</t>
  </si>
  <si>
    <t>2025-05-02 10:10:00</t>
  </si>
  <si>
    <t>2025-06-26 17:31:01.726583</t>
  </si>
  <si>
    <t>LD-304934</t>
  </si>
  <si>
    <t>2025-03-07 12:11:00</t>
  </si>
  <si>
    <t>LD-304935</t>
  </si>
  <si>
    <t>2025-04-28 16:35:00</t>
  </si>
  <si>
    <t>LD-304936</t>
  </si>
  <si>
    <t>2025-01-09 08:01:00</t>
  </si>
  <si>
    <t>LD-304937</t>
  </si>
  <si>
    <t>2025-12-04 08:34:00</t>
  </si>
  <si>
    <t>LD-304938</t>
  </si>
  <si>
    <t>2026-04-03 08:33:00</t>
  </si>
  <si>
    <t>LD-304939</t>
  </si>
  <si>
    <t>2026-03-06 20:04:00</t>
  </si>
  <si>
    <t>LD-304940</t>
  </si>
  <si>
    <t>2025-10-17 14:52:00</t>
  </si>
  <si>
    <t>LD-304941</t>
  </si>
  <si>
    <t>2026-01-09 19:21:00</t>
  </si>
  <si>
    <t>LD-304942</t>
  </si>
  <si>
    <t>2026-02-25 15:27:00</t>
  </si>
  <si>
    <t>LD-304943</t>
  </si>
  <si>
    <t>2025-11-23 20:40:00</t>
  </si>
  <si>
    <t>LD-304944</t>
  </si>
  <si>
    <t>2025-10-08 10:07:00</t>
  </si>
  <si>
    <t>LD-304945</t>
  </si>
  <si>
    <t>2025-08-01 17:42:00</t>
  </si>
  <si>
    <t>2025-08-22 05:23:22.144587</t>
  </si>
  <si>
    <t>LD-304946</t>
  </si>
  <si>
    <t>2026-01-02 17:09:00</t>
  </si>
  <si>
    <t>LD-304947</t>
  </si>
  <si>
    <t>2025-01-17 13:18:00</t>
  </si>
  <si>
    <t>LD-304948</t>
  </si>
  <si>
    <t>2025-12-06 07:53:00</t>
  </si>
  <si>
    <t>2026-01-05 20:32:03.921551</t>
  </si>
  <si>
    <t>LD-304949</t>
  </si>
  <si>
    <t>2025-08-29 11:28:00</t>
  </si>
  <si>
    <t>LD-304950</t>
  </si>
  <si>
    <t>2025-01-06 17:44:00</t>
  </si>
  <si>
    <t>LD-304951</t>
  </si>
  <si>
    <t>2026-06-15 16:16:00</t>
  </si>
  <si>
    <t>LD-304952</t>
  </si>
  <si>
    <t>2025-05-28 13:08:00</t>
  </si>
  <si>
    <t>2025-07-08 01:35:06.683045</t>
  </si>
  <si>
    <t>LD-304953</t>
  </si>
  <si>
    <t>2026-01-11 22:32:58.511758</t>
  </si>
  <si>
    <t>LD-304954</t>
  </si>
  <si>
    <t>2026-05-11 20:28:00</t>
  </si>
  <si>
    <t>LD-304955</t>
  </si>
  <si>
    <t>2025-12-12 14:29:00</t>
  </si>
  <si>
    <t>LD-304956</t>
  </si>
  <si>
    <t>2025-12-30 17:19:00</t>
  </si>
  <si>
    <t>LD-304957</t>
  </si>
  <si>
    <t>2026-02-28 07:19:00</t>
  </si>
  <si>
    <t>2026-04-11 08:35:35.156220</t>
  </si>
  <si>
    <t>LD-304958</t>
  </si>
  <si>
    <t>2026-03-13 17:54:00</t>
  </si>
  <si>
    <t>2026-04-05 04:16:15.704851</t>
  </si>
  <si>
    <t>LD-304959</t>
  </si>
  <si>
    <t>2025-08-29 18:27:00</t>
  </si>
  <si>
    <t>LD-304960</t>
  </si>
  <si>
    <t>2025-08-22 16:38:00</t>
  </si>
  <si>
    <t>LD-304961</t>
  </si>
  <si>
    <t>2025-11-25 11:27:00</t>
  </si>
  <si>
    <t>LD-304962</t>
  </si>
  <si>
    <t>2025-05-23 20:27:00</t>
  </si>
  <si>
    <t>LD-304963</t>
  </si>
  <si>
    <t>2026-04-17 15:36:00</t>
  </si>
  <si>
    <t>LD-304964</t>
  </si>
  <si>
    <t>2025-09-26 20:16:00</t>
  </si>
  <si>
    <t>LD-304965</t>
  </si>
  <si>
    <t>2026-06-29 10:54:00</t>
  </si>
  <si>
    <t>LD-304966</t>
  </si>
  <si>
    <t>2025-10-24 18:37:00</t>
  </si>
  <si>
    <t>LD-304967</t>
  </si>
  <si>
    <t>2025-11-26 10:10:00</t>
  </si>
  <si>
    <t>2026-01-19 07:29:24.248591</t>
  </si>
  <si>
    <t>LD-304968</t>
  </si>
  <si>
    <t>2025-07-31 15:35:00</t>
  </si>
  <si>
    <t>2025-09-05 02:55:31.068276</t>
  </si>
  <si>
    <t>LD-304969</t>
  </si>
  <si>
    <t>2026-04-01 12:33:00</t>
  </si>
  <si>
    <t>LD-304970</t>
  </si>
  <si>
    <t>2025-10-24 09:38:00</t>
  </si>
  <si>
    <t>LD-304971</t>
  </si>
  <si>
    <t>2025-05-02 09:42:00</t>
  </si>
  <si>
    <t>LD-304972</t>
  </si>
  <si>
    <t>2026-02-09 09:30:00</t>
  </si>
  <si>
    <t>LD-304973</t>
  </si>
  <si>
    <t>2025-10-17 18:01:00</t>
  </si>
  <si>
    <t>2025-11-16 10:55:08.128641</t>
  </si>
  <si>
    <t>LD-304974</t>
  </si>
  <si>
    <t>2025-05-29 14:59:00</t>
  </si>
  <si>
    <t>LD-304975</t>
  </si>
  <si>
    <t>2025-05-11 06:08:08.687272</t>
  </si>
  <si>
    <t>LD-304976</t>
  </si>
  <si>
    <t>2025-03-04 12:20:00</t>
  </si>
  <si>
    <t>LD-304977</t>
  </si>
  <si>
    <t>2025-03-24 14:09:00</t>
  </si>
  <si>
    <t>2025-05-12 03:44:04.535483</t>
  </si>
  <si>
    <t>LD-304978</t>
  </si>
  <si>
    <t>2026-04-08 17:20:00</t>
  </si>
  <si>
    <t>2026-04-29 05:47:04.257810</t>
  </si>
  <si>
    <t>LD-304979</t>
  </si>
  <si>
    <t>2026-01-23 16:22:00</t>
  </si>
  <si>
    <t>LD-304980</t>
  </si>
  <si>
    <t>2025-03-29 07:14:00</t>
  </si>
  <si>
    <t>LD-304981</t>
  </si>
  <si>
    <t>2026-01-09 12:53:00</t>
  </si>
  <si>
    <t>2026-02-23 16:40:48.016500</t>
  </si>
  <si>
    <t>LD-304982</t>
  </si>
  <si>
    <t>2025-07-11 15:04:00</t>
  </si>
  <si>
    <t>2025-08-06 03:43:31.591958</t>
  </si>
  <si>
    <t>LD-304983</t>
  </si>
  <si>
    <t>2026-06-20 12:41:00</t>
  </si>
  <si>
    <t>2026-07-13 18:06:25.852512</t>
  </si>
  <si>
    <t>LD-304984</t>
  </si>
  <si>
    <t>2025-06-06 14:35:00</t>
  </si>
  <si>
    <t>LD-304985</t>
  </si>
  <si>
    <t>2025-02-05 12:24:00</t>
  </si>
  <si>
    <t>LD-304986</t>
  </si>
  <si>
    <t>2025-09-04 19:49:00</t>
  </si>
  <si>
    <t>2025-10-31 01:56:07.816412</t>
  </si>
  <si>
    <t>LD-304987</t>
  </si>
  <si>
    <t>2025-12-05 16:50:00</t>
  </si>
  <si>
    <t>2026-01-10 10:31:47.604105</t>
  </si>
  <si>
    <t>LD-304988</t>
  </si>
  <si>
    <t>2026-01-12 19:25:00</t>
  </si>
  <si>
    <t>LD-304989</t>
  </si>
  <si>
    <t>2026-03-12 11:53:00</t>
  </si>
  <si>
    <t>2026-04-19 20:48:20.205567</t>
  </si>
  <si>
    <t>LD-304990</t>
  </si>
  <si>
    <t>2025-08-29 17:00:00</t>
  </si>
  <si>
    <t>2025-10-13 11:49:51.888434</t>
  </si>
  <si>
    <t>LD-304991</t>
  </si>
  <si>
    <t>2025-06-25 10:30:00</t>
  </si>
  <si>
    <t>LD-304992</t>
  </si>
  <si>
    <t>2025-03-12 09:50:00</t>
  </si>
  <si>
    <t>LD-304993</t>
  </si>
  <si>
    <t>2026-06-02 08:43:00</t>
  </si>
  <si>
    <t>LD-304994</t>
  </si>
  <si>
    <t>2026-01-19 07:20:00</t>
  </si>
  <si>
    <t>2026-02-27 09:21:14.195344</t>
  </si>
  <si>
    <t>LD-304995</t>
  </si>
  <si>
    <t>2025-11-28 20:24:00</t>
  </si>
  <si>
    <t>LD-304996</t>
  </si>
  <si>
    <t>2025-05-24 16:58:00</t>
  </si>
  <si>
    <t>2025-07-06 23:30:38.823548</t>
  </si>
  <si>
    <t>LD-304997</t>
  </si>
  <si>
    <t>2025-07-02 16:56:00</t>
  </si>
  <si>
    <t>LD-304998</t>
  </si>
  <si>
    <t>2025-02-04 13:47:00</t>
  </si>
  <si>
    <t>LD-304999</t>
  </si>
  <si>
    <t>2026-05-08 12:54:00</t>
  </si>
  <si>
    <t>LD-305000</t>
  </si>
  <si>
    <t>2025-01-06 07:18:00</t>
  </si>
  <si>
    <t>LD-305001</t>
  </si>
  <si>
    <t>2025-09-05 11:23:00</t>
  </si>
  <si>
    <t>2025-10-16 05:17:15.805205</t>
  </si>
  <si>
    <t>LD-305002</t>
  </si>
  <si>
    <t>2025-12-09 13:03:00</t>
  </si>
  <si>
    <t>LD-305003</t>
  </si>
  <si>
    <t>2025-12-26 16:43:00</t>
  </si>
  <si>
    <t>LD-305004</t>
  </si>
  <si>
    <t>2026-01-06 16:05:00</t>
  </si>
  <si>
    <t>2026-02-27 03:21:24.940989</t>
  </si>
  <si>
    <t>LD-305005</t>
  </si>
  <si>
    <t>2025-11-03 11:22:00</t>
  </si>
  <si>
    <t>2025-12-09 03:39:57.450076</t>
  </si>
  <si>
    <t>LD-305006</t>
  </si>
  <si>
    <t>2025-05-16 14:50:00</t>
  </si>
  <si>
    <t>LD-305007</t>
  </si>
  <si>
    <t>2025-10-02 18:56:00</t>
  </si>
  <si>
    <t>2025-11-02 14:55:28.658371</t>
  </si>
  <si>
    <t>LD-305008</t>
  </si>
  <si>
    <t>2025-08-29 10:12:00</t>
  </si>
  <si>
    <t>2025-10-06 00:07:11.848153</t>
  </si>
  <si>
    <t>LD-305009</t>
  </si>
  <si>
    <t>2025-08-15 15:38:00</t>
  </si>
  <si>
    <t>2025-09-11 21:41:43.403454</t>
  </si>
  <si>
    <t>LD-305010</t>
  </si>
  <si>
    <t>2026-03-06 08:53:00</t>
  </si>
  <si>
    <t>LD-305011</t>
  </si>
  <si>
    <t>2025-05-30 15:11:00</t>
  </si>
  <si>
    <t>LD-305012</t>
  </si>
  <si>
    <t>2025-03-07 16:25:00</t>
  </si>
  <si>
    <t>LD-305013</t>
  </si>
  <si>
    <t>2025-11-07 13:18:00</t>
  </si>
  <si>
    <t>2025-12-15 18:24:46.297591</t>
  </si>
  <si>
    <t>LD-305014</t>
  </si>
  <si>
    <t>2025-08-19 10:01:00</t>
  </si>
  <si>
    <t>2025-09-06 13:20:39.405711</t>
  </si>
  <si>
    <t>LD-305015</t>
  </si>
  <si>
    <t>2025-06-20 19:33:00</t>
  </si>
  <si>
    <t>LD-305016</t>
  </si>
  <si>
    <t>2025-07-10 08:24:00</t>
  </si>
  <si>
    <t>LD-305017</t>
  </si>
  <si>
    <t>2025-02-12 10:52:00</t>
  </si>
  <si>
    <t>2025-03-24 08:15:44.244028</t>
  </si>
  <si>
    <t>LD-305018</t>
  </si>
  <si>
    <t>2025-11-09 09:44:00</t>
  </si>
  <si>
    <t>2025-12-21 01:30:34.495994</t>
  </si>
  <si>
    <t>LD-305019</t>
  </si>
  <si>
    <t>2025-06-09 11:14:00</t>
  </si>
  <si>
    <t>2025-07-21 12:04:51.417045</t>
  </si>
  <si>
    <t>LD-305020</t>
  </si>
  <si>
    <t>2025-08-22 13:15:00</t>
  </si>
  <si>
    <t>LD-305021</t>
  </si>
  <si>
    <t>2025-09-04 07:55:00</t>
  </si>
  <si>
    <t>2025-10-09 03:38:05.471597</t>
  </si>
  <si>
    <t>LD-305022</t>
  </si>
  <si>
    <t>2026-04-21 14:23:00</t>
  </si>
  <si>
    <t>LD-305023</t>
  </si>
  <si>
    <t>2025-08-28 11:28:00</t>
  </si>
  <si>
    <t>LD-305024</t>
  </si>
  <si>
    <t>2026-01-09 16:43:00</t>
  </si>
  <si>
    <t>LD-305025</t>
  </si>
  <si>
    <t>2025-07-15 20:19:00</t>
  </si>
  <si>
    <t>LD-305026</t>
  </si>
  <si>
    <t>2025-02-28 17:36:00</t>
  </si>
  <si>
    <t>LD-305027</t>
  </si>
  <si>
    <t>2026-01-30 10:38:00</t>
  </si>
  <si>
    <t>LD-305028</t>
  </si>
  <si>
    <t>2025-01-31 11:57:00</t>
  </si>
  <si>
    <t>LD-305029</t>
  </si>
  <si>
    <t>2026-01-23 07:03:00</t>
  </si>
  <si>
    <t>LD-305030</t>
  </si>
  <si>
    <t>2026-03-12 20:55:00</t>
  </si>
  <si>
    <t>LD-305031</t>
  </si>
  <si>
    <t>2025-12-03 12:48:00</t>
  </si>
  <si>
    <t>LD-305032</t>
  </si>
  <si>
    <t>2026-02-17 18:51:00</t>
  </si>
  <si>
    <t>LD-305033</t>
  </si>
  <si>
    <t>2025-03-04 18:37:00</t>
  </si>
  <si>
    <t>LD-305034</t>
  </si>
  <si>
    <t>2025-02-22 08:07:00</t>
  </si>
  <si>
    <t>LD-305035</t>
  </si>
  <si>
    <t>2025-02-21 09:39:00</t>
  </si>
  <si>
    <t>LD-305036</t>
  </si>
  <si>
    <t>2025-05-05 20:35:00</t>
  </si>
  <si>
    <t>LD-305037</t>
  </si>
  <si>
    <t>2025-03-17 15:12:00</t>
  </si>
  <si>
    <t>LD-305038</t>
  </si>
  <si>
    <t>2025-11-23 18:38:00</t>
  </si>
  <si>
    <t>2025-12-30 15:58:04.255687</t>
  </si>
  <si>
    <t>LD-305039</t>
  </si>
  <si>
    <t>2025-03-29 13:11:00</t>
  </si>
  <si>
    <t>2025-05-15 10:17:09.380005</t>
  </si>
  <si>
    <t>LD-305040</t>
  </si>
  <si>
    <t>2025-06-13 18:22:00</t>
  </si>
  <si>
    <t>2025-07-09 22:50:19.462377</t>
  </si>
  <si>
    <t>LD-305041</t>
  </si>
  <si>
    <t>2025-01-27 12:00:00</t>
  </si>
  <si>
    <t>2025-03-07 11:01:39.401622</t>
  </si>
  <si>
    <t>LD-305042</t>
  </si>
  <si>
    <t>2026-01-01 12:04:00</t>
  </si>
  <si>
    <t>LD-305043</t>
  </si>
  <si>
    <t>2025-12-26 12:54:00</t>
  </si>
  <si>
    <t>2026-01-24 04:12:05.215329</t>
  </si>
  <si>
    <t>LD-305044</t>
  </si>
  <si>
    <t>2025-07-23 11:41:00</t>
  </si>
  <si>
    <t>LD-305045</t>
  </si>
  <si>
    <t>2026-02-16 08:40:00</t>
  </si>
  <si>
    <t>LD-305046</t>
  </si>
  <si>
    <t>2026-05-18 12:11:00</t>
  </si>
  <si>
    <t>LD-305047</t>
  </si>
  <si>
    <t>2025-06-04 18:20:00</t>
  </si>
  <si>
    <t>LD-305048</t>
  </si>
  <si>
    <t>2026-05-28 15:26:00</t>
  </si>
  <si>
    <t>LD-305049</t>
  </si>
  <si>
    <t>2025-07-04 15:10:00</t>
  </si>
  <si>
    <t>2025-08-27 16:54:47.973442</t>
  </si>
  <si>
    <t>LD-305050</t>
  </si>
  <si>
    <t>2026-02-16 14:21:00</t>
  </si>
  <si>
    <t>LD-305051</t>
  </si>
  <si>
    <t>2026-03-10 07:28:00</t>
  </si>
  <si>
    <t>LD-305052</t>
  </si>
  <si>
    <t>2025-03-24 12:49:00</t>
  </si>
  <si>
    <t>LD-305053</t>
  </si>
  <si>
    <t>2025-07-28 07:24:00</t>
  </si>
  <si>
    <t>2025-09-13 15:43:50.788176</t>
  </si>
  <si>
    <t>LD-305054</t>
  </si>
  <si>
    <t>2025-08-06 15:26:00</t>
  </si>
  <si>
    <t>LD-305055</t>
  </si>
  <si>
    <t>2025-03-11 09:56:00</t>
  </si>
  <si>
    <t>LD-305056</t>
  </si>
  <si>
    <t>2026-06-05 20:33:00</t>
  </si>
  <si>
    <t>LD-305057</t>
  </si>
  <si>
    <t>2025-12-24 13:21:00</t>
  </si>
  <si>
    <t>LD-305058</t>
  </si>
  <si>
    <t>2025-02-05 11:33:00</t>
  </si>
  <si>
    <t>LD-305059</t>
  </si>
  <si>
    <t>2026-03-11 17:38:00</t>
  </si>
  <si>
    <t>LD-305060</t>
  </si>
  <si>
    <t>2025-12-30 10:35:00</t>
  </si>
  <si>
    <t>LD-305061</t>
  </si>
  <si>
    <t>2025-11-07 20:25:00</t>
  </si>
  <si>
    <t>LD-305062</t>
  </si>
  <si>
    <t>2025-11-28 07:52:00</t>
  </si>
  <si>
    <t>LD-305063</t>
  </si>
  <si>
    <t>2025-01-29 16:40:00</t>
  </si>
  <si>
    <t>LD-305064</t>
  </si>
  <si>
    <t>2025-07-03 13:03:00</t>
  </si>
  <si>
    <t>2025-07-28 09:18:48.628591</t>
  </si>
  <si>
    <t>LD-305065</t>
  </si>
  <si>
    <t>2025-05-23 08:41:00</t>
  </si>
  <si>
    <t>LD-305066</t>
  </si>
  <si>
    <t>2025-07-26 17:14:00</t>
  </si>
  <si>
    <t>LD-305067</t>
  </si>
  <si>
    <t>2025-01-22 15:44:00</t>
  </si>
  <si>
    <t>LD-305068</t>
  </si>
  <si>
    <t>2025-08-14 16:24:00</t>
  </si>
  <si>
    <t>2025-08-25 23:11:38.089886</t>
  </si>
  <si>
    <t>LD-305069</t>
  </si>
  <si>
    <t>2026-03-27 08:57:00</t>
  </si>
  <si>
    <t>LD-305070</t>
  </si>
  <si>
    <t>2025-09-15 07:53:00</t>
  </si>
  <si>
    <t>LD-305071</t>
  </si>
  <si>
    <t>2026-04-06 12:15:00</t>
  </si>
  <si>
    <t>LD-305072</t>
  </si>
  <si>
    <t>2026-02-10 18:39:00</t>
  </si>
  <si>
    <t>2026-03-25 16:38:55.087855</t>
  </si>
  <si>
    <t>LD-305073</t>
  </si>
  <si>
    <t>2025-03-21 11:54:00</t>
  </si>
  <si>
    <t>2025-05-03 22:48:57.581290</t>
  </si>
  <si>
    <t>LD-305074</t>
  </si>
  <si>
    <t>2025-01-31 08:50:00</t>
  </si>
  <si>
    <t>2025-03-08 04:41:46.404336</t>
  </si>
  <si>
    <t>LD-305075</t>
  </si>
  <si>
    <t>2025-04-25 14:01:00</t>
  </si>
  <si>
    <t>LD-305076</t>
  </si>
  <si>
    <t>2026-03-06 17:08:00</t>
  </si>
  <si>
    <t>LD-305077</t>
  </si>
  <si>
    <t>2025-10-28 19:29:00</t>
  </si>
  <si>
    <t>LD-305078</t>
  </si>
  <si>
    <t>2025-11-07 14:45:00</t>
  </si>
  <si>
    <t>LD-305079</t>
  </si>
  <si>
    <t>2025-06-02 16:16:00</t>
  </si>
  <si>
    <t>2025-07-21 01:45:39.648969</t>
  </si>
  <si>
    <t>LD-305080</t>
  </si>
  <si>
    <t>2025-04-28 16:06:00</t>
  </si>
  <si>
    <t>LD-305081</t>
  </si>
  <si>
    <t>2026-05-01 17:49:00</t>
  </si>
  <si>
    <t>LD-305082</t>
  </si>
  <si>
    <t>2025-08-01 10:19:00</t>
  </si>
  <si>
    <t>2025-09-03 12:05:43.032238</t>
  </si>
  <si>
    <t>LD-305083</t>
  </si>
  <si>
    <t>2025-09-29 08:09:00</t>
  </si>
  <si>
    <t>LD-305084</t>
  </si>
  <si>
    <t>2026-02-11 19:11:00</t>
  </si>
  <si>
    <t>LD-305085</t>
  </si>
  <si>
    <t>2026-02-10 18:21:00</t>
  </si>
  <si>
    <t>2026-03-15 05:50:35.240529</t>
  </si>
  <si>
    <t>LD-305086</t>
  </si>
  <si>
    <t>2025-01-23 10:43:00</t>
  </si>
  <si>
    <t>2025-03-04 14:08:35.600636</t>
  </si>
  <si>
    <t>LD-305087</t>
  </si>
  <si>
    <t>2025-05-29 15:21:00</t>
  </si>
  <si>
    <t>LD-305088</t>
  </si>
  <si>
    <t>2026-02-20 19:14:00</t>
  </si>
  <si>
    <t>2026-04-08 01:21:00.736659</t>
  </si>
  <si>
    <t>LD-305089</t>
  </si>
  <si>
    <t>2025-11-13 16:57:00</t>
  </si>
  <si>
    <t>LD-305090</t>
  </si>
  <si>
    <t>2025-11-14 18:29:00</t>
  </si>
  <si>
    <t>LD-305091</t>
  </si>
  <si>
    <t>2025-11-13 13:55:00</t>
  </si>
  <si>
    <t>LD-305092</t>
  </si>
  <si>
    <t>2025-06-01 19:32:00</t>
  </si>
  <si>
    <t>LD-305093</t>
  </si>
  <si>
    <t>2025-09-15 09:32:00</t>
  </si>
  <si>
    <t>2025-10-24 11:42:13.382678</t>
  </si>
  <si>
    <t>LD-305094</t>
  </si>
  <si>
    <t>2025-05-09 07:54:00</t>
  </si>
  <si>
    <t>LD-305095</t>
  </si>
  <si>
    <t>2026-04-24 14:22:00</t>
  </si>
  <si>
    <t>2026-05-31 19:58:46.327265</t>
  </si>
  <si>
    <t>LD-305096</t>
  </si>
  <si>
    <t>2026-01-06 16:46:00</t>
  </si>
  <si>
    <t>LD-305097</t>
  </si>
  <si>
    <t>2026-05-22 09:16:00</t>
  </si>
  <si>
    <t>2026-07-27 06:58:39.499579</t>
  </si>
  <si>
    <t>LD-305098</t>
  </si>
  <si>
    <t>2025-09-09 09:34:00</t>
  </si>
  <si>
    <t>LD-305099</t>
  </si>
  <si>
    <t>2025-10-01 14:49:00</t>
  </si>
  <si>
    <t>LD-305100</t>
  </si>
  <si>
    <t>2026-01-28 11:00:00</t>
  </si>
  <si>
    <t>LD-305101</t>
  </si>
  <si>
    <t>2025-06-29 18:31:00</t>
  </si>
  <si>
    <t>LD-305102</t>
  </si>
  <si>
    <t>2025-08-04 20:53:00</t>
  </si>
  <si>
    <t>2025-09-21 01:29:12.460477</t>
  </si>
  <si>
    <t>LD-305103</t>
  </si>
  <si>
    <t>2025-02-28 14:18:00</t>
  </si>
  <si>
    <t>LD-305104</t>
  </si>
  <si>
    <t>2025-06-09 15:56:00</t>
  </si>
  <si>
    <t>LD-305105</t>
  </si>
  <si>
    <t>2026-02-20 14:44:00</t>
  </si>
  <si>
    <t>2026-04-15 07:03:23.859863</t>
  </si>
  <si>
    <t>LD-305106</t>
  </si>
  <si>
    <t>2025-11-28 11:00:00</t>
  </si>
  <si>
    <t>LD-305107</t>
  </si>
  <si>
    <t>2025-02-25 17:14:00</t>
  </si>
  <si>
    <t>LD-305108</t>
  </si>
  <si>
    <t>2025-02-19 19:45:00</t>
  </si>
  <si>
    <t>2025-04-04 14:40:51.990763</t>
  </si>
  <si>
    <t>LD-305109</t>
  </si>
  <si>
    <t>2025-01-16 07:13:00</t>
  </si>
  <si>
    <t>LD-305110</t>
  </si>
  <si>
    <t>2025-09-19 19:30:00</t>
  </si>
  <si>
    <t>2025-11-05 19:56:47.116649</t>
  </si>
  <si>
    <t>LD-305111</t>
  </si>
  <si>
    <t>2025-08-18 09:12:00</t>
  </si>
  <si>
    <t>LD-305112</t>
  </si>
  <si>
    <t>2025-02-18 16:24:00</t>
  </si>
  <si>
    <t>LD-305113</t>
  </si>
  <si>
    <t>2025-09-25 08:34:00</t>
  </si>
  <si>
    <t>2025-11-02 00:16:45.471418</t>
  </si>
  <si>
    <t>LD-305114</t>
  </si>
  <si>
    <t>2025-02-01 12:04:00</t>
  </si>
  <si>
    <t>LD-305115</t>
  </si>
  <si>
    <t>2025-04-21 07:04:00</t>
  </si>
  <si>
    <t>LD-305116</t>
  </si>
  <si>
    <t>2025-09-15 14:42:00</t>
  </si>
  <si>
    <t>LD-305117</t>
  </si>
  <si>
    <t>2025-01-13 07:39:00</t>
  </si>
  <si>
    <t>LD-305118</t>
  </si>
  <si>
    <t>2026-05-27 20:26:00</t>
  </si>
  <si>
    <t>2026-07-05 06:35:51.129053</t>
  </si>
  <si>
    <t>LD-305119</t>
  </si>
  <si>
    <t>2025-03-18 20:14:00</t>
  </si>
  <si>
    <t>LD-305120</t>
  </si>
  <si>
    <t>2026-03-25 14:36:00</t>
  </si>
  <si>
    <t>LD-305121</t>
  </si>
  <si>
    <t>2025-09-09 14:00:00</t>
  </si>
  <si>
    <t>2025-10-18 08:47:28.313761</t>
  </si>
  <si>
    <t>LD-305122</t>
  </si>
  <si>
    <t>2025-04-30 18:04:00</t>
  </si>
  <si>
    <t>LD-305123</t>
  </si>
  <si>
    <t>2025-12-30 15:43:00</t>
  </si>
  <si>
    <t>LD-305124</t>
  </si>
  <si>
    <t>2025-08-04 20:48:00</t>
  </si>
  <si>
    <t>LD-305125</t>
  </si>
  <si>
    <t>2026-03-17 20:36:00</t>
  </si>
  <si>
    <t>LD-305126</t>
  </si>
  <si>
    <t>2026-03-13 10:20:00</t>
  </si>
  <si>
    <t>LD-305127</t>
  </si>
  <si>
    <t>2025-05-08 11:16:00</t>
  </si>
  <si>
    <t>2025-06-15 19:49:11.340564</t>
  </si>
  <si>
    <t>LD-305128</t>
  </si>
  <si>
    <t>2025-03-28 09:51:00</t>
  </si>
  <si>
    <t>LD-305129</t>
  </si>
  <si>
    <t>2025-06-21 15:20:00</t>
  </si>
  <si>
    <t>LD-305130</t>
  </si>
  <si>
    <t>2025-08-08 15:21:00</t>
  </si>
  <si>
    <t>LD-305131</t>
  </si>
  <si>
    <t>2025-10-25 11:51:00</t>
  </si>
  <si>
    <t>LD-305132</t>
  </si>
  <si>
    <t>2025-05-23 17:37:00</t>
  </si>
  <si>
    <t>2025-06-10 20:33:53.855608</t>
  </si>
  <si>
    <t>LD-305133</t>
  </si>
  <si>
    <t>2025-10-09 07:39:00</t>
  </si>
  <si>
    <t>LD-305134</t>
  </si>
  <si>
    <t>2026-03-03 19:03:00</t>
  </si>
  <si>
    <t>LD-305135</t>
  </si>
  <si>
    <t>2025-02-28 10:02:00</t>
  </si>
  <si>
    <t>2025-04-01 22:57:27.391766</t>
  </si>
  <si>
    <t>LD-305136</t>
  </si>
  <si>
    <t>2025-04-19 16:35:00</t>
  </si>
  <si>
    <t>LD-305137</t>
  </si>
  <si>
    <t>2025-02-21 12:35:00</t>
  </si>
  <si>
    <t>LD-305138</t>
  </si>
  <si>
    <t>2026-04-21 11:17:00</t>
  </si>
  <si>
    <t>LD-305139</t>
  </si>
  <si>
    <t>2025-08-19 11:59:00</t>
  </si>
  <si>
    <t>2025-10-13 20:11:32.669803</t>
  </si>
  <si>
    <t>LD-305140</t>
  </si>
  <si>
    <t>2025-09-11 17:37:00</t>
  </si>
  <si>
    <t>LD-305141</t>
  </si>
  <si>
    <t>2025-07-25 15:23:00</t>
  </si>
  <si>
    <t>LD-305142</t>
  </si>
  <si>
    <t>2025-08-26 07:52:00</t>
  </si>
  <si>
    <t>LD-305143</t>
  </si>
  <si>
    <t>2025-09-03 09:21:00</t>
  </si>
  <si>
    <t>2025-10-10 15:05:25.041664</t>
  </si>
  <si>
    <t>LD-305144</t>
  </si>
  <si>
    <t>2025-12-19 14:35:00</t>
  </si>
  <si>
    <t>2026-01-17 13:14:55.628607</t>
  </si>
  <si>
    <t>LD-305145</t>
  </si>
  <si>
    <t>2025-11-25 12:16:00</t>
  </si>
  <si>
    <t>LD-305146</t>
  </si>
  <si>
    <t>2025-04-18 17:09:00</t>
  </si>
  <si>
    <t>LD-305147</t>
  </si>
  <si>
    <t>2025-04-25 10:37:00</t>
  </si>
  <si>
    <t>2025-05-29 01:00:24.960076</t>
  </si>
  <si>
    <t>LD-305148</t>
  </si>
  <si>
    <t>2026-04-14 14:03:00</t>
  </si>
  <si>
    <t>LD-305149</t>
  </si>
  <si>
    <t>2026-04-02 08:11:00</t>
  </si>
  <si>
    <t>LD-305150</t>
  </si>
  <si>
    <t>2025-06-26 10:45:00</t>
  </si>
  <si>
    <t>LD-305151</t>
  </si>
  <si>
    <t>2026-04-18 11:55:00</t>
  </si>
  <si>
    <t>LD-305152</t>
  </si>
  <si>
    <t>2025-06-29 10:12:00</t>
  </si>
  <si>
    <t>2025-08-07 10:32:43.934503</t>
  </si>
  <si>
    <t>LD-305153</t>
  </si>
  <si>
    <t>2025-04-04 19:56:00</t>
  </si>
  <si>
    <t>2025-05-18 08:52:08.491775</t>
  </si>
  <si>
    <t>LD-305154</t>
  </si>
  <si>
    <t>2026-02-20 10:01:00</t>
  </si>
  <si>
    <t>LD-305155</t>
  </si>
  <si>
    <t>2025-01-15 10:31:00</t>
  </si>
  <si>
    <t>LD-305156</t>
  </si>
  <si>
    <t>2025-09-08 08:23:00</t>
  </si>
  <si>
    <t>LD-305157</t>
  </si>
  <si>
    <t>2025-08-22 09:35:00</t>
  </si>
  <si>
    <t>LD-305158</t>
  </si>
  <si>
    <t>2025-01-24 13:00:00</t>
  </si>
  <si>
    <t>2025-02-15 10:53:10.441365</t>
  </si>
  <si>
    <t>LD-305159</t>
  </si>
  <si>
    <t>2026-06-27 07:49:00</t>
  </si>
  <si>
    <t>LD-305160</t>
  </si>
  <si>
    <t>2025-05-18 07:44:00</t>
  </si>
  <si>
    <t>2025-06-30 04:39:08.802691</t>
  </si>
  <si>
    <t>LD-305161</t>
  </si>
  <si>
    <t>2026-01-30 13:02:00</t>
  </si>
  <si>
    <t>2026-03-09 09:32:41.192689</t>
  </si>
  <si>
    <t>LD-305162</t>
  </si>
  <si>
    <t>2025-02-21 13:23:00</t>
  </si>
  <si>
    <t>LD-305163</t>
  </si>
  <si>
    <t>2025-05-29 16:24:00</t>
  </si>
  <si>
    <t>LD-305164</t>
  </si>
  <si>
    <t>2026-01-05 20:44:00</t>
  </si>
  <si>
    <t>LD-305165</t>
  </si>
  <si>
    <t>2025-01-24 10:51:00</t>
  </si>
  <si>
    <t>2025-03-15 16:41:54.295705</t>
  </si>
  <si>
    <t>LD-305166</t>
  </si>
  <si>
    <t>2025-12-02 15:15:00</t>
  </si>
  <si>
    <t>LD-305167</t>
  </si>
  <si>
    <t>2026-01-09 11:50:00</t>
  </si>
  <si>
    <t>LD-305168</t>
  </si>
  <si>
    <t>2025-03-28 14:54:00</t>
  </si>
  <si>
    <t>LD-305169</t>
  </si>
  <si>
    <t>2025-03-22 19:35:00</t>
  </si>
  <si>
    <t>2025-05-05 21:43:31.086372</t>
  </si>
  <si>
    <t>LD-305170</t>
  </si>
  <si>
    <t>2026-06-05 09:34:00</t>
  </si>
  <si>
    <t>2026-07-05 17:14:26.474698</t>
  </si>
  <si>
    <t>LD-305171</t>
  </si>
  <si>
    <t>2025-02-14 16:23:00</t>
  </si>
  <si>
    <t>LD-305172</t>
  </si>
  <si>
    <t>2025-08-08 13:52:00</t>
  </si>
  <si>
    <t>LD-305173</t>
  </si>
  <si>
    <t>2026-05-05 08:49:00</t>
  </si>
  <si>
    <t>LD-305174</t>
  </si>
  <si>
    <t>2026-06-16 17:16:00</t>
  </si>
  <si>
    <t>LD-305175</t>
  </si>
  <si>
    <t>2025-08-25 13:35:00</t>
  </si>
  <si>
    <t>LD-305176</t>
  </si>
  <si>
    <t>2025-10-15 07:37:00</t>
  </si>
  <si>
    <t>LD-305177</t>
  </si>
  <si>
    <t>2025-02-26 11:02:00</t>
  </si>
  <si>
    <t>LD-305178</t>
  </si>
  <si>
    <t>2025-08-04 20:05:00</t>
  </si>
  <si>
    <t>LD-305179</t>
  </si>
  <si>
    <t>2025-11-19 07:12:00</t>
  </si>
  <si>
    <t>LD-305180</t>
  </si>
  <si>
    <t>2026-01-12 17:22:00</t>
  </si>
  <si>
    <t>LD-305181</t>
  </si>
  <si>
    <t>2025-02-07 20:01:00</t>
  </si>
  <si>
    <t>LD-305182</t>
  </si>
  <si>
    <t>2025-11-20 14:49:00</t>
  </si>
  <si>
    <t>LD-305183</t>
  </si>
  <si>
    <t>2025-10-26 20:22:00</t>
  </si>
  <si>
    <t>LD-305184</t>
  </si>
  <si>
    <t>2025-05-26 07:35:00</t>
  </si>
  <si>
    <t>2025-07-13 05:52:31.992943</t>
  </si>
  <si>
    <t>LD-305185</t>
  </si>
  <si>
    <t>2025-08-08 16:33:00</t>
  </si>
  <si>
    <t>LD-305186</t>
  </si>
  <si>
    <t>2026-02-17 16:45:00</t>
  </si>
  <si>
    <t>LD-305187</t>
  </si>
  <si>
    <t>2026-02-21 08:24:00</t>
  </si>
  <si>
    <t>LD-305188</t>
  </si>
  <si>
    <t>2025-02-17 20:05:00</t>
  </si>
  <si>
    <t>LD-305189</t>
  </si>
  <si>
    <t>2025-12-20 08:39:00</t>
  </si>
  <si>
    <t>LD-305190</t>
  </si>
  <si>
    <t>2025-04-15 09:47:00</t>
  </si>
  <si>
    <t>LD-305191</t>
  </si>
  <si>
    <t>2025-12-02 07:37:00</t>
  </si>
  <si>
    <t>LD-305192</t>
  </si>
  <si>
    <t>2025-02-17 11:48:00</t>
  </si>
  <si>
    <t>LD-305193</t>
  </si>
  <si>
    <t>2025-05-02 08:01:00</t>
  </si>
  <si>
    <t>2025-06-15 08:57:00.577506</t>
  </si>
  <si>
    <t>LD-305194</t>
  </si>
  <si>
    <t>2026-01-11 14:19:00</t>
  </si>
  <si>
    <t>LD-305195</t>
  </si>
  <si>
    <t>2026-05-15 11:32:00</t>
  </si>
  <si>
    <t>LD-305196</t>
  </si>
  <si>
    <t>2025-02-13 08:29:00</t>
  </si>
  <si>
    <t>LD-305197</t>
  </si>
  <si>
    <t>2025-03-13 11:07:00</t>
  </si>
  <si>
    <t>2025-05-04 13:05:16.376756</t>
  </si>
  <si>
    <t>LD-305198</t>
  </si>
  <si>
    <t>2025-10-09 18:57:00</t>
  </si>
  <si>
    <t>2025-11-20 23:14:51.834837</t>
  </si>
  <si>
    <t>LD-305199</t>
  </si>
  <si>
    <t>2026-04-25 11:06:00</t>
  </si>
  <si>
    <t>LD-305200</t>
  </si>
  <si>
    <t>2025-01-17 08:28:00</t>
  </si>
  <si>
    <t>2025-02-18 23:23:15.353269</t>
  </si>
  <si>
    <t>LD-305201</t>
  </si>
  <si>
    <t>2025-09-30 19:00:00</t>
  </si>
  <si>
    <t>2025-10-25 12:01:10.499988</t>
  </si>
  <si>
    <t>LD-305202</t>
  </si>
  <si>
    <t>2025-09-09 13:37:00</t>
  </si>
  <si>
    <t>2025-10-22 15:38:02.941453</t>
  </si>
  <si>
    <t>LD-305203</t>
  </si>
  <si>
    <t>2025-07-14 13:42:00</t>
  </si>
  <si>
    <t>2025-08-20 11:16:27.837721</t>
  </si>
  <si>
    <t>LD-305204</t>
  </si>
  <si>
    <t>2025-04-28 09:44:00</t>
  </si>
  <si>
    <t>LD-305205</t>
  </si>
  <si>
    <t>2025-09-11 11:23:00</t>
  </si>
  <si>
    <t>LD-305206</t>
  </si>
  <si>
    <t>2025-04-30 08:28:00</t>
  </si>
  <si>
    <t>LD-305207</t>
  </si>
  <si>
    <t>2026-03-19 15:59:00</t>
  </si>
  <si>
    <t>LD-305208</t>
  </si>
  <si>
    <t>2026-06-25 10:12:00</t>
  </si>
  <si>
    <t>2026-08-08 07:42:13.826160</t>
  </si>
  <si>
    <t>LD-305209</t>
  </si>
  <si>
    <t>2025-05-22 18:48:00</t>
  </si>
  <si>
    <t>2025-06-19 11:41:51.800800</t>
  </si>
  <si>
    <t>LD-305210</t>
  </si>
  <si>
    <t>2025-12-11 09:57:00</t>
  </si>
  <si>
    <t>LD-305211</t>
  </si>
  <si>
    <t>2026-01-16 12:09:00</t>
  </si>
  <si>
    <t>2026-02-21 00:26:31.216093</t>
  </si>
  <si>
    <t>LD-305212</t>
  </si>
  <si>
    <t>2026-04-28 16:00:00</t>
  </si>
  <si>
    <t>LD-305213</t>
  </si>
  <si>
    <t>2026-05-12 20:16:00</t>
  </si>
  <si>
    <t>LD-305214</t>
  </si>
  <si>
    <t>2025-10-02 20:59:00</t>
  </si>
  <si>
    <t>LD-305215</t>
  </si>
  <si>
    <t>2025-07-17 20:13:00</t>
  </si>
  <si>
    <t>LD-305216</t>
  </si>
  <si>
    <t>2025-08-26 07:00:00</t>
  </si>
  <si>
    <t>2025-10-01 22:12:05.684145</t>
  </si>
  <si>
    <t>LD-305217</t>
  </si>
  <si>
    <t>2025-07-17 13:36:00</t>
  </si>
  <si>
    <t>LD-305218</t>
  </si>
  <si>
    <t>2025-11-14 11:48:00</t>
  </si>
  <si>
    <t>LD-305219</t>
  </si>
  <si>
    <t>2025-08-08 15:30:00</t>
  </si>
  <si>
    <t>2025-09-14 07:56:57.214180</t>
  </si>
  <si>
    <t>LD-305220</t>
  </si>
  <si>
    <t>2026-02-17 10:51:00</t>
  </si>
  <si>
    <t>LD-305221</t>
  </si>
  <si>
    <t>2026-05-28 07:07:00</t>
  </si>
  <si>
    <t>2026-07-19 20:57:57.094727</t>
  </si>
  <si>
    <t>LD-305222</t>
  </si>
  <si>
    <t>2025-12-05 09:10:00</t>
  </si>
  <si>
    <t>LD-305223</t>
  </si>
  <si>
    <t>2026-02-20 10:29:00</t>
  </si>
  <si>
    <t>2026-04-11 15:04:36.427790</t>
  </si>
  <si>
    <t>LD-305224</t>
  </si>
  <si>
    <t>2026-01-08 07:11:00</t>
  </si>
  <si>
    <t>LD-305225</t>
  </si>
  <si>
    <t>2026-02-16 13:13:00</t>
  </si>
  <si>
    <t>LD-305226</t>
  </si>
  <si>
    <t>2026-05-01 19:30:00</t>
  </si>
  <si>
    <t>LD-305227</t>
  </si>
  <si>
    <t>2025-05-23 17:05:00</t>
  </si>
  <si>
    <t>2025-06-23 12:35:02.629327</t>
  </si>
  <si>
    <t>LD-305228</t>
  </si>
  <si>
    <t>2026-04-02 17:44:00</t>
  </si>
  <si>
    <t>LD-305229</t>
  </si>
  <si>
    <t>2026-04-14 18:47:00</t>
  </si>
  <si>
    <t>LD-305230</t>
  </si>
  <si>
    <t>2025-02-27 16:27:00</t>
  </si>
  <si>
    <t>2025-04-08 20:52:28.157953</t>
  </si>
  <si>
    <t>LD-305231</t>
  </si>
  <si>
    <t>2025-12-25 15:01:00</t>
  </si>
  <si>
    <t>LD-305232</t>
  </si>
  <si>
    <t>2025-06-11 18:08:00</t>
  </si>
  <si>
    <t>LD-305233</t>
  </si>
  <si>
    <t>2026-02-19 07:37:00</t>
  </si>
  <si>
    <t>2026-04-05 03:20:48.964082</t>
  </si>
  <si>
    <t>LD-305234</t>
  </si>
  <si>
    <t>2025-08-11 19:52:00</t>
  </si>
  <si>
    <t>LD-305235</t>
  </si>
  <si>
    <t>2025-08-29 10:49:00</t>
  </si>
  <si>
    <t>LD-305236</t>
  </si>
  <si>
    <t>2026-06-03 18:48:00</t>
  </si>
  <si>
    <t>LD-305237</t>
  </si>
  <si>
    <t>2026-02-15 11:16:00</t>
  </si>
  <si>
    <t>LD-305238</t>
  </si>
  <si>
    <t>2025-05-02 15:13:00</t>
  </si>
  <si>
    <t>2025-06-08 03:38:44.724903</t>
  </si>
  <si>
    <t>LD-305239</t>
  </si>
  <si>
    <t>2026-04-17 19:18:00</t>
  </si>
  <si>
    <t>LD-305240</t>
  </si>
  <si>
    <t>2026-06-01 13:35:00</t>
  </si>
  <si>
    <t>2026-07-01 05:54:00.587619</t>
  </si>
  <si>
    <t>LD-305241</t>
  </si>
  <si>
    <t>2025-07-29 12:45:00</t>
  </si>
  <si>
    <t>2025-08-10 02:44:34.464821</t>
  </si>
  <si>
    <t>LD-305242</t>
  </si>
  <si>
    <t>2025-06-26 14:05:00</t>
  </si>
  <si>
    <t>2025-08-10 02:56:22.205482</t>
  </si>
  <si>
    <t>LD-305243</t>
  </si>
  <si>
    <t>2025-05-15 18:55:00</t>
  </si>
  <si>
    <t>LD-305244</t>
  </si>
  <si>
    <t>2025-03-02 07:28:00</t>
  </si>
  <si>
    <t>LD-305245</t>
  </si>
  <si>
    <t>2025-02-05 13:44:00</t>
  </si>
  <si>
    <t>LD-305246</t>
  </si>
  <si>
    <t>2025-05-13 09:27:00</t>
  </si>
  <si>
    <t>2025-06-06 23:38:26.356810</t>
  </si>
  <si>
    <t>LD-305247</t>
  </si>
  <si>
    <t>2025-09-04 16:00:00</t>
  </si>
  <si>
    <t>LD-305248</t>
  </si>
  <si>
    <t>2025-08-07 15:11:00</t>
  </si>
  <si>
    <t>LD-305249</t>
  </si>
  <si>
    <t>2025-02-07 16:49:00</t>
  </si>
  <si>
    <t>LD-305250</t>
  </si>
  <si>
    <t>2026-06-04 07:51:00</t>
  </si>
  <si>
    <t>2026-07-27 06:05:04.670614</t>
  </si>
  <si>
    <t>LD-305251</t>
  </si>
  <si>
    <t>2025-02-25 10:24:00</t>
  </si>
  <si>
    <t>2025-04-04 04:34:50.464218</t>
  </si>
  <si>
    <t>LD-305252</t>
  </si>
  <si>
    <t>2025-10-24 17:53:00</t>
  </si>
  <si>
    <t>LD-305253</t>
  </si>
  <si>
    <t>2025-06-14 18:35:00</t>
  </si>
  <si>
    <t>LD-305254</t>
  </si>
  <si>
    <t>2025-06-26 14:44:00</t>
  </si>
  <si>
    <t>2025-07-25 09:02:04.822239</t>
  </si>
  <si>
    <t>LD-305255</t>
  </si>
  <si>
    <t>2025-08-19 17:12:00</t>
  </si>
  <si>
    <t>LD-305256</t>
  </si>
  <si>
    <t>2025-03-05 09:56:00</t>
  </si>
  <si>
    <t>2025-04-17 08:53:23.777621</t>
  </si>
  <si>
    <t>LD-305257</t>
  </si>
  <si>
    <t>2026-01-02 07:04:00</t>
  </si>
  <si>
    <t>LD-305258</t>
  </si>
  <si>
    <t>2025-08-06 07:02:00</t>
  </si>
  <si>
    <t>2025-09-03 03:13:13.327746</t>
  </si>
  <si>
    <t>LD-305259</t>
  </si>
  <si>
    <t>2025-04-28 12:58:00</t>
  </si>
  <si>
    <t>2025-06-05 21:33:59.304739</t>
  </si>
  <si>
    <t>LD-305260</t>
  </si>
  <si>
    <t>2026-03-31 16:09:00</t>
  </si>
  <si>
    <t>2026-05-08 23:09:27.940375</t>
  </si>
  <si>
    <t>LD-305261</t>
  </si>
  <si>
    <t>2025-09-16 14:34:00</t>
  </si>
  <si>
    <t>2025-10-08 13:22:40.239496</t>
  </si>
  <si>
    <t>LD-305262</t>
  </si>
  <si>
    <t>2026-05-21 11:07:00</t>
  </si>
  <si>
    <t>2026-06-26 09:29:35.994276</t>
  </si>
  <si>
    <t>LD-305263</t>
  </si>
  <si>
    <t>2025-07-22 10:59:00</t>
  </si>
  <si>
    <t>2025-08-21 20:28:10.582748</t>
  </si>
  <si>
    <t>LD-305264</t>
  </si>
  <si>
    <t>2026-05-22 07:01:00</t>
  </si>
  <si>
    <t>2026-07-09 01:11:56.436295</t>
  </si>
  <si>
    <t>LD-305265</t>
  </si>
  <si>
    <t>2026-02-05 13:27:00</t>
  </si>
  <si>
    <t>LD-305266</t>
  </si>
  <si>
    <t>LD-305267</t>
  </si>
  <si>
    <t>2025-11-26 09:25:00</t>
  </si>
  <si>
    <t>2026-01-05 07:20:38.676822</t>
  </si>
  <si>
    <t>LD-305268</t>
  </si>
  <si>
    <t>2025-04-04 07:00:00</t>
  </si>
  <si>
    <t>2025-05-09 21:56:23.366404</t>
  </si>
  <si>
    <t>LD-305269</t>
  </si>
  <si>
    <t>2025-08-08 16:24:00</t>
  </si>
  <si>
    <t>2025-09-11 01:41:09.749755</t>
  </si>
  <si>
    <t>LD-305270</t>
  </si>
  <si>
    <t>2026-03-13 08:53:00</t>
  </si>
  <si>
    <t>2026-04-20 04:45:56.549413</t>
  </si>
  <si>
    <t>LD-305271</t>
  </si>
  <si>
    <t>2025-05-28 16:23:00</t>
  </si>
  <si>
    <t>LD-305272</t>
  </si>
  <si>
    <t>2025-08-12 09:29:00</t>
  </si>
  <si>
    <t>LD-305273</t>
  </si>
  <si>
    <t>2025-06-03 07:42:00</t>
  </si>
  <si>
    <t>LD-305274</t>
  </si>
  <si>
    <t>2025-09-14 13:51:00</t>
  </si>
  <si>
    <t>2025-11-04 15:14:52.639109</t>
  </si>
  <si>
    <t>LD-305275</t>
  </si>
  <si>
    <t>2025-02-05 09:36:00</t>
  </si>
  <si>
    <t>2025-03-26 20:28:12.969549</t>
  </si>
  <si>
    <t>LD-305276</t>
  </si>
  <si>
    <t>2026-02-10 17:24:00</t>
  </si>
  <si>
    <t>LD-305277</t>
  </si>
  <si>
    <t>2026-01-28 19:23:00</t>
  </si>
  <si>
    <t>2026-03-14 07:01:30.502255</t>
  </si>
  <si>
    <t>LD-305278</t>
  </si>
  <si>
    <t>2025-12-01 07:49:00</t>
  </si>
  <si>
    <t>2026-01-13 21:06:44.859620</t>
  </si>
  <si>
    <t>LD-305279</t>
  </si>
  <si>
    <t>2026-03-20 11:15:00</t>
  </si>
  <si>
    <t>2026-04-18 21:08:08.107574</t>
  </si>
  <si>
    <t>LD-305280</t>
  </si>
  <si>
    <t>2026-01-01 16:12:00</t>
  </si>
  <si>
    <t>2026-02-08 00:31:10.678293</t>
  </si>
  <si>
    <t>LD-305281</t>
  </si>
  <si>
    <t>2025-06-13 16:24:00</t>
  </si>
  <si>
    <t>2025-07-12 00:20:42.082054</t>
  </si>
  <si>
    <t>LD-305282</t>
  </si>
  <si>
    <t>2026-05-01 14:49:00</t>
  </si>
  <si>
    <t>2026-06-22 17:20:17.582955</t>
  </si>
  <si>
    <t>LD-305283</t>
  </si>
  <si>
    <t>2025-11-28 12:58:00</t>
  </si>
  <si>
    <t>2026-01-09 00:48:54.381518</t>
  </si>
  <si>
    <t>LD-305284</t>
  </si>
  <si>
    <t>2025-08-07 07:30:00</t>
  </si>
  <si>
    <t>LD-305285</t>
  </si>
  <si>
    <t>2025-08-31 18:15:00</t>
  </si>
  <si>
    <t>LD-305286</t>
  </si>
  <si>
    <t>2026-01-09 11:06:00</t>
  </si>
  <si>
    <t>2026-02-24 21:13:29.307191</t>
  </si>
  <si>
    <t>LD-305287</t>
  </si>
  <si>
    <t>2026-02-26 15:25:00</t>
  </si>
  <si>
    <t>LD-305288</t>
  </si>
  <si>
    <t>2025-10-12 12:31:00</t>
  </si>
  <si>
    <t>2025-11-03 20:01:37.284613</t>
  </si>
  <si>
    <t>LD-305289</t>
  </si>
  <si>
    <t>2025-07-11 08:30:00</t>
  </si>
  <si>
    <t>LD-305290</t>
  </si>
  <si>
    <t>2026-01-09 08:39:00</t>
  </si>
  <si>
    <t>LD-305291</t>
  </si>
  <si>
    <t>2025-11-05 20:41:00</t>
  </si>
  <si>
    <t>LD-305292</t>
  </si>
  <si>
    <t>2025-04-30 14:28:00</t>
  </si>
  <si>
    <t>LD-305293</t>
  </si>
  <si>
    <t>2026-03-13 11:36:00</t>
  </si>
  <si>
    <t>LD-305294</t>
  </si>
  <si>
    <t>2025-06-19 08:50:00</t>
  </si>
  <si>
    <t>LD-305295</t>
  </si>
  <si>
    <t>2025-06-16 19:00:00</t>
  </si>
  <si>
    <t>LD-305296</t>
  </si>
  <si>
    <t>2025-05-27 20:29:00</t>
  </si>
  <si>
    <t>2025-07-04 01:13:25.126099</t>
  </si>
  <si>
    <t>LD-305297</t>
  </si>
  <si>
    <t>2025-01-11 15:30:00</t>
  </si>
  <si>
    <t>LD-305298</t>
  </si>
  <si>
    <t>2026-04-05 14:17:00</t>
  </si>
  <si>
    <t>LD-305299</t>
  </si>
  <si>
    <t>2025-02-21 18:47:00</t>
  </si>
  <si>
    <t>2025-04-04 11:56:16.362429</t>
  </si>
  <si>
    <t>LD-305300</t>
  </si>
  <si>
    <t>2025-09-05 12:41:00</t>
  </si>
  <si>
    <t>LD-305301</t>
  </si>
  <si>
    <t>2026-04-14 09:04:00</t>
  </si>
  <si>
    <t>LD-305302</t>
  </si>
  <si>
    <t>2025-08-15 20:04:00</t>
  </si>
  <si>
    <t>2025-09-15 18:50:02.658768</t>
  </si>
  <si>
    <t>LD-305303</t>
  </si>
  <si>
    <t>2025-07-14 15:02:00</t>
  </si>
  <si>
    <t>LD-305304</t>
  </si>
  <si>
    <t>2025-09-25 19:43:00</t>
  </si>
  <si>
    <t>LD-305305</t>
  </si>
  <si>
    <t>2025-01-31 15:31:00</t>
  </si>
  <si>
    <t>LD-305306</t>
  </si>
  <si>
    <t>2025-08-01 15:11:00</t>
  </si>
  <si>
    <t>2025-09-10 01:17:36.442731</t>
  </si>
  <si>
    <t>LD-305307</t>
  </si>
  <si>
    <t>2026-05-22 10:29:00</t>
  </si>
  <si>
    <t>LD-305308</t>
  </si>
  <si>
    <t>2025-12-31 09:16:00</t>
  </si>
  <si>
    <t>LD-305309</t>
  </si>
  <si>
    <t>2025-12-12 17:35:00</t>
  </si>
  <si>
    <t>LD-305310</t>
  </si>
  <si>
    <t>2025-07-07 10:34:00</t>
  </si>
  <si>
    <t>2025-08-16 05:41:06.325490</t>
  </si>
  <si>
    <t>LD-305311</t>
  </si>
  <si>
    <t>2026-06-25 19:38:00</t>
  </si>
  <si>
    <t>2026-07-25 03:16:15.837960</t>
  </si>
  <si>
    <t>LD-305312</t>
  </si>
  <si>
    <t>2025-09-22 14:26:00</t>
  </si>
  <si>
    <t>LD-305313</t>
  </si>
  <si>
    <t>2026-01-31 12:33:00</t>
  </si>
  <si>
    <t>LD-305314</t>
  </si>
  <si>
    <t>2026-02-11 08:38:00</t>
  </si>
  <si>
    <t>LD-305315</t>
  </si>
  <si>
    <t>2026-03-25 16:16:00</t>
  </si>
  <si>
    <t>LD-305316</t>
  </si>
  <si>
    <t>LD-305317</t>
  </si>
  <si>
    <t>2025-09-21 16:06:00</t>
  </si>
  <si>
    <t>LD-305318</t>
  </si>
  <si>
    <t>2026-02-02 15:03:38.637793</t>
  </si>
  <si>
    <t>LD-305319</t>
  </si>
  <si>
    <t>2026-04-10 13:55:00</t>
  </si>
  <si>
    <t>2026-05-28 11:44:43.112607</t>
  </si>
  <si>
    <t>LD-305320</t>
  </si>
  <si>
    <t>2025-09-01 07:09:00</t>
  </si>
  <si>
    <t>LD-305321</t>
  </si>
  <si>
    <t>2025-05-23 12:29:00</t>
  </si>
  <si>
    <t>LD-305322</t>
  </si>
  <si>
    <t>2025-01-07 10:21:00</t>
  </si>
  <si>
    <t>2025-02-19 06:23:19.357795</t>
  </si>
  <si>
    <t>LD-305323</t>
  </si>
  <si>
    <t>2025-11-07 10:26:00</t>
  </si>
  <si>
    <t>LD-305324</t>
  </si>
  <si>
    <t>2026-05-24 15:57:00</t>
  </si>
  <si>
    <t>LD-305325</t>
  </si>
  <si>
    <t>2026-02-09 12:40:00</t>
  </si>
  <si>
    <t>LD-305326</t>
  </si>
  <si>
    <t>LD-305327</t>
  </si>
  <si>
    <t>2025-07-11 12:55:00</t>
  </si>
  <si>
    <t>2025-08-27 13:29:59.477756</t>
  </si>
  <si>
    <t>LD-305328</t>
  </si>
  <si>
    <t>2025-12-29 17:12:00</t>
  </si>
  <si>
    <t>LD-305329</t>
  </si>
  <si>
    <t>2025-05-09 13:28:00</t>
  </si>
  <si>
    <t>2025-06-09 03:52:36.846426</t>
  </si>
  <si>
    <t>LD-305330</t>
  </si>
  <si>
    <t>2025-12-10 12:37:00</t>
  </si>
  <si>
    <t>LD-305331</t>
  </si>
  <si>
    <t>2025-05-20 17:57:00</t>
  </si>
  <si>
    <t>2025-06-21 19:38:34.047918</t>
  </si>
  <si>
    <t>LD-305332</t>
  </si>
  <si>
    <t>2025-01-31 14:54:00</t>
  </si>
  <si>
    <t>2025-03-15 17:31:00.961339</t>
  </si>
  <si>
    <t>LD-305333</t>
  </si>
  <si>
    <t>2025-08-08 14:28:00</t>
  </si>
  <si>
    <t>2025-09-12 04:30:49.696468</t>
  </si>
  <si>
    <t>LD-305334</t>
  </si>
  <si>
    <t>2026-04-17 14:54:00</t>
  </si>
  <si>
    <t>LD-305335</t>
  </si>
  <si>
    <t>2025-09-05 20:43:00</t>
  </si>
  <si>
    <t>2025-10-12 08:12:32.492127</t>
  </si>
  <si>
    <t>LD-305336</t>
  </si>
  <si>
    <t>2026-01-01 16:37:00</t>
  </si>
  <si>
    <t>LD-305337</t>
  </si>
  <si>
    <t>2025-10-15 08:13:00</t>
  </si>
  <si>
    <t>LD-305338</t>
  </si>
  <si>
    <t>2025-07-10 17:46:00</t>
  </si>
  <si>
    <t>2025-08-20 21:54:58.701925</t>
  </si>
  <si>
    <t>LD-305339</t>
  </si>
  <si>
    <t>2025-08-29 13:28:00</t>
  </si>
  <si>
    <t>2025-09-22 15:19:10.505343</t>
  </si>
  <si>
    <t>LD-305340</t>
  </si>
  <si>
    <t>2026-01-30 13:29:00</t>
  </si>
  <si>
    <t>LD-305341</t>
  </si>
  <si>
    <t>2025-03-28 16:25:00</t>
  </si>
  <si>
    <t>LD-305342</t>
  </si>
  <si>
    <t>2025-01-06 10:44:00</t>
  </si>
  <si>
    <t>LD-305343</t>
  </si>
  <si>
    <t>2025-08-04 08:21:00</t>
  </si>
  <si>
    <t>2025-09-26 23:21:27.253467</t>
  </si>
  <si>
    <t>LD-305344</t>
  </si>
  <si>
    <t>2026-05-25 10:47:00</t>
  </si>
  <si>
    <t>2026-07-06 06:20:25.993103</t>
  </si>
  <si>
    <t>LD-305345</t>
  </si>
  <si>
    <t>2025-11-01 08:08:00</t>
  </si>
  <si>
    <t>LD-305346</t>
  </si>
  <si>
    <t>2026-02-11 13:22:00</t>
  </si>
  <si>
    <t>2026-03-12 19:21:12.928602</t>
  </si>
  <si>
    <t>LD-305347</t>
  </si>
  <si>
    <t>2025-01-27 17:33:00</t>
  </si>
  <si>
    <t>LD-305348</t>
  </si>
  <si>
    <t>2025-10-17 19:07:00</t>
  </si>
  <si>
    <t>LD-305349</t>
  </si>
  <si>
    <t>2025-06-07 14:53:00</t>
  </si>
  <si>
    <t>2025-07-06 17:10:46.452230</t>
  </si>
  <si>
    <t>LD-305350</t>
  </si>
  <si>
    <t>2025-10-28 10:15:00</t>
  </si>
  <si>
    <t>2025-12-06 05:02:49.946627</t>
  </si>
  <si>
    <t>LD-305351</t>
  </si>
  <si>
    <t>2025-10-28 19:37:00</t>
  </si>
  <si>
    <t>LD-305352</t>
  </si>
  <si>
    <t>2025-06-30 19:36:00</t>
  </si>
  <si>
    <t>LD-305353</t>
  </si>
  <si>
    <t>2025-03-30 18:29:00</t>
  </si>
  <si>
    <t>LD-305354</t>
  </si>
  <si>
    <t>2026-06-26 19:45:00</t>
  </si>
  <si>
    <t>LD-305355</t>
  </si>
  <si>
    <t>2026-06-18 10:12:00</t>
  </si>
  <si>
    <t>LD-305356</t>
  </si>
  <si>
    <t>2026-05-07 14:39:00</t>
  </si>
  <si>
    <t>LD-305357</t>
  </si>
  <si>
    <t>2025-09-24 14:14:00</t>
  </si>
  <si>
    <t>LD-305358</t>
  </si>
  <si>
    <t>2025-08-09 07:19:00</t>
  </si>
  <si>
    <t>2025-09-09 15:22:11.203984</t>
  </si>
  <si>
    <t>LD-305359</t>
  </si>
  <si>
    <t>2026-03-18 11:24:00</t>
  </si>
  <si>
    <t>LD-305360</t>
  </si>
  <si>
    <t>2025-07-31 12:37:00</t>
  </si>
  <si>
    <t>LD-305361</t>
  </si>
  <si>
    <t>LD-305362</t>
  </si>
  <si>
    <t>2026-05-14 14:27:00</t>
  </si>
  <si>
    <t>LD-305363</t>
  </si>
  <si>
    <t>2025-02-08 16:34:00</t>
  </si>
  <si>
    <t>LD-305364</t>
  </si>
  <si>
    <t>2026-04-16 08:38:00</t>
  </si>
  <si>
    <t>2026-05-24 11:18:24.772053</t>
  </si>
  <si>
    <t>LD-305365</t>
  </si>
  <si>
    <t>2025-10-10 12:11:00</t>
  </si>
  <si>
    <t>LD-305366</t>
  </si>
  <si>
    <t>2025-03-15 19:21:00</t>
  </si>
  <si>
    <t>LD-305367</t>
  </si>
  <si>
    <t>2026-02-04 17:14:00</t>
  </si>
  <si>
    <t>LD-305368</t>
  </si>
  <si>
    <t>2026-03-29 08:42:00</t>
  </si>
  <si>
    <t>2026-05-13 06:30:10.510130</t>
  </si>
  <si>
    <t>LD-305369</t>
  </si>
  <si>
    <t>2025-06-27 18:59:00</t>
  </si>
  <si>
    <t>LD-305370</t>
  </si>
  <si>
    <t>2026-01-09 09:43:00</t>
  </si>
  <si>
    <t>LD-305371</t>
  </si>
  <si>
    <t>2026-05-07 20:06:00</t>
  </si>
  <si>
    <t>LD-305372</t>
  </si>
  <si>
    <t>2025-11-07 10:28:00</t>
  </si>
  <si>
    <t>2025-12-23 10:19:52.972102</t>
  </si>
  <si>
    <t>LD-305373</t>
  </si>
  <si>
    <t>2025-10-20 08:25:00</t>
  </si>
  <si>
    <t>LD-305374</t>
  </si>
  <si>
    <t>2026-02-15 07:07:00</t>
  </si>
  <si>
    <t>LD-305375</t>
  </si>
  <si>
    <t>2025-03-19 15:29:00</t>
  </si>
  <si>
    <t>LD-305376</t>
  </si>
  <si>
    <t>2025-02-21 15:23:00</t>
  </si>
  <si>
    <t>LD-305377</t>
  </si>
  <si>
    <t>2026-04-14 17:12:00</t>
  </si>
  <si>
    <t>LD-305378</t>
  </si>
  <si>
    <t>2025-03-21 07:45:00</t>
  </si>
  <si>
    <t>2025-04-21 14:37:18.356140</t>
  </si>
  <si>
    <t>LD-305379</t>
  </si>
  <si>
    <t>2025-10-21 19:20:00</t>
  </si>
  <si>
    <t>LD-305380</t>
  </si>
  <si>
    <t>2025-08-05 08:20:00</t>
  </si>
  <si>
    <t>2025-09-06 10:41:10.895803</t>
  </si>
  <si>
    <t>LD-305381</t>
  </si>
  <si>
    <t>2026-02-25 11:36:00</t>
  </si>
  <si>
    <t>LD-305382</t>
  </si>
  <si>
    <t>2025-10-23 11:59:00</t>
  </si>
  <si>
    <t>LD-305383</t>
  </si>
  <si>
    <t>2025-08-18 17:57:00</t>
  </si>
  <si>
    <t>LD-305384</t>
  </si>
  <si>
    <t>2026-04-20 16:48:00</t>
  </si>
  <si>
    <t>2026-05-30 20:57:00.845950</t>
  </si>
  <si>
    <t>LD-305385</t>
  </si>
  <si>
    <t>2026-04-29 13:44:00</t>
  </si>
  <si>
    <t>2026-05-23 10:44:56.948787</t>
  </si>
  <si>
    <t>LD-305386</t>
  </si>
  <si>
    <t>2025-01-24 18:09:00</t>
  </si>
  <si>
    <t>LD-305387</t>
  </si>
  <si>
    <t>2026-05-20 09:37:00</t>
  </si>
  <si>
    <t>LD-305388</t>
  </si>
  <si>
    <t>2026-01-02 07:18:00</t>
  </si>
  <si>
    <t>LD-305389</t>
  </si>
  <si>
    <t>2025-10-10 16:48:00</t>
  </si>
  <si>
    <t>LD-305390</t>
  </si>
  <si>
    <t>2026-02-12 08:18:00</t>
  </si>
  <si>
    <t>2026-03-10 00:08:02.558856</t>
  </si>
  <si>
    <t>LD-305391</t>
  </si>
  <si>
    <t>2025-07-04 10:59:00</t>
  </si>
  <si>
    <t>LD-305392</t>
  </si>
  <si>
    <t>2025-09-19 16:04:00</t>
  </si>
  <si>
    <t>2025-10-28 23:34:07.516809</t>
  </si>
  <si>
    <t>LD-305393</t>
  </si>
  <si>
    <t>2025-09-26 20:04:00</t>
  </si>
  <si>
    <t>LD-305394</t>
  </si>
  <si>
    <t>2025-12-22 05:49:03.834063</t>
  </si>
  <si>
    <t>LD-305395</t>
  </si>
  <si>
    <t>2025-10-10 07:24:00</t>
  </si>
  <si>
    <t>LD-305396</t>
  </si>
  <si>
    <t>2026-06-22 14:15:00</t>
  </si>
  <si>
    <t>2026-07-15 05:43:40.350256</t>
  </si>
  <si>
    <t>LD-305397</t>
  </si>
  <si>
    <t>2025-08-06 07:23:00</t>
  </si>
  <si>
    <t>LD-305398</t>
  </si>
  <si>
    <t>2026-02-06 16:49:00</t>
  </si>
  <si>
    <t>LD-305399</t>
  </si>
  <si>
    <t>2025-01-13 16:20:00</t>
  </si>
  <si>
    <t>LD-305400</t>
  </si>
  <si>
    <t>2025-03-26 09:49:00</t>
  </si>
  <si>
    <t>2025-05-06 14:25:10.796069</t>
  </si>
  <si>
    <t>LD-305401</t>
  </si>
  <si>
    <t>2025-07-27 10:29:00</t>
  </si>
  <si>
    <t>2025-09-07 15:26:26.263000</t>
  </si>
  <si>
    <t>LD-305402</t>
  </si>
  <si>
    <t>2025-07-03 12:13:00</t>
  </si>
  <si>
    <t>LD-305403</t>
  </si>
  <si>
    <t>2025-03-28 13:39:00</t>
  </si>
  <si>
    <t>2025-04-28 06:58:01.794235</t>
  </si>
  <si>
    <t>LD-305404</t>
  </si>
  <si>
    <t>2026-02-02 15:18:00</t>
  </si>
  <si>
    <t>LD-305405</t>
  </si>
  <si>
    <t>2025-05-04 17:16:00</t>
  </si>
  <si>
    <t>2025-06-22 15:47:48.702817</t>
  </si>
  <si>
    <t>LD-305406</t>
  </si>
  <si>
    <t>2025-12-12 19:00:00</t>
  </si>
  <si>
    <t>LD-305407</t>
  </si>
  <si>
    <t>2025-10-17 19:39:00</t>
  </si>
  <si>
    <t>LD-305408</t>
  </si>
  <si>
    <t>2025-10-10 07:21:00</t>
  </si>
  <si>
    <t>LD-305409</t>
  </si>
  <si>
    <t>2025-12-06 11:25:00</t>
  </si>
  <si>
    <t>2026-01-09 19:14:58.137078</t>
  </si>
  <si>
    <t>LD-305410</t>
  </si>
  <si>
    <t>2025-07-15 18:08:00</t>
  </si>
  <si>
    <t>LD-305411</t>
  </si>
  <si>
    <t>2026-05-05 10:46:00</t>
  </si>
  <si>
    <t>2026-06-07 02:21:09.063473</t>
  </si>
  <si>
    <t>LD-305412</t>
  </si>
  <si>
    <t>2025-05-16 19:18:00</t>
  </si>
  <si>
    <t>LD-305413</t>
  </si>
  <si>
    <t>2025-01-19 19:21:00</t>
  </si>
  <si>
    <t>LD-305414</t>
  </si>
  <si>
    <t>2025-03-28 15:10:00</t>
  </si>
  <si>
    <t>LD-305415</t>
  </si>
  <si>
    <t>2026-06-02 11:37:00</t>
  </si>
  <si>
    <t>LD-305416</t>
  </si>
  <si>
    <t>2025-10-02 14:07:00</t>
  </si>
  <si>
    <t>LD-305417</t>
  </si>
  <si>
    <t>2025-11-26 10:26:00</t>
  </si>
  <si>
    <t>LD-305418</t>
  </si>
  <si>
    <t>2025-10-10 17:16:00</t>
  </si>
  <si>
    <t>LD-305419</t>
  </si>
  <si>
    <t>2026-01-29 07:29:00</t>
  </si>
  <si>
    <t>LD-305420</t>
  </si>
  <si>
    <t>2025-05-23 10:06:00</t>
  </si>
  <si>
    <t>2025-06-22 03:36:59.780940</t>
  </si>
  <si>
    <t>LD-305421</t>
  </si>
  <si>
    <t>2025-06-12 10:31:00</t>
  </si>
  <si>
    <t>LD-305422</t>
  </si>
  <si>
    <t>2026-02-27 15:48:00</t>
  </si>
  <si>
    <t>LD-305423</t>
  </si>
  <si>
    <t>2025-01-06 12:36:00</t>
  </si>
  <si>
    <t>LD-305424</t>
  </si>
  <si>
    <t>2026-04-07 15:45:00</t>
  </si>
  <si>
    <t>2026-05-17 22:08:24.161530</t>
  </si>
  <si>
    <t>LD-305425</t>
  </si>
  <si>
    <t>2026-02-03 20:50:00</t>
  </si>
  <si>
    <t>LD-305426</t>
  </si>
  <si>
    <t>2025-03-07 13:02:00</t>
  </si>
  <si>
    <t>2025-04-06 23:41:27.794002</t>
  </si>
  <si>
    <t>LD-305427</t>
  </si>
  <si>
    <t>2025-09-05 17:36:00</t>
  </si>
  <si>
    <t>2025-09-28 20:33:23.565802</t>
  </si>
  <si>
    <t>LD-305428</t>
  </si>
  <si>
    <t>2026-04-17 17:52:00</t>
  </si>
  <si>
    <t>LD-305429</t>
  </si>
  <si>
    <t>2025-07-16 20:08:00</t>
  </si>
  <si>
    <t>2025-09-01 00:34:09.790834</t>
  </si>
  <si>
    <t>LD-305430</t>
  </si>
  <si>
    <t>2025-05-08 10:03:00</t>
  </si>
  <si>
    <t>2025-06-24 03:11:17.660741</t>
  </si>
  <si>
    <t>LD-305431</t>
  </si>
  <si>
    <t>2025-12-20 13:27:00</t>
  </si>
  <si>
    <t>LD-305432</t>
  </si>
  <si>
    <t>2026-06-27 07:36:00</t>
  </si>
  <si>
    <t>LD-305433</t>
  </si>
  <si>
    <t>2026-05-02 08:49:00</t>
  </si>
  <si>
    <t>LD-305434</t>
  </si>
  <si>
    <t>2025-09-26 08:55:00</t>
  </si>
  <si>
    <t>2025-11-08 02:43:31.814067</t>
  </si>
  <si>
    <t>LD-305435</t>
  </si>
  <si>
    <t>2026-04-24 19:38:00</t>
  </si>
  <si>
    <t>2026-05-30 02:35:32.659308</t>
  </si>
  <si>
    <t>LD-305436</t>
  </si>
  <si>
    <t>2026-01-18 17:48:00</t>
  </si>
  <si>
    <t>2026-02-18 07:53:06.843750</t>
  </si>
  <si>
    <t>LD-305437</t>
  </si>
  <si>
    <t>2026-02-24 14:03:00</t>
  </si>
  <si>
    <t>2026-03-30 10:53:51.494186</t>
  </si>
  <si>
    <t>LD-305438</t>
  </si>
  <si>
    <t>2026-06-18 13:01:00</t>
  </si>
  <si>
    <t>LD-305439</t>
  </si>
  <si>
    <t>2025-12-03 16:24:00</t>
  </si>
  <si>
    <t>LD-305440</t>
  </si>
  <si>
    <t>2026-04-16 10:42:00</t>
  </si>
  <si>
    <t>LD-305441</t>
  </si>
  <si>
    <t>2025-08-21 12:56:00</t>
  </si>
  <si>
    <t>LD-305442</t>
  </si>
  <si>
    <t>2026-06-03 11:40:00</t>
  </si>
  <si>
    <t>LD-305443</t>
  </si>
  <si>
    <t>2025-05-13 15:03:00</t>
  </si>
  <si>
    <t>LD-305444</t>
  </si>
  <si>
    <t>2026-06-24 07:55:00</t>
  </si>
  <si>
    <t>LD-305445</t>
  </si>
  <si>
    <t>2026-06-11 15:10:00</t>
  </si>
  <si>
    <t>2026-07-16 23:22:06.843089</t>
  </si>
  <si>
    <t>LD-305446</t>
  </si>
  <si>
    <t>2026-01-06 20:07:00</t>
  </si>
  <si>
    <t>LD-305447</t>
  </si>
  <si>
    <t>2025-11-08 19:07:00</t>
  </si>
  <si>
    <t>2025-12-23 15:43:42.511637</t>
  </si>
  <si>
    <t>LD-305448</t>
  </si>
  <si>
    <t>2026-04-23 12:00:00</t>
  </si>
  <si>
    <t>LD-305449</t>
  </si>
  <si>
    <t>LD-305450</t>
  </si>
  <si>
    <t>2026-02-10 17:29:00</t>
  </si>
  <si>
    <t>2026-03-10 21:53:34.226322</t>
  </si>
  <si>
    <t>LD-305451</t>
  </si>
  <si>
    <t>2025-12-25 07:32:00</t>
  </si>
  <si>
    <t>LD-305452</t>
  </si>
  <si>
    <t>2025-02-08 17:32:00</t>
  </si>
  <si>
    <t>2025-03-04 01:40:15.016435</t>
  </si>
  <si>
    <t>LD-305453</t>
  </si>
  <si>
    <t>2026-02-18 10:55:00</t>
  </si>
  <si>
    <t>LD-305454</t>
  </si>
  <si>
    <t>2026-06-01 15:03:00</t>
  </si>
  <si>
    <t>LD-305455</t>
  </si>
  <si>
    <t>2025-05-30 07:41:00</t>
  </si>
  <si>
    <t>LD-305456</t>
  </si>
  <si>
    <t>2025-05-21 20:46:00</t>
  </si>
  <si>
    <t>LD-305457</t>
  </si>
  <si>
    <t>2025-07-25 16:11:00</t>
  </si>
  <si>
    <t>2025-08-31 14:10:44.643477</t>
  </si>
  <si>
    <t>LD-305458</t>
  </si>
  <si>
    <t>2025-11-03 11:58:00</t>
  </si>
  <si>
    <t>2025-12-11 11:03:00.002238</t>
  </si>
  <si>
    <t>LD-305459</t>
  </si>
  <si>
    <t>2025-03-28 17:21:00</t>
  </si>
  <si>
    <t>LD-305460</t>
  </si>
  <si>
    <t>2025-07-17 10:47:00</t>
  </si>
  <si>
    <t>2025-08-23 00:13:33.426836</t>
  </si>
  <si>
    <t>LD-305461</t>
  </si>
  <si>
    <t>2025-06-13 13:58:00</t>
  </si>
  <si>
    <t>2025-07-16 04:59:38.915439</t>
  </si>
  <si>
    <t>LD-305462</t>
  </si>
  <si>
    <t>2026-01-23 17:51:00</t>
  </si>
  <si>
    <t>LD-305463</t>
  </si>
  <si>
    <t>2026-01-12 13:38:00</t>
  </si>
  <si>
    <t>2026-02-06 00:01:18.668871</t>
  </si>
  <si>
    <t>LD-305464</t>
  </si>
  <si>
    <t>2025-10-05 12:38:00</t>
  </si>
  <si>
    <t>LD-305465</t>
  </si>
  <si>
    <t>2025-08-24 16:15:00</t>
  </si>
  <si>
    <t>2025-10-10 15:02:25.234998</t>
  </si>
  <si>
    <t>LD-305466</t>
  </si>
  <si>
    <t>2025-03-06 12:15:00</t>
  </si>
  <si>
    <t>LD-305467</t>
  </si>
  <si>
    <t>2025-02-01 12:11:00</t>
  </si>
  <si>
    <t>LD-305468</t>
  </si>
  <si>
    <t>2025-05-30 13:23:00</t>
  </si>
  <si>
    <t>LD-305469</t>
  </si>
  <si>
    <t>2025-04-25 07:59:00</t>
  </si>
  <si>
    <t>LD-305470</t>
  </si>
  <si>
    <t>2025-11-12 07:30:00</t>
  </si>
  <si>
    <t>2025-12-22 12:23:26.909182</t>
  </si>
  <si>
    <t>LD-305471</t>
  </si>
  <si>
    <t>2026-02-03 18:02:00</t>
  </si>
  <si>
    <t>LD-305472</t>
  </si>
  <si>
    <t>2025-09-12 07:01:00</t>
  </si>
  <si>
    <t>2025-10-19 05:24:23.004466</t>
  </si>
  <si>
    <t>LD-305473</t>
  </si>
  <si>
    <t>2025-05-16 14:31:00</t>
  </si>
  <si>
    <t>LD-305474</t>
  </si>
  <si>
    <t>2025-09-12 10:14:00</t>
  </si>
  <si>
    <t>LD-305475</t>
  </si>
  <si>
    <t>2026-02-04 17:06:00</t>
  </si>
  <si>
    <t>LD-305476</t>
  </si>
  <si>
    <t>2026-03-05 11:12:00</t>
  </si>
  <si>
    <t>2026-04-05 16:27:56.230556</t>
  </si>
  <si>
    <t>LD-305477</t>
  </si>
  <si>
    <t>2026-02-13 13:53:00</t>
  </si>
  <si>
    <t>LD-305478</t>
  </si>
  <si>
    <t>2026-04-05 14:38:00</t>
  </si>
  <si>
    <t>LD-305479</t>
  </si>
  <si>
    <t>2025-12-25 09:13:00</t>
  </si>
  <si>
    <t>LD-305480</t>
  </si>
  <si>
    <t>2026-05-07 18:17:00</t>
  </si>
  <si>
    <t>LD-305481</t>
  </si>
  <si>
    <t>2025-07-22 09:25:00</t>
  </si>
  <si>
    <t>2025-08-21 01:09:39.335229</t>
  </si>
  <si>
    <t>LD-305482</t>
  </si>
  <si>
    <t>2025-11-19 09:15:00</t>
  </si>
  <si>
    <t>2025-12-27 21:27:27.465345</t>
  </si>
  <si>
    <t>LD-305483</t>
  </si>
  <si>
    <t>2025-10-27 20:43:00</t>
  </si>
  <si>
    <t>LD-305484</t>
  </si>
  <si>
    <t>2025-08-16 11:56:00</t>
  </si>
  <si>
    <t>LD-305485</t>
  </si>
  <si>
    <t>2025-07-25 10:13:00</t>
  </si>
  <si>
    <t>LD-305486</t>
  </si>
  <si>
    <t>2025-03-28 07:24:00</t>
  </si>
  <si>
    <t>LD-305487</t>
  </si>
  <si>
    <t>2025-03-20 07:43:00</t>
  </si>
  <si>
    <t>LD-305488</t>
  </si>
  <si>
    <t>2026-04-28 13:48:00</t>
  </si>
  <si>
    <t>LD-305489</t>
  </si>
  <si>
    <t>2026-04-06 20:56:00</t>
  </si>
  <si>
    <t>LD-305490</t>
  </si>
  <si>
    <t>2025-05-29 09:32:00</t>
  </si>
  <si>
    <t>LD-305491</t>
  </si>
  <si>
    <t>2026-03-27 12:53:00</t>
  </si>
  <si>
    <t>LD-305492</t>
  </si>
  <si>
    <t>2025-01-31 09:40:00</t>
  </si>
  <si>
    <t>LD-305493</t>
  </si>
  <si>
    <t>2025-10-31 11:39:00</t>
  </si>
  <si>
    <t>2025-12-06 11:25:22.818438</t>
  </si>
  <si>
    <t>LD-305494</t>
  </si>
  <si>
    <t>2025-09-12 12:36:00</t>
  </si>
  <si>
    <t>LD-305495</t>
  </si>
  <si>
    <t>2026-04-08 18:19:00</t>
  </si>
  <si>
    <t>LD-305496</t>
  </si>
  <si>
    <t>2025-02-18 14:21:00</t>
  </si>
  <si>
    <t>2025-04-04 05:52:40.746029</t>
  </si>
  <si>
    <t>LD-305497</t>
  </si>
  <si>
    <t>2026-02-13 13:12:00</t>
  </si>
  <si>
    <t>2026-04-05 13:21:44.318694</t>
  </si>
  <si>
    <t>LD-305498</t>
  </si>
  <si>
    <t>2025-07-25 18:14:00</t>
  </si>
  <si>
    <t>LD-305499</t>
  </si>
  <si>
    <t>2026-05-27 10:20:00</t>
  </si>
  <si>
    <t>LD-305500</t>
  </si>
  <si>
    <t>2026-06-12 13:07:00</t>
  </si>
  <si>
    <t>2026-07-24 05:53:09.007110</t>
  </si>
  <si>
    <t>LD-305501</t>
  </si>
  <si>
    <t>2026-01-31 16:23:00</t>
  </si>
  <si>
    <t>LD-305502</t>
  </si>
  <si>
    <t>2025-11-21 14:26:00</t>
  </si>
  <si>
    <t>2026-01-14 11:16:49.625163</t>
  </si>
  <si>
    <t>LD-305503</t>
  </si>
  <si>
    <t>2025-08-31 17:11:00</t>
  </si>
  <si>
    <t>LD-305504</t>
  </si>
  <si>
    <t>2025-09-27 16:09:00</t>
  </si>
  <si>
    <t>LD-305505</t>
  </si>
  <si>
    <t>2025-12-18 12:46:00</t>
  </si>
  <si>
    <t>LD-305506</t>
  </si>
  <si>
    <t>2025-12-01 12:36:00</t>
  </si>
  <si>
    <t>LD-305507</t>
  </si>
  <si>
    <t>2026-06-14 10:20:00</t>
  </si>
  <si>
    <t>2026-07-31 03:53:49.177566</t>
  </si>
  <si>
    <t>LD-305508</t>
  </si>
  <si>
    <t>2025-05-29 11:55:00</t>
  </si>
  <si>
    <t>2025-07-11 15:53:10.901431</t>
  </si>
  <si>
    <t>LD-305509</t>
  </si>
  <si>
    <t>2025-12-16 12:22:00</t>
  </si>
  <si>
    <t>LD-305510</t>
  </si>
  <si>
    <t>2025-10-30 14:09:00</t>
  </si>
  <si>
    <t>LD-305511</t>
  </si>
  <si>
    <t>2026-05-22 08:56:00</t>
  </si>
  <si>
    <t>LD-305512</t>
  </si>
  <si>
    <t>2025-06-04 17:04:00</t>
  </si>
  <si>
    <t>2025-07-01 00:07:48.148603</t>
  </si>
  <si>
    <t>LD-305513</t>
  </si>
  <si>
    <t>2025-01-21 19:02:00</t>
  </si>
  <si>
    <t>LD-305514</t>
  </si>
  <si>
    <t>LD-305515</t>
  </si>
  <si>
    <t>2025-10-13 20:15:00</t>
  </si>
  <si>
    <t>LD-305516</t>
  </si>
  <si>
    <t>2025-12-10 09:17:00</t>
  </si>
  <si>
    <t>LD-305517</t>
  </si>
  <si>
    <t>2025-06-09 16:42:00</t>
  </si>
  <si>
    <t>LD-305518</t>
  </si>
  <si>
    <t>2026-03-24 15:02:00</t>
  </si>
  <si>
    <t>LD-305519</t>
  </si>
  <si>
    <t>2025-06-05 11:03:00</t>
  </si>
  <si>
    <t>LD-305520</t>
  </si>
  <si>
    <t>2026-04-17 15:24:00</t>
  </si>
  <si>
    <t>LD-305521</t>
  </si>
  <si>
    <t>2025-01-03 14:23:00</t>
  </si>
  <si>
    <t>2025-02-08 08:01:46.888318</t>
  </si>
  <si>
    <t>LD-305522</t>
  </si>
  <si>
    <t>2026-02-20 16:45:00</t>
  </si>
  <si>
    <t>LD-305523</t>
  </si>
  <si>
    <t>2025-04-09 07:50:00</t>
  </si>
  <si>
    <t>LD-305524</t>
  </si>
  <si>
    <t>2025-11-07 07:37:00</t>
  </si>
  <si>
    <t>2025-12-20 12:47:20.756402</t>
  </si>
  <si>
    <t>LD-305525</t>
  </si>
  <si>
    <t>2025-10-02 15:57:00</t>
  </si>
  <si>
    <t>2025-10-31 17:16:17.074265</t>
  </si>
  <si>
    <t>LD-305526</t>
  </si>
  <si>
    <t>2026-04-30 15:19:00</t>
  </si>
  <si>
    <t>LD-305527</t>
  </si>
  <si>
    <t>2025-10-27 19:39:00</t>
  </si>
  <si>
    <t>2025-12-05 12:15:20.832364</t>
  </si>
  <si>
    <t>LD-305528</t>
  </si>
  <si>
    <t>2025-11-14 19:48:00</t>
  </si>
  <si>
    <t>LD-305529</t>
  </si>
  <si>
    <t>2025-01-16 10:41:00</t>
  </si>
  <si>
    <t>2025-02-17 23:25:46.219423</t>
  </si>
  <si>
    <t>LD-305530</t>
  </si>
  <si>
    <t>2025-09-22 19:28:00</t>
  </si>
  <si>
    <t>LD-305531</t>
  </si>
  <si>
    <t>2026-05-11 20:09:00</t>
  </si>
  <si>
    <t>LD-305532</t>
  </si>
  <si>
    <t>2026-04-01 07:05:00</t>
  </si>
  <si>
    <t>2026-05-06 18:58:25.969799</t>
  </si>
  <si>
    <t>LD-305533</t>
  </si>
  <si>
    <t>2025-11-19 20:04:00</t>
  </si>
  <si>
    <t>2025-12-29 08:39:08.516426</t>
  </si>
  <si>
    <t>LD-305534</t>
  </si>
  <si>
    <t>2025-09-19 08:46:00</t>
  </si>
  <si>
    <t>LD-305535</t>
  </si>
  <si>
    <t>2025-03-15 10:43:00</t>
  </si>
  <si>
    <t>LD-305536</t>
  </si>
  <si>
    <t>2025-07-04 08:59:00</t>
  </si>
  <si>
    <t>2025-08-20 23:11:13.700080</t>
  </si>
  <si>
    <t>LD-305537</t>
  </si>
  <si>
    <t>2025-12-29 08:18:00</t>
  </si>
  <si>
    <t>LD-305538</t>
  </si>
  <si>
    <t>2025-06-04 08:31:00</t>
  </si>
  <si>
    <t>2025-07-09 16:13:41.100946</t>
  </si>
  <si>
    <t>LD-305539</t>
  </si>
  <si>
    <t>2026-03-10 11:24:00</t>
  </si>
  <si>
    <t>LD-305540</t>
  </si>
  <si>
    <t>2026-01-01 08:18:00</t>
  </si>
  <si>
    <t>2026-01-27 07:28:07.954317</t>
  </si>
  <si>
    <t>LD-305541</t>
  </si>
  <si>
    <t>2025-02-14 17:12:00</t>
  </si>
  <si>
    <t>2025-03-17 08:39:33.780054</t>
  </si>
  <si>
    <t>LD-305542</t>
  </si>
  <si>
    <t>2025-04-29 18:38:00</t>
  </si>
  <si>
    <t>2025-06-09 06:23:03.763684</t>
  </si>
  <si>
    <t>LD-305543</t>
  </si>
  <si>
    <t>2026-01-08 14:16:00</t>
  </si>
  <si>
    <t>LD-305544</t>
  </si>
  <si>
    <t>2025-09-09 20:42:00</t>
  </si>
  <si>
    <t>LD-305545</t>
  </si>
  <si>
    <t>2025-06-06 08:48:00</t>
  </si>
  <si>
    <t>LD-305546</t>
  </si>
  <si>
    <t>2026-05-08 19:29:00</t>
  </si>
  <si>
    <t>LD-305547</t>
  </si>
  <si>
    <t>2026-03-13 16:14:00</t>
  </si>
  <si>
    <t>LD-305548</t>
  </si>
  <si>
    <t>2025-06-26 07:04:00</t>
  </si>
  <si>
    <t>LD-305549</t>
  </si>
  <si>
    <t>2025-05-02 07:34:00</t>
  </si>
  <si>
    <t>LD-305550</t>
  </si>
  <si>
    <t>2026-01-22 12:37:00</t>
  </si>
  <si>
    <t>2026-02-14 13:38:27.236133</t>
  </si>
  <si>
    <t>LD-305551</t>
  </si>
  <si>
    <t>2026-03-09 11:55:00</t>
  </si>
  <si>
    <t>2026-04-24 07:06:56.150514</t>
  </si>
  <si>
    <t>LD-305552</t>
  </si>
  <si>
    <t>2026-04-24 17:20:00</t>
  </si>
  <si>
    <t>2026-05-30 07:27:53.874895</t>
  </si>
  <si>
    <t>LD-305553</t>
  </si>
  <si>
    <t>2025-02-14 17:03:00</t>
  </si>
  <si>
    <t>LD-305554</t>
  </si>
  <si>
    <t>2026-02-06 16:04:00</t>
  </si>
  <si>
    <t>LD-305555</t>
  </si>
  <si>
    <t>2025-06-16 12:04:00</t>
  </si>
  <si>
    <t>2025-07-30 11:48:41.344795</t>
  </si>
  <si>
    <t>LD-305556</t>
  </si>
  <si>
    <t>2026-06-22 18:07:00</t>
  </si>
  <si>
    <t>2026-08-11 05:26:26.275894</t>
  </si>
  <si>
    <t>LD-305557</t>
  </si>
  <si>
    <t>2025-04-13 09:23:00</t>
  </si>
  <si>
    <t>LD-305558</t>
  </si>
  <si>
    <t>2025-09-30 20:40:00</t>
  </si>
  <si>
    <t>LD-305559</t>
  </si>
  <si>
    <t>2026-04-24 14:10:00</t>
  </si>
  <si>
    <t>LD-305560</t>
  </si>
  <si>
    <t>2026-03-09 10:00:00</t>
  </si>
  <si>
    <t>LD-305561</t>
  </si>
  <si>
    <t>2025-07-12 19:58:00</t>
  </si>
  <si>
    <t>LD-305562</t>
  </si>
  <si>
    <t>2025-05-05 09:38:00</t>
  </si>
  <si>
    <t>2025-06-21 22:17:39.887027</t>
  </si>
  <si>
    <t>LD-305563</t>
  </si>
  <si>
    <t>2025-07-07 15:14:00</t>
  </si>
  <si>
    <t>2025-07-27 19:59:59.323968</t>
  </si>
  <si>
    <t>LD-305564</t>
  </si>
  <si>
    <t>2025-06-14 20:07:00</t>
  </si>
  <si>
    <t>2025-07-29 00:17:46.845173</t>
  </si>
  <si>
    <t>LD-305565</t>
  </si>
  <si>
    <t>2026-03-21 18:39:00</t>
  </si>
  <si>
    <t>LD-305566</t>
  </si>
  <si>
    <t>2025-12-05 09:37:00</t>
  </si>
  <si>
    <t>2026-01-16 22:19:19.335709</t>
  </si>
  <si>
    <t>LD-305567</t>
  </si>
  <si>
    <t>2025-10-22 20:06:00</t>
  </si>
  <si>
    <t>2025-11-26 16:31:43.875560</t>
  </si>
  <si>
    <t>LD-305568</t>
  </si>
  <si>
    <t>2025-06-04 09:48:00</t>
  </si>
  <si>
    <t>LD-305569</t>
  </si>
  <si>
    <t>2025-09-27 19:49:00</t>
  </si>
  <si>
    <t>LD-305570</t>
  </si>
  <si>
    <t>2025-10-14 08:06:00</t>
  </si>
  <si>
    <t>2025-11-17 15:25:18.103366</t>
  </si>
  <si>
    <t>LD-305571</t>
  </si>
  <si>
    <t>2025-09-29 13:19:00</t>
  </si>
  <si>
    <t>2025-11-01 19:43:47.421126</t>
  </si>
  <si>
    <t>LD-305572</t>
  </si>
  <si>
    <t>2025-05-12 16:42:00</t>
  </si>
  <si>
    <t>2025-06-14 08:34:51.994705</t>
  </si>
  <si>
    <t>LD-305573</t>
  </si>
  <si>
    <t>2025-07-18 09:18:00</t>
  </si>
  <si>
    <t>LD-305574</t>
  </si>
  <si>
    <t>2025-06-03 18:03:00</t>
  </si>
  <si>
    <t>LD-305575</t>
  </si>
  <si>
    <t>2025-01-09 13:00:00</t>
  </si>
  <si>
    <t>LD-305576</t>
  </si>
  <si>
    <t>2025-10-06 09:17:00</t>
  </si>
  <si>
    <t>LD-305577</t>
  </si>
  <si>
    <t>2025-08-18 09:02:00</t>
  </si>
  <si>
    <t>2025-09-25 15:59:08.862810</t>
  </si>
  <si>
    <t>LD-305578</t>
  </si>
  <si>
    <t>2026-04-03 17:03:00</t>
  </si>
  <si>
    <t>2026-05-06 15:26:48.138254</t>
  </si>
  <si>
    <t>LD-305579</t>
  </si>
  <si>
    <t>2026-04-27 20:30:00</t>
  </si>
  <si>
    <t>2026-06-04 03:16:56.961165</t>
  </si>
  <si>
    <t>LD-305580</t>
  </si>
  <si>
    <t>2025-01-10 08:16:00</t>
  </si>
  <si>
    <t>LD-305581</t>
  </si>
  <si>
    <t>2025-03-30 14:48:00</t>
  </si>
  <si>
    <t>LD-305582</t>
  </si>
  <si>
    <t>2025-04-16 13:06:00</t>
  </si>
  <si>
    <t>LD-305583</t>
  </si>
  <si>
    <t>2025-12-12 07:04:00</t>
  </si>
  <si>
    <t>LD-305584</t>
  </si>
  <si>
    <t>2025-01-10 07:14:00</t>
  </si>
  <si>
    <t>LD-305585</t>
  </si>
  <si>
    <t>2026-01-03 08:47:00</t>
  </si>
  <si>
    <t>2026-02-14 11:41:57.587301</t>
  </si>
  <si>
    <t>LD-305586</t>
  </si>
  <si>
    <t>2025-10-03 14:14:00</t>
  </si>
  <si>
    <t>2025-11-08 23:11:46.345787</t>
  </si>
  <si>
    <t>LD-305587</t>
  </si>
  <si>
    <t>2025-07-01 11:45:00</t>
  </si>
  <si>
    <t>2025-08-09 14:42:18.905087</t>
  </si>
  <si>
    <t>LD-305588</t>
  </si>
  <si>
    <t>2025-11-28 11:10:00</t>
  </si>
  <si>
    <t>LD-305589</t>
  </si>
  <si>
    <t>2025-05-09 17:50:00</t>
  </si>
  <si>
    <t>LD-305590</t>
  </si>
  <si>
    <t>2026-02-20 17:19:00</t>
  </si>
  <si>
    <t>LD-305591</t>
  </si>
  <si>
    <t>2025-05-08 08:21:00</t>
  </si>
  <si>
    <t>2025-06-05 05:07:23.225676</t>
  </si>
  <si>
    <t>LD-305592</t>
  </si>
  <si>
    <t>2026-06-24 12:25:00</t>
  </si>
  <si>
    <t>2026-08-02 05:20:38.676540</t>
  </si>
  <si>
    <t>LD-305593</t>
  </si>
  <si>
    <t>2026-02-15 17:59:00</t>
  </si>
  <si>
    <t>LD-305594</t>
  </si>
  <si>
    <t>2025-01-24 12:29:00</t>
  </si>
  <si>
    <t>LD-305595</t>
  </si>
  <si>
    <t>2026-03-24 10:08:00</t>
  </si>
  <si>
    <t>LD-305596</t>
  </si>
  <si>
    <t>2025-01-20 13:37:00</t>
  </si>
  <si>
    <t>2025-03-15 00:14:46.619271</t>
  </si>
  <si>
    <t>LD-305597</t>
  </si>
  <si>
    <t>2025-02-21 07:22:00</t>
  </si>
  <si>
    <t>2025-04-07 19:05:25.417044</t>
  </si>
  <si>
    <t>LD-305598</t>
  </si>
  <si>
    <t>2025-11-07 10:34:00</t>
  </si>
  <si>
    <t>2025-12-29 16:48:43.174885</t>
  </si>
  <si>
    <t>LD-305599</t>
  </si>
  <si>
    <t>2025-01-03 17:57:00</t>
  </si>
  <si>
    <t>LD-305600</t>
  </si>
  <si>
    <t>2026-05-15 19:27:00</t>
  </si>
  <si>
    <t>LD-305601</t>
  </si>
  <si>
    <t>2026-05-13 16:09:00</t>
  </si>
  <si>
    <t>LD-305602</t>
  </si>
  <si>
    <t>2025-01-12 10:58:00</t>
  </si>
  <si>
    <t>LD-305603</t>
  </si>
  <si>
    <t>2026-06-11 17:55:00</t>
  </si>
  <si>
    <t>2026-07-29 22:00:03.531653</t>
  </si>
  <si>
    <t>LD-305604</t>
  </si>
  <si>
    <t>2025-03-11 07:52:00</t>
  </si>
  <si>
    <t>2025-04-20 23:23:53.274298</t>
  </si>
  <si>
    <t>LD-305605</t>
  </si>
  <si>
    <t>2025-10-23 14:41:00</t>
  </si>
  <si>
    <t>LD-305606</t>
  </si>
  <si>
    <t>2025-08-12 08:04:00</t>
  </si>
  <si>
    <t>2025-09-24 22:31:01.463072</t>
  </si>
  <si>
    <t>LD-305607</t>
  </si>
  <si>
    <t>2026-06-23 12:48:00</t>
  </si>
  <si>
    <t>LD-305608</t>
  </si>
  <si>
    <t>2025-06-06 13:06:00</t>
  </si>
  <si>
    <t>LD-305609</t>
  </si>
  <si>
    <t>2025-11-27 08:00:00</t>
  </si>
  <si>
    <t>2025-12-29 21:06:32.033363</t>
  </si>
  <si>
    <t>LD-305610</t>
  </si>
  <si>
    <t>2025-01-13 10:55:00</t>
  </si>
  <si>
    <t>LD-305611</t>
  </si>
  <si>
    <t>2025-10-17 10:22:00</t>
  </si>
  <si>
    <t>LD-305612</t>
  </si>
  <si>
    <t>2025-01-17 11:06:00</t>
  </si>
  <si>
    <t>2025-03-08 04:05:50.216810</t>
  </si>
  <si>
    <t>LD-305613</t>
  </si>
  <si>
    <t>2026-02-11 11:24:00</t>
  </si>
  <si>
    <t>LD-305614</t>
  </si>
  <si>
    <t>2025-07-09 19:48:00</t>
  </si>
  <si>
    <t>2025-08-11 15:19:27.070843</t>
  </si>
  <si>
    <t>LD-305615</t>
  </si>
  <si>
    <t>2025-10-21 12:40:00</t>
  </si>
  <si>
    <t>2025-11-21 17:45:05.696507</t>
  </si>
  <si>
    <t>LD-305616</t>
  </si>
  <si>
    <t>2025-09-10 09:19:00</t>
  </si>
  <si>
    <t>2025-10-17 08:23:15.017663</t>
  </si>
  <si>
    <t>LD-305617</t>
  </si>
  <si>
    <t>2025-10-31 20:51:00</t>
  </si>
  <si>
    <t>LD-305618</t>
  </si>
  <si>
    <t>2025-08-12 13:22:00</t>
  </si>
  <si>
    <t>2025-10-05 14:20:17.380079</t>
  </si>
  <si>
    <t>LD-305619</t>
  </si>
  <si>
    <t>2025-07-07 19:24:00</t>
  </si>
  <si>
    <t>2025-08-09 02:03:09.657531</t>
  </si>
  <si>
    <t>LD-305620</t>
  </si>
  <si>
    <t>2026-06-03 08:56:00</t>
  </si>
  <si>
    <t>2026-07-01 07:23:52.183174</t>
  </si>
  <si>
    <t>LD-305621</t>
  </si>
  <si>
    <t>2026-01-02 17:54:00</t>
  </si>
  <si>
    <t>2026-02-07 18:51:54.403608</t>
  </si>
  <si>
    <t>LD-305622</t>
  </si>
  <si>
    <t>2026-05-22 14:12:00</t>
  </si>
  <si>
    <t>LD-305623</t>
  </si>
  <si>
    <t>2025-07-03 17:04:00</t>
  </si>
  <si>
    <t>LD-305624</t>
  </si>
  <si>
    <t>2025-06-12 08:29:00</t>
  </si>
  <si>
    <t>LD-305625</t>
  </si>
  <si>
    <t>2025-09-11 17:36:00</t>
  </si>
  <si>
    <t>2025-10-20 21:07:39.088388</t>
  </si>
  <si>
    <t>LD-305626</t>
  </si>
  <si>
    <t>2025-02-25 13:30:00</t>
  </si>
  <si>
    <t>LD-305627</t>
  </si>
  <si>
    <t>2026-04-16 08:16:00</t>
  </si>
  <si>
    <t>LD-305628</t>
  </si>
  <si>
    <t>2025-07-24 13:16:00</t>
  </si>
  <si>
    <t>LD-305629</t>
  </si>
  <si>
    <t>2025-03-01 20:41:00</t>
  </si>
  <si>
    <t>2025-04-03 19:04:36.349703</t>
  </si>
  <si>
    <t>LD-305630</t>
  </si>
  <si>
    <t>2025-10-31 20:42:00</t>
  </si>
  <si>
    <t>2025-12-01 15:19:59.062163</t>
  </si>
  <si>
    <t>LD-305631</t>
  </si>
  <si>
    <t>2025-01-10 07:32:00</t>
  </si>
  <si>
    <t>LD-305632</t>
  </si>
  <si>
    <t>2026-02-25 20:56:00</t>
  </si>
  <si>
    <t>2026-04-12 00:15:54.340277</t>
  </si>
  <si>
    <t>LD-305633</t>
  </si>
  <si>
    <t>2026-04-14 14:49:00</t>
  </si>
  <si>
    <t>2026-06-03 22:35:55.900359</t>
  </si>
  <si>
    <t>LD-305634</t>
  </si>
  <si>
    <t>2025-10-16 09:48:00</t>
  </si>
  <si>
    <t>LD-305635</t>
  </si>
  <si>
    <t>2025-08-17 12:30:00</t>
  </si>
  <si>
    <t>LD-305636</t>
  </si>
  <si>
    <t>2026-01-24 11:45:00</t>
  </si>
  <si>
    <t>LD-305637</t>
  </si>
  <si>
    <t>2026-03-12 16:11:00</t>
  </si>
  <si>
    <t>LD-305638</t>
  </si>
  <si>
    <t>2025-09-06 09:14:00</t>
  </si>
  <si>
    <t>LD-305639</t>
  </si>
  <si>
    <t>2026-04-29 09:48:00</t>
  </si>
  <si>
    <t>LD-305640</t>
  </si>
  <si>
    <t>2025-10-10 18:11:00</t>
  </si>
  <si>
    <t>LD-305641</t>
  </si>
  <si>
    <t>2025-09-17 19:15:00</t>
  </si>
  <si>
    <t>2025-10-30 10:57:13.034171</t>
  </si>
  <si>
    <t>LD-305642</t>
  </si>
  <si>
    <t>2026-03-27 07:40:00</t>
  </si>
  <si>
    <t>LD-305643</t>
  </si>
  <si>
    <t>2025-09-05 09:42:00</t>
  </si>
  <si>
    <t>LD-305644</t>
  </si>
  <si>
    <t>2026-02-23 12:00:00</t>
  </si>
  <si>
    <t>2026-03-19 07:43:56.854349</t>
  </si>
  <si>
    <t>LD-305645</t>
  </si>
  <si>
    <t>2025-01-24 09:11:00</t>
  </si>
  <si>
    <t>LD-305646</t>
  </si>
  <si>
    <t>2025-07-24 17:22:00</t>
  </si>
  <si>
    <t>2025-09-13 18:19:07.653987</t>
  </si>
  <si>
    <t>LD-305647</t>
  </si>
  <si>
    <t>2025-10-31 18:14:00</t>
  </si>
  <si>
    <t>LD-305648</t>
  </si>
  <si>
    <t>2025-08-14 20:41:00</t>
  </si>
  <si>
    <t>LD-305649</t>
  </si>
  <si>
    <t>2026-01-23 07:47:31.054549</t>
  </si>
  <si>
    <t>LD-305650</t>
  </si>
  <si>
    <t>2025-03-05 12:25:00</t>
  </si>
  <si>
    <t>LD-305651</t>
  </si>
  <si>
    <t>2026-06-09 20:16:00</t>
  </si>
  <si>
    <t>LD-305652</t>
  </si>
  <si>
    <t>2026-06-02 12:31:00</t>
  </si>
  <si>
    <t>LD-305653</t>
  </si>
  <si>
    <t>2025-01-17 14:25:00</t>
  </si>
  <si>
    <t>2025-02-28 18:40:47.665275</t>
  </si>
  <si>
    <t>LD-305654</t>
  </si>
  <si>
    <t>2025-10-13 14:40:00</t>
  </si>
  <si>
    <t>LD-305655</t>
  </si>
  <si>
    <t>2026-05-09 09:33:00</t>
  </si>
  <si>
    <t>LD-305656</t>
  </si>
  <si>
    <t>2025-06-04 20:46:00</t>
  </si>
  <si>
    <t>2025-06-27 23:57:49.398685</t>
  </si>
  <si>
    <t>LD-305657</t>
  </si>
  <si>
    <t>2026-04-11 08:07:00</t>
  </si>
  <si>
    <t>LD-305658</t>
  </si>
  <si>
    <t>2026-03-15 11:27:00</t>
  </si>
  <si>
    <t>2026-05-02 08:03:06.534443</t>
  </si>
  <si>
    <t>LD-305659</t>
  </si>
  <si>
    <t>2025-10-15 09:58:00</t>
  </si>
  <si>
    <t>LD-305660</t>
  </si>
  <si>
    <t>2026-04-06 13:40:00</t>
  </si>
  <si>
    <t>LD-305661</t>
  </si>
  <si>
    <t>2026-04-03 16:56:00</t>
  </si>
  <si>
    <t>2026-05-19 19:32:10.307001</t>
  </si>
  <si>
    <t>LD-305662</t>
  </si>
  <si>
    <t>2026-01-13 15:46:00</t>
  </si>
  <si>
    <t>LD-305663</t>
  </si>
  <si>
    <t>2025-10-29 14:52:00</t>
  </si>
  <si>
    <t>2025-12-03 01:34:14.088085</t>
  </si>
  <si>
    <t>LD-305664</t>
  </si>
  <si>
    <t>2025-03-25 11:58:00</t>
  </si>
  <si>
    <t>LD-305665</t>
  </si>
  <si>
    <t>2026-06-01 13:40:00</t>
  </si>
  <si>
    <t>2026-07-07 20:43:50.499438</t>
  </si>
  <si>
    <t>LD-305666</t>
  </si>
  <si>
    <t>2026-05-27 09:15:00</t>
  </si>
  <si>
    <t>LD-305667</t>
  </si>
  <si>
    <t>2025-03-10 20:34:00</t>
  </si>
  <si>
    <t>2025-03-26 03:05:52.425822</t>
  </si>
  <si>
    <t>LD-305668</t>
  </si>
  <si>
    <t>2025-12-17 15:26:00</t>
  </si>
  <si>
    <t>LD-305669</t>
  </si>
  <si>
    <t>2026-01-08 18:01:00</t>
  </si>
  <si>
    <t>LD-305670</t>
  </si>
  <si>
    <t>2025-04-02 12:06:00</t>
  </si>
  <si>
    <t>2025-05-12 17:27:51.155173</t>
  </si>
  <si>
    <t>LD-305671</t>
  </si>
  <si>
    <t>LD-305672</t>
  </si>
  <si>
    <t>2025-05-20 13:51:00</t>
  </si>
  <si>
    <t>2025-06-15 23:47:09.003062</t>
  </si>
  <si>
    <t>LD-305673</t>
  </si>
  <si>
    <t>2025-06-16 10:16:00</t>
  </si>
  <si>
    <t>LD-305674</t>
  </si>
  <si>
    <t>2025-01-01 09:17:00</t>
  </si>
  <si>
    <t>LD-305675</t>
  </si>
  <si>
    <t>2025-06-01 08:15:00</t>
  </si>
  <si>
    <t>LD-305676</t>
  </si>
  <si>
    <t>2025-09-19 13:03:00</t>
  </si>
  <si>
    <t>LD-305677</t>
  </si>
  <si>
    <t>2026-02-28 11:15:00</t>
  </si>
  <si>
    <t>LD-305678</t>
  </si>
  <si>
    <t>2025-11-27 14:47:00</t>
  </si>
  <si>
    <t>2026-01-24 05:22:52.817008</t>
  </si>
  <si>
    <t>LD-305679</t>
  </si>
  <si>
    <t>2025-07-18 14:08:00</t>
  </si>
  <si>
    <t>LD-305680</t>
  </si>
  <si>
    <t>2025-01-24 10:34:00</t>
  </si>
  <si>
    <t>LD-305681</t>
  </si>
  <si>
    <t>2026-04-24 20:35:00</t>
  </si>
  <si>
    <t>LD-305682</t>
  </si>
  <si>
    <t>2025-12-09 10:58:00</t>
  </si>
  <si>
    <t>2026-01-18 02:18:24.785103</t>
  </si>
  <si>
    <t>LD-305683</t>
  </si>
  <si>
    <t>2025-04-24 10:17:00</t>
  </si>
  <si>
    <t>2025-06-07 13:29:11.317432</t>
  </si>
  <si>
    <t>LD-305684</t>
  </si>
  <si>
    <t>2026-06-01 13:19:00</t>
  </si>
  <si>
    <t>LD-305685</t>
  </si>
  <si>
    <t>2025-08-22 14:12:00</t>
  </si>
  <si>
    <t>2025-09-26 19:14:02.724307</t>
  </si>
  <si>
    <t>LD-305686</t>
  </si>
  <si>
    <t>2025-01-17 14:38:00</t>
  </si>
  <si>
    <t>LD-305687</t>
  </si>
  <si>
    <t>2025-09-26 11:52:00</t>
  </si>
  <si>
    <t>LD-305688</t>
  </si>
  <si>
    <t>2025-11-30 20:15:00</t>
  </si>
  <si>
    <t>LD-305689</t>
  </si>
  <si>
    <t>2025-08-18 16:28:00</t>
  </si>
  <si>
    <t>2025-10-14 06:38:32.230216</t>
  </si>
  <si>
    <t>LD-305690</t>
  </si>
  <si>
    <t>LD-305691</t>
  </si>
  <si>
    <t>2025-05-08 10:20:00</t>
  </si>
  <si>
    <t>2025-06-23 01:48:57.516545</t>
  </si>
  <si>
    <t>LD-305692</t>
  </si>
  <si>
    <t>2026-05-06 14:06:00</t>
  </si>
  <si>
    <t>LD-305693</t>
  </si>
  <si>
    <t>2026-04-24 12:38:00</t>
  </si>
  <si>
    <t>2026-05-28 20:21:28.516764</t>
  </si>
  <si>
    <t>LD-305694</t>
  </si>
  <si>
    <t>2026-04-21 10:53:00</t>
  </si>
  <si>
    <t>2026-06-11 06:56:06.625331</t>
  </si>
  <si>
    <t>LD-305695</t>
  </si>
  <si>
    <t>2026-06-25 19:25:00</t>
  </si>
  <si>
    <t>2026-08-04 01:09:15.332290</t>
  </si>
  <si>
    <t>LD-305696</t>
  </si>
  <si>
    <t>2025-04-01 16:02:00</t>
  </si>
  <si>
    <t>2025-05-22 15:48:30.278218</t>
  </si>
  <si>
    <t>LD-305697</t>
  </si>
  <si>
    <t>2025-12-10 13:04:00</t>
  </si>
  <si>
    <t>LD-305698</t>
  </si>
  <si>
    <t>2025-01-29 11:08:00</t>
  </si>
  <si>
    <t>LD-305699</t>
  </si>
  <si>
    <t>2025-01-10 19:34:00</t>
  </si>
  <si>
    <t>LD-305700</t>
  </si>
  <si>
    <t>2026-02-07 07:30:00</t>
  </si>
  <si>
    <t>LD-305701</t>
  </si>
  <si>
    <t>2025-01-27 10:31:00</t>
  </si>
  <si>
    <t>2025-03-08 11:08:55.574051</t>
  </si>
  <si>
    <t>LD-305702</t>
  </si>
  <si>
    <t>2025-07-30 11:21:00</t>
  </si>
  <si>
    <t>LD-305703</t>
  </si>
  <si>
    <t>2025-09-15 17:09:00</t>
  </si>
  <si>
    <t>LD-305704</t>
  </si>
  <si>
    <t>2025-03-30 20:18:00</t>
  </si>
  <si>
    <t>2025-05-17 16:06:59.448069</t>
  </si>
  <si>
    <t>LD-305705</t>
  </si>
  <si>
    <t>2026-06-04 00:34:16.602040</t>
  </si>
  <si>
    <t>LD-305706</t>
  </si>
  <si>
    <t>2026-01-22 14:24:00</t>
  </si>
  <si>
    <t>2026-03-07 11:35:45.478799</t>
  </si>
  <si>
    <t>LD-305707</t>
  </si>
  <si>
    <t>2025-06-13 10:51:00</t>
  </si>
  <si>
    <t>2025-07-10 04:08:32.973127</t>
  </si>
  <si>
    <t>LD-305708</t>
  </si>
  <si>
    <t>2025-12-08 18:26:00</t>
  </si>
  <si>
    <t>2026-01-28 08:42:37.110230</t>
  </si>
  <si>
    <t>LD-305709</t>
  </si>
  <si>
    <t>2025-03-27 14:05:00</t>
  </si>
  <si>
    <t>2025-05-05 20:21:28.515562</t>
  </si>
  <si>
    <t>LD-305710</t>
  </si>
  <si>
    <t>2025-01-27 08:23:00</t>
  </si>
  <si>
    <t>LD-305711</t>
  </si>
  <si>
    <t>2026-01-12 12:55:00</t>
  </si>
  <si>
    <t>2026-02-15 08:06:07.318715</t>
  </si>
  <si>
    <t>LD-305712</t>
  </si>
  <si>
    <t>2025-08-26 11:05:00</t>
  </si>
  <si>
    <t>LD-305713</t>
  </si>
  <si>
    <t>2025-10-02 15:19:00</t>
  </si>
  <si>
    <t>2025-11-15 12:24:20.205774</t>
  </si>
  <si>
    <t>LD-305714</t>
  </si>
  <si>
    <t>2026-03-02 09:33:00</t>
  </si>
  <si>
    <t>LD-305715</t>
  </si>
  <si>
    <t>2025-08-07 19:23:00</t>
  </si>
  <si>
    <t>2025-09-17 02:11:21.982206</t>
  </si>
  <si>
    <t>LD-305716</t>
  </si>
  <si>
    <t>2026-03-13 19:03:00</t>
  </si>
  <si>
    <t>LD-305717</t>
  </si>
  <si>
    <t>2026-01-02 10:40:00</t>
  </si>
  <si>
    <t>2026-01-29 22:04:54.565473</t>
  </si>
  <si>
    <t>LD-305718</t>
  </si>
  <si>
    <t>2025-03-23 17:25:00</t>
  </si>
  <si>
    <t>LD-305719</t>
  </si>
  <si>
    <t>2026-01-29 10:37:00</t>
  </si>
  <si>
    <t>LD-305720</t>
  </si>
  <si>
    <t>2026-02-20 07:56:00</t>
  </si>
  <si>
    <t>2026-03-27 16:49:50.037725</t>
  </si>
  <si>
    <t>LD-305721</t>
  </si>
  <si>
    <t>2025-09-22 07:07:00</t>
  </si>
  <si>
    <t>LD-305722</t>
  </si>
  <si>
    <t>2025-11-03 18:17:00</t>
  </si>
  <si>
    <t>LD-305723</t>
  </si>
  <si>
    <t>2025-03-21 18:21:00</t>
  </si>
  <si>
    <t>LD-305724</t>
  </si>
  <si>
    <t>2026-05-29 18:50:00</t>
  </si>
  <si>
    <t>LD-305725</t>
  </si>
  <si>
    <t>2025-09-03 11:52:00</t>
  </si>
  <si>
    <t>2025-10-14 12:18:34.621308</t>
  </si>
  <si>
    <t>LD-305726</t>
  </si>
  <si>
    <t>2026-03-02 15:49:00</t>
  </si>
  <si>
    <t>LD-305727</t>
  </si>
  <si>
    <t>2026-04-17 14:41:00</t>
  </si>
  <si>
    <t>LD-305728</t>
  </si>
  <si>
    <t>2025-01-31 14:37:00</t>
  </si>
  <si>
    <t>LD-305729</t>
  </si>
  <si>
    <t>2025-07-08 14:05:00</t>
  </si>
  <si>
    <t>LD-305730</t>
  </si>
  <si>
    <t>2025-06-03 12:11:00</t>
  </si>
  <si>
    <t>LD-305731</t>
  </si>
  <si>
    <t>2026-02-20 20:26:00</t>
  </si>
  <si>
    <t>LD-305732</t>
  </si>
  <si>
    <t>2026-05-04 16:26:00</t>
  </si>
  <si>
    <t>LD-305733</t>
  </si>
  <si>
    <t>2025-06-24 13:10:00</t>
  </si>
  <si>
    <t>LD-305734</t>
  </si>
  <si>
    <t>2025-01-28 18:11:00</t>
  </si>
  <si>
    <t>LD-305735</t>
  </si>
  <si>
    <t>2025-06-27 13:14:00</t>
  </si>
  <si>
    <t>LD-305736</t>
  </si>
  <si>
    <t>2025-02-27 08:44:00</t>
  </si>
  <si>
    <t>LD-305737</t>
  </si>
  <si>
    <t>2025-08-26 07:29:00</t>
  </si>
  <si>
    <t>LD-305738</t>
  </si>
  <si>
    <t>2026-03-04 15:48:00</t>
  </si>
  <si>
    <t>2026-04-11 03:24:14.073629</t>
  </si>
  <si>
    <t>LD-305739</t>
  </si>
  <si>
    <t>2025-10-22 20:49:00</t>
  </si>
  <si>
    <t>2025-12-07 06:05:44.278559</t>
  </si>
  <si>
    <t>LD-305740</t>
  </si>
  <si>
    <t>2025-05-30 20:49:00</t>
  </si>
  <si>
    <t>LD-305741</t>
  </si>
  <si>
    <t>2025-05-01 10:06:00</t>
  </si>
  <si>
    <t>LD-305742</t>
  </si>
  <si>
    <t>2025-12-12 10:02:00</t>
  </si>
  <si>
    <t>LD-305743</t>
  </si>
  <si>
    <t>2025-04-29 11:12:00</t>
  </si>
  <si>
    <t>LD-305744</t>
  </si>
  <si>
    <t>2026-03-30 12:51:00</t>
  </si>
  <si>
    <t>LD-305745</t>
  </si>
  <si>
    <t>2025-01-03 07:40:00</t>
  </si>
  <si>
    <t>LD-305746</t>
  </si>
  <si>
    <t>2026-03-10 20:47:00</t>
  </si>
  <si>
    <t>LD-305747</t>
  </si>
  <si>
    <t>2025-06-02 13:24:00</t>
  </si>
  <si>
    <t>LD-305748</t>
  </si>
  <si>
    <t>LD-305749</t>
  </si>
  <si>
    <t>2025-12-18 20:35:00</t>
  </si>
  <si>
    <t>LD-305750</t>
  </si>
  <si>
    <t>2025-04-15 09:45:00</t>
  </si>
  <si>
    <t>2025-06-01 20:27:47.465355</t>
  </si>
  <si>
    <t>LD-305751</t>
  </si>
  <si>
    <t>2025-05-06 16:09:00</t>
  </si>
  <si>
    <t>2025-06-15 01:29:34.028464</t>
  </si>
  <si>
    <t>LD-305752</t>
  </si>
  <si>
    <t>2026-06-05 16:51:00</t>
  </si>
  <si>
    <t>LD-305753</t>
  </si>
  <si>
    <t>2025-08-21 17:25:00</t>
  </si>
  <si>
    <t>LD-305754</t>
  </si>
  <si>
    <t>2025-01-24 15:38:00</t>
  </si>
  <si>
    <t>LD-305755</t>
  </si>
  <si>
    <t>2025-06-28 17:12:00</t>
  </si>
  <si>
    <t>LD-305756</t>
  </si>
  <si>
    <t>2025-01-01 16:00:00</t>
  </si>
  <si>
    <t>LD-305757</t>
  </si>
  <si>
    <t>2025-08-15 17:49:00</t>
  </si>
  <si>
    <t>LD-305758</t>
  </si>
  <si>
    <t>2026-04-10 13:44:00</t>
  </si>
  <si>
    <t>LD-305759</t>
  </si>
  <si>
    <t>2025-06-02 07:59:00</t>
  </si>
  <si>
    <t>LD-305760</t>
  </si>
  <si>
    <t>2025-03-14 08:21:00</t>
  </si>
  <si>
    <t>2025-04-06 21:14:46.589193</t>
  </si>
  <si>
    <t>LD-305761</t>
  </si>
  <si>
    <t>2026-05-11 19:46:00</t>
  </si>
  <si>
    <t>LD-305762</t>
  </si>
  <si>
    <t>2025-03-14 19:47:00</t>
  </si>
  <si>
    <t>2025-04-20 14:31:30.134084</t>
  </si>
  <si>
    <t>LD-305763</t>
  </si>
  <si>
    <t>2025-10-29 16:34:00</t>
  </si>
  <si>
    <t>2025-12-11 01:29:08.450550</t>
  </si>
  <si>
    <t>LD-305764</t>
  </si>
  <si>
    <t>2025-07-17 18:01:00</t>
  </si>
  <si>
    <t>LD-305765</t>
  </si>
  <si>
    <t>2026-04-03 18:18:00</t>
  </si>
  <si>
    <t>2026-05-05 13:38:15.593471</t>
  </si>
  <si>
    <t>LD-305766</t>
  </si>
  <si>
    <t>2026-06-27 13:04:00</t>
  </si>
  <si>
    <t>2026-08-14 21:03:44.222440</t>
  </si>
  <si>
    <t>LD-305767</t>
  </si>
  <si>
    <t>2025-12-11 20:28:00</t>
  </si>
  <si>
    <t>LD-305768</t>
  </si>
  <si>
    <t>2025-10-23 11:26:00</t>
  </si>
  <si>
    <t>LD-305769</t>
  </si>
  <si>
    <t>2025-01-13 10:31:00</t>
  </si>
  <si>
    <t>LD-305770</t>
  </si>
  <si>
    <t>2026-03-03 12:09:00</t>
  </si>
  <si>
    <t>2026-04-05 01:02:37.765656</t>
  </si>
  <si>
    <t>LD-305771</t>
  </si>
  <si>
    <t>2026-04-28 09:04:00</t>
  </si>
  <si>
    <t>2026-06-05 15:50:44.408095</t>
  </si>
  <si>
    <t>LD-305772</t>
  </si>
  <si>
    <t>2026-01-30 15:13:00</t>
  </si>
  <si>
    <t>LD-305773</t>
  </si>
  <si>
    <t>2025-10-03 13:07:00</t>
  </si>
  <si>
    <t>2025-11-20 04:44:07.495454</t>
  </si>
  <si>
    <t>LD-305774</t>
  </si>
  <si>
    <t>2026-04-02 14:47:00</t>
  </si>
  <si>
    <t>LD-305775</t>
  </si>
  <si>
    <t>2025-04-25 12:30:00</t>
  </si>
  <si>
    <t>2025-06-14 00:40:25.796959</t>
  </si>
  <si>
    <t>LD-305776</t>
  </si>
  <si>
    <t>2025-06-01 16:29:00</t>
  </si>
  <si>
    <t>LD-305777</t>
  </si>
  <si>
    <t>2026-06-12 15:33:00</t>
  </si>
  <si>
    <t>LD-305778</t>
  </si>
  <si>
    <t>2025-04-08 14:44:00</t>
  </si>
  <si>
    <t>LD-305779</t>
  </si>
  <si>
    <t>2025-07-23 14:03:00</t>
  </si>
  <si>
    <t>LD-305780</t>
  </si>
  <si>
    <t>2025-11-12 10:06:00</t>
  </si>
  <si>
    <t>LD-305781</t>
  </si>
  <si>
    <t>2026-06-21 16:33:00</t>
  </si>
  <si>
    <t>LD-305782</t>
  </si>
  <si>
    <t>2026-03-26 12:27:00</t>
  </si>
  <si>
    <t>2026-05-18 17:25:04.684076</t>
  </si>
  <si>
    <t>LD-305783</t>
  </si>
  <si>
    <t>2025-07-18 14:40:00</t>
  </si>
  <si>
    <t>LD-305784</t>
  </si>
  <si>
    <t>2025-01-30 13:59:00</t>
  </si>
  <si>
    <t>LD-305785</t>
  </si>
  <si>
    <t>2025-01-28 16:46:00</t>
  </si>
  <si>
    <t>LD-305786</t>
  </si>
  <si>
    <t>2026-04-13 20:15:00</t>
  </si>
  <si>
    <t>2026-05-26 14:57:17.046855</t>
  </si>
  <si>
    <t>LD-305787</t>
  </si>
  <si>
    <t>2025-04-09 10:14:00</t>
  </si>
  <si>
    <t>LD-305788</t>
  </si>
  <si>
    <t>2025-04-04 10:29:00</t>
  </si>
  <si>
    <t>LD-305789</t>
  </si>
  <si>
    <t>2025-06-27 16:43:00</t>
  </si>
  <si>
    <t>2025-07-12 16:53:54.027287</t>
  </si>
  <si>
    <t>LD-305790</t>
  </si>
  <si>
    <t>2026-01-15 13:27:00</t>
  </si>
  <si>
    <t>2026-02-28 15:18:59.320823</t>
  </si>
  <si>
    <t>LD-305791</t>
  </si>
  <si>
    <t>2025-10-12 18:14:00</t>
  </si>
  <si>
    <t>LD-305792</t>
  </si>
  <si>
    <t>2025-09-12 12:45:00</t>
  </si>
  <si>
    <t>2025-10-22 09:58:53.163025</t>
  </si>
  <si>
    <t>LD-305793</t>
  </si>
  <si>
    <t>2025-03-18 13:11:00</t>
  </si>
  <si>
    <t>LD-305794</t>
  </si>
  <si>
    <t>2025-07-18 16:53:00</t>
  </si>
  <si>
    <t>LD-305795</t>
  </si>
  <si>
    <t>2026-04-07 15:16:00</t>
  </si>
  <si>
    <t>LD-305796</t>
  </si>
  <si>
    <t>2025-04-24 13:49:00</t>
  </si>
  <si>
    <t>LD-305797</t>
  </si>
  <si>
    <t>2025-11-02 13:37:00</t>
  </si>
  <si>
    <t>LD-305798</t>
  </si>
  <si>
    <t>2026-06-03 16:16:00</t>
  </si>
  <si>
    <t>2026-07-11 02:39:37.487799</t>
  </si>
  <si>
    <t>LD-305799</t>
  </si>
  <si>
    <t>2025-05-16 07:53:00</t>
  </si>
  <si>
    <t>LD-305800</t>
  </si>
  <si>
    <t>2025-01-08 19:16:00</t>
  </si>
  <si>
    <t>2025-02-24 09:11:58.176320</t>
  </si>
  <si>
    <t>LD-305801</t>
  </si>
  <si>
    <t>2026-01-28 12:12:00</t>
  </si>
  <si>
    <t>LD-305802</t>
  </si>
  <si>
    <t>2025-09-12 16:51:00</t>
  </si>
  <si>
    <t>LD-305803</t>
  </si>
  <si>
    <t>2026-05-28 11:53:00</t>
  </si>
  <si>
    <t>LD-305804</t>
  </si>
  <si>
    <t>2025-10-03 11:41:00</t>
  </si>
  <si>
    <t>LD-305805</t>
  </si>
  <si>
    <t>2025-08-24 13:17:00</t>
  </si>
  <si>
    <t>2025-09-27 20:25:58.794992</t>
  </si>
  <si>
    <t>LD-305806</t>
  </si>
  <si>
    <t>2025-11-21 10:56:00</t>
  </si>
  <si>
    <t>2025-12-31 00:57:25.494658</t>
  </si>
  <si>
    <t>LD-305807</t>
  </si>
  <si>
    <t>2026-05-27 14:35:00</t>
  </si>
  <si>
    <t>LD-305808</t>
  </si>
  <si>
    <t>2026-01-08 18:32:00</t>
  </si>
  <si>
    <t>LD-305809</t>
  </si>
  <si>
    <t>2026-02-13 17:25:00</t>
  </si>
  <si>
    <t>LD-305810</t>
  </si>
  <si>
    <t>2026-04-11 09:40:00</t>
  </si>
  <si>
    <t>LD-305811</t>
  </si>
  <si>
    <t>2025-02-17 20:10:00</t>
  </si>
  <si>
    <t>2025-03-08 13:54:35.317414</t>
  </si>
  <si>
    <t>LD-305812</t>
  </si>
  <si>
    <t>2025-08-22 13:12:00</t>
  </si>
  <si>
    <t>2025-09-05 18:08:49.156812</t>
  </si>
  <si>
    <t>LD-305813</t>
  </si>
  <si>
    <t>2026-01-06 17:49:00</t>
  </si>
  <si>
    <t>LD-305814</t>
  </si>
  <si>
    <t>2026-03-07 19:31:00</t>
  </si>
  <si>
    <t>2026-04-08 16:46:22.213503</t>
  </si>
  <si>
    <t>LD-305815</t>
  </si>
  <si>
    <t>2026-04-22 14:15:00</t>
  </si>
  <si>
    <t>LD-305816</t>
  </si>
  <si>
    <t>2025-08-15 14:43:00</t>
  </si>
  <si>
    <t>LD-305817</t>
  </si>
  <si>
    <t>2025-06-04 07:30:00</t>
  </si>
  <si>
    <t>2025-07-17 05:11:29.448083</t>
  </si>
  <si>
    <t>LD-305818</t>
  </si>
  <si>
    <t>2025-12-17 14:26:00</t>
  </si>
  <si>
    <t>2026-01-31 17:52:17.185479</t>
  </si>
  <si>
    <t>LD-305819</t>
  </si>
  <si>
    <t>2025-10-10 13:33:00</t>
  </si>
  <si>
    <t>LD-305820</t>
  </si>
  <si>
    <t>2026-06-15 11:46:00</t>
  </si>
  <si>
    <t>LD-305821</t>
  </si>
  <si>
    <t>2025-05-20 07:58:00</t>
  </si>
  <si>
    <t>LD-305822</t>
  </si>
  <si>
    <t>2025-04-13 11:21:00</t>
  </si>
  <si>
    <t>LD-305823</t>
  </si>
  <si>
    <t>2025-12-05 19:31:00</t>
  </si>
  <si>
    <t>2026-01-14 06:41:03.803275</t>
  </si>
  <si>
    <t>LD-305824</t>
  </si>
  <si>
    <t>2025-04-15 18:17:00</t>
  </si>
  <si>
    <t>LD-305825</t>
  </si>
  <si>
    <t>2026-06-05 12:05:00</t>
  </si>
  <si>
    <t>LD-305826</t>
  </si>
  <si>
    <t>2026-05-15 14:26:00</t>
  </si>
  <si>
    <t>LD-305827</t>
  </si>
  <si>
    <t>2026-04-17 13:54:00</t>
  </si>
  <si>
    <t>2026-06-05 13:56:34.192890</t>
  </si>
  <si>
    <t>LD-305828</t>
  </si>
  <si>
    <t>2025-10-03 14:49:00</t>
  </si>
  <si>
    <t>2025-10-24 04:48:56.728698</t>
  </si>
  <si>
    <t>LD-305829</t>
  </si>
  <si>
    <t>2025-07-24 07:17:00</t>
  </si>
  <si>
    <t>LD-305830</t>
  </si>
  <si>
    <t>2026-04-15 18:08:00</t>
  </si>
  <si>
    <t>LD-305831</t>
  </si>
  <si>
    <t>2025-12-24 10:48:00</t>
  </si>
  <si>
    <t>LD-305832</t>
  </si>
  <si>
    <t>2026-06-26 07:20:00</t>
  </si>
  <si>
    <t>LD-305833</t>
  </si>
  <si>
    <t>2026-05-02 10:05:00</t>
  </si>
  <si>
    <t>LD-305834</t>
  </si>
  <si>
    <t>2025-02-18 07:49:00</t>
  </si>
  <si>
    <t>2025-03-13 23:12:39.386622</t>
  </si>
  <si>
    <t>LD-305835</t>
  </si>
  <si>
    <t>2025-09-02 10:55:00</t>
  </si>
  <si>
    <t>LD-305836</t>
  </si>
  <si>
    <t>2025-11-14 14:11:00</t>
  </si>
  <si>
    <t>LD-305837</t>
  </si>
  <si>
    <t>2026-03-17 18:02:00</t>
  </si>
  <si>
    <t>2026-04-27 08:27:25.006662</t>
  </si>
  <si>
    <t>LD-305838</t>
  </si>
  <si>
    <t>2025-04-25 12:27:00</t>
  </si>
  <si>
    <t>LD-305839</t>
  </si>
  <si>
    <t>2025-01-11 13:09:00</t>
  </si>
  <si>
    <t>2025-02-07 02:50:11.929687</t>
  </si>
  <si>
    <t>LD-305840</t>
  </si>
  <si>
    <t>2025-02-20 19:50:00</t>
  </si>
  <si>
    <t>2025-03-26 23:05:20.529087</t>
  </si>
  <si>
    <t>LD-305841</t>
  </si>
  <si>
    <t>2025-08-08 07:02:00</t>
  </si>
  <si>
    <t>LD-305842</t>
  </si>
  <si>
    <t>2025-08-14 13:10:00</t>
  </si>
  <si>
    <t>LD-305843</t>
  </si>
  <si>
    <t>2025-02-18 19:03:00</t>
  </si>
  <si>
    <t>LD-305844</t>
  </si>
  <si>
    <t>2026-02-24 13:36:00</t>
  </si>
  <si>
    <t>LD-305845</t>
  </si>
  <si>
    <t>2025-08-26 08:11:00</t>
  </si>
  <si>
    <t>LD-305846</t>
  </si>
  <si>
    <t>2026-01-07 17:52:00</t>
  </si>
  <si>
    <t>LD-305847</t>
  </si>
  <si>
    <t>2025-12-19 18:44:00</t>
  </si>
  <si>
    <t>2026-02-04 07:20:21.510822</t>
  </si>
  <si>
    <t>LD-305848</t>
  </si>
  <si>
    <t>2025-12-09 07:43:00</t>
  </si>
  <si>
    <t>LD-305849</t>
  </si>
  <si>
    <t>2025-08-01 20:53:00</t>
  </si>
  <si>
    <t>LD-305850</t>
  </si>
  <si>
    <t>2026-04-16 19:57:00</t>
  </si>
  <si>
    <t>LD-305851</t>
  </si>
  <si>
    <t>2025-12-17 14:47:00</t>
  </si>
  <si>
    <t>2026-01-26 02:37:02.359925</t>
  </si>
  <si>
    <t>LD-305852</t>
  </si>
  <si>
    <t>2025-05-06 15:02:00</t>
  </si>
  <si>
    <t>2025-05-27 09:32:50.024259</t>
  </si>
  <si>
    <t>LD-305853</t>
  </si>
  <si>
    <t>2025-08-11 20:04:00</t>
  </si>
  <si>
    <t>2025-09-28 06:11:13.057043</t>
  </si>
  <si>
    <t>LD-305854</t>
  </si>
  <si>
    <t>2025-07-03 14:51:00</t>
  </si>
  <si>
    <t>LD-305855</t>
  </si>
  <si>
    <t>2026-04-01 17:22:00</t>
  </si>
  <si>
    <t>2026-04-23 08:56:49.597293</t>
  </si>
  <si>
    <t>LD-305856</t>
  </si>
  <si>
    <t>2025-04-02 17:11:00</t>
  </si>
  <si>
    <t>LD-305857</t>
  </si>
  <si>
    <t>2026-04-18 13:20:00</t>
  </si>
  <si>
    <t>LD-305858</t>
  </si>
  <si>
    <t>2025-11-18 18:49:00</t>
  </si>
  <si>
    <t>2025-12-08 02:35:31.537701</t>
  </si>
  <si>
    <t>LD-305859</t>
  </si>
  <si>
    <t>2025-04-23 08:53:00</t>
  </si>
  <si>
    <t>LD-305860</t>
  </si>
  <si>
    <t>2025-10-10 11:25:00</t>
  </si>
  <si>
    <t>LD-305861</t>
  </si>
  <si>
    <t>2025-03-31 08:26:00</t>
  </si>
  <si>
    <t>LD-305862</t>
  </si>
  <si>
    <t>2026-04-16 11:54:00</t>
  </si>
  <si>
    <t>2026-05-22 03:23:49.691727</t>
  </si>
  <si>
    <t>LD-305863</t>
  </si>
  <si>
    <t>2025-11-28 08:23:00</t>
  </si>
  <si>
    <t>LD-305864</t>
  </si>
  <si>
    <t>2025-10-31 17:13:00</t>
  </si>
  <si>
    <t>2025-12-07 18:53:32.495052</t>
  </si>
  <si>
    <t>LD-305865</t>
  </si>
  <si>
    <t>2025-08-15 16:45:00</t>
  </si>
  <si>
    <t>LD-305866</t>
  </si>
  <si>
    <t>2026-06-01 12:37:00</t>
  </si>
  <si>
    <t>LD-305867</t>
  </si>
  <si>
    <t>2025-06-13 16:28:00</t>
  </si>
  <si>
    <t>2025-07-23 08:38:48.483002</t>
  </si>
  <si>
    <t>LD-305868</t>
  </si>
  <si>
    <t>2026-02-22 16:43:00</t>
  </si>
  <si>
    <t>2026-03-28 20:16:36.490808</t>
  </si>
  <si>
    <t>LD-305869</t>
  </si>
  <si>
    <t>2026-05-11 16:55:00</t>
  </si>
  <si>
    <t>2026-06-01 14:21:37.198170</t>
  </si>
  <si>
    <t>LD-305870</t>
  </si>
  <si>
    <t>2026-06-19 10:07:00</t>
  </si>
  <si>
    <t>LD-305871</t>
  </si>
  <si>
    <t>2026-01-23 15:41:00</t>
  </si>
  <si>
    <t>2026-03-19 11:42:24.685814</t>
  </si>
  <si>
    <t>LD-305872</t>
  </si>
  <si>
    <t>2025-01-17 12:33:00</t>
  </si>
  <si>
    <t>LD-305873</t>
  </si>
  <si>
    <t>2025-11-28 16:13:00</t>
  </si>
  <si>
    <t>LD-305874</t>
  </si>
  <si>
    <t>2026-05-01 12:42:00</t>
  </si>
  <si>
    <t>LD-305875</t>
  </si>
  <si>
    <t>2026-01-08 19:52:00</t>
  </si>
  <si>
    <t>LD-305876</t>
  </si>
  <si>
    <t>2025-12-25 18:57:00</t>
  </si>
  <si>
    <t>2026-02-04 09:37:07.137568</t>
  </si>
  <si>
    <t>LD-305877</t>
  </si>
  <si>
    <t>2026-03-25 19:46:00</t>
  </si>
  <si>
    <t>2026-04-30 02:21:07.532153</t>
  </si>
  <si>
    <t>LD-305878</t>
  </si>
  <si>
    <t>2025-01-19 19:46:00</t>
  </si>
  <si>
    <t>LD-305879</t>
  </si>
  <si>
    <t>2025-03-27 16:27:00</t>
  </si>
  <si>
    <t>LD-305880</t>
  </si>
  <si>
    <t>2026-05-05 20:59:00</t>
  </si>
  <si>
    <t>LD-305881</t>
  </si>
  <si>
    <t>2026-04-10 18:28:00</t>
  </si>
  <si>
    <t>LD-305882</t>
  </si>
  <si>
    <t>2026-04-03 14:01:00</t>
  </si>
  <si>
    <t>LD-305883</t>
  </si>
  <si>
    <t>2025-12-24 13:35:00</t>
  </si>
  <si>
    <t>LD-305884</t>
  </si>
  <si>
    <t>2026-06-19 09:00:00</t>
  </si>
  <si>
    <t>2026-07-25 04:41:12.029271</t>
  </si>
  <si>
    <t>LD-305885</t>
  </si>
  <si>
    <t>2025-06-13 07:04:00</t>
  </si>
  <si>
    <t>LD-305886</t>
  </si>
  <si>
    <t>2025-01-31 12:20:00</t>
  </si>
  <si>
    <t>LD-305887</t>
  </si>
  <si>
    <t>2026-02-20 14:26:00</t>
  </si>
  <si>
    <t>2026-03-24 22:01:20.244744</t>
  </si>
  <si>
    <t>LD-305888</t>
  </si>
  <si>
    <t>2026-06-14 20:14:00</t>
  </si>
  <si>
    <t>LD-305889</t>
  </si>
  <si>
    <t>2025-12-23 15:15:00</t>
  </si>
  <si>
    <t>LD-305890</t>
  </si>
  <si>
    <t>2025-04-15 11:46:00</t>
  </si>
  <si>
    <t>LD-305891</t>
  </si>
  <si>
    <t>2025-11-07 10:47:00</t>
  </si>
  <si>
    <t>LD-305892</t>
  </si>
  <si>
    <t>2025-05-17 19:52:00</t>
  </si>
  <si>
    <t>LD-305893</t>
  </si>
  <si>
    <t>2025-05-06 17:53:00</t>
  </si>
  <si>
    <t>LD-305894</t>
  </si>
  <si>
    <t>2025-05-17 13:42:00</t>
  </si>
  <si>
    <t>LD-305895</t>
  </si>
  <si>
    <t>2025-05-26 10:38:00</t>
  </si>
  <si>
    <t>2025-07-05 19:44:10.317821</t>
  </si>
  <si>
    <t>LD-305896</t>
  </si>
  <si>
    <t>2026-02-11 20:04:00</t>
  </si>
  <si>
    <t>LD-305897</t>
  </si>
  <si>
    <t>2026-01-26 13:04:00</t>
  </si>
  <si>
    <t>2026-03-14 19:49:26.110612</t>
  </si>
  <si>
    <t>LD-305898</t>
  </si>
  <si>
    <t>2025-08-19 07:21:00</t>
  </si>
  <si>
    <t>LD-305899</t>
  </si>
  <si>
    <t>2025-04-03 17:34:00</t>
  </si>
  <si>
    <t>LD-305900</t>
  </si>
  <si>
    <t>2025-12-13 11:27:00</t>
  </si>
  <si>
    <t>LD-305901</t>
  </si>
  <si>
    <t>2025-10-24 08:22:00</t>
  </si>
  <si>
    <t>LD-305902</t>
  </si>
  <si>
    <t>2025-12-17 09:14:00</t>
  </si>
  <si>
    <t>2026-01-25 19:23:19.210454</t>
  </si>
  <si>
    <t>LD-305903</t>
  </si>
  <si>
    <t>2025-11-24 08:35:00</t>
  </si>
  <si>
    <t>2026-01-11 00:35:56.490504</t>
  </si>
  <si>
    <t>LD-305904</t>
  </si>
  <si>
    <t>2025-12-14 16:10:00</t>
  </si>
  <si>
    <t>2026-01-26 05:00:59.547576</t>
  </si>
  <si>
    <t>LD-305905</t>
  </si>
  <si>
    <t>2025-11-10 10:55:00</t>
  </si>
  <si>
    <t>2025-12-26 14:39:17.006449</t>
  </si>
  <si>
    <t>LD-305906</t>
  </si>
  <si>
    <t>2026-02-14 19:44:00</t>
  </si>
  <si>
    <t>LD-305907</t>
  </si>
  <si>
    <t>2025-03-28 17:59:00</t>
  </si>
  <si>
    <t>2025-04-23 18:33:44.536488</t>
  </si>
  <si>
    <t>LD-305908</t>
  </si>
  <si>
    <t>2026-05-22 11:44:00</t>
  </si>
  <si>
    <t>LD-305909</t>
  </si>
  <si>
    <t>2025-01-10 17:14:00</t>
  </si>
  <si>
    <t>LD-305910</t>
  </si>
  <si>
    <t>2025-08-25 17:04:00</t>
  </si>
  <si>
    <t>LD-305911</t>
  </si>
  <si>
    <t>2025-07-18 19:45:00</t>
  </si>
  <si>
    <t>LD-305912</t>
  </si>
  <si>
    <t>2026-05-02 12:58:00</t>
  </si>
  <si>
    <t>LD-305913</t>
  </si>
  <si>
    <t>2025-01-07 20:41:00</t>
  </si>
  <si>
    <t>LD-305914</t>
  </si>
  <si>
    <t>2026-02-20 07:36:00</t>
  </si>
  <si>
    <t>LD-305915</t>
  </si>
  <si>
    <t>2025-01-03 18:11:00</t>
  </si>
  <si>
    <t>2025-02-22 06:36:44.128326</t>
  </si>
  <si>
    <t>LD-305916</t>
  </si>
  <si>
    <t>2026-05-29 09:47:00</t>
  </si>
  <si>
    <t>LD-305917</t>
  </si>
  <si>
    <t>2026-03-04 15:52:00</t>
  </si>
  <si>
    <t>LD-305918</t>
  </si>
  <si>
    <t>2026-04-12 09:17:00</t>
  </si>
  <si>
    <t>LD-305919</t>
  </si>
  <si>
    <t>2026-03-12 14:25:00</t>
  </si>
  <si>
    <t>LD-305920</t>
  </si>
  <si>
    <t>2025-01-27 13:42:00</t>
  </si>
  <si>
    <t>LD-305921</t>
  </si>
  <si>
    <t>2026-03-09 13:56:00</t>
  </si>
  <si>
    <t>LD-305922</t>
  </si>
  <si>
    <t>2025-01-28 20:10:00</t>
  </si>
  <si>
    <t>LD-305923</t>
  </si>
  <si>
    <t>2026-04-03 10:17:00</t>
  </si>
  <si>
    <t>LD-305924</t>
  </si>
  <si>
    <t>2026-04-24 07:42:00</t>
  </si>
  <si>
    <t>2026-05-29 07:00:31.126285</t>
  </si>
  <si>
    <t>LD-305925</t>
  </si>
  <si>
    <t>2026-01-14 12:47:00</t>
  </si>
  <si>
    <t>2026-03-03 13:01:05.637962</t>
  </si>
  <si>
    <t>LD-305926</t>
  </si>
  <si>
    <t>2025-02-21 12:52:00</t>
  </si>
  <si>
    <t>LD-305927</t>
  </si>
  <si>
    <t>2025-07-18 08:39:00</t>
  </si>
  <si>
    <t>LD-305928</t>
  </si>
  <si>
    <t>2026-04-05 11:18:00</t>
  </si>
  <si>
    <t>2026-05-05 15:39:30.038470</t>
  </si>
  <si>
    <t>LD-305929</t>
  </si>
  <si>
    <t>2025-12-31 16:13:00</t>
  </si>
  <si>
    <t>2026-02-20 10:21:34.245722</t>
  </si>
  <si>
    <t>LD-305930</t>
  </si>
  <si>
    <t>2026-01-20 17:01:00</t>
  </si>
  <si>
    <t>2026-03-08 03:24:27.481730</t>
  </si>
  <si>
    <t>LD-305931</t>
  </si>
  <si>
    <t>2025-08-30 15:12:00</t>
  </si>
  <si>
    <t>2025-10-07 17:44:35.326166</t>
  </si>
  <si>
    <t>LD-305932</t>
  </si>
  <si>
    <t>2025-05-29 08:01:00</t>
  </si>
  <si>
    <t>LD-305933</t>
  </si>
  <si>
    <t>2025-10-28 08:25:00</t>
  </si>
  <si>
    <t>2025-12-17 11:15:45.483697</t>
  </si>
  <si>
    <t>LD-305934</t>
  </si>
  <si>
    <t>2025-02-24 20:41:00</t>
  </si>
  <si>
    <t>2025-04-11 20:25:06.895479</t>
  </si>
  <si>
    <t>LD-305935</t>
  </si>
  <si>
    <t>2026-04-06 17:44:00</t>
  </si>
  <si>
    <t>LD-305936</t>
  </si>
  <si>
    <t>2026-02-20 12:54:00</t>
  </si>
  <si>
    <t>LD-305937</t>
  </si>
  <si>
    <t>2025-09-08 20:09:00</t>
  </si>
  <si>
    <t>LD-305938</t>
  </si>
  <si>
    <t>2026-06-09 10:03:00</t>
  </si>
  <si>
    <t>LD-305939</t>
  </si>
  <si>
    <t>2025-04-30 07:29:00</t>
  </si>
  <si>
    <t>LD-305940</t>
  </si>
  <si>
    <t>2026-04-30 11:29:00</t>
  </si>
  <si>
    <t>LD-305941</t>
  </si>
  <si>
    <t>2025-04-28 09:21:00</t>
  </si>
  <si>
    <t>2025-06-10 13:53:40.434787</t>
  </si>
  <si>
    <t>LD-305942</t>
  </si>
  <si>
    <t>2025-04-16 12:44:00</t>
  </si>
  <si>
    <t>2025-05-15 11:49:45.699854</t>
  </si>
  <si>
    <t>LD-305943</t>
  </si>
  <si>
    <t>2025-10-16 11:38:00</t>
  </si>
  <si>
    <t>2025-11-19 01:58:29.591562</t>
  </si>
  <si>
    <t>LD-305944</t>
  </si>
  <si>
    <t>2025-08-14 17:13:00</t>
  </si>
  <si>
    <t>LD-305945</t>
  </si>
  <si>
    <t>2025-06-09 18:33:00</t>
  </si>
  <si>
    <t>2025-07-14 11:18:44.674884</t>
  </si>
  <si>
    <t>LD-305946</t>
  </si>
  <si>
    <t>2025-09-06 14:32:00</t>
  </si>
  <si>
    <t>2025-10-30 14:37:48.901475</t>
  </si>
  <si>
    <t>LD-305947</t>
  </si>
  <si>
    <t>2025-12-26 11:31:00</t>
  </si>
  <si>
    <t>LD-305948</t>
  </si>
  <si>
    <t>2025-07-05 09:03:00</t>
  </si>
  <si>
    <t>2025-08-02 00:07:37.343013</t>
  </si>
  <si>
    <t>LD-305949</t>
  </si>
  <si>
    <t>2026-06-12 13:44:00</t>
  </si>
  <si>
    <t>LD-305950</t>
  </si>
  <si>
    <t>2026-02-03 17:53:00</t>
  </si>
  <si>
    <t>2026-03-18 09:27:15.262240</t>
  </si>
  <si>
    <t>LD-305951</t>
  </si>
  <si>
    <t>2025-07-11 15:46:00</t>
  </si>
  <si>
    <t>2025-08-16 03:43:19.855348</t>
  </si>
  <si>
    <t>LD-305952</t>
  </si>
  <si>
    <t>2026-04-25 18:37:00</t>
  </si>
  <si>
    <t>LD-305953</t>
  </si>
  <si>
    <t>2025-05-28 13:43:00</t>
  </si>
  <si>
    <t>LD-305954</t>
  </si>
  <si>
    <t>2025-02-26 09:19:00</t>
  </si>
  <si>
    <t>2025-04-09 08:55:43.963202</t>
  </si>
  <si>
    <t>LD-305955</t>
  </si>
  <si>
    <t>2025-04-13 19:21:00</t>
  </si>
  <si>
    <t>LD-305956</t>
  </si>
  <si>
    <t>2025-12-31 14:14:00</t>
  </si>
  <si>
    <t>LD-305957</t>
  </si>
  <si>
    <t>2025-05-11 15:09:00</t>
  </si>
  <si>
    <t>LD-305958</t>
  </si>
  <si>
    <t>2026-01-27 07:12:00</t>
  </si>
  <si>
    <t>LD-305959</t>
  </si>
  <si>
    <t>2025-10-15 12:34:00</t>
  </si>
  <si>
    <t>2025-11-20 08:25:17.415792</t>
  </si>
  <si>
    <t>LD-305960</t>
  </si>
  <si>
    <t>2026-05-04 14:59:00</t>
  </si>
  <si>
    <t>LD-305961</t>
  </si>
  <si>
    <t>2025-08-01 19:35:00</t>
  </si>
  <si>
    <t>LD-305962</t>
  </si>
  <si>
    <t>2026-04-16 20:02:00</t>
  </si>
  <si>
    <t>LD-305963</t>
  </si>
  <si>
    <t>2025-02-16 19:51:00</t>
  </si>
  <si>
    <t>LD-305964</t>
  </si>
  <si>
    <t>2025-12-08 14:09:00</t>
  </si>
  <si>
    <t>2026-02-01 06:31:00.390924</t>
  </si>
  <si>
    <t>LD-305965</t>
  </si>
  <si>
    <t>2026-02-24 14:59:00</t>
  </si>
  <si>
    <t>LD-305966</t>
  </si>
  <si>
    <t>2025-10-24 11:55:00</t>
  </si>
  <si>
    <t>2025-11-25 13:53:18.860141</t>
  </si>
  <si>
    <t>LD-305967</t>
  </si>
  <si>
    <t>2025-01-31 16:04:00</t>
  </si>
  <si>
    <t>LD-305968</t>
  </si>
  <si>
    <t>2025-04-02 07:35:00</t>
  </si>
  <si>
    <t>2025-05-08 15:11:17.181438</t>
  </si>
  <si>
    <t>LD-305969</t>
  </si>
  <si>
    <t>2026-01-16 19:21:00</t>
  </si>
  <si>
    <t>2026-03-05 12:13:49.794177</t>
  </si>
  <si>
    <t>LD-305970</t>
  </si>
  <si>
    <t>2025-12-25 08:29:00</t>
  </si>
  <si>
    <t>LD-305971</t>
  </si>
  <si>
    <t>2026-06-17 19:06:00</t>
  </si>
  <si>
    <t>2026-07-29 02:45:52.024702</t>
  </si>
  <si>
    <t>LD-305972</t>
  </si>
  <si>
    <t>2025-04-25 12:31:00</t>
  </si>
  <si>
    <t>LD-305973</t>
  </si>
  <si>
    <t>2025-09-25 08:02:00</t>
  </si>
  <si>
    <t>2025-10-31 05:04:58.652733</t>
  </si>
  <si>
    <t>LD-305974</t>
  </si>
  <si>
    <t>2026-02-13 19:41:00</t>
  </si>
  <si>
    <t>2026-03-02 11:47:52.113590</t>
  </si>
  <si>
    <t>LD-305975</t>
  </si>
  <si>
    <t>2025-06-13 20:42:00</t>
  </si>
  <si>
    <t>2025-07-16 17:01:43.921077</t>
  </si>
  <si>
    <t>LD-305976</t>
  </si>
  <si>
    <t>2026-04-14 14:26:00</t>
  </si>
  <si>
    <t>LD-305977</t>
  </si>
  <si>
    <t>2025-03-26 14:22:00</t>
  </si>
  <si>
    <t>2025-05-10 12:31:35.945140</t>
  </si>
  <si>
    <t>LD-305978</t>
  </si>
  <si>
    <t>2026-03-05 18:41:00</t>
  </si>
  <si>
    <t>LD-305979</t>
  </si>
  <si>
    <t>2025-07-07 11:29:00</t>
  </si>
  <si>
    <t>LD-305980</t>
  </si>
  <si>
    <t>2026-01-07 12:11:00</t>
  </si>
  <si>
    <t>2026-01-25 13:15:04.217287</t>
  </si>
  <si>
    <t>LD-305981</t>
  </si>
  <si>
    <t>2026-03-05 12:59:00</t>
  </si>
  <si>
    <t>LD-305982</t>
  </si>
  <si>
    <t>2025-05-02 12:27:00</t>
  </si>
  <si>
    <t>LD-305983</t>
  </si>
  <si>
    <t>2026-01-16 10:03:00</t>
  </si>
  <si>
    <t>LD-305984</t>
  </si>
  <si>
    <t>2025-01-03 15:38:00</t>
  </si>
  <si>
    <t>LD-305985</t>
  </si>
  <si>
    <t>2025-08-14 09:41:00</t>
  </si>
  <si>
    <t>2025-09-02 22:08:27.863130</t>
  </si>
  <si>
    <t>LD-305986</t>
  </si>
  <si>
    <t>2026-02-20 12:18:00</t>
  </si>
  <si>
    <t>LD-305987</t>
  </si>
  <si>
    <t>2025-04-01 11:12:00</t>
  </si>
  <si>
    <t>LD-305988</t>
  </si>
  <si>
    <t>2026-03-21 14:36:00</t>
  </si>
  <si>
    <t>LD-305989</t>
  </si>
  <si>
    <t>2025-03-07 17:29:00</t>
  </si>
  <si>
    <t>LD-305990</t>
  </si>
  <si>
    <t>2025-03-23 09:27:00</t>
  </si>
  <si>
    <t>2025-05-11 21:10:23.514503</t>
  </si>
  <si>
    <t>LD-305991</t>
  </si>
  <si>
    <t>2025-09-14 16:39:00</t>
  </si>
  <si>
    <t>LD-305992</t>
  </si>
  <si>
    <t>2025-09-26 08:49:00</t>
  </si>
  <si>
    <t>2025-11-17 14:01:32.986140</t>
  </si>
  <si>
    <t>LD-305993</t>
  </si>
  <si>
    <t>2025-12-03 20:17:00</t>
  </si>
  <si>
    <t>LD-305994</t>
  </si>
  <si>
    <t>2026-05-11 13:24:00</t>
  </si>
  <si>
    <t>2026-06-20 07:50:49.805741</t>
  </si>
  <si>
    <t>LD-305995</t>
  </si>
  <si>
    <t>2025-11-25 19:03:00</t>
  </si>
  <si>
    <t>2025-12-30 12:50:09.315871</t>
  </si>
  <si>
    <t>LD-305996</t>
  </si>
  <si>
    <t>2025-02-08 16:41:00</t>
  </si>
  <si>
    <t>2025-03-28 10:37:00.156985</t>
  </si>
  <si>
    <t>LD-305997</t>
  </si>
  <si>
    <t>2026-04-15 08:09:00</t>
  </si>
  <si>
    <t>LD-305998</t>
  </si>
  <si>
    <t>2025-01-13 07:54:00</t>
  </si>
  <si>
    <t>LD-305999</t>
  </si>
  <si>
    <t>2025-08-30 16:35:00</t>
  </si>
  <si>
    <t>LD-306000</t>
  </si>
  <si>
    <t>2025-07-07 18:41:00</t>
  </si>
  <si>
    <t>LD-306001</t>
  </si>
  <si>
    <t>2025-04-27 20:08:00</t>
  </si>
  <si>
    <t>2025-06-03 07:02:53.234463</t>
  </si>
  <si>
    <t>LD-306002</t>
  </si>
  <si>
    <t>2025-05-07 12:33:00</t>
  </si>
  <si>
    <t>LD-306003</t>
  </si>
  <si>
    <t>2025-04-22 20:55:00</t>
  </si>
  <si>
    <t>LD-306004</t>
  </si>
  <si>
    <t>2025-02-21 13:19:00</t>
  </si>
  <si>
    <t>2025-04-13 04:23:57.581076</t>
  </si>
  <si>
    <t>LD-306005</t>
  </si>
  <si>
    <t>2025-05-09 10:24:00</t>
  </si>
  <si>
    <t>LD-306006</t>
  </si>
  <si>
    <t>2025-12-12 12:58:00</t>
  </si>
  <si>
    <t>2026-01-17 00:20:03.465761</t>
  </si>
  <si>
    <t>LD-306007</t>
  </si>
  <si>
    <t>2026-05-08 12:50:00</t>
  </si>
  <si>
    <t>2026-06-14 14:04:56.617937</t>
  </si>
  <si>
    <t>LD-306008</t>
  </si>
  <si>
    <t>2026-05-15 09:41:00</t>
  </si>
  <si>
    <t>2026-06-10 11:28:19.827639</t>
  </si>
  <si>
    <t>LD-306009</t>
  </si>
  <si>
    <t>2025-06-02 11:26:00</t>
  </si>
  <si>
    <t>LD-306010</t>
  </si>
  <si>
    <t>2025-10-22 12:09:00</t>
  </si>
  <si>
    <t>2025-11-26 19:37:17.386655</t>
  </si>
  <si>
    <t>LD-306011</t>
  </si>
  <si>
    <t>2025-05-15 20:22:00</t>
  </si>
  <si>
    <t>2025-06-26 19:58:41.249186</t>
  </si>
  <si>
    <t>LD-306012</t>
  </si>
  <si>
    <t>2026-01-29 12:46:00</t>
  </si>
  <si>
    <t>LD-306013</t>
  </si>
  <si>
    <t>2025-05-12 09:24:00</t>
  </si>
  <si>
    <t>LD-306014</t>
  </si>
  <si>
    <t>2025-09-12 10:52:00</t>
  </si>
  <si>
    <t>LD-306015</t>
  </si>
  <si>
    <t>2025-04-04 09:56:00</t>
  </si>
  <si>
    <t>LD-306016</t>
  </si>
  <si>
    <t>2025-09-03 18:48:00</t>
  </si>
  <si>
    <t>2025-11-02 04:45:43.302659</t>
  </si>
  <si>
    <t>LD-306017</t>
  </si>
  <si>
    <t>2025-10-19 12:44:00</t>
  </si>
  <si>
    <t>LD-306018</t>
  </si>
  <si>
    <t>2025-06-25 10:15:00</t>
  </si>
  <si>
    <t>LD-306019</t>
  </si>
  <si>
    <t>2026-01-16 14:18:00</t>
  </si>
  <si>
    <t>LD-306020</t>
  </si>
  <si>
    <t>2025-12-02 10:30:00</t>
  </si>
  <si>
    <t>LD-306021</t>
  </si>
  <si>
    <t>2025-07-21 10:29:00</t>
  </si>
  <si>
    <t>LD-306022</t>
  </si>
  <si>
    <t>2026-02-05 14:57:00</t>
  </si>
  <si>
    <t>LD-306023</t>
  </si>
  <si>
    <t>2026-04-17 13:27:00</t>
  </si>
  <si>
    <t>LD-306024</t>
  </si>
  <si>
    <t>2026-03-17 12:01:00</t>
  </si>
  <si>
    <t>LD-306025</t>
  </si>
  <si>
    <t>2026-05-08 11:54:00</t>
  </si>
  <si>
    <t>LD-306026</t>
  </si>
  <si>
    <t>2025-04-16 13:39:00</t>
  </si>
  <si>
    <t>LD-306027</t>
  </si>
  <si>
    <t>2026-05-21 10:57:00</t>
  </si>
  <si>
    <t>LD-306028</t>
  </si>
  <si>
    <t>2026-02-26 07:05:59.815453</t>
  </si>
  <si>
    <t>LD-306029</t>
  </si>
  <si>
    <t>2025-08-11 18:58:00</t>
  </si>
  <si>
    <t>2025-09-28 18:29:26.365385</t>
  </si>
  <si>
    <t>LD-306030</t>
  </si>
  <si>
    <t>2025-11-10 19:11:00</t>
  </si>
  <si>
    <t>LD-306031</t>
  </si>
  <si>
    <t>2025-12-05 08:41:00</t>
  </si>
  <si>
    <t>LD-306032</t>
  </si>
  <si>
    <t>2026-03-27 15:18:00</t>
  </si>
  <si>
    <t>LD-306033</t>
  </si>
  <si>
    <t>2025-04-18 17:22:00</t>
  </si>
  <si>
    <t>LD-306034</t>
  </si>
  <si>
    <t>2025-09-11 07:01:00</t>
  </si>
  <si>
    <t>2025-10-13 02:16:44.012288</t>
  </si>
  <si>
    <t>LD-306035</t>
  </si>
  <si>
    <t>2026-01-02 13:35:00</t>
  </si>
  <si>
    <t>LD-306036</t>
  </si>
  <si>
    <t>2026-05-26 16:34:00</t>
  </si>
  <si>
    <t>LD-306037</t>
  </si>
  <si>
    <t>2025-07-01 07:13:00</t>
  </si>
  <si>
    <t>2025-08-09 22:06:53.561757</t>
  </si>
  <si>
    <t>LD-306038</t>
  </si>
  <si>
    <t>2025-10-07 07:22:00</t>
  </si>
  <si>
    <t>LD-306039</t>
  </si>
  <si>
    <t>2025-08-23 14:08:00</t>
  </si>
  <si>
    <t>LD-306040</t>
  </si>
  <si>
    <t>2025-11-07 07:25:00</t>
  </si>
  <si>
    <t>LD-306041</t>
  </si>
  <si>
    <t>2025-11-07 09:43:00</t>
  </si>
  <si>
    <t>LD-306042</t>
  </si>
  <si>
    <t>2025-01-29 17:56:00</t>
  </si>
  <si>
    <t>2025-03-14 08:38:40.152857</t>
  </si>
  <si>
    <t>LD-306043</t>
  </si>
  <si>
    <t>2025-05-16 13:36:00</t>
  </si>
  <si>
    <t>LD-306044</t>
  </si>
  <si>
    <t>2025-06-06 10:13:00</t>
  </si>
  <si>
    <t>LD-306045</t>
  </si>
  <si>
    <t>2025-08-04 10:26:00</t>
  </si>
  <si>
    <t>LD-306046</t>
  </si>
  <si>
    <t>2025-07-19 08:52:00</t>
  </si>
  <si>
    <t>2025-08-21 02:32:33.824899</t>
  </si>
  <si>
    <t>LD-306047</t>
  </si>
  <si>
    <t>2026-05-30 20:54:00</t>
  </si>
  <si>
    <t>2026-07-23 16:05:29.716221</t>
  </si>
  <si>
    <t>LD-306048</t>
  </si>
  <si>
    <t>2026-03-06 14:44:00</t>
  </si>
  <si>
    <t>LD-306049</t>
  </si>
  <si>
    <t>2025-09-10 13:47:00</t>
  </si>
  <si>
    <t>LD-306050</t>
  </si>
  <si>
    <t>2025-06-06 16:36:00</t>
  </si>
  <si>
    <t>2025-07-20 15:34:12.928990</t>
  </si>
  <si>
    <t>LD-306051</t>
  </si>
  <si>
    <t>2025-09-16 08:12:00</t>
  </si>
  <si>
    <t>LD-306052</t>
  </si>
  <si>
    <t>2025-01-10 15:02:00</t>
  </si>
  <si>
    <t>LD-306053</t>
  </si>
  <si>
    <t>2025-12-12 11:46:00</t>
  </si>
  <si>
    <t>LD-306054</t>
  </si>
  <si>
    <t>2025-04-03 16:42:00</t>
  </si>
  <si>
    <t>LD-306055</t>
  </si>
  <si>
    <t>2026-05-13 14:01:00</t>
  </si>
  <si>
    <t>LD-306056</t>
  </si>
  <si>
    <t>2025-03-31 11:36:00</t>
  </si>
  <si>
    <t>LD-306057</t>
  </si>
  <si>
    <t>2025-04-30 13:55:00</t>
  </si>
  <si>
    <t>LD-306058</t>
  </si>
  <si>
    <t>2025-12-05 07:18:00</t>
  </si>
  <si>
    <t>LD-306059</t>
  </si>
  <si>
    <t>2025-11-21 16:56:00</t>
  </si>
  <si>
    <t>2025-12-26 05:03:41.909147</t>
  </si>
  <si>
    <t>LD-306060</t>
  </si>
  <si>
    <t>2026-06-19 12:10:00</t>
  </si>
  <si>
    <t>2026-08-17 09:05:01.875245</t>
  </si>
  <si>
    <t>LD-306061</t>
  </si>
  <si>
    <t>2025-03-01 15:26:00</t>
  </si>
  <si>
    <t>2025-04-05 12:58:14.110343</t>
  </si>
  <si>
    <t>LD-306062</t>
  </si>
  <si>
    <t>2026-01-09 05:08:06.439310</t>
  </si>
  <si>
    <t>LD-306063</t>
  </si>
  <si>
    <t>2025-10-18 18:31:00</t>
  </si>
  <si>
    <t>2025-11-07 13:52:13.415935</t>
  </si>
  <si>
    <t>LD-306064</t>
  </si>
  <si>
    <t>2026-01-06 11:23:43.528591</t>
  </si>
  <si>
    <t>LD-306065</t>
  </si>
  <si>
    <t>2025-02-28 16:40:00</t>
  </si>
  <si>
    <t>2025-04-15 01:05:26.309636</t>
  </si>
  <si>
    <t>LD-306066</t>
  </si>
  <si>
    <t>2025-11-23 07:07:00</t>
  </si>
  <si>
    <t>LD-306067</t>
  </si>
  <si>
    <t>2026-02-24 18:55:00</t>
  </si>
  <si>
    <t>2026-04-06 16:22:14.543682</t>
  </si>
  <si>
    <t>LD-306068</t>
  </si>
  <si>
    <t>2025-01-03 09:08:00</t>
  </si>
  <si>
    <t>LD-306069</t>
  </si>
  <si>
    <t>2025-11-26 17:07:00</t>
  </si>
  <si>
    <t>LD-306070</t>
  </si>
  <si>
    <t>2025-01-13 20:55:00</t>
  </si>
  <si>
    <t>2025-03-02 10:27:44.699310</t>
  </si>
  <si>
    <t>LD-306071</t>
  </si>
  <si>
    <t>2025-09-12 20:00:00</t>
  </si>
  <si>
    <t>LD-306072</t>
  </si>
  <si>
    <t>2025-11-25 14:15:00</t>
  </si>
  <si>
    <t>2025-12-28 02:14:25.339116</t>
  </si>
  <si>
    <t>LD-306073</t>
  </si>
  <si>
    <t>2025-01-20 10:02:00</t>
  </si>
  <si>
    <t>LD-306074</t>
  </si>
  <si>
    <t>2026-04-25 15:43:00</t>
  </si>
  <si>
    <t>LD-306075</t>
  </si>
  <si>
    <t>2025-08-31 08:26:00</t>
  </si>
  <si>
    <t>LD-306076</t>
  </si>
  <si>
    <t>2025-07-15 17:37:00</t>
  </si>
  <si>
    <t>LD-306077</t>
  </si>
  <si>
    <t>2025-11-29 15:19:00</t>
  </si>
  <si>
    <t>2025-12-23 13:58:58.199884</t>
  </si>
  <si>
    <t>LD-306078</t>
  </si>
  <si>
    <t>2025-06-29 07:47:00</t>
  </si>
  <si>
    <t>LD-306079</t>
  </si>
  <si>
    <t>2026-04-03 15:17:00</t>
  </si>
  <si>
    <t>2026-05-17 17:46:01.565942</t>
  </si>
  <si>
    <t>LD-306080</t>
  </si>
  <si>
    <t>2025-02-04 10:22:00</t>
  </si>
  <si>
    <t>2025-03-07 07:23:01.475051</t>
  </si>
  <si>
    <t>LD-306081</t>
  </si>
  <si>
    <t>2025-08-28 18:59:00</t>
  </si>
  <si>
    <t>2025-09-27 16:36:13.528237</t>
  </si>
  <si>
    <t>LD-306082</t>
  </si>
  <si>
    <t>2025-08-05 18:13:00</t>
  </si>
  <si>
    <t>2025-09-09 02:27:38.140016</t>
  </si>
  <si>
    <t>LD-306083</t>
  </si>
  <si>
    <t>2026-01-31 16:46:00</t>
  </si>
  <si>
    <t>LD-306084</t>
  </si>
  <si>
    <t>2025-10-21 18:00:00</t>
  </si>
  <si>
    <t>2025-11-17 23:36:49.394934</t>
  </si>
  <si>
    <t>LD-306085</t>
  </si>
  <si>
    <t>2025-07-04 07:50:00</t>
  </si>
  <si>
    <t>LD-306086</t>
  </si>
  <si>
    <t>2025-12-29 20:04:00</t>
  </si>
  <si>
    <t>2026-02-13 02:51:27.569239</t>
  </si>
  <si>
    <t>LD-306087</t>
  </si>
  <si>
    <t>2025-08-19 14:20:00</t>
  </si>
  <si>
    <t>LD-306088</t>
  </si>
  <si>
    <t>2026-04-17 07:02:00</t>
  </si>
  <si>
    <t>LD-306089</t>
  </si>
  <si>
    <t>2025-07-10 08:59:00</t>
  </si>
  <si>
    <t>LD-306090</t>
  </si>
  <si>
    <t>2026-04-17 12:20:00</t>
  </si>
  <si>
    <t>LD-306091</t>
  </si>
  <si>
    <t>2025-10-02 12:55:00</t>
  </si>
  <si>
    <t>LD-306092</t>
  </si>
  <si>
    <t>2025-05-23 09:59:00</t>
  </si>
  <si>
    <t>LD-306093</t>
  </si>
  <si>
    <t>2025-08-03 14:11:00</t>
  </si>
  <si>
    <t>2025-09-02 05:42:44.953244</t>
  </si>
  <si>
    <t>LD-306094</t>
  </si>
  <si>
    <t>2026-03-12 17:39:00</t>
  </si>
  <si>
    <t>2026-04-18 15:04:16.115036</t>
  </si>
  <si>
    <t>LD-306095</t>
  </si>
  <si>
    <t>2026-03-21 09:20:00</t>
  </si>
  <si>
    <t>2026-05-16 03:54:05.355905</t>
  </si>
  <si>
    <t>LD-306096</t>
  </si>
  <si>
    <t>2025-10-17 17:00:00</t>
  </si>
  <si>
    <t>LD-306097</t>
  </si>
  <si>
    <t>2026-06-04 07:43:00</t>
  </si>
  <si>
    <t>2026-07-17 22:27:00.114319</t>
  </si>
  <si>
    <t>LD-306098</t>
  </si>
  <si>
    <t>2025-10-06 16:01:00</t>
  </si>
  <si>
    <t>LD-306099</t>
  </si>
  <si>
    <t>2025-02-20 16:12:00</t>
  </si>
  <si>
    <t>LD-306100</t>
  </si>
  <si>
    <t>2025-07-25 20:54:00</t>
  </si>
  <si>
    <t>LD-306101</t>
  </si>
  <si>
    <t>2025-02-18 17:21:00</t>
  </si>
  <si>
    <t>2025-03-27 02:27:16.110492</t>
  </si>
  <si>
    <t>LD-306102</t>
  </si>
  <si>
    <t>2025-08-29 14:52:00</t>
  </si>
  <si>
    <t>2025-10-29 03:37:40.904584</t>
  </si>
  <si>
    <t>LD-306103</t>
  </si>
  <si>
    <t>2026-05-01 15:01:00</t>
  </si>
  <si>
    <t>2026-06-17 22:56:59.227372</t>
  </si>
  <si>
    <t>LD-306104</t>
  </si>
  <si>
    <t>2025-02-09 19:50:00</t>
  </si>
  <si>
    <t>LD-306105</t>
  </si>
  <si>
    <t>2025-10-31 07:20:00</t>
  </si>
  <si>
    <t>2025-12-23 14:56:29.009152</t>
  </si>
  <si>
    <t>LD-306106</t>
  </si>
  <si>
    <t>2025-03-15 16:55:00</t>
  </si>
  <si>
    <t>LD-306107</t>
  </si>
  <si>
    <t>2025-10-17 17:33:00</t>
  </si>
  <si>
    <t>2025-11-20 11:30:44.205971</t>
  </si>
  <si>
    <t>LD-306108</t>
  </si>
  <si>
    <t>2026-03-26 14:43:00</t>
  </si>
  <si>
    <t>LD-306109</t>
  </si>
  <si>
    <t>2025-01-17 19:09:00</t>
  </si>
  <si>
    <t>LD-306110</t>
  </si>
  <si>
    <t>2025-12-28 10:05:00</t>
  </si>
  <si>
    <t>LD-306111</t>
  </si>
  <si>
    <t>2025-03-20 18:12:00</t>
  </si>
  <si>
    <t>2025-04-25 13:50:51.622588</t>
  </si>
  <si>
    <t>LD-306112</t>
  </si>
  <si>
    <t>2026-05-07 15:15:00</t>
  </si>
  <si>
    <t>2026-06-21 07:56:53.554817</t>
  </si>
  <si>
    <t>LD-306113</t>
  </si>
  <si>
    <t>2025-09-25 13:27:00</t>
  </si>
  <si>
    <t>LD-306114</t>
  </si>
  <si>
    <t>2025-04-10 11:01:00</t>
  </si>
  <si>
    <t>LD-306115</t>
  </si>
  <si>
    <t>2025-06-27 19:17:00</t>
  </si>
  <si>
    <t>2025-08-11 07:49:55.118870</t>
  </si>
  <si>
    <t>LD-306116</t>
  </si>
  <si>
    <t>2025-08-07 19:07:00</t>
  </si>
  <si>
    <t>2025-09-16 08:49:53.345650</t>
  </si>
  <si>
    <t>LD-306117</t>
  </si>
  <si>
    <t>2025-07-06 15:43:00</t>
  </si>
  <si>
    <t>LD-306118</t>
  </si>
  <si>
    <t>2026-03-27 15:28:00</t>
  </si>
  <si>
    <t>LD-306119</t>
  </si>
  <si>
    <t>2026-04-23 19:25:00</t>
  </si>
  <si>
    <t>LD-306120</t>
  </si>
  <si>
    <t>2025-04-02 08:15:00</t>
  </si>
  <si>
    <t>LD-306121</t>
  </si>
  <si>
    <t>2025-07-24 17:28:00</t>
  </si>
  <si>
    <t>LD-306122</t>
  </si>
  <si>
    <t>2025-01-17 08:18:00</t>
  </si>
  <si>
    <t>LD-306123</t>
  </si>
  <si>
    <t>2025-09-12 12:08:00</t>
  </si>
  <si>
    <t>LD-306124</t>
  </si>
  <si>
    <t>2025-06-18 14:36:00</t>
  </si>
  <si>
    <t>LD-306125</t>
  </si>
  <si>
    <t>2025-08-01 15:31:00</t>
  </si>
  <si>
    <t>LD-306126</t>
  </si>
  <si>
    <t>2025-05-19 15:11:00</t>
  </si>
  <si>
    <t>LD-306127</t>
  </si>
  <si>
    <t>2025-01-09 13:10:00</t>
  </si>
  <si>
    <t>LD-306128</t>
  </si>
  <si>
    <t>2025-04-23 08:43:00</t>
  </si>
  <si>
    <t>LD-306129</t>
  </si>
  <si>
    <t>2025-04-07 14:57:00</t>
  </si>
  <si>
    <t>LD-306130</t>
  </si>
  <si>
    <t>2025-06-08 11:11:00</t>
  </si>
  <si>
    <t>LD-306131</t>
  </si>
  <si>
    <t>2026-03-09 13:01:00</t>
  </si>
  <si>
    <t>LD-306132</t>
  </si>
  <si>
    <t>2026-05-15 11:35:00</t>
  </si>
  <si>
    <t>LD-306133</t>
  </si>
  <si>
    <t>2025-02-18 19:41:00</t>
  </si>
  <si>
    <t>2025-03-30 21:59:36.156441</t>
  </si>
  <si>
    <t>LD-306134</t>
  </si>
  <si>
    <t>2025-09-12 07:57:00</t>
  </si>
  <si>
    <t>LD-306135</t>
  </si>
  <si>
    <t>2025-01-06 14:51:00</t>
  </si>
  <si>
    <t>LD-306136</t>
  </si>
  <si>
    <t>2025-09-18 08:07:00</t>
  </si>
  <si>
    <t>LD-306137</t>
  </si>
  <si>
    <t>2025-11-05 12:40:00</t>
  </si>
  <si>
    <t>LD-306138</t>
  </si>
  <si>
    <t>2025-06-10 12:40:00</t>
  </si>
  <si>
    <t>2025-07-07 21:48:26.509289</t>
  </si>
  <si>
    <t>LD-306139</t>
  </si>
  <si>
    <t>2025-05-12 18:26:00</t>
  </si>
  <si>
    <t>2025-06-24 22:18:05.536953</t>
  </si>
  <si>
    <t>LD-306140</t>
  </si>
  <si>
    <t>2026-01-20 19:10:00</t>
  </si>
  <si>
    <t>LD-306141</t>
  </si>
  <si>
    <t>2025-10-15 13:48:00</t>
  </si>
  <si>
    <t>LD-306142</t>
  </si>
  <si>
    <t>2025-02-03 20:26:00</t>
  </si>
  <si>
    <t>2025-03-19 06:41:42.766233</t>
  </si>
  <si>
    <t>LD-306143</t>
  </si>
  <si>
    <t>2025-01-27 18:34:00</t>
  </si>
  <si>
    <t>LD-306144</t>
  </si>
  <si>
    <t>2025-12-12 12:09:00</t>
  </si>
  <si>
    <t>LD-306145</t>
  </si>
  <si>
    <t>2025-10-04 14:45:00</t>
  </si>
  <si>
    <t>2025-11-07 08:48:50.913645</t>
  </si>
  <si>
    <t>LD-306146</t>
  </si>
  <si>
    <t>2026-03-14 12:39:00</t>
  </si>
  <si>
    <t>2026-05-03 16:40:26.431470</t>
  </si>
  <si>
    <t>LD-306147</t>
  </si>
  <si>
    <t>2025-12-22 20:48:00</t>
  </si>
  <si>
    <t>LD-306148</t>
  </si>
  <si>
    <t>2025-12-19 18:43:00</t>
  </si>
  <si>
    <t>LD-306149</t>
  </si>
  <si>
    <t>2025-06-21 17:30:00</t>
  </si>
  <si>
    <t>2025-07-07 12:33:44.220825</t>
  </si>
  <si>
    <t>LD-306150</t>
  </si>
  <si>
    <t>2025-09-08 10:02:00</t>
  </si>
  <si>
    <t>LD-306151</t>
  </si>
  <si>
    <t>2026-04-20 10:27:00</t>
  </si>
  <si>
    <t>LD-306152</t>
  </si>
  <si>
    <t>2025-11-23 19:53:00</t>
  </si>
  <si>
    <t>2026-01-03 16:05:11.690015</t>
  </si>
  <si>
    <t>LD-306153</t>
  </si>
  <si>
    <t>2025-07-24 15:15:00</t>
  </si>
  <si>
    <t>LD-306154</t>
  </si>
  <si>
    <t>2025-11-08 19:35:00</t>
  </si>
  <si>
    <t>LD-306155</t>
  </si>
  <si>
    <t>2025-04-09 16:48:00</t>
  </si>
  <si>
    <t>LD-306156</t>
  </si>
  <si>
    <t>2026-04-25 15:17:00</t>
  </si>
  <si>
    <t>LD-306157</t>
  </si>
  <si>
    <t>2026-01-16 18:50:00</t>
  </si>
  <si>
    <t>2026-02-19 01:01:14.653079</t>
  </si>
  <si>
    <t>LD-306158</t>
  </si>
  <si>
    <t>2025-12-05 11:35:00</t>
  </si>
  <si>
    <t>LD-306159</t>
  </si>
  <si>
    <t>2025-11-27 13:26:00</t>
  </si>
  <si>
    <t>2025-12-31 05:24:41.524365</t>
  </si>
  <si>
    <t>LD-306160</t>
  </si>
  <si>
    <t>2025-09-08 10:40:00</t>
  </si>
  <si>
    <t>LD-306161</t>
  </si>
  <si>
    <t>2025-05-14 20:48:00</t>
  </si>
  <si>
    <t>2025-06-23 19:14:15.992596</t>
  </si>
  <si>
    <t>LD-306162</t>
  </si>
  <si>
    <t>2025-09-19 07:14:00</t>
  </si>
  <si>
    <t>LD-306163</t>
  </si>
  <si>
    <t>2025-05-14 15:25:00</t>
  </si>
  <si>
    <t>LD-306164</t>
  </si>
  <si>
    <t>2025-11-13 10:34:00</t>
  </si>
  <si>
    <t>LD-306165</t>
  </si>
  <si>
    <t>2026-02-02 14:37:00</t>
  </si>
  <si>
    <t>LD-306166</t>
  </si>
  <si>
    <t>2025-12-11 15:05:00</t>
  </si>
  <si>
    <t>2026-01-21 05:11:58.254000</t>
  </si>
  <si>
    <t>LD-306167</t>
  </si>
  <si>
    <t>2025-02-21 09:00:00</t>
  </si>
  <si>
    <t>LD-306168</t>
  </si>
  <si>
    <t>2025-08-02 08:25:00</t>
  </si>
  <si>
    <t>2025-09-15 04:29:37.312286</t>
  </si>
  <si>
    <t>LD-306169</t>
  </si>
  <si>
    <t>2025-03-09 09:03:00</t>
  </si>
  <si>
    <t>2025-04-22 04:08:48.218595</t>
  </si>
  <si>
    <t>LD-306170</t>
  </si>
  <si>
    <t>2026-04-16 20:52:00</t>
  </si>
  <si>
    <t>LD-306171</t>
  </si>
  <si>
    <t>2026-02-21 17:06:36.746758</t>
  </si>
  <si>
    <t>LD-306172</t>
  </si>
  <si>
    <t>2025-05-06 18:56:00</t>
  </si>
  <si>
    <t>LD-306173</t>
  </si>
  <si>
    <t>2025-08-23 10:49:00</t>
  </si>
  <si>
    <t>LD-306174</t>
  </si>
  <si>
    <t>2025-02-21 14:47:00</t>
  </si>
  <si>
    <t>2025-04-14 09:53:27.877696</t>
  </si>
  <si>
    <t>LD-306175</t>
  </si>
  <si>
    <t>2026-03-23 20:33:00</t>
  </si>
  <si>
    <t>LD-306176</t>
  </si>
  <si>
    <t>2026-06-12 14:17:00</t>
  </si>
  <si>
    <t>2026-08-06 18:37:14.121520</t>
  </si>
  <si>
    <t>LD-306177</t>
  </si>
  <si>
    <t>2025-12-23 20:38:00</t>
  </si>
  <si>
    <t>2026-02-06 16:44:52.003140</t>
  </si>
  <si>
    <t>LD-306178</t>
  </si>
  <si>
    <t>2026-01-02 16:27:00</t>
  </si>
  <si>
    <t>LD-306179</t>
  </si>
  <si>
    <t>2026-02-18 07:52:00</t>
  </si>
  <si>
    <t>LD-306180</t>
  </si>
  <si>
    <t>2026-06-25 11:27:00</t>
  </si>
  <si>
    <t>2026-07-25 02:49:00.610138</t>
  </si>
  <si>
    <t>LD-306181</t>
  </si>
  <si>
    <t>2025-05-11 19:56:00</t>
  </si>
  <si>
    <t>LD-306182</t>
  </si>
  <si>
    <t>2025-11-03 17:44:00</t>
  </si>
  <si>
    <t>2025-12-20 02:18:37.841569</t>
  </si>
  <si>
    <t>LD-306183</t>
  </si>
  <si>
    <t>2025-01-03 10:14:00</t>
  </si>
  <si>
    <t>LD-306184</t>
  </si>
  <si>
    <t>2026-06-25 10:31:00</t>
  </si>
  <si>
    <t>2026-07-23 06:58:19.727967</t>
  </si>
  <si>
    <t>LD-306185</t>
  </si>
  <si>
    <t>2026-06-29 18:17:00</t>
  </si>
  <si>
    <t>LD-306186</t>
  </si>
  <si>
    <t>2025-07-29 15:04:00</t>
  </si>
  <si>
    <t>2025-09-06 04:13:05.562851</t>
  </si>
  <si>
    <t>LD-306187</t>
  </si>
  <si>
    <t>2025-07-21 18:00:00</t>
  </si>
  <si>
    <t>LD-306188</t>
  </si>
  <si>
    <t>2025-06-06 08:50:00</t>
  </si>
  <si>
    <t>2025-07-08 22:03:46.686601</t>
  </si>
  <si>
    <t>LD-306189</t>
  </si>
  <si>
    <t>2026-01-04 15:16:00</t>
  </si>
  <si>
    <t>2026-02-06 00:57:44.037999</t>
  </si>
  <si>
    <t>LD-306190</t>
  </si>
  <si>
    <t>2026-04-22 15:34:00</t>
  </si>
  <si>
    <t>LD-306191</t>
  </si>
  <si>
    <t>2026-04-03 13:57:00</t>
  </si>
  <si>
    <t>LD-306192</t>
  </si>
  <si>
    <t>2025-04-02 15:02:00</t>
  </si>
  <si>
    <t>2025-05-12 23:48:25.470184</t>
  </si>
  <si>
    <t>LD-306193</t>
  </si>
  <si>
    <t>2026-03-11 09:27:00</t>
  </si>
  <si>
    <t>2026-05-04 17:24:03.771870</t>
  </si>
  <si>
    <t>LD-306194</t>
  </si>
  <si>
    <t>2025-06-02 12:19:00</t>
  </si>
  <si>
    <t>2025-07-15 16:52:58.009107</t>
  </si>
  <si>
    <t>LD-306195</t>
  </si>
  <si>
    <t>2026-01-26 14:11:00</t>
  </si>
  <si>
    <t>LD-306196</t>
  </si>
  <si>
    <t>2026-04-26 20:27:00</t>
  </si>
  <si>
    <t>LD-306197</t>
  </si>
  <si>
    <t>2025-03-27 17:23:00</t>
  </si>
  <si>
    <t>LD-306198</t>
  </si>
  <si>
    <t>2026-01-02 17:00:00</t>
  </si>
  <si>
    <t>LD-306199</t>
  </si>
  <si>
    <t>2025-09-06 16:04:00</t>
  </si>
  <si>
    <t>LD-306200</t>
  </si>
  <si>
    <t>2025-10-27 15:23:00</t>
  </si>
  <si>
    <t>LD-306201</t>
  </si>
  <si>
    <t>2026-05-29 17:26:00</t>
  </si>
  <si>
    <t>LD-306202</t>
  </si>
  <si>
    <t>2025-07-08 14:38:00</t>
  </si>
  <si>
    <t>LD-306203</t>
  </si>
  <si>
    <t>2026-04-01 18:53:00</t>
  </si>
  <si>
    <t>2026-05-10 06:27:14.650127</t>
  </si>
  <si>
    <t>LD-306204</t>
  </si>
  <si>
    <t>2025-09-25 16:57:00</t>
  </si>
  <si>
    <t>2025-10-25 07:29:36.147909</t>
  </si>
  <si>
    <t>LD-306205</t>
  </si>
  <si>
    <t>2025-09-29 12:41:00</t>
  </si>
  <si>
    <t>2025-11-06 15:27:34.743323</t>
  </si>
  <si>
    <t>LD-306206</t>
  </si>
  <si>
    <t>2026-03-14 20:29:00</t>
  </si>
  <si>
    <t>2026-04-26 10:51:25.054656</t>
  </si>
  <si>
    <t>LD-306207</t>
  </si>
  <si>
    <t>2026-02-24 20:55:00</t>
  </si>
  <si>
    <t>2026-04-08 23:36:17.227716</t>
  </si>
  <si>
    <t>LD-306208</t>
  </si>
  <si>
    <t>2026-01-30 15:23:00</t>
  </si>
  <si>
    <t>LD-306209</t>
  </si>
  <si>
    <t>2025-06-05 19:07:00</t>
  </si>
  <si>
    <t>LD-306210</t>
  </si>
  <si>
    <t>2025-10-24 18:26:00</t>
  </si>
  <si>
    <t>LD-306211</t>
  </si>
  <si>
    <t>2025-07-06 15:26:00</t>
  </si>
  <si>
    <t>LD-306212</t>
  </si>
  <si>
    <t>2025-01-03 11:45:00</t>
  </si>
  <si>
    <t>2025-01-30 17:35:28.933773</t>
  </si>
  <si>
    <t>LD-306213</t>
  </si>
  <si>
    <t>2026-02-14 20:37:00</t>
  </si>
  <si>
    <t>LD-306214</t>
  </si>
  <si>
    <t>2026-06-06 16:25:00</t>
  </si>
  <si>
    <t>LD-306215</t>
  </si>
  <si>
    <t>2025-09-17 10:27:00</t>
  </si>
  <si>
    <t>2025-10-06 16:49:49.794326</t>
  </si>
  <si>
    <t>LD-306216</t>
  </si>
  <si>
    <t>2026-05-05 17:38:00</t>
  </si>
  <si>
    <t>LD-306217</t>
  </si>
  <si>
    <t>2025-09-28 18:26:00</t>
  </si>
  <si>
    <t>LD-306218</t>
  </si>
  <si>
    <t>2026-01-09 17:20:00</t>
  </si>
  <si>
    <t>2026-03-03 04:18:37.220118</t>
  </si>
  <si>
    <t>LD-306219</t>
  </si>
  <si>
    <t>2025-02-11 14:49:00</t>
  </si>
  <si>
    <t>LD-306220</t>
  </si>
  <si>
    <t>2025-05-15 15:32:00</t>
  </si>
  <si>
    <t>2025-06-30 11:28:50.419367</t>
  </si>
  <si>
    <t>LD-306221</t>
  </si>
  <si>
    <t>2025-12-09 10:42:00</t>
  </si>
  <si>
    <t>LD-306222</t>
  </si>
  <si>
    <t>2025-06-27 11:29:00</t>
  </si>
  <si>
    <t>LD-306223</t>
  </si>
  <si>
    <t>2026-05-18 14:25:00</t>
  </si>
  <si>
    <t>2026-06-26 13:18:11.523550</t>
  </si>
  <si>
    <t>LD-306224</t>
  </si>
  <si>
    <t>2026-02-04 15:08:00</t>
  </si>
  <si>
    <t>2026-03-20 01:53:13.820755</t>
  </si>
  <si>
    <t>LD-306225</t>
  </si>
  <si>
    <t>2025-04-08 20:14:00</t>
  </si>
  <si>
    <t>2025-05-23 16:58:03.886387</t>
  </si>
  <si>
    <t>LD-306226</t>
  </si>
  <si>
    <t>2025-09-11 16:02:00</t>
  </si>
  <si>
    <t>LD-306227</t>
  </si>
  <si>
    <t>2025-05-05 08:32:00</t>
  </si>
  <si>
    <t>LD-306228</t>
  </si>
  <si>
    <t>2026-06-09 12:55:00</t>
  </si>
  <si>
    <t>LD-306229</t>
  </si>
  <si>
    <t>2025-07-18 08:59:00</t>
  </si>
  <si>
    <t>LD-306230</t>
  </si>
  <si>
    <t>2026-06-26 16:08:00</t>
  </si>
  <si>
    <t>LD-306231</t>
  </si>
  <si>
    <t>2026-06-19 12:11:00</t>
  </si>
  <si>
    <t>LD-306232</t>
  </si>
  <si>
    <t>2025-04-29 15:50:00</t>
  </si>
  <si>
    <t>LD-306233</t>
  </si>
  <si>
    <t>2025-08-22 17:54:00</t>
  </si>
  <si>
    <t>2025-10-01 20:35:21.508891</t>
  </si>
  <si>
    <t>LD-306234</t>
  </si>
  <si>
    <t>2025-12-30 13:58:00</t>
  </si>
  <si>
    <t>LD-306235</t>
  </si>
  <si>
    <t>2025-06-06 14:43:00</t>
  </si>
  <si>
    <t>2025-07-12 15:28:28.155474</t>
  </si>
  <si>
    <t>LD-306236</t>
  </si>
  <si>
    <t>2025-07-31 08:50:00</t>
  </si>
  <si>
    <t>LD-306237</t>
  </si>
  <si>
    <t>2025-06-07 08:52:00</t>
  </si>
  <si>
    <t>LD-306238</t>
  </si>
  <si>
    <t>2025-07-08 19:27:00</t>
  </si>
  <si>
    <t>LD-306239</t>
  </si>
  <si>
    <t>2026-02-27 15:16:00</t>
  </si>
  <si>
    <t>2026-03-22 00:53:18.206198</t>
  </si>
  <si>
    <t>LD-306240</t>
  </si>
  <si>
    <t>2025-05-13 18:08:00</t>
  </si>
  <si>
    <t>2025-06-12 05:40:37.306462</t>
  </si>
  <si>
    <t>LD-306241</t>
  </si>
  <si>
    <t>LD-306242</t>
  </si>
  <si>
    <t>2025-10-28 12:32:00</t>
  </si>
  <si>
    <t>2025-12-05 09:12:55.315376</t>
  </si>
  <si>
    <t>LD-306243</t>
  </si>
  <si>
    <t>2026-02-05 18:53:00</t>
  </si>
  <si>
    <t>2026-03-16 12:19:37.738123</t>
  </si>
  <si>
    <t>LD-306244</t>
  </si>
  <si>
    <t>2025-10-26 09:18:00</t>
  </si>
  <si>
    <t>2025-11-30 22:48:51.402152</t>
  </si>
  <si>
    <t>LD-306245</t>
  </si>
  <si>
    <t>2026-03-12 17:05:00</t>
  </si>
  <si>
    <t>2026-04-17 06:09:00.511114</t>
  </si>
  <si>
    <t>LD-306246</t>
  </si>
  <si>
    <t>2025-08-04 16:43:00</t>
  </si>
  <si>
    <t>LD-306247</t>
  </si>
  <si>
    <t>2026-03-04 17:03:00</t>
  </si>
  <si>
    <t>LD-306248</t>
  </si>
  <si>
    <t>2025-01-27 13:20:00</t>
  </si>
  <si>
    <t>LD-306249</t>
  </si>
  <si>
    <t>2025-04-15 12:23:00</t>
  </si>
  <si>
    <t>LD-306250</t>
  </si>
  <si>
    <t>2025-10-05 12:34:00</t>
  </si>
  <si>
    <t>LD-306251</t>
  </si>
  <si>
    <t>2026-03-09 13:02:00</t>
  </si>
  <si>
    <t>LD-306252</t>
  </si>
  <si>
    <t>2025-01-07 11:36:00</t>
  </si>
  <si>
    <t>LD-306253</t>
  </si>
  <si>
    <t>2025-07-04 11:44:00</t>
  </si>
  <si>
    <t>LD-306254</t>
  </si>
  <si>
    <t>2025-09-16 13:35:00</t>
  </si>
  <si>
    <t>LD-306255</t>
  </si>
  <si>
    <t>2026-03-13 09:21:00</t>
  </si>
  <si>
    <t>LD-306256</t>
  </si>
  <si>
    <t>2025-05-01 18:34:00</t>
  </si>
  <si>
    <t>LD-306257</t>
  </si>
  <si>
    <t>2025-05-02 17:03:00</t>
  </si>
  <si>
    <t>LD-306258</t>
  </si>
  <si>
    <t>2025-07-07 07:24:00</t>
  </si>
  <si>
    <t>LD-306259</t>
  </si>
  <si>
    <t>2025-06-11 12:12:00</t>
  </si>
  <si>
    <t>2025-07-23 23:14:20.021811</t>
  </si>
  <si>
    <t>LD-306260</t>
  </si>
  <si>
    <t>2026-05-01 18:58:00</t>
  </si>
  <si>
    <t>LD-306261</t>
  </si>
  <si>
    <t>2026-04-15 15:04:00</t>
  </si>
  <si>
    <t>2026-05-20 09:21:08.937196</t>
  </si>
  <si>
    <t>LD-306262</t>
  </si>
  <si>
    <t>2025-12-13 09:34:00</t>
  </si>
  <si>
    <t>LD-306263</t>
  </si>
  <si>
    <t>2026-04-06 13:55:00</t>
  </si>
  <si>
    <t>LD-306264</t>
  </si>
  <si>
    <t>LD-306265</t>
  </si>
  <si>
    <t>2026-04-03 08:18:00</t>
  </si>
  <si>
    <t>LD-306266</t>
  </si>
  <si>
    <t>2026-02-13 07:30:00</t>
  </si>
  <si>
    <t>LD-306267</t>
  </si>
  <si>
    <t>2025-05-14 13:34:00</t>
  </si>
  <si>
    <t>2025-06-25 10:40:26.171781</t>
  </si>
  <si>
    <t>LD-306268</t>
  </si>
  <si>
    <t>2025-05-28 14:08:00</t>
  </si>
  <si>
    <t>LD-306269</t>
  </si>
  <si>
    <t>2026-03-29 09:48:00</t>
  </si>
  <si>
    <t>2026-04-30 18:35:08.546168</t>
  </si>
  <si>
    <t>LD-306270</t>
  </si>
  <si>
    <t>2025-07-16 12:46:00</t>
  </si>
  <si>
    <t>LD-306271</t>
  </si>
  <si>
    <t>2025-04-04 15:51:54.130160</t>
  </si>
  <si>
    <t>LD-306272</t>
  </si>
  <si>
    <t>2026-04-11 16:19:00</t>
  </si>
  <si>
    <t>2026-05-20 17:16:14.147852</t>
  </si>
  <si>
    <t>LD-306273</t>
  </si>
  <si>
    <t>2025-09-19 08:13:00</t>
  </si>
  <si>
    <t>LD-306274</t>
  </si>
  <si>
    <t>2025-04-11 10:22:00</t>
  </si>
  <si>
    <t>LD-306275</t>
  </si>
  <si>
    <t>2025-04-28 15:51:00</t>
  </si>
  <si>
    <t>2025-05-31 21:14:32.594314</t>
  </si>
  <si>
    <t>LD-306276</t>
  </si>
  <si>
    <t>2026-05-01 18:17:00</t>
  </si>
  <si>
    <t>LD-306277</t>
  </si>
  <si>
    <t>2026-02-02 15:49:00</t>
  </si>
  <si>
    <t>2026-03-04 16:44:51.491742</t>
  </si>
  <si>
    <t>LD-306278</t>
  </si>
  <si>
    <t>2025-07-07 11:37:00</t>
  </si>
  <si>
    <t>LD-306279</t>
  </si>
  <si>
    <t>2025-06-27 20:39:00</t>
  </si>
  <si>
    <t>LD-306280</t>
  </si>
  <si>
    <t>2026-01-09 19:52:00</t>
  </si>
  <si>
    <t>LD-306281</t>
  </si>
  <si>
    <t>2026-04-24 12:50:00</t>
  </si>
  <si>
    <t>2026-05-27 03:39:18.320667</t>
  </si>
  <si>
    <t>LD-306282</t>
  </si>
  <si>
    <t>2025-12-24 07:31:00</t>
  </si>
  <si>
    <t>LD-306283</t>
  </si>
  <si>
    <t>2025-06-14 14:25:00</t>
  </si>
  <si>
    <t>LD-306284</t>
  </si>
  <si>
    <t>2025-08-25 12:53:00</t>
  </si>
  <si>
    <t>LD-306285</t>
  </si>
  <si>
    <t>2025-01-10 08:39:00</t>
  </si>
  <si>
    <t>2025-02-12 08:33:10.354446</t>
  </si>
  <si>
    <t>LD-306286</t>
  </si>
  <si>
    <t>2026-01-06 18:03:00</t>
  </si>
  <si>
    <t>LD-306287</t>
  </si>
  <si>
    <t>2025-04-25 09:39:00</t>
  </si>
  <si>
    <t>LD-306288</t>
  </si>
  <si>
    <t>2025-09-05 20:25:00</t>
  </si>
  <si>
    <t>LD-306289</t>
  </si>
  <si>
    <t>2026-03-12 12:53:00</t>
  </si>
  <si>
    <t>2026-04-17 05:05:18.010619</t>
  </si>
  <si>
    <t>LD-306290</t>
  </si>
  <si>
    <t>2026-03-19 12:34:00</t>
  </si>
  <si>
    <t>2026-04-21 12:38:27.053483</t>
  </si>
  <si>
    <t>LD-306291</t>
  </si>
  <si>
    <t>2025-02-28 14:57:00</t>
  </si>
  <si>
    <t>LD-306292</t>
  </si>
  <si>
    <t>2025-06-12 20:01:00</t>
  </si>
  <si>
    <t>LD-306293</t>
  </si>
  <si>
    <t>2025-01-30 09:19:00</t>
  </si>
  <si>
    <t>2025-02-21 13:15:42.037194</t>
  </si>
  <si>
    <t>LD-306294</t>
  </si>
  <si>
    <t>2025-02-15 20:30:00</t>
  </si>
  <si>
    <t>LD-306295</t>
  </si>
  <si>
    <t>2026-06-26 16:59:00</t>
  </si>
  <si>
    <t>LD-306296</t>
  </si>
  <si>
    <t>2025-04-15 16:05:00</t>
  </si>
  <si>
    <t>2025-05-24 12:38:54.233935</t>
  </si>
  <si>
    <t>LD-306297</t>
  </si>
  <si>
    <t>2025-04-18 07:58:00</t>
  </si>
  <si>
    <t>LD-306298</t>
  </si>
  <si>
    <t>2025-11-11 18:16:00</t>
  </si>
  <si>
    <t>LD-306299</t>
  </si>
  <si>
    <t>2026-04-07 17:30:00</t>
  </si>
  <si>
    <t>LD-306300</t>
  </si>
  <si>
    <t>2026-02-06 15:04:00</t>
  </si>
  <si>
    <t>2026-03-26 07:31:03.173499</t>
  </si>
  <si>
    <t>LD-306301</t>
  </si>
  <si>
    <t>2025-10-03 12:42:00</t>
  </si>
  <si>
    <t>2025-11-22 02:10:49.482869</t>
  </si>
  <si>
    <t>LD-306302</t>
  </si>
  <si>
    <t>2026-04-10 20:50:00</t>
  </si>
  <si>
    <t>LD-306303</t>
  </si>
  <si>
    <t>2025-11-24 10:27:00</t>
  </si>
  <si>
    <t>LD-306304</t>
  </si>
  <si>
    <t>2025-05-13 08:20:00</t>
  </si>
  <si>
    <t>LD-306305</t>
  </si>
  <si>
    <t>2025-04-14 12:01:00</t>
  </si>
  <si>
    <t>LD-306306</t>
  </si>
  <si>
    <t>2026-01-23 08:55:00</t>
  </si>
  <si>
    <t>LD-306307</t>
  </si>
  <si>
    <t>2025-02-02 07:17:00</t>
  </si>
  <si>
    <t>2025-03-14 12:36:18.182774</t>
  </si>
  <si>
    <t>LD-306308</t>
  </si>
  <si>
    <t>2025-10-27 20:38:00</t>
  </si>
  <si>
    <t>LD-306309</t>
  </si>
  <si>
    <t>2026-06-02 18:31:00</t>
  </si>
  <si>
    <t>2026-07-06 14:22:48.576320</t>
  </si>
  <si>
    <t>LD-306310</t>
  </si>
  <si>
    <t>2026-02-25 13:42:00</t>
  </si>
  <si>
    <t>LD-306311</t>
  </si>
  <si>
    <t>2025-01-11 14:14:00</t>
  </si>
  <si>
    <t>LD-306312</t>
  </si>
  <si>
    <t>2025-01-07 16:54:00</t>
  </si>
  <si>
    <t>LD-306313</t>
  </si>
  <si>
    <t>2025-02-07 15:36:00</t>
  </si>
  <si>
    <t>LD-306314</t>
  </si>
  <si>
    <t>2025-10-08 19:46:00</t>
  </si>
  <si>
    <t>2025-11-27 03:33:03.778511</t>
  </si>
  <si>
    <t>LD-306315</t>
  </si>
  <si>
    <t>2026-04-03 20:59:00</t>
  </si>
  <si>
    <t>LD-306316</t>
  </si>
  <si>
    <t>2025-04-11 09:04:00</t>
  </si>
  <si>
    <t>2025-05-06 12:54:15.903828</t>
  </si>
  <si>
    <t>LD-306317</t>
  </si>
  <si>
    <t>2025-01-11 17:14:00</t>
  </si>
  <si>
    <t>LD-306318</t>
  </si>
  <si>
    <t>2025-06-17 13:02:00</t>
  </si>
  <si>
    <t>LD-306319</t>
  </si>
  <si>
    <t>2025-11-28 08:39:00</t>
  </si>
  <si>
    <t>2026-01-14 05:38:17.376449</t>
  </si>
  <si>
    <t>LD-306320</t>
  </si>
  <si>
    <t>2026-05-26 19:52:00</t>
  </si>
  <si>
    <t>2026-06-29 03:32:42.199403</t>
  </si>
  <si>
    <t>LD-306321</t>
  </si>
  <si>
    <t>2025-09-26 14:28:00</t>
  </si>
  <si>
    <t>LD-306322</t>
  </si>
  <si>
    <t>2025-11-14 08:15:00</t>
  </si>
  <si>
    <t>LD-306323</t>
  </si>
  <si>
    <t>2025-10-02 17:50:00</t>
  </si>
  <si>
    <t>LD-306324</t>
  </si>
  <si>
    <t>2025-12-05 14:49:00</t>
  </si>
  <si>
    <t>LD-306325</t>
  </si>
  <si>
    <t>2025-12-09 15:59:00</t>
  </si>
  <si>
    <t>2026-01-24 05:37:35.709015</t>
  </si>
  <si>
    <t>LD-306326</t>
  </si>
  <si>
    <t>2026-03-09 11:44:00</t>
  </si>
  <si>
    <t>LD-306327</t>
  </si>
  <si>
    <t>2026-01-26 20:27:00</t>
  </si>
  <si>
    <t>LD-306328</t>
  </si>
  <si>
    <t>2025-09-26 12:30:00</t>
  </si>
  <si>
    <t>LD-306329</t>
  </si>
  <si>
    <t>2026-06-10 12:37:00</t>
  </si>
  <si>
    <t>2026-07-22 03:49:59.003294</t>
  </si>
  <si>
    <t>LD-306330</t>
  </si>
  <si>
    <t>2025-09-26 17:52:00</t>
  </si>
  <si>
    <t>LD-306331</t>
  </si>
  <si>
    <t>2026-02-13 11:01:00</t>
  </si>
  <si>
    <t>LD-306332</t>
  </si>
  <si>
    <t>2025-01-05 17:33:00</t>
  </si>
  <si>
    <t>LD-306333</t>
  </si>
  <si>
    <t>2026-04-03 20:46:00</t>
  </si>
  <si>
    <t>LD-306334</t>
  </si>
  <si>
    <t>2025-12-24 10:35:00</t>
  </si>
  <si>
    <t>LD-306335</t>
  </si>
  <si>
    <t>2025-04-19 16:08:00</t>
  </si>
  <si>
    <t>LD-306336</t>
  </si>
  <si>
    <t>2025-05-26 17:50:00</t>
  </si>
  <si>
    <t>LD-306337</t>
  </si>
  <si>
    <t>2025-09-06 16:36:00</t>
  </si>
  <si>
    <t>2025-10-12 05:42:50.450081</t>
  </si>
  <si>
    <t>LD-306338</t>
  </si>
  <si>
    <t>2026-02-06 13:58:00</t>
  </si>
  <si>
    <t>LD-306339</t>
  </si>
  <si>
    <t>2026-03-13 19:14:00</t>
  </si>
  <si>
    <t>LD-306340</t>
  </si>
  <si>
    <t>2025-03-11 17:20:00</t>
  </si>
  <si>
    <t>LD-306341</t>
  </si>
  <si>
    <t>2025-05-13 08:33:00</t>
  </si>
  <si>
    <t>LD-306342</t>
  </si>
  <si>
    <t>2026-02-03 09:22:00</t>
  </si>
  <si>
    <t>LD-306343</t>
  </si>
  <si>
    <t>2025-10-01 18:39:00</t>
  </si>
  <si>
    <t>2025-11-03 15:01:19.141991</t>
  </si>
  <si>
    <t>LD-306344</t>
  </si>
  <si>
    <t>2025-02-07 20:47:00</t>
  </si>
  <si>
    <t>LD-306345</t>
  </si>
  <si>
    <t>2025-11-20 11:16:00</t>
  </si>
  <si>
    <t>LD-306346</t>
  </si>
  <si>
    <t>2026-06-01 20:53:00</t>
  </si>
  <si>
    <t>LD-306347</t>
  </si>
  <si>
    <t>2025-05-19 19:47:00</t>
  </si>
  <si>
    <t>2025-06-23 14:29:17.757579</t>
  </si>
  <si>
    <t>LD-306348</t>
  </si>
  <si>
    <t>2025-05-18 19:21:00</t>
  </si>
  <si>
    <t>LD-306349</t>
  </si>
  <si>
    <t>2025-05-25 14:43:00</t>
  </si>
  <si>
    <t>LD-306350</t>
  </si>
  <si>
    <t>2026-01-22 13:35:00</t>
  </si>
  <si>
    <t>LD-306351</t>
  </si>
  <si>
    <t>2026-03-07 18:32:00</t>
  </si>
  <si>
    <t>LD-306352</t>
  </si>
  <si>
    <t>2025-05-20 20:09:00</t>
  </si>
  <si>
    <t>2025-06-18 15:27:50.474551</t>
  </si>
  <si>
    <t>LD-306353</t>
  </si>
  <si>
    <t>2026-03-19 12:26:00</t>
  </si>
  <si>
    <t>2026-04-29 08:49:53.918223</t>
  </si>
  <si>
    <t>LD-306354</t>
  </si>
  <si>
    <t>2026-01-24 16:02:00</t>
  </si>
  <si>
    <t>LD-306355</t>
  </si>
  <si>
    <t>2025-03-20 20:55:00</t>
  </si>
  <si>
    <t>2025-05-20 11:09:23.409412</t>
  </si>
  <si>
    <t>LD-306356</t>
  </si>
  <si>
    <t>2026-05-01 10:55:00</t>
  </si>
  <si>
    <t>LD-306357</t>
  </si>
  <si>
    <t>2025-11-19 15:17:00</t>
  </si>
  <si>
    <t>LD-306358</t>
  </si>
  <si>
    <t>2026-01-23 19:14:00</t>
  </si>
  <si>
    <t>LD-306359</t>
  </si>
  <si>
    <t>2026-03-12 17:09:00</t>
  </si>
  <si>
    <t>2026-04-15 09:58:19.572445</t>
  </si>
  <si>
    <t>LD-306360</t>
  </si>
  <si>
    <t>2025-11-05 07:31:00</t>
  </si>
  <si>
    <t>LD-306361</t>
  </si>
  <si>
    <t>2025-06-20 12:01:00</t>
  </si>
  <si>
    <t>LD-306362</t>
  </si>
  <si>
    <t>2026-03-28 18:59:00</t>
  </si>
  <si>
    <t>2026-04-24 11:06:13.366256</t>
  </si>
  <si>
    <t>LD-306363</t>
  </si>
  <si>
    <t>2025-03-14 13:34:00</t>
  </si>
  <si>
    <t>LD-306364</t>
  </si>
  <si>
    <t>2026-04-10 13:33:00</t>
  </si>
  <si>
    <t>LD-306365</t>
  </si>
  <si>
    <t>2026-02-03 19:50:00</t>
  </si>
  <si>
    <t>2026-03-08 20:39:31.506390</t>
  </si>
  <si>
    <t>LD-306366</t>
  </si>
  <si>
    <t>2025-12-04 16:50:00</t>
  </si>
  <si>
    <t>LD-306367</t>
  </si>
  <si>
    <t>2025-08-27 11:46:00</t>
  </si>
  <si>
    <t>LD-306368</t>
  </si>
  <si>
    <t>2025-06-10 17:07:00</t>
  </si>
  <si>
    <t>LD-306369</t>
  </si>
  <si>
    <t>2025-01-17 07:20:00</t>
  </si>
  <si>
    <t>LD-306370</t>
  </si>
  <si>
    <t>2025-10-24 18:17:00</t>
  </si>
  <si>
    <t>2025-11-26 23:48:12.797117</t>
  </si>
  <si>
    <t>LD-306371</t>
  </si>
  <si>
    <t>2025-07-28 16:49:00</t>
  </si>
  <si>
    <t>LD-306372</t>
  </si>
  <si>
    <t>2025-12-22 20:51:00</t>
  </si>
  <si>
    <t>LD-306373</t>
  </si>
  <si>
    <t>2025-08-14 20:39:00</t>
  </si>
  <si>
    <t>LD-306374</t>
  </si>
  <si>
    <t>2026-04-15 20:46:00</t>
  </si>
  <si>
    <t>2026-05-18 14:08:42.425889</t>
  </si>
  <si>
    <t>LD-306375</t>
  </si>
  <si>
    <t>2026-05-01 11:36:00</t>
  </si>
  <si>
    <t>LD-306376</t>
  </si>
  <si>
    <t>2026-03-10 19:05:00</t>
  </si>
  <si>
    <t>LD-306377</t>
  </si>
  <si>
    <t>2025-12-19 14:56:00</t>
  </si>
  <si>
    <t>2026-01-27 19:53:13.466448</t>
  </si>
  <si>
    <t>LD-306378</t>
  </si>
  <si>
    <t>2025-09-24 14:54:00</t>
  </si>
  <si>
    <t>2025-11-19 05:18:35.420876</t>
  </si>
  <si>
    <t>LD-306379</t>
  </si>
  <si>
    <t>2026-06-24 17:44:00</t>
  </si>
  <si>
    <t>LD-306380</t>
  </si>
  <si>
    <t>2026-01-13 19:31:00</t>
  </si>
  <si>
    <t>LD-306381</t>
  </si>
  <si>
    <t>LD-306382</t>
  </si>
  <si>
    <t>2025-10-16 12:40:00</t>
  </si>
  <si>
    <t>LD-306383</t>
  </si>
  <si>
    <t>2026-02-02 19:36:00</t>
  </si>
  <si>
    <t>2026-03-07 02:29:08.076388</t>
  </si>
  <si>
    <t>LD-306384</t>
  </si>
  <si>
    <t>2026-05-28 13:08:00</t>
  </si>
  <si>
    <t>LD-306385</t>
  </si>
  <si>
    <t>2026-03-20 08:45:00</t>
  </si>
  <si>
    <t>2026-04-24 18:28:09.906613</t>
  </si>
  <si>
    <t>LD-306386</t>
  </si>
  <si>
    <t>2026-05-07 18:54:00</t>
  </si>
  <si>
    <t>LD-306387</t>
  </si>
  <si>
    <t>2026-02-16 09:52:00</t>
  </si>
  <si>
    <t>LD-306388</t>
  </si>
  <si>
    <t>2025-03-21 10:41:00</t>
  </si>
  <si>
    <t>2025-04-21 06:04:04.979533</t>
  </si>
  <si>
    <t>LD-306389</t>
  </si>
  <si>
    <t>2026-04-23 19:36:00</t>
  </si>
  <si>
    <t>2026-06-07 23:39:34.638445</t>
  </si>
  <si>
    <t>LD-306390</t>
  </si>
  <si>
    <t>2026-03-14 19:33:00</t>
  </si>
  <si>
    <t>2026-05-06 07:19:30.896281</t>
  </si>
  <si>
    <t>LD-306391</t>
  </si>
  <si>
    <t>2025-09-06 14:45:00</t>
  </si>
  <si>
    <t>2025-10-11 03:49:01.333411</t>
  </si>
  <si>
    <t>LD-306392</t>
  </si>
  <si>
    <t>2025-09-22 07:13:00</t>
  </si>
  <si>
    <t>LD-306393</t>
  </si>
  <si>
    <t>2026-01-02 12:54:00</t>
  </si>
  <si>
    <t>LD-306394</t>
  </si>
  <si>
    <t>2025-01-24 07:18:00</t>
  </si>
  <si>
    <t>LD-306395</t>
  </si>
  <si>
    <t>2025-11-26 14:40:00</t>
  </si>
  <si>
    <t>2025-12-31 11:56:17.928454</t>
  </si>
  <si>
    <t>LD-306396</t>
  </si>
  <si>
    <t>2026-05-22 09:39:00</t>
  </si>
  <si>
    <t>LD-306397</t>
  </si>
  <si>
    <t>2026-02-15 10:17:00</t>
  </si>
  <si>
    <t>2026-03-21 17:39:45.738172</t>
  </si>
  <si>
    <t>LD-306398</t>
  </si>
  <si>
    <t>2025-07-30 09:55:00</t>
  </si>
  <si>
    <t>LD-306399</t>
  </si>
  <si>
    <t>2026-06-03 08:38:00</t>
  </si>
  <si>
    <t>2026-07-27 11:40:08.315400</t>
  </si>
  <si>
    <t>LD-306400</t>
  </si>
  <si>
    <t>2026-04-27 20:14:00</t>
  </si>
  <si>
    <t>2026-06-04 10:30:44.186178</t>
  </si>
  <si>
    <t>LD-306401</t>
  </si>
  <si>
    <t>2025-12-01 07:48:00</t>
  </si>
  <si>
    <t>LD-306402</t>
  </si>
  <si>
    <t>2026-03-16 12:24:00</t>
  </si>
  <si>
    <t>LD-306403</t>
  </si>
  <si>
    <t>2025-06-12 17:12:00</t>
  </si>
  <si>
    <t>LD-306404</t>
  </si>
  <si>
    <t>2025-03-27 07:16:00</t>
  </si>
  <si>
    <t>LD-306405</t>
  </si>
  <si>
    <t>2026-01-26 11:24:00</t>
  </si>
  <si>
    <t>LD-306406</t>
  </si>
  <si>
    <t>2026-05-01 19:20:00</t>
  </si>
  <si>
    <t>2026-06-11 09:25:53.903156</t>
  </si>
  <si>
    <t>LD-306407</t>
  </si>
  <si>
    <t>2026-02-27 13:25:00</t>
  </si>
  <si>
    <t>LD-306408</t>
  </si>
  <si>
    <t>2025-06-26 19:52:00</t>
  </si>
  <si>
    <t>LD-306409</t>
  </si>
  <si>
    <t>2025-07-22 08:34:00</t>
  </si>
  <si>
    <t>2025-08-16 00:26:39.281160</t>
  </si>
  <si>
    <t>LD-306410</t>
  </si>
  <si>
    <t>2026-03-03 17:56:00</t>
  </si>
  <si>
    <t>2026-04-10 23:10:39.879687</t>
  </si>
  <si>
    <t>LD-306411</t>
  </si>
  <si>
    <t>LD-306412</t>
  </si>
  <si>
    <t>2025-03-13 07:53:00</t>
  </si>
  <si>
    <t>2025-04-24 21:36:56.360648</t>
  </si>
  <si>
    <t>LD-306413</t>
  </si>
  <si>
    <t>2025-06-30 20:32:00</t>
  </si>
  <si>
    <t>2025-08-19 03:28:17.076925</t>
  </si>
  <si>
    <t>LD-306414</t>
  </si>
  <si>
    <t>2025-07-04 12:46:00</t>
  </si>
  <si>
    <t>LD-306415</t>
  </si>
  <si>
    <t>2025-12-31 10:02:00</t>
  </si>
  <si>
    <t>LD-306416</t>
  </si>
  <si>
    <t>2025-08-15 10:45:00</t>
  </si>
  <si>
    <t>LD-306417</t>
  </si>
  <si>
    <t>2025-09-01 08:30:00</t>
  </si>
  <si>
    <t>2025-09-26 08:11:37.309308</t>
  </si>
  <si>
    <t>LD-306418</t>
  </si>
  <si>
    <t>2025-05-13 17:26:00</t>
  </si>
  <si>
    <t>LD-306419</t>
  </si>
  <si>
    <t>2025-10-22 18:08:00</t>
  </si>
  <si>
    <t>LD-306420</t>
  </si>
  <si>
    <t>2025-01-07 13:48:00</t>
  </si>
  <si>
    <t>LD-306421</t>
  </si>
  <si>
    <t>2026-05-15 11:44:00</t>
  </si>
  <si>
    <t>LD-306422</t>
  </si>
  <si>
    <t>2026-02-20 09:31:00</t>
  </si>
  <si>
    <t>LD-306423</t>
  </si>
  <si>
    <t>2025-07-08 10:01:00</t>
  </si>
  <si>
    <t>LD-306424</t>
  </si>
  <si>
    <t>2026-06-02 11:01:00</t>
  </si>
  <si>
    <t>2026-07-24 00:23:55.632214</t>
  </si>
  <si>
    <t>LD-306425</t>
  </si>
  <si>
    <t>2026-06-26 09:39:00</t>
  </si>
  <si>
    <t>2026-08-07 02:40:56.323134</t>
  </si>
  <si>
    <t>LD-306426</t>
  </si>
  <si>
    <t>2025-11-03 18:28:00</t>
  </si>
  <si>
    <t>LD-306427</t>
  </si>
  <si>
    <t>2025-06-06 12:45:00</t>
  </si>
  <si>
    <t>2025-07-18 02:10:42.711925</t>
  </si>
  <si>
    <t>LD-306428</t>
  </si>
  <si>
    <t>2025-09-05 07:18:00</t>
  </si>
  <si>
    <t>2025-10-09 14:23:34.922464</t>
  </si>
  <si>
    <t>LD-306429</t>
  </si>
  <si>
    <t>2025-12-19 14:50:00</t>
  </si>
  <si>
    <t>2026-01-30 20:57:54.205048</t>
  </si>
  <si>
    <t>LD-306430</t>
  </si>
  <si>
    <t>2025-01-24 08:31:00</t>
  </si>
  <si>
    <t>LD-306431</t>
  </si>
  <si>
    <t>2025-03-01 07:13:00</t>
  </si>
  <si>
    <t>2025-04-20 14:22:26.343784</t>
  </si>
  <si>
    <t>LD-306432</t>
  </si>
  <si>
    <t>2025-05-08 15:09:00</t>
  </si>
  <si>
    <t>LD-306433</t>
  </si>
  <si>
    <t>2026-05-14 20:14:00</t>
  </si>
  <si>
    <t>LD-306434</t>
  </si>
  <si>
    <t>2026-05-14 15:57:00</t>
  </si>
  <si>
    <t>LD-306435</t>
  </si>
  <si>
    <t>2025-08-14 19:37:00</t>
  </si>
  <si>
    <t>2025-10-02 08:23:39.719918</t>
  </si>
  <si>
    <t>LD-306436</t>
  </si>
  <si>
    <t>2026-03-13 13:07:00</t>
  </si>
  <si>
    <t>LD-306437</t>
  </si>
  <si>
    <t>2026-06-09 13:05:00</t>
  </si>
  <si>
    <t>LD-306438</t>
  </si>
  <si>
    <t>2026-04-02 07:48:00</t>
  </si>
  <si>
    <t>LD-306439</t>
  </si>
  <si>
    <t>2025-11-18 13:55:00</t>
  </si>
  <si>
    <t>2025-12-13 23:11:45.954586</t>
  </si>
  <si>
    <t>LD-306440</t>
  </si>
  <si>
    <t>2025-11-08 07:20:00</t>
  </si>
  <si>
    <t>2025-12-15 17:16:24.613948</t>
  </si>
  <si>
    <t>LD-306441</t>
  </si>
  <si>
    <t>2025-07-06 16:15:00</t>
  </si>
  <si>
    <t>LD-306442</t>
  </si>
  <si>
    <t>2025-12-08 13:24:00</t>
  </si>
  <si>
    <t>LD-306443</t>
  </si>
  <si>
    <t>2025-05-16 10:07:00</t>
  </si>
  <si>
    <t>LD-306444</t>
  </si>
  <si>
    <t>2025-10-04 15:30:00</t>
  </si>
  <si>
    <t>LD-306445</t>
  </si>
  <si>
    <t>2026-06-26 12:39:00</t>
  </si>
  <si>
    <t>LD-306446</t>
  </si>
  <si>
    <t>2025-01-16 12:33:00</t>
  </si>
  <si>
    <t>LD-306447</t>
  </si>
  <si>
    <t>2026-02-03 13:39:00</t>
  </si>
  <si>
    <t>2026-03-23 06:07:53.570041</t>
  </si>
  <si>
    <t>LD-306448</t>
  </si>
  <si>
    <t>2025-02-10 10:12:00</t>
  </si>
  <si>
    <t>LD-306449</t>
  </si>
  <si>
    <t>2025-07-31 12:41:00</t>
  </si>
  <si>
    <t>LD-306450</t>
  </si>
  <si>
    <t>2025-05-02 16:19:00</t>
  </si>
  <si>
    <t>LD-306451</t>
  </si>
  <si>
    <t>2025-05-18 18:27:00</t>
  </si>
  <si>
    <t>2025-06-23 00:30:41.665831</t>
  </si>
  <si>
    <t>LD-306452</t>
  </si>
  <si>
    <t>2026-02-02 16:52:00</t>
  </si>
  <si>
    <t>LD-306453</t>
  </si>
  <si>
    <t>2025-01-03 20:31:00</t>
  </si>
  <si>
    <t>2025-01-25 20:17:45.947169</t>
  </si>
  <si>
    <t>LD-306454</t>
  </si>
  <si>
    <t>2026-01-16 12:38:00</t>
  </si>
  <si>
    <t>LD-306455</t>
  </si>
  <si>
    <t>2026-01-22 13:36:00</t>
  </si>
  <si>
    <t>LD-306456</t>
  </si>
  <si>
    <t>2025-08-15 20:58:00</t>
  </si>
  <si>
    <t>LD-306457</t>
  </si>
  <si>
    <t>2026-01-16 12:28:00</t>
  </si>
  <si>
    <t>LD-306458</t>
  </si>
  <si>
    <t>2025-01-11 17:42:00</t>
  </si>
  <si>
    <t>LD-306459</t>
  </si>
  <si>
    <t>2025-09-05 11:52:00</t>
  </si>
  <si>
    <t>2025-10-09 17:22:02.254812</t>
  </si>
  <si>
    <t>LD-306460</t>
  </si>
  <si>
    <t>2025-04-07 07:32:00</t>
  </si>
  <si>
    <t>LD-306461</t>
  </si>
  <si>
    <t>2025-04-29 10:24:00</t>
  </si>
  <si>
    <t>LD-306462</t>
  </si>
  <si>
    <t>2026-03-04 09:51:00</t>
  </si>
  <si>
    <t>2026-03-30 08:08:09.513819</t>
  </si>
  <si>
    <t>LD-306463</t>
  </si>
  <si>
    <t>2026-06-28 09:39:00</t>
  </si>
  <si>
    <t>LD-306464</t>
  </si>
  <si>
    <t>2026-04-01 13:05:00</t>
  </si>
  <si>
    <t>LD-306465</t>
  </si>
  <si>
    <t>2026-06-04 14:24:00</t>
  </si>
  <si>
    <t>2026-07-23 03:40:34.504235</t>
  </si>
  <si>
    <t>LD-306466</t>
  </si>
  <si>
    <t>2025-06-29 20:47:00</t>
  </si>
  <si>
    <t>2025-08-11 06:27:56.940842</t>
  </si>
  <si>
    <t>LD-306467</t>
  </si>
  <si>
    <t>2025-08-17 10:23:00</t>
  </si>
  <si>
    <t>LD-306468</t>
  </si>
  <si>
    <t>2025-11-11 09:14:00</t>
  </si>
  <si>
    <t>LD-306469</t>
  </si>
  <si>
    <t>2025-04-02 07:27:00</t>
  </si>
  <si>
    <t>2025-05-10 07:39:03.964594</t>
  </si>
  <si>
    <t>LD-306470</t>
  </si>
  <si>
    <t>2025-07-20 16:51:00</t>
  </si>
  <si>
    <t>2025-08-05 22:05:42.782244</t>
  </si>
  <si>
    <t>LD-306471</t>
  </si>
  <si>
    <t>2025-01-04 20:41:00</t>
  </si>
  <si>
    <t>LD-306472</t>
  </si>
  <si>
    <t>2025-05-31 17:46:00</t>
  </si>
  <si>
    <t>2025-07-03 20:16:17.199132</t>
  </si>
  <si>
    <t>LD-306473</t>
  </si>
  <si>
    <t>2025-09-22 15:34:00</t>
  </si>
  <si>
    <t>2025-10-17 20:28:49.555764</t>
  </si>
  <si>
    <t>LD-306474</t>
  </si>
  <si>
    <t>2025-03-09 07:49:00</t>
  </si>
  <si>
    <t>2025-04-25 00:34:10.696874</t>
  </si>
  <si>
    <t>LD-306475</t>
  </si>
  <si>
    <t>2026-05-11 14:34:00</t>
  </si>
  <si>
    <t>2026-05-27 11:06:51.058059</t>
  </si>
  <si>
    <t>LD-306476</t>
  </si>
  <si>
    <t>2025-08-25 18:43:00</t>
  </si>
  <si>
    <t>LD-306477</t>
  </si>
  <si>
    <t>2026-03-19 13:08:00</t>
  </si>
  <si>
    <t>LD-306478</t>
  </si>
  <si>
    <t>2026-05-01 07:00:00</t>
  </si>
  <si>
    <t>LD-306479</t>
  </si>
  <si>
    <t>2025-11-12 11:46:00</t>
  </si>
  <si>
    <t>LD-306480</t>
  </si>
  <si>
    <t>2026-06-26 12:22:00</t>
  </si>
  <si>
    <t>2026-08-18 18:53:42.179308</t>
  </si>
  <si>
    <t>LD-306481</t>
  </si>
  <si>
    <t>2025-01-29 20:56:00</t>
  </si>
  <si>
    <t>2025-03-12 23:26:14.377811</t>
  </si>
  <si>
    <t>LD-306482</t>
  </si>
  <si>
    <t>2025-08-22 14:40:00</t>
  </si>
  <si>
    <t>2025-09-26 19:52:26.871753</t>
  </si>
  <si>
    <t>LD-306483</t>
  </si>
  <si>
    <t>2026-03-02 15:11:00</t>
  </si>
  <si>
    <t>LD-306484</t>
  </si>
  <si>
    <t>2025-05-23 09:12:00</t>
  </si>
  <si>
    <t>2025-06-29 10:24:54.470880</t>
  </si>
  <si>
    <t>LD-306485</t>
  </si>
  <si>
    <t>LD-306486</t>
  </si>
  <si>
    <t>2026-03-19 08:36:00</t>
  </si>
  <si>
    <t>LD-306487</t>
  </si>
  <si>
    <t>2026-05-13 08:47:00</t>
  </si>
  <si>
    <t>2026-06-20 01:33:52.022306</t>
  </si>
  <si>
    <t>LD-306488</t>
  </si>
  <si>
    <t>2026-08-07 03:14:56.136440</t>
  </si>
  <si>
    <t>LD-306489</t>
  </si>
  <si>
    <t>2025-06-09 20:35:00</t>
  </si>
  <si>
    <t>2025-07-04 23:32:24.992818</t>
  </si>
  <si>
    <t>LD-306490</t>
  </si>
  <si>
    <t>2025-10-31 13:46:00</t>
  </si>
  <si>
    <t>LD-306491</t>
  </si>
  <si>
    <t>2025-08-24 07:56:00</t>
  </si>
  <si>
    <t>2025-09-22 17:56:28.673793</t>
  </si>
  <si>
    <t>LD-306492</t>
  </si>
  <si>
    <t>2025-01-15 14:23:00</t>
  </si>
  <si>
    <t>2025-02-09 06:40:22.638858</t>
  </si>
  <si>
    <t>LD-306493</t>
  </si>
  <si>
    <t>2026-01-31 19:39:00</t>
  </si>
  <si>
    <t>2026-03-08 17:47:56.145748</t>
  </si>
  <si>
    <t>LD-306494</t>
  </si>
  <si>
    <t>2026-05-22 12:26:00</t>
  </si>
  <si>
    <t>LD-306495</t>
  </si>
  <si>
    <t>2025-10-18 13:14:00</t>
  </si>
  <si>
    <t>2025-12-05 15:17:51.922915</t>
  </si>
  <si>
    <t>LD-306496</t>
  </si>
  <si>
    <t>2025-03-10 14:43:00</t>
  </si>
  <si>
    <t>2025-04-29 20:29:23.394718</t>
  </si>
  <si>
    <t>LD-306497</t>
  </si>
  <si>
    <t>2025-11-08 12:51:00</t>
  </si>
  <si>
    <t>LD-306498</t>
  </si>
  <si>
    <t>2026-01-30 13:50:00</t>
  </si>
  <si>
    <t>LD-306499</t>
  </si>
  <si>
    <t>2025-06-08 12:12:00</t>
  </si>
  <si>
    <t>LD-306500</t>
  </si>
  <si>
    <t>2025-12-25 13:01:00</t>
  </si>
  <si>
    <t>2026-02-03 07:37:38.315935</t>
  </si>
  <si>
    <t>LD-306501</t>
  </si>
  <si>
    <t>2025-08-29 09:48:00</t>
  </si>
  <si>
    <t>LD-306502</t>
  </si>
  <si>
    <t>2026-01-12 17:08:00</t>
  </si>
  <si>
    <t>2026-02-02 15:36:10.293220</t>
  </si>
  <si>
    <t>LD-306503</t>
  </si>
  <si>
    <t>2025-07-23 13:22:00</t>
  </si>
  <si>
    <t>2025-08-30 21:21:48.762329</t>
  </si>
  <si>
    <t>LD-306504</t>
  </si>
  <si>
    <t>2026-04-13 16:09:00</t>
  </si>
  <si>
    <t>LD-306505</t>
  </si>
  <si>
    <t>2025-01-10 20:35:00</t>
  </si>
  <si>
    <t>2025-02-11 09:48:39.983993</t>
  </si>
  <si>
    <t>LD-306506</t>
  </si>
  <si>
    <t>2026-04-14 16:22:00</t>
  </si>
  <si>
    <t>2026-05-22 12:52:17.309524</t>
  </si>
  <si>
    <t>LD-306507</t>
  </si>
  <si>
    <t>2025-08-08 13:09:00</t>
  </si>
  <si>
    <t>LD-306508</t>
  </si>
  <si>
    <t>2025-10-10 11:26:00</t>
  </si>
  <si>
    <t>LD-306509</t>
  </si>
  <si>
    <t>2025-12-03 17:58:00</t>
  </si>
  <si>
    <t>LD-306510</t>
  </si>
  <si>
    <t>2025-06-16 19:58:00</t>
  </si>
  <si>
    <t>LD-306511</t>
  </si>
  <si>
    <t>2025-12-12 08:18:00</t>
  </si>
  <si>
    <t>LD-306512</t>
  </si>
  <si>
    <t>2025-01-03 18:27:00</t>
  </si>
  <si>
    <t>2025-02-03 10:11:07.791735</t>
  </si>
  <si>
    <t>LD-306513</t>
  </si>
  <si>
    <t>2025-03-11 17:49:00</t>
  </si>
  <si>
    <t>LD-306514</t>
  </si>
  <si>
    <t>2025-05-26 17:46:00</t>
  </si>
  <si>
    <t>2025-06-23 20:51:36.495463</t>
  </si>
  <si>
    <t>LD-306515</t>
  </si>
  <si>
    <t>2026-03-06 18:22:00</t>
  </si>
  <si>
    <t>2026-03-31 11:58:16.910546</t>
  </si>
  <si>
    <t>LD-306516</t>
  </si>
  <si>
    <t>2026-01-11 17:09:00</t>
  </si>
  <si>
    <t>LD-306517</t>
  </si>
  <si>
    <t>2025-02-15 16:38:00</t>
  </si>
  <si>
    <t>2025-03-27 12:42:12.014739</t>
  </si>
  <si>
    <t>LD-306518</t>
  </si>
  <si>
    <t>2025-12-22 12:44:00</t>
  </si>
  <si>
    <t>LD-306519</t>
  </si>
  <si>
    <t>2026-06-17 18:47:00</t>
  </si>
  <si>
    <t>2026-07-15 15:08:23.383859</t>
  </si>
  <si>
    <t>LD-306520</t>
  </si>
  <si>
    <t>2026-03-10 11:08:00</t>
  </si>
  <si>
    <t>LD-306521</t>
  </si>
  <si>
    <t>2026-04-01 13:28:00</t>
  </si>
  <si>
    <t>LD-306522</t>
  </si>
  <si>
    <t>2025-04-23 15:37:00</t>
  </si>
  <si>
    <t>2025-05-19 14:39:38.543867</t>
  </si>
  <si>
    <t>LD-306523</t>
  </si>
  <si>
    <t>2025-01-09 08:42:00</t>
  </si>
  <si>
    <t>2025-02-25 04:14:29.303703</t>
  </si>
  <si>
    <t>LD-306524</t>
  </si>
  <si>
    <t>2026-04-01 09:13:00</t>
  </si>
  <si>
    <t>LD-306525</t>
  </si>
  <si>
    <t>2025-07-14 12:37:21.396179</t>
  </si>
  <si>
    <t>LD-306526</t>
  </si>
  <si>
    <t>LD-306527</t>
  </si>
  <si>
    <t>2025-11-21 11:33:00</t>
  </si>
  <si>
    <t>LD-306528</t>
  </si>
  <si>
    <t>2026-05-31 11:42:00</t>
  </si>
  <si>
    <t>LD-306529</t>
  </si>
  <si>
    <t>LD-306530</t>
  </si>
  <si>
    <t>2025-04-20 15:44:00</t>
  </si>
  <si>
    <t>LD-306531</t>
  </si>
  <si>
    <t>2025-05-08 16:26:00</t>
  </si>
  <si>
    <t>2025-06-14 05:45:11.146238</t>
  </si>
  <si>
    <t>LD-306532</t>
  </si>
  <si>
    <t>2025-02-21 10:13:00</t>
  </si>
  <si>
    <t>LD-306533</t>
  </si>
  <si>
    <t>2026-02-12 11:20:00</t>
  </si>
  <si>
    <t>LD-306534</t>
  </si>
  <si>
    <t>2026-02-20 15:07:00</t>
  </si>
  <si>
    <t>LD-306535</t>
  </si>
  <si>
    <t>2025-06-14 09:41:00</t>
  </si>
  <si>
    <t>LD-306536</t>
  </si>
  <si>
    <t>2026-04-30 16:22:00</t>
  </si>
  <si>
    <t>2026-06-15 17:03:10.593712</t>
  </si>
  <si>
    <t>LD-306537</t>
  </si>
  <si>
    <t>2026-06-24 12:17:00</t>
  </si>
  <si>
    <t>2026-08-11 22:06:19.755436</t>
  </si>
  <si>
    <t>LD-306538</t>
  </si>
  <si>
    <t>2025-03-18 08:28:00</t>
  </si>
  <si>
    <t>LD-306539</t>
  </si>
  <si>
    <t>2026-04-14 19:49:00</t>
  </si>
  <si>
    <t>LD-306540</t>
  </si>
  <si>
    <t>2026-04-17 20:11:00</t>
  </si>
  <si>
    <t>LD-306541</t>
  </si>
  <si>
    <t>2026-05-04 13:07:00</t>
  </si>
  <si>
    <t>2026-06-12 08:52:37.137382</t>
  </si>
  <si>
    <t>LD-306542</t>
  </si>
  <si>
    <t>2025-07-22 14:44:00</t>
  </si>
  <si>
    <t>2025-08-19 11:36:20.955294</t>
  </si>
  <si>
    <t>LD-306543</t>
  </si>
  <si>
    <t>2025-07-25 14:51:00</t>
  </si>
  <si>
    <t>LD-306544</t>
  </si>
  <si>
    <t>2026-01-30 09:17:00</t>
  </si>
  <si>
    <t>LD-306545</t>
  </si>
  <si>
    <t>2025-01-13 15:12:00</t>
  </si>
  <si>
    <t>2025-02-18 17:24:46.709657</t>
  </si>
  <si>
    <t>LD-306546</t>
  </si>
  <si>
    <t>2026-06-19 18:30:00</t>
  </si>
  <si>
    <t>LD-306547</t>
  </si>
  <si>
    <t>2026-06-10 07:49:00</t>
  </si>
  <si>
    <t>LD-306548</t>
  </si>
  <si>
    <t>2025-10-30 16:03:00</t>
  </si>
  <si>
    <t>2025-12-05 12:19:22.631028</t>
  </si>
  <si>
    <t>LD-306549</t>
  </si>
  <si>
    <t>2025-10-20 10:17:00</t>
  </si>
  <si>
    <t>LD-306550</t>
  </si>
  <si>
    <t>2025-03-20 17:35:00</t>
  </si>
  <si>
    <t>LD-306551</t>
  </si>
  <si>
    <t>2025-05-14 10:55:00</t>
  </si>
  <si>
    <t>LD-306552</t>
  </si>
  <si>
    <t>2025-10-13 16:06:00</t>
  </si>
  <si>
    <t>2025-11-25 13:11:40.134548</t>
  </si>
  <si>
    <t>LD-306553</t>
  </si>
  <si>
    <t>2026-05-29 19:10:00</t>
  </si>
  <si>
    <t>2026-07-14 13:09:38.299206</t>
  </si>
  <si>
    <t>LD-306554</t>
  </si>
  <si>
    <t>2025-11-07 13:27:00</t>
  </si>
  <si>
    <t>LD-306555</t>
  </si>
  <si>
    <t>2026-01-05 14:05:00</t>
  </si>
  <si>
    <t>2026-02-13 20:46:08.753668</t>
  </si>
  <si>
    <t>LD-306556</t>
  </si>
  <si>
    <t>2025-10-20 20:56:00</t>
  </si>
  <si>
    <t>LD-306557</t>
  </si>
  <si>
    <t>2026-05-24 19:15:00</t>
  </si>
  <si>
    <t>LD-306558</t>
  </si>
  <si>
    <t>2025-05-02 19:57:00</t>
  </si>
  <si>
    <t>LD-306559</t>
  </si>
  <si>
    <t>2025-10-30 11:47:00</t>
  </si>
  <si>
    <t>LD-306560</t>
  </si>
  <si>
    <t>2026-05-22 17:35:00</t>
  </si>
  <si>
    <t>2026-07-06 05:42:31.306711</t>
  </si>
  <si>
    <t>LD-306561</t>
  </si>
  <si>
    <t>2026-02-14 17:50:00</t>
  </si>
  <si>
    <t>2026-03-21 21:01:42.822850</t>
  </si>
  <si>
    <t>LD-306562</t>
  </si>
  <si>
    <t>2025-09-29 08:33:00</t>
  </si>
  <si>
    <t>LD-306563</t>
  </si>
  <si>
    <t>2025-04-15 10:10:00</t>
  </si>
  <si>
    <t>LD-306564</t>
  </si>
  <si>
    <t>2025-11-13 14:56:00</t>
  </si>
  <si>
    <t>2025-12-19 13:03:58.682053</t>
  </si>
  <si>
    <t>LD-306565</t>
  </si>
  <si>
    <t>2025-03-03 14:55:00</t>
  </si>
  <si>
    <t>LD-306566</t>
  </si>
  <si>
    <t>2025-06-29 11:01:00</t>
  </si>
  <si>
    <t>LD-306567</t>
  </si>
  <si>
    <t>2025-12-31 19:52:00</t>
  </si>
  <si>
    <t>LD-306568</t>
  </si>
  <si>
    <t>2026-03-05 10:33:00</t>
  </si>
  <si>
    <t>LD-306569</t>
  </si>
  <si>
    <t>2025-05-02 07:02:00</t>
  </si>
  <si>
    <t>LD-306570</t>
  </si>
  <si>
    <t>2025-10-24 16:06:00</t>
  </si>
  <si>
    <t>LD-306571</t>
  </si>
  <si>
    <t>2025-04-04 19:41:00</t>
  </si>
  <si>
    <t>LD-306572</t>
  </si>
  <si>
    <t>2025-09-12 14:53:00</t>
  </si>
  <si>
    <t>LD-306573</t>
  </si>
  <si>
    <t>2025-12-09 10:59:00</t>
  </si>
  <si>
    <t>LD-306574</t>
  </si>
  <si>
    <t>2026-04-02 16:17:00</t>
  </si>
  <si>
    <t>LD-306575</t>
  </si>
  <si>
    <t>2026-01-16 13:58:00</t>
  </si>
  <si>
    <t>LD-306576</t>
  </si>
  <si>
    <t>2025-10-10 14:29:00</t>
  </si>
  <si>
    <t>2025-11-24 20:32:49.954269</t>
  </si>
  <si>
    <t>LD-306577</t>
  </si>
  <si>
    <t>2025-06-19 11:12:00</t>
  </si>
  <si>
    <t>LD-306578</t>
  </si>
  <si>
    <t>2025-05-06 10:01:00</t>
  </si>
  <si>
    <t>LD-306579</t>
  </si>
  <si>
    <t>2025-03-13 09:30:00</t>
  </si>
  <si>
    <t>2025-04-20 00:15:20.604083</t>
  </si>
  <si>
    <t>LD-306580</t>
  </si>
  <si>
    <t>2025-01-02 19:41:00</t>
  </si>
  <si>
    <t>LD-306581</t>
  </si>
  <si>
    <t>2025-09-04 19:37:00</t>
  </si>
  <si>
    <t>LD-306582</t>
  </si>
  <si>
    <t>2025-08-21 10:55:00</t>
  </si>
  <si>
    <t>2025-09-14 06:15:18.412699</t>
  </si>
  <si>
    <t>LD-306583</t>
  </si>
  <si>
    <t>2025-10-21 20:37:00</t>
  </si>
  <si>
    <t>2025-11-29 10:04:42.789817</t>
  </si>
  <si>
    <t>LD-306584</t>
  </si>
  <si>
    <t>2025-08-25 07:18:00</t>
  </si>
  <si>
    <t>LD-306585</t>
  </si>
  <si>
    <t>2025-03-10 08:23:00</t>
  </si>
  <si>
    <t>LD-306586</t>
  </si>
  <si>
    <t>2025-09-15 20:08:00</t>
  </si>
  <si>
    <t>2025-11-11 16:42:08.398409</t>
  </si>
  <si>
    <t>LD-306587</t>
  </si>
  <si>
    <t>2025-02-13 07:57:00</t>
  </si>
  <si>
    <t>2025-03-27 09:16:32.776376</t>
  </si>
  <si>
    <t>LD-306588</t>
  </si>
  <si>
    <t>2025-10-01 14:01:00</t>
  </si>
  <si>
    <t>2025-11-03 21:10:10.540149</t>
  </si>
  <si>
    <t>LD-306589</t>
  </si>
  <si>
    <t>2025-10-10 16:33:00</t>
  </si>
  <si>
    <t>2025-11-20 06:48:18.756136</t>
  </si>
  <si>
    <t>LD-306590</t>
  </si>
  <si>
    <t>2025-02-10 08:22:00</t>
  </si>
  <si>
    <t>LD-306591</t>
  </si>
  <si>
    <t>2025-10-24 18:54:00</t>
  </si>
  <si>
    <t>2025-12-16 16:41:51.367521</t>
  </si>
  <si>
    <t>LD-306592</t>
  </si>
  <si>
    <t>2025-07-03 15:07:00</t>
  </si>
  <si>
    <t>2025-08-17 01:41:20.137578</t>
  </si>
  <si>
    <t>LD-306593</t>
  </si>
  <si>
    <t>2025-02-28 09:43:00</t>
  </si>
  <si>
    <t>LD-306594</t>
  </si>
  <si>
    <t>2025-07-15 13:29:00</t>
  </si>
  <si>
    <t>2025-08-21 10:21:15.741732</t>
  </si>
  <si>
    <t>LD-306595</t>
  </si>
  <si>
    <t>2025-07-29 09:06:00</t>
  </si>
  <si>
    <t>2025-09-05 19:59:46.055354</t>
  </si>
  <si>
    <t>LD-306596</t>
  </si>
  <si>
    <t>2025-06-18 14:05:00</t>
  </si>
  <si>
    <t>2025-07-25 09:16:52.783863</t>
  </si>
  <si>
    <t>LD-306597</t>
  </si>
  <si>
    <t>2025-03-07 17:01:00</t>
  </si>
  <si>
    <t>LD-306598</t>
  </si>
  <si>
    <t>2026-06-29 14:21:00</t>
  </si>
  <si>
    <t>LD-306599</t>
  </si>
  <si>
    <t>2025-11-14 17:57:00</t>
  </si>
  <si>
    <t>LD-306600</t>
  </si>
  <si>
    <t>2025-07-14 07:11:00</t>
  </si>
  <si>
    <t>2025-08-18 17:17:54.588287</t>
  </si>
  <si>
    <t>LD-306601</t>
  </si>
  <si>
    <t>2026-04-05 10:51:00</t>
  </si>
  <si>
    <t>2026-05-31 16:07:19.315316</t>
  </si>
  <si>
    <t>LD-306602</t>
  </si>
  <si>
    <t>2025-06-17 18:43:00</t>
  </si>
  <si>
    <t>LD-306603</t>
  </si>
  <si>
    <t>2026-02-25 13:59:00</t>
  </si>
  <si>
    <t>2026-04-01 21:51:39.802298</t>
  </si>
  <si>
    <t>LD-306604</t>
  </si>
  <si>
    <t>2026-02-12 09:18:00</t>
  </si>
  <si>
    <t>LD-306605</t>
  </si>
  <si>
    <t>2025-08-01 09:36:00</t>
  </si>
  <si>
    <t>2025-09-01 00:12:27.440164</t>
  </si>
  <si>
    <t>LD-306606</t>
  </si>
  <si>
    <t>2026-01-19 15:16:00</t>
  </si>
  <si>
    <t>2026-02-21 15:00:56.997951</t>
  </si>
  <si>
    <t>LD-306607</t>
  </si>
  <si>
    <t>2025-12-05 07:57:00</t>
  </si>
  <si>
    <t>2026-01-20 19:21:50.587426</t>
  </si>
  <si>
    <t>LD-306608</t>
  </si>
  <si>
    <t>2026-02-03 10:56:00</t>
  </si>
  <si>
    <t>2026-03-03 14:39:06.575253</t>
  </si>
  <si>
    <t>LD-306609</t>
  </si>
  <si>
    <t>2025-02-20 11:58:00</t>
  </si>
  <si>
    <t>2025-04-02 04:26:26.540516</t>
  </si>
  <si>
    <t>LD-306610</t>
  </si>
  <si>
    <t>2025-06-26 07:21:00</t>
  </si>
  <si>
    <t>2025-08-08 17:16:29.991481</t>
  </si>
  <si>
    <t>LD-306611</t>
  </si>
  <si>
    <t>2025-12-19 11:38:00</t>
  </si>
  <si>
    <t>LD-306612</t>
  </si>
  <si>
    <t>2026-02-17 09:08:00</t>
  </si>
  <si>
    <t>LD-306613</t>
  </si>
  <si>
    <t>2025-12-23 15:22:00</t>
  </si>
  <si>
    <t>2026-01-27 13:02:57.311266</t>
  </si>
  <si>
    <t>LD-306614</t>
  </si>
  <si>
    <t>2025-09-26 17:07:00</t>
  </si>
  <si>
    <t>2025-11-09 06:17:24.366990</t>
  </si>
  <si>
    <t>LD-306615</t>
  </si>
  <si>
    <t>2025-06-13 09:43:00</t>
  </si>
  <si>
    <t>LD-306616</t>
  </si>
  <si>
    <t>2025-10-05 12:19:00</t>
  </si>
  <si>
    <t>LD-306617</t>
  </si>
  <si>
    <t>2025-11-10 18:43:00</t>
  </si>
  <si>
    <t>LD-306618</t>
  </si>
  <si>
    <t>2025-11-20 10:49:00</t>
  </si>
  <si>
    <t>LD-306619</t>
  </si>
  <si>
    <t>2025-03-21 14:06:00</t>
  </si>
  <si>
    <t>LD-306620</t>
  </si>
  <si>
    <t>2026-06-05 14:09:00</t>
  </si>
  <si>
    <t>LD-306621</t>
  </si>
  <si>
    <t>2025-12-02 10:52:00</t>
  </si>
  <si>
    <t>LD-306622</t>
  </si>
  <si>
    <t>2025-06-15 13:09:00</t>
  </si>
  <si>
    <t>LD-306623</t>
  </si>
  <si>
    <t>2026-06-05 11:16:00</t>
  </si>
  <si>
    <t>2026-07-16 00:30:21.343279</t>
  </si>
  <si>
    <t>LD-306624</t>
  </si>
  <si>
    <t>2025-12-16 11:54:00</t>
  </si>
  <si>
    <t>LD-306625</t>
  </si>
  <si>
    <t>2025-07-08 12:14:00</t>
  </si>
  <si>
    <t>LD-306626</t>
  </si>
  <si>
    <t>2025-08-22 07:48:00</t>
  </si>
  <si>
    <t>LD-306627</t>
  </si>
  <si>
    <t>2025-02-28 07:28:00</t>
  </si>
  <si>
    <t>LD-306628</t>
  </si>
  <si>
    <t>2025-04-15 20:46:00</t>
  </si>
  <si>
    <t>2025-06-01 02:50:10.745191</t>
  </si>
  <si>
    <t>LD-306629</t>
  </si>
  <si>
    <t>2026-01-25 15:19:00</t>
  </si>
  <si>
    <t>2026-02-27 03:01:41.463981</t>
  </si>
  <si>
    <t>LD-306630</t>
  </si>
  <si>
    <t>2025-08-01 19:23:00</t>
  </si>
  <si>
    <t>LD-306631</t>
  </si>
  <si>
    <t>2025-01-31 10:43:00</t>
  </si>
  <si>
    <t>LD-306632</t>
  </si>
  <si>
    <t>2025-02-15 18:11:00</t>
  </si>
  <si>
    <t>2025-04-03 06:00:36.466614</t>
  </si>
  <si>
    <t>LD-306633</t>
  </si>
  <si>
    <t>2025-11-08 19:37:00</t>
  </si>
  <si>
    <t>LD-306634</t>
  </si>
  <si>
    <t>2026-01-02 16:28:00</t>
  </si>
  <si>
    <t>2026-02-17 04:30:37.381480</t>
  </si>
  <si>
    <t>LD-306635</t>
  </si>
  <si>
    <t>2025-11-03 15:13:00</t>
  </si>
  <si>
    <t>LD-306636</t>
  </si>
  <si>
    <t>2025-12-12 09:22:00</t>
  </si>
  <si>
    <t>LD-306637</t>
  </si>
  <si>
    <t>2026-01-16 16:49:00</t>
  </si>
  <si>
    <t>2026-02-06 04:21:56.393852</t>
  </si>
  <si>
    <t>LD-306638</t>
  </si>
  <si>
    <t>2026-03-29 17:46:00</t>
  </si>
  <si>
    <t>2026-04-28 22:42:06.293043</t>
  </si>
  <si>
    <t>LD-306639</t>
  </si>
  <si>
    <t>2025-02-01 15:52:00</t>
  </si>
  <si>
    <t>2025-03-13 23:41:15.151996</t>
  </si>
  <si>
    <t>LD-306640</t>
  </si>
  <si>
    <t>2026-04-10 17:15:00</t>
  </si>
  <si>
    <t>LD-306641</t>
  </si>
  <si>
    <t>2025-05-28 20:17:00</t>
  </si>
  <si>
    <t>2025-07-03 16:40:31.493362</t>
  </si>
  <si>
    <t>LD-306642</t>
  </si>
  <si>
    <t>2025-02-25 20:59:00</t>
  </si>
  <si>
    <t>2025-04-13 15:55:43.596043</t>
  </si>
  <si>
    <t>LD-306643</t>
  </si>
  <si>
    <t>2025-05-23 11:38:00</t>
  </si>
  <si>
    <t>LD-306644</t>
  </si>
  <si>
    <t>2026-03-19 08:51:00</t>
  </si>
  <si>
    <t>2026-05-01 03:33:44.759133</t>
  </si>
  <si>
    <t>LD-306645</t>
  </si>
  <si>
    <t>2025-10-31 08:42:00</t>
  </si>
  <si>
    <t>LD-306646</t>
  </si>
  <si>
    <t>2025-05-30 13:39:00</t>
  </si>
  <si>
    <t>2025-07-18 09:02:41.238490</t>
  </si>
  <si>
    <t>LD-306647</t>
  </si>
  <si>
    <t>2025-05-06 18:00:00</t>
  </si>
  <si>
    <t>LD-306648</t>
  </si>
  <si>
    <t>2025-12-23 11:29:00</t>
  </si>
  <si>
    <t>2026-01-31 04:00:16.526033</t>
  </si>
  <si>
    <t>LD-306649</t>
  </si>
  <si>
    <t>2025-11-27 11:23:00</t>
  </si>
  <si>
    <t>2026-01-12 03:44:58.078760</t>
  </si>
  <si>
    <t>LD-306650</t>
  </si>
  <si>
    <t>2025-08-24 14:22:56.956144</t>
  </si>
  <si>
    <t>LD-306651</t>
  </si>
  <si>
    <t>2025-08-16 07:13:00</t>
  </si>
  <si>
    <t>LD-306652</t>
  </si>
  <si>
    <t>2025-05-03 20:25:00</t>
  </si>
  <si>
    <t>2025-06-25 11:49:19.331222</t>
  </si>
  <si>
    <t>LD-306653</t>
  </si>
  <si>
    <t>2026-06-26 17:35:00</t>
  </si>
  <si>
    <t>LD-306654</t>
  </si>
  <si>
    <t>2025-12-12 09:25:00</t>
  </si>
  <si>
    <t>LD-306655</t>
  </si>
  <si>
    <t>2026-01-16 14:58:00</t>
  </si>
  <si>
    <t>LD-306656</t>
  </si>
  <si>
    <t>2026-05-18 12:31:00</t>
  </si>
  <si>
    <t>2026-06-08 17:03:02.525680</t>
  </si>
  <si>
    <t>LD-306657</t>
  </si>
  <si>
    <t>2025-01-27 20:34:00</t>
  </si>
  <si>
    <t>LD-306658</t>
  </si>
  <si>
    <t>2026-01-16 14:49:00</t>
  </si>
  <si>
    <t>LD-306659</t>
  </si>
  <si>
    <t>2025-01-11 16:34:00</t>
  </si>
  <si>
    <t>LD-306660</t>
  </si>
  <si>
    <t>2026-03-15 09:37:00</t>
  </si>
  <si>
    <t>2026-04-28 04:06:25.114579</t>
  </si>
  <si>
    <t>LD-306661</t>
  </si>
  <si>
    <t>2025-01-10 10:25:00</t>
  </si>
  <si>
    <t>LD-306662</t>
  </si>
  <si>
    <t>2025-01-03 20:59:00</t>
  </si>
  <si>
    <t>LD-306663</t>
  </si>
  <si>
    <t>2025-09-16 10:11:00</t>
  </si>
  <si>
    <t>LD-306664</t>
  </si>
  <si>
    <t>2026-05-18 12:39:00</t>
  </si>
  <si>
    <t>LD-306665</t>
  </si>
  <si>
    <t>2025-10-22 07:34:00</t>
  </si>
  <si>
    <t>2025-11-25 21:05:22.132023</t>
  </si>
  <si>
    <t>LD-306666</t>
  </si>
  <si>
    <t>2026-06-04 09:03:00</t>
  </si>
  <si>
    <t>LD-306667</t>
  </si>
  <si>
    <t>2025-04-26 11:50:00</t>
  </si>
  <si>
    <t>2025-06-12 22:47:22.579111</t>
  </si>
  <si>
    <t>LD-306668</t>
  </si>
  <si>
    <t>2025-09-02 10:48:00</t>
  </si>
  <si>
    <t>LD-306669</t>
  </si>
  <si>
    <t>2025-04-04 20:16:00</t>
  </si>
  <si>
    <t>LD-306670</t>
  </si>
  <si>
    <t>2026-03-23 15:57:00</t>
  </si>
  <si>
    <t>2026-04-24 03:39:52.449971</t>
  </si>
  <si>
    <t>LD-306671</t>
  </si>
  <si>
    <t>2025-06-04 19:22:00</t>
  </si>
  <si>
    <t>2025-07-01 20:10:20.611355</t>
  </si>
  <si>
    <t>LD-306672</t>
  </si>
  <si>
    <t>2025-02-08 08:50:00</t>
  </si>
  <si>
    <t>2025-03-29 02:51:51.162605</t>
  </si>
  <si>
    <t>LD-306673</t>
  </si>
  <si>
    <t>2026-04-16 17:50:00</t>
  </si>
  <si>
    <t>2026-05-16 19:55:59.979144</t>
  </si>
  <si>
    <t>LD-306674</t>
  </si>
  <si>
    <t>2025-03-21 18:08:00</t>
  </si>
  <si>
    <t>2025-05-13 22:58:43.863610</t>
  </si>
  <si>
    <t>LD-306675</t>
  </si>
  <si>
    <t>2025-09-06 17:04:00</t>
  </si>
  <si>
    <t>LD-306676</t>
  </si>
  <si>
    <t>2025-06-08 09:23:00</t>
  </si>
  <si>
    <t>LD-306677</t>
  </si>
  <si>
    <t>2025-07-11 20:19:00</t>
  </si>
  <si>
    <t>LD-306678</t>
  </si>
  <si>
    <t>2025-03-25 20:57:00</t>
  </si>
  <si>
    <t>2025-04-24 09:31:56.431720</t>
  </si>
  <si>
    <t>LD-306679</t>
  </si>
  <si>
    <t>2025-04-18 08:39:00</t>
  </si>
  <si>
    <t>2025-06-06 01:23:08.628963</t>
  </si>
  <si>
    <t>LD-306680</t>
  </si>
  <si>
    <t>2026-04-06 11:35:00</t>
  </si>
  <si>
    <t>LD-306681</t>
  </si>
  <si>
    <t>2026-04-23 09:07:00</t>
  </si>
  <si>
    <t>2026-05-18 05:28:49.113225</t>
  </si>
  <si>
    <t>LD-306682</t>
  </si>
  <si>
    <t>2025-04-12 13:44:00</t>
  </si>
  <si>
    <t>2025-05-18 01:44:41.584493</t>
  </si>
  <si>
    <t>LD-306683</t>
  </si>
  <si>
    <t>2025-04-30 13:45:00</t>
  </si>
  <si>
    <t>LD-306684</t>
  </si>
  <si>
    <t>2026-02-10 08:55:00</t>
  </si>
  <si>
    <t>LD-306685</t>
  </si>
  <si>
    <t>2025-09-07 16:12:00</t>
  </si>
  <si>
    <t>LD-306686</t>
  </si>
  <si>
    <t>2025-05-23 10:54:00</t>
  </si>
  <si>
    <t>2025-06-22 05:38:26.567546</t>
  </si>
  <si>
    <t>LD-306687</t>
  </si>
  <si>
    <t>2025-04-24 08:05:00</t>
  </si>
  <si>
    <t>2025-06-04 15:50:09.561477</t>
  </si>
  <si>
    <t>LD-306688</t>
  </si>
  <si>
    <t>2025-07-02 08:37:00</t>
  </si>
  <si>
    <t>LD-306689</t>
  </si>
  <si>
    <t>2026-03-26 19:02:00</t>
  </si>
  <si>
    <t>2026-05-11 09:32:23.923941</t>
  </si>
  <si>
    <t>LD-306690</t>
  </si>
  <si>
    <t>2025-11-28 17:22:00</t>
  </si>
  <si>
    <t>2026-01-10 21:23:51.979148</t>
  </si>
  <si>
    <t>LD-306691</t>
  </si>
  <si>
    <t>2026-02-13 10:45:00</t>
  </si>
  <si>
    <t>2026-03-27 21:35:43.774699</t>
  </si>
  <si>
    <t>LD-306692</t>
  </si>
  <si>
    <t>2025-08-07 07:15:00</t>
  </si>
  <si>
    <t>2025-09-23 06:56:25.023772</t>
  </si>
  <si>
    <t>LD-306693</t>
  </si>
  <si>
    <t>2026-02-20 13:30:00</t>
  </si>
  <si>
    <t>LD-306694</t>
  </si>
  <si>
    <t>2025-07-28 14:48:00</t>
  </si>
  <si>
    <t>LD-306695</t>
  </si>
  <si>
    <t>2025-12-05 15:45:00</t>
  </si>
  <si>
    <t>LD-306696</t>
  </si>
  <si>
    <t>LD-306697</t>
  </si>
  <si>
    <t>2025-11-04 17:38:00</t>
  </si>
  <si>
    <t>LD-306698</t>
  </si>
  <si>
    <t>2025-08-30 13:27:00</t>
  </si>
  <si>
    <t>2025-10-02 10:33:17.438891</t>
  </si>
  <si>
    <t>LD-306699</t>
  </si>
  <si>
    <t>2026-05-22 20:20:00</t>
  </si>
  <si>
    <t>LD-306700</t>
  </si>
  <si>
    <t>2025-07-17 14:10:00</t>
  </si>
  <si>
    <t>LD-306701</t>
  </si>
  <si>
    <t>2025-07-27 11:17:00</t>
  </si>
  <si>
    <t>LD-306702</t>
  </si>
  <si>
    <t>2025-07-04 11:51:00</t>
  </si>
  <si>
    <t>LD-306703</t>
  </si>
  <si>
    <t>2026-05-18 16:30:00</t>
  </si>
  <si>
    <t>2026-06-25 04:58:17.828968</t>
  </si>
  <si>
    <t>LD-306704</t>
  </si>
  <si>
    <t>2025-09-27 11:28:00</t>
  </si>
  <si>
    <t>LD-306705</t>
  </si>
  <si>
    <t>2025-04-21 08:53:00</t>
  </si>
  <si>
    <t>2025-05-30 02:49:00.243191</t>
  </si>
  <si>
    <t>LD-306706</t>
  </si>
  <si>
    <t>2025-08-01 08:54:00</t>
  </si>
  <si>
    <t>LD-306707</t>
  </si>
  <si>
    <t>2025-08-05 14:52:00</t>
  </si>
  <si>
    <t>2025-09-08 11:41:18.824246</t>
  </si>
  <si>
    <t>LD-306708</t>
  </si>
  <si>
    <t>2025-03-01 13:02:00</t>
  </si>
  <si>
    <t>LD-306709</t>
  </si>
  <si>
    <t>2025-06-02 20:21:00</t>
  </si>
  <si>
    <t>LD-306710</t>
  </si>
  <si>
    <t>2026-06-23 08:21:00</t>
  </si>
  <si>
    <t>2026-08-03 16:24:37.420351</t>
  </si>
  <si>
    <t>LD-306711</t>
  </si>
  <si>
    <t>2025-10-27 20:32:00</t>
  </si>
  <si>
    <t>LD-306712</t>
  </si>
  <si>
    <t>2025-08-18 07:55:00</t>
  </si>
  <si>
    <t>LD-306713</t>
  </si>
  <si>
    <t>2025-01-24 14:55:00</t>
  </si>
  <si>
    <t>2025-03-14 19:27:47.537191</t>
  </si>
  <si>
    <t>LD-306714</t>
  </si>
  <si>
    <t>2025-12-05 20:24:00</t>
  </si>
  <si>
    <t>2026-01-26 09:42:38.793395</t>
  </si>
  <si>
    <t>LD-306715</t>
  </si>
  <si>
    <t>2025-08-28 13:57:00</t>
  </si>
  <si>
    <t>LD-306716</t>
  </si>
  <si>
    <t>2025-11-20 20:01:00</t>
  </si>
  <si>
    <t>LD-306717</t>
  </si>
  <si>
    <t>2025-06-05 16:19:00</t>
  </si>
  <si>
    <t>LD-306718</t>
  </si>
  <si>
    <t>2025-08-01 19:17:00</t>
  </si>
  <si>
    <t>LD-306719</t>
  </si>
  <si>
    <t>2026-05-04 11:58:33.567575</t>
  </si>
  <si>
    <t>LD-306720</t>
  </si>
  <si>
    <t>2025-11-27 13:32:00</t>
  </si>
  <si>
    <t>2025-12-20 05:40:43.243629</t>
  </si>
  <si>
    <t>LD-306721</t>
  </si>
  <si>
    <t>2026-06-02 17:28:00</t>
  </si>
  <si>
    <t>2026-07-11 05:03:23.404993</t>
  </si>
  <si>
    <t>LD-306722</t>
  </si>
  <si>
    <t>2026-02-26 20:08:00</t>
  </si>
  <si>
    <t>LD-306723</t>
  </si>
  <si>
    <t>2025-05-09 14:28:00</t>
  </si>
  <si>
    <t>2025-06-10 14:27:11.471401</t>
  </si>
  <si>
    <t>LD-306724</t>
  </si>
  <si>
    <t>2025-08-29 15:23:00</t>
  </si>
  <si>
    <t>2025-10-09 05:28:39.417024</t>
  </si>
  <si>
    <t>LD-306725</t>
  </si>
  <si>
    <t>2025-04-04 10:47:00</t>
  </si>
  <si>
    <t>LD-306726</t>
  </si>
  <si>
    <t>2026-01-28 12:32:00</t>
  </si>
  <si>
    <t>LD-306727</t>
  </si>
  <si>
    <t>2025-04-03 13:03:00</t>
  </si>
  <si>
    <t>LD-306728</t>
  </si>
  <si>
    <t>2026-05-29 16:27:00</t>
  </si>
  <si>
    <t>LD-306729</t>
  </si>
  <si>
    <t>2025-04-18 09:45:00</t>
  </si>
  <si>
    <t>2025-05-26 09:29:20.663551</t>
  </si>
  <si>
    <t>LD-306730</t>
  </si>
  <si>
    <t>2026-01-16 08:24:00</t>
  </si>
  <si>
    <t>LD-306731</t>
  </si>
  <si>
    <t>2025-05-30 08:08:00</t>
  </si>
  <si>
    <t>2025-07-11 07:43:00.872173</t>
  </si>
  <si>
    <t>LD-306732</t>
  </si>
  <si>
    <t>2025-10-24 11:13:00</t>
  </si>
  <si>
    <t>2025-11-25 20:45:22.504391</t>
  </si>
  <si>
    <t>LD-306733</t>
  </si>
  <si>
    <t>2025-04-17 10:13:00</t>
  </si>
  <si>
    <t>LD-306734</t>
  </si>
  <si>
    <t>2025-06-23 20:44:00</t>
  </si>
  <si>
    <t>LD-306735</t>
  </si>
  <si>
    <t>2025-09-22 18:50:00</t>
  </si>
  <si>
    <t>LD-306736</t>
  </si>
  <si>
    <t>2025-04-04 08:07:00</t>
  </si>
  <si>
    <t>LD-306737</t>
  </si>
  <si>
    <t>2026-06-01 20:04:00</t>
  </si>
  <si>
    <t>2026-06-27 18:42:31.496213</t>
  </si>
  <si>
    <t>LD-306738</t>
  </si>
  <si>
    <t>2026-04-13 08:03:00</t>
  </si>
  <si>
    <t>2026-05-13 09:15:07.594603</t>
  </si>
  <si>
    <t>LD-306739</t>
  </si>
  <si>
    <t>2025-07-15 13:27:00</t>
  </si>
  <si>
    <t>2025-08-11 16:06:58.674649</t>
  </si>
  <si>
    <t>LD-306740</t>
  </si>
  <si>
    <t>2026-05-15 18:14:00</t>
  </si>
  <si>
    <t>LD-306741</t>
  </si>
  <si>
    <t>2025-05-30 15:51:00</t>
  </si>
  <si>
    <t>LD-306742</t>
  </si>
  <si>
    <t>2025-11-07 12:05:00</t>
  </si>
  <si>
    <t>LD-306743</t>
  </si>
  <si>
    <t>2025-12-11 12:17:00</t>
  </si>
  <si>
    <t>LD-306744</t>
  </si>
  <si>
    <t>2025-05-24 19:43:00</t>
  </si>
  <si>
    <t>2025-06-27 08:06:12.981907</t>
  </si>
  <si>
    <t>LD-306745</t>
  </si>
  <si>
    <t>2026-06-09 19:25:00</t>
  </si>
  <si>
    <t>LD-306746</t>
  </si>
  <si>
    <t>2025-11-24 20:20:00</t>
  </si>
  <si>
    <t>2025-12-21 20:18:39.786926</t>
  </si>
  <si>
    <t>LD-306747</t>
  </si>
  <si>
    <t>2025-11-07 11:55:00</t>
  </si>
  <si>
    <t>LD-306748</t>
  </si>
  <si>
    <t>2026-03-15 17:14:00</t>
  </si>
  <si>
    <t>LD-306749</t>
  </si>
  <si>
    <t>2025-10-10 11:08:00</t>
  </si>
  <si>
    <t>2025-11-18 09:37:56.693291</t>
  </si>
  <si>
    <t>LD-306750</t>
  </si>
  <si>
    <t>2025-08-06 19:01:00</t>
  </si>
  <si>
    <t>LD-306751</t>
  </si>
  <si>
    <t>2025-02-14 10:23:00</t>
  </si>
  <si>
    <t>LD-306752</t>
  </si>
  <si>
    <t>2025-07-20 20:01:00</t>
  </si>
  <si>
    <t>LD-306753</t>
  </si>
  <si>
    <t>2025-02-07 14:52:00</t>
  </si>
  <si>
    <t>LD-306754</t>
  </si>
  <si>
    <t>2026-06-05 17:46:00</t>
  </si>
  <si>
    <t>LD-306755</t>
  </si>
  <si>
    <t>2025-10-09 18:24:00</t>
  </si>
  <si>
    <t>LD-306756</t>
  </si>
  <si>
    <t>2025-01-21 15:52:00</t>
  </si>
  <si>
    <t>LD-306757</t>
  </si>
  <si>
    <t>2025-06-30 18:44:00</t>
  </si>
  <si>
    <t>LD-306758</t>
  </si>
  <si>
    <t>2025-07-07 18:35:00</t>
  </si>
  <si>
    <t>LD-306759</t>
  </si>
  <si>
    <t>2026-03-31 18:52:00</t>
  </si>
  <si>
    <t>LD-306760</t>
  </si>
  <si>
    <t>2025-03-20 18:56:00</t>
  </si>
  <si>
    <t>LD-306761</t>
  </si>
  <si>
    <t>2025-07-21 18:02:00</t>
  </si>
  <si>
    <t>LD-306762</t>
  </si>
  <si>
    <t>2025-01-30 12:38:00</t>
  </si>
  <si>
    <t>LD-306763</t>
  </si>
  <si>
    <t>2026-03-30 08:30:00</t>
  </si>
  <si>
    <t>LD-306764</t>
  </si>
  <si>
    <t>2025-04-10 10:30:00</t>
  </si>
  <si>
    <t>LD-306765</t>
  </si>
  <si>
    <t>2025-05-22 11:55:00</t>
  </si>
  <si>
    <t>LD-306766</t>
  </si>
  <si>
    <t>2026-07-04 15:59:00.880591</t>
  </si>
  <si>
    <t>LD-306767</t>
  </si>
  <si>
    <t>2025-04-22 15:17:00</t>
  </si>
  <si>
    <t>2025-06-03 01:18:22.156849</t>
  </si>
  <si>
    <t>LD-306768</t>
  </si>
  <si>
    <t>2025-07-15 11:44:00</t>
  </si>
  <si>
    <t>LD-306769</t>
  </si>
  <si>
    <t>2026-03-04 16:34:00</t>
  </si>
  <si>
    <t>LD-306770</t>
  </si>
  <si>
    <t>2026-05-15 12:18:41.570449</t>
  </si>
  <si>
    <t>LD-306771</t>
  </si>
  <si>
    <t>2025-08-11 15:57:00</t>
  </si>
  <si>
    <t>2025-09-11 07:28:10.441026</t>
  </si>
  <si>
    <t>LD-306772</t>
  </si>
  <si>
    <t>2026-05-24 20:19:00</t>
  </si>
  <si>
    <t>LD-306773</t>
  </si>
  <si>
    <t>2026-02-02 19:39:00</t>
  </si>
  <si>
    <t>LD-306774</t>
  </si>
  <si>
    <t>2025-03-22 09:34:00</t>
  </si>
  <si>
    <t>2025-04-08 23:16:46.760608</t>
  </si>
  <si>
    <t>LD-306775</t>
  </si>
  <si>
    <t>2025-11-10 15:01:00</t>
  </si>
  <si>
    <t>LD-306776</t>
  </si>
  <si>
    <t>2025-05-28 15:19:00</t>
  </si>
  <si>
    <t>LD-306777</t>
  </si>
  <si>
    <t>2025-12-25 13:53:00</t>
  </si>
  <si>
    <t>LD-306778</t>
  </si>
  <si>
    <t>2025-12-25 12:02:00</t>
  </si>
  <si>
    <t>LD-306779</t>
  </si>
  <si>
    <t>2025-06-15 15:05:00</t>
  </si>
  <si>
    <t>LD-306780</t>
  </si>
  <si>
    <t>2025-01-31 12:03:00</t>
  </si>
  <si>
    <t>LD-306781</t>
  </si>
  <si>
    <t>2026-01-19 16:41:00</t>
  </si>
  <si>
    <t>LD-306782</t>
  </si>
  <si>
    <t>2025-11-19 14:47:00</t>
  </si>
  <si>
    <t>2025-12-29 14:16:19.664540</t>
  </si>
  <si>
    <t>LD-306783</t>
  </si>
  <si>
    <t>2025-03-14 17:51:00</t>
  </si>
  <si>
    <t>LD-306784</t>
  </si>
  <si>
    <t>2025-08-27 14:53:00</t>
  </si>
  <si>
    <t>2025-09-29 05:29:15.896397</t>
  </si>
  <si>
    <t>LD-306785</t>
  </si>
  <si>
    <t>2025-11-25 11:10:00</t>
  </si>
  <si>
    <t>LD-306786</t>
  </si>
  <si>
    <t>2025-10-31 13:30:00</t>
  </si>
  <si>
    <t>2025-12-17 14:43:38.871895</t>
  </si>
  <si>
    <t>LD-306787</t>
  </si>
  <si>
    <t>2025-02-19 11:22:00</t>
  </si>
  <si>
    <t>LD-306788</t>
  </si>
  <si>
    <t>2025-07-31 19:35:00</t>
  </si>
  <si>
    <t>LD-306789</t>
  </si>
  <si>
    <t>2026-01-27 11:16:00</t>
  </si>
  <si>
    <t>LD-306790</t>
  </si>
  <si>
    <t>2025-03-06 13:08:00</t>
  </si>
  <si>
    <t>LD-306791</t>
  </si>
  <si>
    <t>2025-09-23 09:07:00</t>
  </si>
  <si>
    <t>LD-306792</t>
  </si>
  <si>
    <t>2025-12-03 15:47:00</t>
  </si>
  <si>
    <t>2026-01-10 22:10:57.037970</t>
  </si>
  <si>
    <t>LD-306793</t>
  </si>
  <si>
    <t>2025-03-26 16:00:00</t>
  </si>
  <si>
    <t>2025-04-28 05:48:30.144243</t>
  </si>
  <si>
    <t>LD-306794</t>
  </si>
  <si>
    <t>2025-03-04 20:37:00</t>
  </si>
  <si>
    <t>LD-306795</t>
  </si>
  <si>
    <t>2026-04-17 20:04:00</t>
  </si>
  <si>
    <t>LD-306796</t>
  </si>
  <si>
    <t>2026-02-25 20:16:00</t>
  </si>
  <si>
    <t>LD-306797</t>
  </si>
  <si>
    <t>2026-01-21 12:44:00</t>
  </si>
  <si>
    <t>2026-02-22 02:48:25.355412</t>
  </si>
  <si>
    <t>LD-306798</t>
  </si>
  <si>
    <t>2025-06-12 09:37:00</t>
  </si>
  <si>
    <t>LD-306799</t>
  </si>
  <si>
    <t>2025-04-11 17:28:00</t>
  </si>
  <si>
    <t>LD-306800</t>
  </si>
  <si>
    <t>2025-07-29 17:45:54.825932</t>
  </si>
  <si>
    <t>LD-306801</t>
  </si>
  <si>
    <t>2025-03-06 19:15:00</t>
  </si>
  <si>
    <t>LD-306802</t>
  </si>
  <si>
    <t>2026-02-10 18:57:00</t>
  </si>
  <si>
    <t>LD-306803</t>
  </si>
  <si>
    <t>2025-05-08 12:13:00</t>
  </si>
  <si>
    <t>LD-306804</t>
  </si>
  <si>
    <t>2025-06-20 10:11:00</t>
  </si>
  <si>
    <t>2025-07-21 16:18:46.565431</t>
  </si>
  <si>
    <t>LD-306805</t>
  </si>
  <si>
    <t>2025-10-03 08:06:00</t>
  </si>
  <si>
    <t>LD-306806</t>
  </si>
  <si>
    <t>2025-03-14 09:12:00</t>
  </si>
  <si>
    <t>LD-306807</t>
  </si>
  <si>
    <t>2026-01-07 13:28:00</t>
  </si>
  <si>
    <t>LD-306808</t>
  </si>
  <si>
    <t>2025-03-17 12:13:00</t>
  </si>
  <si>
    <t>2025-04-23 01:53:23.328321</t>
  </si>
  <si>
    <t>LD-306809</t>
  </si>
  <si>
    <t>2025-09-28 13:30:00</t>
  </si>
  <si>
    <t>LD-306810</t>
  </si>
  <si>
    <t>2026-03-21 08:30:00</t>
  </si>
  <si>
    <t>LD-306811</t>
  </si>
  <si>
    <t>2025-04-15 13:03:00</t>
  </si>
  <si>
    <t>LD-306812</t>
  </si>
  <si>
    <t>2025-04-03 09:13:00</t>
  </si>
  <si>
    <t>LD-306813</t>
  </si>
  <si>
    <t>2026-02-05 10:26:00</t>
  </si>
  <si>
    <t>LD-306814</t>
  </si>
  <si>
    <t>2025-11-10 11:20:00</t>
  </si>
  <si>
    <t>2025-12-19 00:20:41.124117</t>
  </si>
  <si>
    <t>LD-306815</t>
  </si>
  <si>
    <t>2026-06-21 17:20:00</t>
  </si>
  <si>
    <t>2026-07-18 07:31:55.603181</t>
  </si>
  <si>
    <t>LD-306816</t>
  </si>
  <si>
    <t>2025-10-13 15:42:00</t>
  </si>
  <si>
    <t>2025-11-27 17:52:40.302188</t>
  </si>
  <si>
    <t>LD-306817</t>
  </si>
  <si>
    <t>2025-06-22 16:18:00</t>
  </si>
  <si>
    <t>LD-306818</t>
  </si>
  <si>
    <t>2025-01-10 07:52:00</t>
  </si>
  <si>
    <t>LD-306819</t>
  </si>
  <si>
    <t>2025-01-17 08:24:00</t>
  </si>
  <si>
    <t>2025-03-11 06:23:33.867249</t>
  </si>
  <si>
    <t>LD-306820</t>
  </si>
  <si>
    <t>2026-05-22 17:04:00</t>
  </si>
  <si>
    <t>LD-306821</t>
  </si>
  <si>
    <t>2026-01-17 07:37:00</t>
  </si>
  <si>
    <t>LD-306822</t>
  </si>
  <si>
    <t>2025-06-04 08:37:00</t>
  </si>
  <si>
    <t>LD-306823</t>
  </si>
  <si>
    <t>2026-05-23 18:35:00</t>
  </si>
  <si>
    <t>LD-306824</t>
  </si>
  <si>
    <t>2025-11-27 12:55:00</t>
  </si>
  <si>
    <t>2026-01-09 06:34:07.241029</t>
  </si>
  <si>
    <t>LD-306825</t>
  </si>
  <si>
    <t>2025-06-13 08:14:00</t>
  </si>
  <si>
    <t>2025-08-04 14:02:27.174504</t>
  </si>
  <si>
    <t>LD-306826</t>
  </si>
  <si>
    <t>2025-06-04 16:16:00</t>
  </si>
  <si>
    <t>LD-306827</t>
  </si>
  <si>
    <t>2025-07-17 19:58:00</t>
  </si>
  <si>
    <t>2025-08-16 11:19:17.803023</t>
  </si>
  <si>
    <t>LD-306828</t>
  </si>
  <si>
    <t>2025-03-12 08:03:00</t>
  </si>
  <si>
    <t>LD-306829</t>
  </si>
  <si>
    <t>2025-12-13 09:07:00</t>
  </si>
  <si>
    <t>LD-306830</t>
  </si>
  <si>
    <t>2025-10-08 12:47:00</t>
  </si>
  <si>
    <t>LD-306831</t>
  </si>
  <si>
    <t>2026-06-15 12:38:00</t>
  </si>
  <si>
    <t>2026-07-09 15:50:26.353542</t>
  </si>
  <si>
    <t>LD-306832</t>
  </si>
  <si>
    <t>2025-11-12 07:00:00</t>
  </si>
  <si>
    <t>2025-12-04 07:31:19.355445</t>
  </si>
  <si>
    <t>LD-306833</t>
  </si>
  <si>
    <t>2025-11-28 19:53:00</t>
  </si>
  <si>
    <t>LD-306834</t>
  </si>
  <si>
    <t>2026-05-22 14:47:00</t>
  </si>
  <si>
    <t>LD-306835</t>
  </si>
  <si>
    <t>2025-09-26 19:33:00</t>
  </si>
  <si>
    <t>2025-10-26 16:47:43.020283</t>
  </si>
  <si>
    <t>LD-306836</t>
  </si>
  <si>
    <t>2025-05-11 13:47:00</t>
  </si>
  <si>
    <t>2025-07-05 22:50:42.883375</t>
  </si>
  <si>
    <t>LD-306837</t>
  </si>
  <si>
    <t>2025-02-10 10:13:00</t>
  </si>
  <si>
    <t>2025-03-09 22:03:17.426227</t>
  </si>
  <si>
    <t>LD-306838</t>
  </si>
  <si>
    <t>2025-01-24 11:18:00</t>
  </si>
  <si>
    <t>LD-306839</t>
  </si>
  <si>
    <t>2025-04-18 18:30:00</t>
  </si>
  <si>
    <t>LD-306840</t>
  </si>
  <si>
    <t>2025-05-22 18:28:00</t>
  </si>
  <si>
    <t>LD-306841</t>
  </si>
  <si>
    <t>2025-05-30 18:40:00</t>
  </si>
  <si>
    <t>LD-306842</t>
  </si>
  <si>
    <t>2025-10-24 10:56:00</t>
  </si>
  <si>
    <t>2025-12-01 15:48:39.882899</t>
  </si>
  <si>
    <t>LD-306843</t>
  </si>
  <si>
    <t>2026-03-01 17:37:00</t>
  </si>
  <si>
    <t>LD-306844</t>
  </si>
  <si>
    <t>2026-02-12 09:24:00</t>
  </si>
  <si>
    <t>2026-03-15 11:25:29.742273</t>
  </si>
  <si>
    <t>LD-306845</t>
  </si>
  <si>
    <t>2026-06-03 18:09:00</t>
  </si>
  <si>
    <t>2026-07-01 02:44:44.515786</t>
  </si>
  <si>
    <t>LD-306846</t>
  </si>
  <si>
    <t>2026-06-09 08:58:00</t>
  </si>
  <si>
    <t>LD-306847</t>
  </si>
  <si>
    <t>2025-12-30 17:01:00</t>
  </si>
  <si>
    <t>LD-306848</t>
  </si>
  <si>
    <t>2025-05-12 09:46:00</t>
  </si>
  <si>
    <t>2025-06-21 19:23:03.956145</t>
  </si>
  <si>
    <t>LD-306849</t>
  </si>
  <si>
    <t>2025-07-30 17:14:00</t>
  </si>
  <si>
    <t>2025-08-29 03:47:52.395007</t>
  </si>
  <si>
    <t>LD-306850</t>
  </si>
  <si>
    <t>2025-06-11 09:06:00</t>
  </si>
  <si>
    <t>LD-306851</t>
  </si>
  <si>
    <t>2025-12-22 16:35:00</t>
  </si>
  <si>
    <t>LD-306852</t>
  </si>
  <si>
    <t>2025-11-21 08:41:00</t>
  </si>
  <si>
    <t>LD-306853</t>
  </si>
  <si>
    <t>2025-09-09 08:15:00</t>
  </si>
  <si>
    <t>LD-306854</t>
  </si>
  <si>
    <t>2026-01-29 07:57:00</t>
  </si>
  <si>
    <t>LD-306855</t>
  </si>
  <si>
    <t>2026-03-30 20:04:00</t>
  </si>
  <si>
    <t>LD-306856</t>
  </si>
  <si>
    <t>2025-01-13 08:34:00</t>
  </si>
  <si>
    <t>LD-306857</t>
  </si>
  <si>
    <t>2025-09-29 18:21:00</t>
  </si>
  <si>
    <t>LD-306858</t>
  </si>
  <si>
    <t>2025-08-15 09:24:00</t>
  </si>
  <si>
    <t>LD-306859</t>
  </si>
  <si>
    <t>2025-12-24 17:08:00</t>
  </si>
  <si>
    <t>LD-306860</t>
  </si>
  <si>
    <t>2025-05-24 15:58:00</t>
  </si>
  <si>
    <t>2025-06-29 11:25:06.568577</t>
  </si>
  <si>
    <t>LD-306861</t>
  </si>
  <si>
    <t>2026-06-07 09:41:00</t>
  </si>
  <si>
    <t>LD-306862</t>
  </si>
  <si>
    <t>2025-04-04 18:14:00</t>
  </si>
  <si>
    <t>LD-306863</t>
  </si>
  <si>
    <t>2026-03-09 14:06:00</t>
  </si>
  <si>
    <t>LD-306864</t>
  </si>
  <si>
    <t>2025-04-04 12:53:00</t>
  </si>
  <si>
    <t>LD-306865</t>
  </si>
  <si>
    <t>2026-05-18 13:37:00</t>
  </si>
  <si>
    <t>LD-306866</t>
  </si>
  <si>
    <t>2026-01-30 19:19:00</t>
  </si>
  <si>
    <t>2026-03-15 08:54:06.110942</t>
  </si>
  <si>
    <t>LD-306867</t>
  </si>
  <si>
    <t>2026-04-19 15:47:00</t>
  </si>
  <si>
    <t>LD-306868</t>
  </si>
  <si>
    <t>2025-04-21 10:51:00</t>
  </si>
  <si>
    <t>LD-306869</t>
  </si>
  <si>
    <t>2026-01-14 15:10:00</t>
  </si>
  <si>
    <t>LD-306870</t>
  </si>
  <si>
    <t>2026-05-06 16:00:00</t>
  </si>
  <si>
    <t>2026-06-01 21:47:43.215081</t>
  </si>
  <si>
    <t>LD-306871</t>
  </si>
  <si>
    <t>2025-06-19 08:35:00</t>
  </si>
  <si>
    <t>2025-07-22 21:29:11.148730</t>
  </si>
  <si>
    <t>LD-306872</t>
  </si>
  <si>
    <t>2025-10-03 08:37:00</t>
  </si>
  <si>
    <t>2025-11-06 05:23:42.579942</t>
  </si>
  <si>
    <t>LD-306873</t>
  </si>
  <si>
    <t>2026-04-09 08:48:00</t>
  </si>
  <si>
    <t>2026-05-28 22:22:57.048540</t>
  </si>
  <si>
    <t>LD-306874</t>
  </si>
  <si>
    <t>2025-04-03 19:52:00</t>
  </si>
  <si>
    <t>2025-05-16 14:58:17.344322</t>
  </si>
  <si>
    <t>LD-306875</t>
  </si>
  <si>
    <t>2025-11-03 17:14:00</t>
  </si>
  <si>
    <t>LD-306876</t>
  </si>
  <si>
    <t>2026-03-09 15:21:00</t>
  </si>
  <si>
    <t>2026-04-19 07:21:36.169435</t>
  </si>
  <si>
    <t>LD-306877</t>
  </si>
  <si>
    <t>2025-03-20 10:48:00</t>
  </si>
  <si>
    <t>2025-05-01 10:56:14.965416</t>
  </si>
  <si>
    <t>LD-306878</t>
  </si>
  <si>
    <t>2026-06-12 08:24:00</t>
  </si>
  <si>
    <t>LD-306879</t>
  </si>
  <si>
    <t>2026-06-07 07:28:00</t>
  </si>
  <si>
    <t>LD-306880</t>
  </si>
  <si>
    <t>2025-12-26 14:38:00</t>
  </si>
  <si>
    <t>LD-306881</t>
  </si>
  <si>
    <t>2026-02-27 18:20:00</t>
  </si>
  <si>
    <t>LD-306882</t>
  </si>
  <si>
    <t>2026-02-12 13:53:00</t>
  </si>
  <si>
    <t>2026-03-23 14:46:30.854427</t>
  </si>
  <si>
    <t>LD-306883</t>
  </si>
  <si>
    <t>2025-11-07 17:47:00</t>
  </si>
  <si>
    <t>LD-306884</t>
  </si>
  <si>
    <t>2025-04-18 08:15:00</t>
  </si>
  <si>
    <t>2025-05-24 05:56:13.005479</t>
  </si>
  <si>
    <t>LD-306885</t>
  </si>
  <si>
    <t>2025-11-22 08:49:00</t>
  </si>
  <si>
    <t>LD-306886</t>
  </si>
  <si>
    <t>2026-05-19 08:49:00</t>
  </si>
  <si>
    <t>2026-06-16 09:20:58.382374</t>
  </si>
  <si>
    <t>LD-306887</t>
  </si>
  <si>
    <t>2025-08-03 15:06:00</t>
  </si>
  <si>
    <t>2025-09-06 05:29:27.794803</t>
  </si>
  <si>
    <t>LD-306888</t>
  </si>
  <si>
    <t>2025-10-13 15:27:00</t>
  </si>
  <si>
    <t>LD-306889</t>
  </si>
  <si>
    <t>2026-04-24 19:24:00</t>
  </si>
  <si>
    <t>2026-05-19 06:32:03.999289</t>
  </si>
  <si>
    <t>LD-306890</t>
  </si>
  <si>
    <t>2026-03-30 13:34:00</t>
  </si>
  <si>
    <t>2026-05-12 15:50:15.796866</t>
  </si>
  <si>
    <t>LD-306891</t>
  </si>
  <si>
    <t>2025-04-10 19:59:00</t>
  </si>
  <si>
    <t>LD-306892</t>
  </si>
  <si>
    <t>2025-12-12 17:43:00</t>
  </si>
  <si>
    <t>LD-306893</t>
  </si>
  <si>
    <t>2025-07-28 01:51:14.026891</t>
  </si>
  <si>
    <t>LD-306894</t>
  </si>
  <si>
    <t>2025-09-08 19:11:00</t>
  </si>
  <si>
    <t>LD-306895</t>
  </si>
  <si>
    <t>2026-05-27 17:15:00</t>
  </si>
  <si>
    <t>LD-306896</t>
  </si>
  <si>
    <t>2026-01-23 10:49:00</t>
  </si>
  <si>
    <t>LD-306897</t>
  </si>
  <si>
    <t>2025-02-28 19:04:00</t>
  </si>
  <si>
    <t>2025-04-01 12:11:16.801266</t>
  </si>
  <si>
    <t>LD-306898</t>
  </si>
  <si>
    <t>2025-12-12 12:44:00</t>
  </si>
  <si>
    <t>LD-306899</t>
  </si>
  <si>
    <t>2025-04-18 09:01:00</t>
  </si>
  <si>
    <t>LD-306900</t>
  </si>
  <si>
    <t>2025-03-24 15:19:00</t>
  </si>
  <si>
    <t>LD-306901</t>
  </si>
  <si>
    <t>2026-01-14 20:18:00</t>
  </si>
  <si>
    <t>LD-306902</t>
  </si>
  <si>
    <t>2025-09-25 07:49:00</t>
  </si>
  <si>
    <t>2025-10-28 05:14:58.326454</t>
  </si>
  <si>
    <t>LD-306903</t>
  </si>
  <si>
    <t>2026-05-30 08:43:00</t>
  </si>
  <si>
    <t>2026-07-03 23:12:25.237777</t>
  </si>
  <si>
    <t>LD-306904</t>
  </si>
  <si>
    <t>2026-05-29 10:23:00</t>
  </si>
  <si>
    <t>LD-306905</t>
  </si>
  <si>
    <t>2025-01-16 12:35:00</t>
  </si>
  <si>
    <t>LD-306906</t>
  </si>
  <si>
    <t>2025-10-03 15:14:00</t>
  </si>
  <si>
    <t>LD-306907</t>
  </si>
  <si>
    <t>2025-09-30 12:12:00</t>
  </si>
  <si>
    <t>LD-306908</t>
  </si>
  <si>
    <t>2025-05-16 07:48:00</t>
  </si>
  <si>
    <t>LD-306909</t>
  </si>
  <si>
    <t>2026-03-10 07:15:00</t>
  </si>
  <si>
    <t>LD-306910</t>
  </si>
  <si>
    <t>2026-03-20 13:37:00</t>
  </si>
  <si>
    <t>2026-04-22 08:45:30.987489</t>
  </si>
  <si>
    <t>LD-306911</t>
  </si>
  <si>
    <t>2025-04-04 17:02:00</t>
  </si>
  <si>
    <t>LD-306912</t>
  </si>
  <si>
    <t>2025-12-26 10:23:00</t>
  </si>
  <si>
    <t>LD-306913</t>
  </si>
  <si>
    <t>2025-02-04 16:04:00</t>
  </si>
  <si>
    <t>LD-306914</t>
  </si>
  <si>
    <t>2025-07-03 15:14:00</t>
  </si>
  <si>
    <t>LD-306915</t>
  </si>
  <si>
    <t>2026-06-05 10:09:00</t>
  </si>
  <si>
    <t>2026-07-28 19:01:46.675735</t>
  </si>
  <si>
    <t>LD-306916</t>
  </si>
  <si>
    <t>2025-11-14 11:17:00</t>
  </si>
  <si>
    <t>LD-306917</t>
  </si>
  <si>
    <t>2025-06-12 12:26:00</t>
  </si>
  <si>
    <t>2025-07-19 05:38:57.974805</t>
  </si>
  <si>
    <t>LD-306918</t>
  </si>
  <si>
    <t>2025-06-06 20:40:00</t>
  </si>
  <si>
    <t>2025-07-09 05:42:00.437190</t>
  </si>
  <si>
    <t>LD-306919</t>
  </si>
  <si>
    <t>2025-10-03 19:06:00</t>
  </si>
  <si>
    <t>LD-306920</t>
  </si>
  <si>
    <t>2026-01-02 07:02:00</t>
  </si>
  <si>
    <t>2026-02-08 19:04:25.229001</t>
  </si>
  <si>
    <t>LD-306921</t>
  </si>
  <si>
    <t>2025-07-30 08:43:00</t>
  </si>
  <si>
    <t>LD-306922</t>
  </si>
  <si>
    <t>2026-03-03 11:59:00</t>
  </si>
  <si>
    <t>LD-306923</t>
  </si>
  <si>
    <t>2026-03-02 14:41:00</t>
  </si>
  <si>
    <t>LD-306924</t>
  </si>
  <si>
    <t>2025-07-18 12:14:00</t>
  </si>
  <si>
    <t>LD-306925</t>
  </si>
  <si>
    <t>2025-10-24 08:59:00</t>
  </si>
  <si>
    <t>LD-306926</t>
  </si>
  <si>
    <t>2026-05-02 07:39:00</t>
  </si>
  <si>
    <t>2026-05-24 13:48:37.258425</t>
  </si>
  <si>
    <t>LD-306927</t>
  </si>
  <si>
    <t>2026-06-02 15:00:00</t>
  </si>
  <si>
    <t>2026-07-09 20:42:29.991347</t>
  </si>
  <si>
    <t>LD-306928</t>
  </si>
  <si>
    <t>2026-01-09 18:37:00</t>
  </si>
  <si>
    <t>LD-306929</t>
  </si>
  <si>
    <t>2025-05-23 15:52:00</t>
  </si>
  <si>
    <t>LD-306930</t>
  </si>
  <si>
    <t>2025-10-03 17:14:00</t>
  </si>
  <si>
    <t>LD-306931</t>
  </si>
  <si>
    <t>2025-10-10 19:44:00</t>
  </si>
  <si>
    <t>LD-306932</t>
  </si>
  <si>
    <t>2025-05-11 17:29:00</t>
  </si>
  <si>
    <t>LD-306933</t>
  </si>
  <si>
    <t>2025-09-19 11:57:00</t>
  </si>
  <si>
    <t>LD-306934</t>
  </si>
  <si>
    <t>2025-10-12 19:17:00</t>
  </si>
  <si>
    <t>LD-306935</t>
  </si>
  <si>
    <t>2025-11-17 10:39:00</t>
  </si>
  <si>
    <t>LD-306936</t>
  </si>
  <si>
    <t>2025-04-29 17:54:00</t>
  </si>
  <si>
    <t>LD-306937</t>
  </si>
  <si>
    <t>2025-12-19 11:16:00</t>
  </si>
  <si>
    <t>LD-306938</t>
  </si>
  <si>
    <t>2025-04-15 17:18:00</t>
  </si>
  <si>
    <t>LD-306939</t>
  </si>
  <si>
    <t>2025-10-12 20:45:00</t>
  </si>
  <si>
    <t>LD-306940</t>
  </si>
  <si>
    <t>2025-04-09 07:40:00</t>
  </si>
  <si>
    <t>LD-306941</t>
  </si>
  <si>
    <t>2025-12-24 10:02:00</t>
  </si>
  <si>
    <t>LD-306942</t>
  </si>
  <si>
    <t>2026-02-24 12:44:00</t>
  </si>
  <si>
    <t>LD-306943</t>
  </si>
  <si>
    <t>2025-05-26 13:14:00</t>
  </si>
  <si>
    <t>LD-306944</t>
  </si>
  <si>
    <t>2025-10-18 14:20:00</t>
  </si>
  <si>
    <t>LD-306945</t>
  </si>
  <si>
    <t>2025-01-27 10:37:00</t>
  </si>
  <si>
    <t>LD-306946</t>
  </si>
  <si>
    <t>2026-02-14 12:10:00</t>
  </si>
  <si>
    <t>2026-03-25 13:13:08.663507</t>
  </si>
  <si>
    <t>LD-306947</t>
  </si>
  <si>
    <t>2026-01-15 12:29:00</t>
  </si>
  <si>
    <t>LD-306948</t>
  </si>
  <si>
    <t>2025-11-02 17:52:00</t>
  </si>
  <si>
    <t>LD-306949</t>
  </si>
  <si>
    <t>2025-09-12 14:25:00</t>
  </si>
  <si>
    <t>LD-306950</t>
  </si>
  <si>
    <t>2025-09-30 16:23:00</t>
  </si>
  <si>
    <t>LD-306951</t>
  </si>
  <si>
    <t>2026-03-29 20:32:00</t>
  </si>
  <si>
    <t>LD-306952</t>
  </si>
  <si>
    <t>2026-05-12 14:36:00</t>
  </si>
  <si>
    <t>LD-306953</t>
  </si>
  <si>
    <t>2026-06-19 14:15:00</t>
  </si>
  <si>
    <t>LD-306954</t>
  </si>
  <si>
    <t>2026-01-20 13:17:00</t>
  </si>
  <si>
    <t>LD-306955</t>
  </si>
  <si>
    <t>2025-01-06 15:18:00</t>
  </si>
  <si>
    <t>2025-02-13 07:19:13.528909</t>
  </si>
  <si>
    <t>LD-306956</t>
  </si>
  <si>
    <t>2025-03-07 20:59:00</t>
  </si>
  <si>
    <t>2025-04-16 20:50:58.587036</t>
  </si>
  <si>
    <t>LD-306957</t>
  </si>
  <si>
    <t>2025-07-24 09:49:00</t>
  </si>
  <si>
    <t>2025-09-21 22:27:42.918732</t>
  </si>
  <si>
    <t>LD-306958</t>
  </si>
  <si>
    <t>2025-10-25 09:57:00</t>
  </si>
  <si>
    <t>LD-306959</t>
  </si>
  <si>
    <t>2025-07-04 13:52:00</t>
  </si>
  <si>
    <t>LD-306960</t>
  </si>
  <si>
    <t>2025-11-22 16:19:00</t>
  </si>
  <si>
    <t>2025-12-10 11:31:19.808309</t>
  </si>
  <si>
    <t>LD-306961</t>
  </si>
  <si>
    <t>2026-06-15 08:05:00</t>
  </si>
  <si>
    <t>LD-306962</t>
  </si>
  <si>
    <t>2026-05-11 20:48:00</t>
  </si>
  <si>
    <t>LD-306963</t>
  </si>
  <si>
    <t>2025-08-15 16:16:00</t>
  </si>
  <si>
    <t>2025-10-01 03:44:57.896568</t>
  </si>
  <si>
    <t>LD-306964</t>
  </si>
  <si>
    <t>2025-09-26 14:30:00</t>
  </si>
  <si>
    <t>LD-306965</t>
  </si>
  <si>
    <t>2025-10-16 08:48:00</t>
  </si>
  <si>
    <t>LD-306966</t>
  </si>
  <si>
    <t>2025-11-03 17:30:00</t>
  </si>
  <si>
    <t>LD-306967</t>
  </si>
  <si>
    <t>2025-08-04 09:28:00</t>
  </si>
  <si>
    <t>LD-306968</t>
  </si>
  <si>
    <t>2025-06-27 09:27:00</t>
  </si>
  <si>
    <t>LD-306969</t>
  </si>
  <si>
    <t>2026-04-22 11:30:00</t>
  </si>
  <si>
    <t>2026-05-17 02:24:51.585014</t>
  </si>
  <si>
    <t>LD-306970</t>
  </si>
  <si>
    <t>2025-12-31 15:25:00</t>
  </si>
  <si>
    <t>LD-306971</t>
  </si>
  <si>
    <t>2026-02-17 15:34:00</t>
  </si>
  <si>
    <t>LD-306972</t>
  </si>
  <si>
    <t>2026-05-27 08:33:00</t>
  </si>
  <si>
    <t>LD-306973</t>
  </si>
  <si>
    <t>2025-06-21 10:28:00</t>
  </si>
  <si>
    <t>2025-08-04 17:15:05.801720</t>
  </si>
  <si>
    <t>LD-306974</t>
  </si>
  <si>
    <t>2025-05-27 14:14:00</t>
  </si>
  <si>
    <t>LD-306975</t>
  </si>
  <si>
    <t>2026-01-21 12:04:00</t>
  </si>
  <si>
    <t>LD-306976</t>
  </si>
  <si>
    <t>2026-04-08 16:18:00</t>
  </si>
  <si>
    <t>2026-05-01 14:58:54.988233</t>
  </si>
  <si>
    <t>LD-306977</t>
  </si>
  <si>
    <t>2026-03-03 16:44:00</t>
  </si>
  <si>
    <t>LD-306978</t>
  </si>
  <si>
    <t>2026-03-20 15:03:00</t>
  </si>
  <si>
    <t>LD-306979</t>
  </si>
  <si>
    <t>2025-09-21 08:14:00</t>
  </si>
  <si>
    <t>2025-10-25 11:15:40.072035</t>
  </si>
  <si>
    <t>LD-306980</t>
  </si>
  <si>
    <t>2025-06-19 08:56:00</t>
  </si>
  <si>
    <t>LD-306981</t>
  </si>
  <si>
    <t>2025-11-14 15:20:00</t>
  </si>
  <si>
    <t>LD-306982</t>
  </si>
  <si>
    <t>2026-05-08 13:37:00</t>
  </si>
  <si>
    <t>LD-306983</t>
  </si>
  <si>
    <t>2025-10-10 18:52:00</t>
  </si>
  <si>
    <t>LD-306984</t>
  </si>
  <si>
    <t>2025-05-30 14:11:00</t>
  </si>
  <si>
    <t>2025-07-11 20:27:49.678643</t>
  </si>
  <si>
    <t>LD-306985</t>
  </si>
  <si>
    <t>2025-03-28 15:31:00</t>
  </si>
  <si>
    <t>LD-306986</t>
  </si>
  <si>
    <t>2025-02-14 07:59:00</t>
  </si>
  <si>
    <t>2025-03-24 00:30:48.392939</t>
  </si>
  <si>
    <t>LD-306987</t>
  </si>
  <si>
    <t>2025-07-15 19:18:00</t>
  </si>
  <si>
    <t>2025-08-30 22:36:06.795303</t>
  </si>
  <si>
    <t>LD-306988</t>
  </si>
  <si>
    <t>2026-02-13 20:03:00</t>
  </si>
  <si>
    <t>2026-04-05 12:40:43.500377</t>
  </si>
  <si>
    <t>LD-306989</t>
  </si>
  <si>
    <t>2025-10-14 09:11:00</t>
  </si>
  <si>
    <t>LD-306990</t>
  </si>
  <si>
    <t>2026-04-17 19:06:00</t>
  </si>
  <si>
    <t>LD-306991</t>
  </si>
  <si>
    <t>2025-07-11 18:58:00</t>
  </si>
  <si>
    <t>2025-08-02 18:29:34.990814</t>
  </si>
  <si>
    <t>LD-306992</t>
  </si>
  <si>
    <t>2026-06-05 14:13:00</t>
  </si>
  <si>
    <t>LD-306993</t>
  </si>
  <si>
    <t>2025-01-26 19:13:00</t>
  </si>
  <si>
    <t>LD-306994</t>
  </si>
  <si>
    <t>2026-01-30 15:36:00</t>
  </si>
  <si>
    <t>LD-306995</t>
  </si>
  <si>
    <t>2025-12-12 13:43:00</t>
  </si>
  <si>
    <t>LD-306996</t>
  </si>
  <si>
    <t>2025-05-23 12:24:00</t>
  </si>
  <si>
    <t>2025-06-28 23:30:20.675943</t>
  </si>
  <si>
    <t>LD-306997</t>
  </si>
  <si>
    <t>2025-12-19 07:53:00</t>
  </si>
  <si>
    <t>2026-01-30 18:54:29.806689</t>
  </si>
  <si>
    <t>LD-306998</t>
  </si>
  <si>
    <t>2026-04-26 08:58:00</t>
  </si>
  <si>
    <t>2026-05-27 05:50:41.786315</t>
  </si>
  <si>
    <t>LD-306999</t>
  </si>
  <si>
    <t>2025-07-26 16:07:00</t>
  </si>
  <si>
    <t>stage_name</t>
  </si>
  <si>
    <t>stage</t>
  </si>
  <si>
    <t>leads_reaching_or_beyond</t>
  </si>
  <si>
    <t>pct_of_total</t>
  </si>
  <si>
    <t>total_leads</t>
  </si>
  <si>
    <t>won</t>
  </si>
  <si>
    <t>win_rate_pct</t>
  </si>
  <si>
    <t>1. Under 1 hour</t>
  </si>
  <si>
    <t>2. 1-24 hours</t>
  </si>
  <si>
    <t>3. 1-3 days</t>
  </si>
  <si>
    <t>4. Over 3 days</t>
  </si>
  <si>
    <t>lost_deals</t>
  </si>
  <si>
    <t>total_lost_value</t>
  </si>
  <si>
    <t>avg_lost_value</t>
  </si>
  <si>
    <t>total_revenue</t>
  </si>
  <si>
    <t>month</t>
  </si>
  <si>
    <t>leads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</si>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</sst>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&quot;%&quot;"/>
    <numFmt numFmtId="165" formatCode="\$#,##0.00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6"/>
      <color rgb="FF1F4E78"/>
      <name val="Arial"/>
    </font>
    <font>
      <sz val="11"/>
      <color rgb="FF595959"/>
      <name val="Arial"/>
    </font>
    <font>
      <sz val="11"/>
      <name val="Arial"/>
    </font>
    <font>
      <b/>
      <sz val="13"/>
      <color rgb="FF1F4E78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3" fontId="5" fillId="0" borderId="0" xfId="0" applyNumberFormat="1" applyFont="1"/>
    <xf numFmtId="166" fontId="5" fillId="0" borderId="0" xfId="0" applyNumberFormat="1" applyFont="1"/>
    <xf numFmtId="165" fontId="5" fillId="0" borderId="0" xfId="0" applyNumberFormat="1" applyFont="1"/>
    <xf numFmtId="0" fontId="5" fillId="0" borderId="0" xfId="0" applyFont="1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showGridLines="0" tabSelected="1" workbookViewId="0"/>
  </sheetViews>
  <sheetFormatPr defaultRowHeight="14.4" x14ac:dyDescent="0.3"/>
  <cols>
    <col min="1" max="1" width="24" customWidth="1"/>
    <col min="2" max="2" width="14" customWidth="1"/>
    <col min="3" max="3" width="26" customWidth="1"/>
    <col min="4" max="4" width="16" customWidth="1"/>
    <col min="5" max="5" width="18" customWidth="1"/>
  </cols>
  <sheetData>
    <row r="1" spans="1:5" ht="21" x14ac:dyDescent="0.4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3" t="s">
        <v>3</v>
      </c>
      <c r="C4" s="3" t="s">
        <v>4</v>
      </c>
      <c r="D4" s="3" t="s">
        <v>5</v>
      </c>
    </row>
    <row r="5" spans="1:5" ht="16.8" x14ac:dyDescent="0.3">
      <c r="A5" s="4">
        <f>COUNTA(Data!$A$2:$A$7001)</f>
        <v>7000</v>
      </c>
      <c r="B5" s="5">
        <f>ROUND(COUNTIF(Data!$I$2:$I$7001,"Won")/A5,3)</f>
        <v>0.13400000000000001</v>
      </c>
      <c r="C5" s="6">
        <f>ROUND(SUMIFS(Data!$K$2:$K$7001,Data!$I$2:$I$7001,"Won"),2)</f>
        <v>689677.95</v>
      </c>
      <c r="D5" s="6">
        <f>ROUND(AVERAGEIFS(Data!$K$2:$K$7001,Data!$I$2:$I$7001,"Won"),2)</f>
        <v>737.62</v>
      </c>
    </row>
    <row r="7" spans="1:5" x14ac:dyDescent="0.3">
      <c r="A7" s="3" t="s">
        <v>6</v>
      </c>
      <c r="C7" s="3" t="s">
        <v>7</v>
      </c>
      <c r="E7" s="3" t="s">
        <v>8</v>
      </c>
    </row>
    <row r="8" spans="1:5" ht="16.8" x14ac:dyDescent="0.3">
      <c r="A8" s="7" t="str">
        <f>INDEX('Win Rate by Source'!A2:A8,MATCH(MAX('Win Rate by Source'!D2:D8),'Win Rate by Source'!D2:D8,0))</f>
        <v>Referral</v>
      </c>
      <c r="C8" s="7" t="str">
        <f>INDEX('Lost Value by Reason'!A2:A6,MATCH(MAX('Lost Value by Reason'!C2:C6),'Lost Value by Reason'!C2:C6,0))</f>
        <v>Price Objection</v>
      </c>
      <c r="E8" s="7" t="str">
        <f>INDEX('Rep Leaderboard'!A2:A16,MATCH(MAX('Rep Leaderboard'!E2:E16),'Rep Leaderboard'!E2:E16,0))</f>
        <v>Rep_08</v>
      </c>
    </row>
    <row r="10" spans="1:5" x14ac:dyDescent="0.3">
      <c r="A10" s="3" t="s">
        <v>9</v>
      </c>
    </row>
    <row r="11" spans="1:5" x14ac:dyDescent="0.3">
      <c r="A11" s="3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0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9" customWidth="1"/>
    <col min="3" max="3" width="16" customWidth="1"/>
    <col min="4" max="4" width="18" customWidth="1"/>
    <col min="5" max="5" width="15" customWidth="1"/>
    <col min="6" max="6" width="9" customWidth="1"/>
    <col min="7" max="7" width="12" customWidth="1"/>
    <col min="8" max="8" width="15" customWidth="1"/>
    <col min="9" max="9" width="9" customWidth="1"/>
    <col min="10" max="10" width="20" customWidth="1"/>
    <col min="11" max="11" width="12" customWidth="1"/>
    <col min="12" max="12" width="19" customWidth="1"/>
    <col min="13" max="13" width="11" customWidth="1"/>
    <col min="14" max="14" width="17" customWidth="1"/>
    <col min="15" max="15" width="14" customWidth="1"/>
  </cols>
  <sheetData>
    <row r="1" spans="1:15" x14ac:dyDescent="0.3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  <c r="O1" s="8" t="s">
        <v>25</v>
      </c>
    </row>
    <row r="2" spans="1:15" x14ac:dyDescent="0.3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>
        <v>0.56999999999999995</v>
      </c>
      <c r="H2" t="s">
        <v>32</v>
      </c>
      <c r="I2" t="s">
        <v>33</v>
      </c>
      <c r="K2">
        <v>574.72</v>
      </c>
      <c r="L2" t="s">
        <v>34</v>
      </c>
      <c r="M2">
        <f>VLOOKUP(H2,'Stage Order'!$A$2:$B$8,2,FALSE)</f>
        <v>7</v>
      </c>
      <c r="N2" t="str">
        <f t="shared" ref="N2:N65" si="0">IF(G2&lt;=1,"1. Under 1 hour",IF(G2&lt;=24,"2. 1-24 hours",IF(G2&lt;=72,"3. 1-3 days","4. Over 3 days")))</f>
        <v>1. Under 1 hour</v>
      </c>
      <c r="O2" t="str">
        <f t="shared" ref="O2:O65" si="1">TEXT(B2,"YYYY-MM")</f>
        <v>2025-11</v>
      </c>
    </row>
    <row r="3" spans="1:15" x14ac:dyDescent="0.3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>
        <v>2.72</v>
      </c>
      <c r="H3" t="s">
        <v>41</v>
      </c>
      <c r="I3" t="s">
        <v>42</v>
      </c>
      <c r="M3">
        <f>VLOOKUP(H3,'Stage Order'!$A$2:$B$8,2,FALSE)</f>
        <v>2</v>
      </c>
      <c r="N3" t="str">
        <f t="shared" si="0"/>
        <v>2. 1-24 hours</v>
      </c>
      <c r="O3" t="str">
        <f t="shared" si="1"/>
        <v>2026-06</v>
      </c>
    </row>
    <row r="4" spans="1:15" x14ac:dyDescent="0.3">
      <c r="A4" t="s">
        <v>43</v>
      </c>
      <c r="B4" t="s">
        <v>44</v>
      </c>
      <c r="C4" t="s">
        <v>37</v>
      </c>
      <c r="D4" t="s">
        <v>29</v>
      </c>
      <c r="E4" t="s">
        <v>45</v>
      </c>
      <c r="F4" t="s">
        <v>46</v>
      </c>
      <c r="G4">
        <v>1.63</v>
      </c>
      <c r="H4" t="s">
        <v>47</v>
      </c>
      <c r="I4" t="s">
        <v>48</v>
      </c>
      <c r="J4" t="s">
        <v>49</v>
      </c>
      <c r="K4">
        <v>673.32</v>
      </c>
      <c r="L4" t="s">
        <v>50</v>
      </c>
      <c r="M4">
        <f>VLOOKUP(H4,'Stage Order'!$A$2:$B$8,2,FALSE)</f>
        <v>4</v>
      </c>
      <c r="N4" t="str">
        <f t="shared" si="0"/>
        <v>2. 1-24 hours</v>
      </c>
      <c r="O4" t="str">
        <f t="shared" si="1"/>
        <v>2026-01</v>
      </c>
    </row>
    <row r="5" spans="1:15" x14ac:dyDescent="0.3">
      <c r="A5" t="s">
        <v>51</v>
      </c>
      <c r="B5" t="s">
        <v>52</v>
      </c>
      <c r="C5" t="s">
        <v>53</v>
      </c>
      <c r="D5" t="s">
        <v>54</v>
      </c>
      <c r="E5" t="s">
        <v>45</v>
      </c>
      <c r="F5" t="s">
        <v>55</v>
      </c>
      <c r="G5">
        <v>1.77</v>
      </c>
      <c r="H5" t="s">
        <v>41</v>
      </c>
      <c r="I5" t="s">
        <v>42</v>
      </c>
      <c r="M5">
        <f>VLOOKUP(H5,'Stage Order'!$A$2:$B$8,2,FALSE)</f>
        <v>2</v>
      </c>
      <c r="N5" t="str">
        <f t="shared" si="0"/>
        <v>2. 1-24 hours</v>
      </c>
      <c r="O5" t="str">
        <f t="shared" si="1"/>
        <v>2025-08</v>
      </c>
    </row>
    <row r="6" spans="1:15" x14ac:dyDescent="0.3">
      <c r="A6" t="s">
        <v>56</v>
      </c>
      <c r="B6" t="s">
        <v>57</v>
      </c>
      <c r="C6" t="s">
        <v>58</v>
      </c>
      <c r="D6" t="s">
        <v>38</v>
      </c>
      <c r="E6" t="s">
        <v>59</v>
      </c>
      <c r="F6" t="s">
        <v>60</v>
      </c>
      <c r="G6">
        <v>2.73</v>
      </c>
      <c r="H6" t="s">
        <v>61</v>
      </c>
      <c r="I6" t="s">
        <v>42</v>
      </c>
      <c r="M6">
        <f>VLOOKUP(H6,'Stage Order'!$A$2:$B$8,2,FALSE)</f>
        <v>1</v>
      </c>
      <c r="N6" t="str">
        <f t="shared" si="0"/>
        <v>2. 1-24 hours</v>
      </c>
      <c r="O6" t="str">
        <f t="shared" si="1"/>
        <v>2026-06</v>
      </c>
    </row>
    <row r="7" spans="1:15" x14ac:dyDescent="0.3">
      <c r="A7" t="s">
        <v>62</v>
      </c>
      <c r="B7" t="s">
        <v>63</v>
      </c>
      <c r="C7" t="s">
        <v>37</v>
      </c>
      <c r="D7" t="s">
        <v>54</v>
      </c>
      <c r="E7" t="s">
        <v>30</v>
      </c>
      <c r="F7" t="s">
        <v>31</v>
      </c>
      <c r="G7">
        <v>2.29</v>
      </c>
      <c r="H7" t="s">
        <v>41</v>
      </c>
      <c r="I7" t="s">
        <v>42</v>
      </c>
      <c r="M7">
        <f>VLOOKUP(H7,'Stage Order'!$A$2:$B$8,2,FALSE)</f>
        <v>2</v>
      </c>
      <c r="N7" t="str">
        <f t="shared" si="0"/>
        <v>2. 1-24 hours</v>
      </c>
      <c r="O7" t="str">
        <f t="shared" si="1"/>
        <v>2025-09</v>
      </c>
    </row>
    <row r="8" spans="1:15" x14ac:dyDescent="0.3">
      <c r="A8" t="s">
        <v>64</v>
      </c>
      <c r="B8" t="s">
        <v>65</v>
      </c>
      <c r="C8" t="s">
        <v>58</v>
      </c>
      <c r="D8" t="s">
        <v>54</v>
      </c>
      <c r="E8" t="s">
        <v>39</v>
      </c>
      <c r="F8" t="s">
        <v>66</v>
      </c>
      <c r="G8">
        <v>3.21</v>
      </c>
      <c r="H8" t="s">
        <v>41</v>
      </c>
      <c r="I8" t="s">
        <v>42</v>
      </c>
      <c r="M8">
        <f>VLOOKUP(H8,'Stage Order'!$A$2:$B$8,2,FALSE)</f>
        <v>2</v>
      </c>
      <c r="N8" t="str">
        <f t="shared" si="0"/>
        <v>2. 1-24 hours</v>
      </c>
      <c r="O8" t="str">
        <f t="shared" si="1"/>
        <v>2025-11</v>
      </c>
    </row>
    <row r="9" spans="1:15" x14ac:dyDescent="0.3">
      <c r="A9" t="s">
        <v>67</v>
      </c>
      <c r="B9" t="s">
        <v>68</v>
      </c>
      <c r="C9" t="s">
        <v>58</v>
      </c>
      <c r="D9" t="s">
        <v>54</v>
      </c>
      <c r="E9" t="s">
        <v>39</v>
      </c>
      <c r="F9" t="s">
        <v>40</v>
      </c>
      <c r="G9">
        <v>0.48</v>
      </c>
      <c r="H9" t="s">
        <v>41</v>
      </c>
      <c r="I9" t="s">
        <v>42</v>
      </c>
      <c r="M9">
        <f>VLOOKUP(H9,'Stage Order'!$A$2:$B$8,2,FALSE)</f>
        <v>2</v>
      </c>
      <c r="N9" t="str">
        <f t="shared" si="0"/>
        <v>1. Under 1 hour</v>
      </c>
      <c r="O9" t="str">
        <f t="shared" si="1"/>
        <v>2025-09</v>
      </c>
    </row>
    <row r="10" spans="1:15" x14ac:dyDescent="0.3">
      <c r="A10" t="s">
        <v>69</v>
      </c>
      <c r="B10" t="s">
        <v>70</v>
      </c>
      <c r="C10" t="s">
        <v>53</v>
      </c>
      <c r="D10" t="s">
        <v>29</v>
      </c>
      <c r="E10" t="s">
        <v>45</v>
      </c>
      <c r="F10" t="s">
        <v>55</v>
      </c>
      <c r="G10">
        <v>2.5499999999999998</v>
      </c>
      <c r="H10" t="s">
        <v>32</v>
      </c>
      <c r="I10" t="s">
        <v>33</v>
      </c>
      <c r="K10">
        <v>723.67</v>
      </c>
      <c r="L10" t="s">
        <v>71</v>
      </c>
      <c r="M10">
        <f>VLOOKUP(H10,'Stage Order'!$A$2:$B$8,2,FALSE)</f>
        <v>7</v>
      </c>
      <c r="N10" t="str">
        <f t="shared" si="0"/>
        <v>2. 1-24 hours</v>
      </c>
      <c r="O10" t="str">
        <f t="shared" si="1"/>
        <v>2025-08</v>
      </c>
    </row>
    <row r="11" spans="1:15" x14ac:dyDescent="0.3">
      <c r="A11" t="s">
        <v>72</v>
      </c>
      <c r="B11" t="s">
        <v>73</v>
      </c>
      <c r="C11" t="s">
        <v>58</v>
      </c>
      <c r="D11" t="s">
        <v>54</v>
      </c>
      <c r="E11" t="s">
        <v>45</v>
      </c>
      <c r="F11" t="s">
        <v>46</v>
      </c>
      <c r="G11">
        <v>6.24</v>
      </c>
      <c r="H11" t="s">
        <v>41</v>
      </c>
      <c r="I11" t="s">
        <v>42</v>
      </c>
      <c r="M11">
        <f>VLOOKUP(H11,'Stage Order'!$A$2:$B$8,2,FALSE)</f>
        <v>2</v>
      </c>
      <c r="N11" t="str">
        <f t="shared" si="0"/>
        <v>2. 1-24 hours</v>
      </c>
      <c r="O11" t="str">
        <f t="shared" si="1"/>
        <v>2026-06</v>
      </c>
    </row>
    <row r="12" spans="1:15" x14ac:dyDescent="0.3">
      <c r="A12" t="s">
        <v>74</v>
      </c>
      <c r="B12" t="s">
        <v>75</v>
      </c>
      <c r="C12" t="s">
        <v>76</v>
      </c>
      <c r="D12" t="s">
        <v>77</v>
      </c>
      <c r="E12" t="s">
        <v>30</v>
      </c>
      <c r="F12" t="s">
        <v>78</v>
      </c>
      <c r="G12">
        <v>2.95</v>
      </c>
      <c r="H12" t="s">
        <v>41</v>
      </c>
      <c r="I12" t="s">
        <v>42</v>
      </c>
      <c r="M12">
        <f>VLOOKUP(H12,'Stage Order'!$A$2:$B$8,2,FALSE)</f>
        <v>2</v>
      </c>
      <c r="N12" t="str">
        <f t="shared" si="0"/>
        <v>2. 1-24 hours</v>
      </c>
      <c r="O12" t="str">
        <f t="shared" si="1"/>
        <v>2026-06</v>
      </c>
    </row>
    <row r="13" spans="1:15" x14ac:dyDescent="0.3">
      <c r="A13" t="s">
        <v>79</v>
      </c>
      <c r="B13" t="s">
        <v>80</v>
      </c>
      <c r="C13" t="s">
        <v>81</v>
      </c>
      <c r="D13" t="s">
        <v>77</v>
      </c>
      <c r="E13" t="s">
        <v>30</v>
      </c>
      <c r="F13" t="s">
        <v>82</v>
      </c>
      <c r="G13">
        <v>1</v>
      </c>
      <c r="H13" t="s">
        <v>61</v>
      </c>
      <c r="I13" t="s">
        <v>42</v>
      </c>
      <c r="M13">
        <f>VLOOKUP(H13,'Stage Order'!$A$2:$B$8,2,FALSE)</f>
        <v>1</v>
      </c>
      <c r="N13" t="str">
        <f t="shared" si="0"/>
        <v>1. Under 1 hour</v>
      </c>
      <c r="O13" t="str">
        <f t="shared" si="1"/>
        <v>2025-11</v>
      </c>
    </row>
    <row r="14" spans="1:15" x14ac:dyDescent="0.3">
      <c r="A14" t="s">
        <v>83</v>
      </c>
      <c r="B14" t="s">
        <v>84</v>
      </c>
      <c r="C14" t="s">
        <v>28</v>
      </c>
      <c r="D14" t="s">
        <v>29</v>
      </c>
      <c r="E14" t="s">
        <v>59</v>
      </c>
      <c r="F14" t="s">
        <v>60</v>
      </c>
      <c r="G14">
        <v>3</v>
      </c>
      <c r="H14" t="s">
        <v>32</v>
      </c>
      <c r="I14" t="s">
        <v>33</v>
      </c>
      <c r="K14">
        <v>603.04999999999995</v>
      </c>
      <c r="L14" t="s">
        <v>85</v>
      </c>
      <c r="M14">
        <f>VLOOKUP(H14,'Stage Order'!$A$2:$B$8,2,FALSE)</f>
        <v>7</v>
      </c>
      <c r="N14" t="str">
        <f t="shared" si="0"/>
        <v>2. 1-24 hours</v>
      </c>
      <c r="O14" t="str">
        <f t="shared" si="1"/>
        <v>2025-03</v>
      </c>
    </row>
    <row r="15" spans="1:15" x14ac:dyDescent="0.3">
      <c r="A15" t="s">
        <v>86</v>
      </c>
      <c r="B15" t="s">
        <v>87</v>
      </c>
      <c r="C15" t="s">
        <v>53</v>
      </c>
      <c r="D15" t="s">
        <v>29</v>
      </c>
      <c r="E15" t="s">
        <v>39</v>
      </c>
      <c r="F15" t="s">
        <v>66</v>
      </c>
      <c r="G15">
        <v>4.93</v>
      </c>
      <c r="H15" t="s">
        <v>41</v>
      </c>
      <c r="I15" t="s">
        <v>42</v>
      </c>
      <c r="M15">
        <f>VLOOKUP(H15,'Stage Order'!$A$2:$B$8,2,FALSE)</f>
        <v>2</v>
      </c>
      <c r="N15" t="str">
        <f t="shared" si="0"/>
        <v>2. 1-24 hours</v>
      </c>
      <c r="O15" t="str">
        <f t="shared" si="1"/>
        <v>2025-03</v>
      </c>
    </row>
    <row r="16" spans="1:15" x14ac:dyDescent="0.3">
      <c r="A16" t="s">
        <v>88</v>
      </c>
      <c r="B16" t="s">
        <v>89</v>
      </c>
      <c r="C16" t="s">
        <v>81</v>
      </c>
      <c r="D16" t="s">
        <v>38</v>
      </c>
      <c r="E16" t="s">
        <v>90</v>
      </c>
      <c r="F16" t="s">
        <v>91</v>
      </c>
      <c r="G16">
        <v>2.1800000000000002</v>
      </c>
      <c r="H16" t="s">
        <v>61</v>
      </c>
      <c r="I16" t="s">
        <v>42</v>
      </c>
      <c r="M16">
        <f>VLOOKUP(H16,'Stage Order'!$A$2:$B$8,2,FALSE)</f>
        <v>1</v>
      </c>
      <c r="N16" t="str">
        <f t="shared" si="0"/>
        <v>2. 1-24 hours</v>
      </c>
      <c r="O16" t="str">
        <f t="shared" si="1"/>
        <v>2026-05</v>
      </c>
    </row>
    <row r="17" spans="1:15" x14ac:dyDescent="0.3">
      <c r="A17" t="s">
        <v>92</v>
      </c>
      <c r="B17" t="s">
        <v>93</v>
      </c>
      <c r="C17" t="s">
        <v>37</v>
      </c>
      <c r="D17" t="s">
        <v>54</v>
      </c>
      <c r="E17" t="s">
        <v>45</v>
      </c>
      <c r="F17" t="s">
        <v>94</v>
      </c>
      <c r="G17">
        <v>5.4</v>
      </c>
      <c r="H17" t="s">
        <v>41</v>
      </c>
      <c r="I17" t="s">
        <v>42</v>
      </c>
      <c r="M17">
        <f>VLOOKUP(H17,'Stage Order'!$A$2:$B$8,2,FALSE)</f>
        <v>2</v>
      </c>
      <c r="N17" t="str">
        <f t="shared" si="0"/>
        <v>2. 1-24 hours</v>
      </c>
      <c r="O17" t="str">
        <f t="shared" si="1"/>
        <v>2025-06</v>
      </c>
    </row>
    <row r="18" spans="1:15" x14ac:dyDescent="0.3">
      <c r="A18" t="s">
        <v>95</v>
      </c>
      <c r="B18" t="s">
        <v>96</v>
      </c>
      <c r="C18" t="s">
        <v>58</v>
      </c>
      <c r="D18" t="s">
        <v>97</v>
      </c>
      <c r="E18" t="s">
        <v>59</v>
      </c>
      <c r="F18" t="s">
        <v>60</v>
      </c>
      <c r="G18">
        <v>6.82</v>
      </c>
      <c r="H18" t="s">
        <v>47</v>
      </c>
      <c r="I18" t="s">
        <v>48</v>
      </c>
      <c r="J18" t="s">
        <v>98</v>
      </c>
      <c r="K18">
        <v>1379.65</v>
      </c>
      <c r="L18" t="s">
        <v>99</v>
      </c>
      <c r="M18">
        <f>VLOOKUP(H18,'Stage Order'!$A$2:$B$8,2,FALSE)</f>
        <v>4</v>
      </c>
      <c r="N18" t="str">
        <f t="shared" si="0"/>
        <v>2. 1-24 hours</v>
      </c>
      <c r="O18" t="str">
        <f t="shared" si="1"/>
        <v>2025-02</v>
      </c>
    </row>
    <row r="19" spans="1:15" x14ac:dyDescent="0.3">
      <c r="A19" t="s">
        <v>100</v>
      </c>
      <c r="B19" t="s">
        <v>101</v>
      </c>
      <c r="C19" t="s">
        <v>28</v>
      </c>
      <c r="D19" t="s">
        <v>77</v>
      </c>
      <c r="E19" t="s">
        <v>90</v>
      </c>
      <c r="F19" t="s">
        <v>91</v>
      </c>
      <c r="G19">
        <v>4.0999999999999996</v>
      </c>
      <c r="H19" t="s">
        <v>41</v>
      </c>
      <c r="I19" t="s">
        <v>42</v>
      </c>
      <c r="M19">
        <f>VLOOKUP(H19,'Stage Order'!$A$2:$B$8,2,FALSE)</f>
        <v>2</v>
      </c>
      <c r="N19" t="str">
        <f t="shared" si="0"/>
        <v>2. 1-24 hours</v>
      </c>
      <c r="O19" t="str">
        <f t="shared" si="1"/>
        <v>2026-04</v>
      </c>
    </row>
    <row r="20" spans="1:15" x14ac:dyDescent="0.3">
      <c r="A20" t="s">
        <v>102</v>
      </c>
      <c r="B20" t="s">
        <v>103</v>
      </c>
      <c r="C20" t="s">
        <v>53</v>
      </c>
      <c r="D20" t="s">
        <v>29</v>
      </c>
      <c r="E20" t="s">
        <v>39</v>
      </c>
      <c r="F20" t="s">
        <v>66</v>
      </c>
      <c r="G20">
        <v>5.16</v>
      </c>
      <c r="H20" t="s">
        <v>41</v>
      </c>
      <c r="I20" t="s">
        <v>42</v>
      </c>
      <c r="M20">
        <f>VLOOKUP(H20,'Stage Order'!$A$2:$B$8,2,FALSE)</f>
        <v>2</v>
      </c>
      <c r="N20" t="str">
        <f t="shared" si="0"/>
        <v>2. 1-24 hours</v>
      </c>
      <c r="O20" t="str">
        <f t="shared" si="1"/>
        <v>2025-09</v>
      </c>
    </row>
    <row r="21" spans="1:15" x14ac:dyDescent="0.3">
      <c r="A21" t="s">
        <v>104</v>
      </c>
      <c r="B21" t="s">
        <v>105</v>
      </c>
      <c r="C21" t="s">
        <v>81</v>
      </c>
      <c r="D21" t="s">
        <v>97</v>
      </c>
      <c r="E21" t="s">
        <v>39</v>
      </c>
      <c r="F21" t="s">
        <v>106</v>
      </c>
      <c r="G21">
        <v>3.97</v>
      </c>
      <c r="H21" t="s">
        <v>61</v>
      </c>
      <c r="I21" t="s">
        <v>42</v>
      </c>
      <c r="M21">
        <f>VLOOKUP(H21,'Stage Order'!$A$2:$B$8,2,FALSE)</f>
        <v>1</v>
      </c>
      <c r="N21" t="str">
        <f t="shared" si="0"/>
        <v>2. 1-24 hours</v>
      </c>
      <c r="O21" t="str">
        <f t="shared" si="1"/>
        <v>2025-07</v>
      </c>
    </row>
    <row r="22" spans="1:15" x14ac:dyDescent="0.3">
      <c r="A22" t="s">
        <v>107</v>
      </c>
      <c r="B22" t="s">
        <v>108</v>
      </c>
      <c r="C22" t="s">
        <v>58</v>
      </c>
      <c r="D22" t="s">
        <v>54</v>
      </c>
      <c r="E22" t="s">
        <v>45</v>
      </c>
      <c r="F22" t="s">
        <v>55</v>
      </c>
      <c r="G22">
        <v>1.97</v>
      </c>
      <c r="H22" t="s">
        <v>32</v>
      </c>
      <c r="I22" t="s">
        <v>33</v>
      </c>
      <c r="K22">
        <v>423.65</v>
      </c>
      <c r="L22" t="s">
        <v>109</v>
      </c>
      <c r="M22">
        <f>VLOOKUP(H22,'Stage Order'!$A$2:$B$8,2,FALSE)</f>
        <v>7</v>
      </c>
      <c r="N22" t="str">
        <f t="shared" si="0"/>
        <v>2. 1-24 hours</v>
      </c>
      <c r="O22" t="str">
        <f t="shared" si="1"/>
        <v>2025-12</v>
      </c>
    </row>
    <row r="23" spans="1:15" x14ac:dyDescent="0.3">
      <c r="A23" t="s">
        <v>110</v>
      </c>
      <c r="B23" t="s">
        <v>111</v>
      </c>
      <c r="C23" t="s">
        <v>58</v>
      </c>
      <c r="D23" t="s">
        <v>54</v>
      </c>
      <c r="E23" t="s">
        <v>90</v>
      </c>
      <c r="F23" t="s">
        <v>112</v>
      </c>
      <c r="G23">
        <v>3.27</v>
      </c>
      <c r="H23" t="s">
        <v>47</v>
      </c>
      <c r="I23" t="s">
        <v>48</v>
      </c>
      <c r="J23" t="s">
        <v>113</v>
      </c>
      <c r="K23">
        <v>491.48</v>
      </c>
      <c r="L23" t="s">
        <v>114</v>
      </c>
      <c r="M23">
        <f>VLOOKUP(H23,'Stage Order'!$A$2:$B$8,2,FALSE)</f>
        <v>4</v>
      </c>
      <c r="N23" t="str">
        <f t="shared" si="0"/>
        <v>2. 1-24 hours</v>
      </c>
      <c r="O23" t="str">
        <f t="shared" si="1"/>
        <v>2025-07</v>
      </c>
    </row>
    <row r="24" spans="1:15" x14ac:dyDescent="0.3">
      <c r="A24" t="s">
        <v>115</v>
      </c>
      <c r="B24" t="s">
        <v>116</v>
      </c>
      <c r="C24" t="s">
        <v>53</v>
      </c>
      <c r="D24" t="s">
        <v>54</v>
      </c>
      <c r="E24" t="s">
        <v>59</v>
      </c>
      <c r="F24" t="s">
        <v>117</v>
      </c>
      <c r="G24">
        <v>1.76</v>
      </c>
      <c r="H24" t="s">
        <v>32</v>
      </c>
      <c r="I24" t="s">
        <v>33</v>
      </c>
      <c r="K24">
        <v>443.38</v>
      </c>
      <c r="L24" t="s">
        <v>118</v>
      </c>
      <c r="M24">
        <f>VLOOKUP(H24,'Stage Order'!$A$2:$B$8,2,FALSE)</f>
        <v>7</v>
      </c>
      <c r="N24" t="str">
        <f t="shared" si="0"/>
        <v>2. 1-24 hours</v>
      </c>
      <c r="O24" t="str">
        <f t="shared" si="1"/>
        <v>2025-04</v>
      </c>
    </row>
    <row r="25" spans="1:15" x14ac:dyDescent="0.3">
      <c r="A25" t="s">
        <v>119</v>
      </c>
      <c r="B25" t="s">
        <v>120</v>
      </c>
      <c r="C25" t="s">
        <v>28</v>
      </c>
      <c r="D25" t="s">
        <v>97</v>
      </c>
      <c r="E25" t="s">
        <v>30</v>
      </c>
      <c r="F25" t="s">
        <v>82</v>
      </c>
      <c r="G25">
        <v>7.24</v>
      </c>
      <c r="H25" t="s">
        <v>41</v>
      </c>
      <c r="I25" t="s">
        <v>42</v>
      </c>
      <c r="M25">
        <f>VLOOKUP(H25,'Stage Order'!$A$2:$B$8,2,FALSE)</f>
        <v>2</v>
      </c>
      <c r="N25" t="str">
        <f t="shared" si="0"/>
        <v>2. 1-24 hours</v>
      </c>
      <c r="O25" t="str">
        <f t="shared" si="1"/>
        <v>2025-01</v>
      </c>
    </row>
    <row r="26" spans="1:15" x14ac:dyDescent="0.3">
      <c r="A26" t="s">
        <v>121</v>
      </c>
      <c r="B26" t="s">
        <v>122</v>
      </c>
      <c r="C26" t="s">
        <v>28</v>
      </c>
      <c r="D26" t="s">
        <v>38</v>
      </c>
      <c r="E26" t="s">
        <v>45</v>
      </c>
      <c r="F26" t="s">
        <v>46</v>
      </c>
      <c r="G26">
        <v>2.76</v>
      </c>
      <c r="H26" t="s">
        <v>41</v>
      </c>
      <c r="I26" t="s">
        <v>42</v>
      </c>
      <c r="M26">
        <f>VLOOKUP(H26,'Stage Order'!$A$2:$B$8,2,FALSE)</f>
        <v>2</v>
      </c>
      <c r="N26" t="str">
        <f t="shared" si="0"/>
        <v>2. 1-24 hours</v>
      </c>
      <c r="O26" t="str">
        <f t="shared" si="1"/>
        <v>2025-04</v>
      </c>
    </row>
    <row r="27" spans="1:15" x14ac:dyDescent="0.3">
      <c r="A27" t="s">
        <v>123</v>
      </c>
      <c r="B27" t="s">
        <v>124</v>
      </c>
      <c r="C27" t="s">
        <v>125</v>
      </c>
      <c r="D27" t="s">
        <v>38</v>
      </c>
      <c r="E27" t="s">
        <v>45</v>
      </c>
      <c r="F27" t="s">
        <v>55</v>
      </c>
      <c r="G27">
        <v>6.56</v>
      </c>
      <c r="H27" t="s">
        <v>61</v>
      </c>
      <c r="I27" t="s">
        <v>42</v>
      </c>
      <c r="M27">
        <f>VLOOKUP(H27,'Stage Order'!$A$2:$B$8,2,FALSE)</f>
        <v>1</v>
      </c>
      <c r="N27" t="str">
        <f t="shared" si="0"/>
        <v>2. 1-24 hours</v>
      </c>
      <c r="O27" t="str">
        <f t="shared" si="1"/>
        <v>2025-08</v>
      </c>
    </row>
    <row r="28" spans="1:15" x14ac:dyDescent="0.3">
      <c r="A28" t="s">
        <v>126</v>
      </c>
      <c r="B28" t="s">
        <v>127</v>
      </c>
      <c r="C28" t="s">
        <v>28</v>
      </c>
      <c r="D28" t="s">
        <v>97</v>
      </c>
      <c r="E28" t="s">
        <v>39</v>
      </c>
      <c r="F28" t="s">
        <v>40</v>
      </c>
      <c r="G28">
        <v>1.39</v>
      </c>
      <c r="H28" t="s">
        <v>128</v>
      </c>
      <c r="I28" t="s">
        <v>42</v>
      </c>
      <c r="M28">
        <f>VLOOKUP(H28,'Stage Order'!$A$2:$B$8,2,FALSE)</f>
        <v>3</v>
      </c>
      <c r="N28" t="str">
        <f t="shared" si="0"/>
        <v>2. 1-24 hours</v>
      </c>
      <c r="O28" t="str">
        <f t="shared" si="1"/>
        <v>2025-07</v>
      </c>
    </row>
    <row r="29" spans="1:15" x14ac:dyDescent="0.3">
      <c r="A29" t="s">
        <v>129</v>
      </c>
      <c r="B29" t="s">
        <v>130</v>
      </c>
      <c r="C29" t="s">
        <v>125</v>
      </c>
      <c r="D29" t="s">
        <v>77</v>
      </c>
      <c r="E29" t="s">
        <v>90</v>
      </c>
      <c r="F29" t="s">
        <v>91</v>
      </c>
      <c r="G29">
        <v>1.33</v>
      </c>
      <c r="H29" t="s">
        <v>61</v>
      </c>
      <c r="I29" t="s">
        <v>42</v>
      </c>
      <c r="M29">
        <f>VLOOKUP(H29,'Stage Order'!$A$2:$B$8,2,FALSE)</f>
        <v>1</v>
      </c>
      <c r="N29" t="str">
        <f t="shared" si="0"/>
        <v>2. 1-24 hours</v>
      </c>
      <c r="O29" t="str">
        <f t="shared" si="1"/>
        <v>2025-02</v>
      </c>
    </row>
    <row r="30" spans="1:15" x14ac:dyDescent="0.3">
      <c r="A30" t="s">
        <v>131</v>
      </c>
      <c r="B30" t="s">
        <v>132</v>
      </c>
      <c r="C30" t="s">
        <v>125</v>
      </c>
      <c r="D30" t="s">
        <v>54</v>
      </c>
      <c r="E30" t="s">
        <v>45</v>
      </c>
      <c r="F30" t="s">
        <v>46</v>
      </c>
      <c r="G30">
        <v>1.08</v>
      </c>
      <c r="H30" t="s">
        <v>128</v>
      </c>
      <c r="I30" t="s">
        <v>42</v>
      </c>
      <c r="M30">
        <f>VLOOKUP(H30,'Stage Order'!$A$2:$B$8,2,FALSE)</f>
        <v>3</v>
      </c>
      <c r="N30" t="str">
        <f t="shared" si="0"/>
        <v>2. 1-24 hours</v>
      </c>
      <c r="O30" t="str">
        <f t="shared" si="1"/>
        <v>2026-02</v>
      </c>
    </row>
    <row r="31" spans="1:15" x14ac:dyDescent="0.3">
      <c r="A31" t="s">
        <v>133</v>
      </c>
      <c r="B31" t="s">
        <v>134</v>
      </c>
      <c r="C31" t="s">
        <v>58</v>
      </c>
      <c r="D31" t="s">
        <v>54</v>
      </c>
      <c r="E31" t="s">
        <v>39</v>
      </c>
      <c r="F31" t="s">
        <v>40</v>
      </c>
      <c r="G31">
        <v>3.12</v>
      </c>
      <c r="H31" t="s">
        <v>41</v>
      </c>
      <c r="I31" t="s">
        <v>42</v>
      </c>
      <c r="M31">
        <f>VLOOKUP(H31,'Stage Order'!$A$2:$B$8,2,FALSE)</f>
        <v>2</v>
      </c>
      <c r="N31" t="str">
        <f t="shared" si="0"/>
        <v>2. 1-24 hours</v>
      </c>
      <c r="O31" t="str">
        <f t="shared" si="1"/>
        <v>2025-05</v>
      </c>
    </row>
    <row r="32" spans="1:15" x14ac:dyDescent="0.3">
      <c r="A32" t="s">
        <v>135</v>
      </c>
      <c r="B32" t="s">
        <v>136</v>
      </c>
      <c r="C32" t="s">
        <v>53</v>
      </c>
      <c r="D32" t="s">
        <v>54</v>
      </c>
      <c r="E32" t="s">
        <v>59</v>
      </c>
      <c r="F32" t="s">
        <v>137</v>
      </c>
      <c r="G32">
        <v>4.0199999999999996</v>
      </c>
      <c r="H32" t="s">
        <v>138</v>
      </c>
      <c r="I32" t="s">
        <v>48</v>
      </c>
      <c r="J32" t="s">
        <v>139</v>
      </c>
      <c r="K32">
        <v>447.9</v>
      </c>
      <c r="L32" t="s">
        <v>140</v>
      </c>
      <c r="M32">
        <f>VLOOKUP(H32,'Stage Order'!$A$2:$B$8,2,FALSE)</f>
        <v>6</v>
      </c>
      <c r="N32" t="str">
        <f t="shared" si="0"/>
        <v>2. 1-24 hours</v>
      </c>
      <c r="O32" t="str">
        <f t="shared" si="1"/>
        <v>2025-11</v>
      </c>
    </row>
    <row r="33" spans="1:15" x14ac:dyDescent="0.3">
      <c r="A33" t="s">
        <v>141</v>
      </c>
      <c r="B33" t="s">
        <v>142</v>
      </c>
      <c r="C33" t="s">
        <v>81</v>
      </c>
      <c r="D33" t="s">
        <v>54</v>
      </c>
      <c r="E33" t="s">
        <v>45</v>
      </c>
      <c r="F33" t="s">
        <v>55</v>
      </c>
      <c r="G33">
        <v>22.8</v>
      </c>
      <c r="H33" t="s">
        <v>41</v>
      </c>
      <c r="I33" t="s">
        <v>42</v>
      </c>
      <c r="M33">
        <f>VLOOKUP(H33,'Stage Order'!$A$2:$B$8,2,FALSE)</f>
        <v>2</v>
      </c>
      <c r="N33" t="str">
        <f t="shared" si="0"/>
        <v>2. 1-24 hours</v>
      </c>
      <c r="O33" t="str">
        <f t="shared" si="1"/>
        <v>2026-02</v>
      </c>
    </row>
    <row r="34" spans="1:15" x14ac:dyDescent="0.3">
      <c r="A34" t="s">
        <v>143</v>
      </c>
      <c r="B34" t="s">
        <v>144</v>
      </c>
      <c r="C34" t="s">
        <v>28</v>
      </c>
      <c r="D34" t="s">
        <v>29</v>
      </c>
      <c r="E34" t="s">
        <v>90</v>
      </c>
      <c r="F34" t="s">
        <v>145</v>
      </c>
      <c r="G34">
        <v>8.48</v>
      </c>
      <c r="H34" t="s">
        <v>146</v>
      </c>
      <c r="I34" t="s">
        <v>48</v>
      </c>
      <c r="J34" t="s">
        <v>139</v>
      </c>
      <c r="K34">
        <v>549.71</v>
      </c>
      <c r="L34" t="s">
        <v>147</v>
      </c>
      <c r="M34">
        <f>VLOOKUP(H34,'Stage Order'!$A$2:$B$8,2,FALSE)</f>
        <v>5</v>
      </c>
      <c r="N34" t="str">
        <f t="shared" si="0"/>
        <v>2. 1-24 hours</v>
      </c>
      <c r="O34" t="str">
        <f t="shared" si="1"/>
        <v>2026-04</v>
      </c>
    </row>
    <row r="35" spans="1:15" x14ac:dyDescent="0.3">
      <c r="A35" t="s">
        <v>148</v>
      </c>
      <c r="B35" t="s">
        <v>149</v>
      </c>
      <c r="C35" t="s">
        <v>28</v>
      </c>
      <c r="D35" t="s">
        <v>77</v>
      </c>
      <c r="E35" t="s">
        <v>90</v>
      </c>
      <c r="F35" t="s">
        <v>112</v>
      </c>
      <c r="G35">
        <v>7.92</v>
      </c>
      <c r="H35" t="s">
        <v>138</v>
      </c>
      <c r="I35" t="s">
        <v>48</v>
      </c>
      <c r="J35" t="s">
        <v>139</v>
      </c>
      <c r="K35">
        <v>813.36</v>
      </c>
      <c r="L35" t="s">
        <v>150</v>
      </c>
      <c r="M35">
        <f>VLOOKUP(H35,'Stage Order'!$A$2:$B$8,2,FALSE)</f>
        <v>6</v>
      </c>
      <c r="N35" t="str">
        <f t="shared" si="0"/>
        <v>2. 1-24 hours</v>
      </c>
      <c r="O35" t="str">
        <f t="shared" si="1"/>
        <v>2025-04</v>
      </c>
    </row>
    <row r="36" spans="1:15" x14ac:dyDescent="0.3">
      <c r="A36" t="s">
        <v>151</v>
      </c>
      <c r="B36" t="s">
        <v>152</v>
      </c>
      <c r="C36" t="s">
        <v>58</v>
      </c>
      <c r="D36" t="s">
        <v>38</v>
      </c>
      <c r="E36" t="s">
        <v>59</v>
      </c>
      <c r="F36" t="s">
        <v>117</v>
      </c>
      <c r="G36">
        <v>6.48</v>
      </c>
      <c r="H36" t="s">
        <v>41</v>
      </c>
      <c r="I36" t="s">
        <v>42</v>
      </c>
      <c r="M36">
        <f>VLOOKUP(H36,'Stage Order'!$A$2:$B$8,2,FALSE)</f>
        <v>2</v>
      </c>
      <c r="N36" t="str">
        <f t="shared" si="0"/>
        <v>2. 1-24 hours</v>
      </c>
      <c r="O36" t="str">
        <f t="shared" si="1"/>
        <v>2025-12</v>
      </c>
    </row>
    <row r="37" spans="1:15" x14ac:dyDescent="0.3">
      <c r="A37" t="s">
        <v>153</v>
      </c>
      <c r="B37" t="s">
        <v>154</v>
      </c>
      <c r="C37" t="s">
        <v>125</v>
      </c>
      <c r="D37" t="s">
        <v>29</v>
      </c>
      <c r="E37" t="s">
        <v>59</v>
      </c>
      <c r="F37" t="s">
        <v>137</v>
      </c>
      <c r="G37">
        <v>1.46</v>
      </c>
      <c r="H37" t="s">
        <v>47</v>
      </c>
      <c r="I37" t="s">
        <v>48</v>
      </c>
      <c r="J37" t="s">
        <v>98</v>
      </c>
      <c r="K37">
        <v>727.15</v>
      </c>
      <c r="L37" t="s">
        <v>155</v>
      </c>
      <c r="M37">
        <f>VLOOKUP(H37,'Stage Order'!$A$2:$B$8,2,FALSE)</f>
        <v>4</v>
      </c>
      <c r="N37" t="str">
        <f t="shared" si="0"/>
        <v>2. 1-24 hours</v>
      </c>
      <c r="O37" t="str">
        <f t="shared" si="1"/>
        <v>2025-01</v>
      </c>
    </row>
    <row r="38" spans="1:15" x14ac:dyDescent="0.3">
      <c r="A38" t="s">
        <v>156</v>
      </c>
      <c r="B38" t="s">
        <v>157</v>
      </c>
      <c r="C38" t="s">
        <v>28</v>
      </c>
      <c r="D38" t="s">
        <v>29</v>
      </c>
      <c r="E38" t="s">
        <v>59</v>
      </c>
      <c r="F38" t="s">
        <v>117</v>
      </c>
      <c r="G38">
        <v>1.36</v>
      </c>
      <c r="H38" t="s">
        <v>138</v>
      </c>
      <c r="I38" t="s">
        <v>48</v>
      </c>
      <c r="J38" t="s">
        <v>98</v>
      </c>
      <c r="K38">
        <v>703.8</v>
      </c>
      <c r="L38" t="s">
        <v>158</v>
      </c>
      <c r="M38">
        <f>VLOOKUP(H38,'Stage Order'!$A$2:$B$8,2,FALSE)</f>
        <v>6</v>
      </c>
      <c r="N38" t="str">
        <f t="shared" si="0"/>
        <v>2. 1-24 hours</v>
      </c>
      <c r="O38" t="str">
        <f t="shared" si="1"/>
        <v>2025-03</v>
      </c>
    </row>
    <row r="39" spans="1:15" x14ac:dyDescent="0.3">
      <c r="A39" t="s">
        <v>159</v>
      </c>
      <c r="B39" t="s">
        <v>160</v>
      </c>
      <c r="C39" t="s">
        <v>81</v>
      </c>
      <c r="D39" t="s">
        <v>29</v>
      </c>
      <c r="E39" t="s">
        <v>59</v>
      </c>
      <c r="F39" t="s">
        <v>117</v>
      </c>
      <c r="G39">
        <v>1.37</v>
      </c>
      <c r="H39" t="s">
        <v>61</v>
      </c>
      <c r="I39" t="s">
        <v>42</v>
      </c>
      <c r="M39">
        <f>VLOOKUP(H39,'Stage Order'!$A$2:$B$8,2,FALSE)</f>
        <v>1</v>
      </c>
      <c r="N39" t="str">
        <f t="shared" si="0"/>
        <v>2. 1-24 hours</v>
      </c>
      <c r="O39" t="str">
        <f t="shared" si="1"/>
        <v>2026-05</v>
      </c>
    </row>
    <row r="40" spans="1:15" x14ac:dyDescent="0.3">
      <c r="A40" t="s">
        <v>161</v>
      </c>
      <c r="B40" t="s">
        <v>162</v>
      </c>
      <c r="C40" t="s">
        <v>58</v>
      </c>
      <c r="D40" t="s">
        <v>77</v>
      </c>
      <c r="E40" t="s">
        <v>45</v>
      </c>
      <c r="F40" t="s">
        <v>55</v>
      </c>
      <c r="G40">
        <v>1.25</v>
      </c>
      <c r="H40" t="s">
        <v>41</v>
      </c>
      <c r="I40" t="s">
        <v>42</v>
      </c>
      <c r="M40">
        <f>VLOOKUP(H40,'Stage Order'!$A$2:$B$8,2,FALSE)</f>
        <v>2</v>
      </c>
      <c r="N40" t="str">
        <f t="shared" si="0"/>
        <v>2. 1-24 hours</v>
      </c>
      <c r="O40" t="str">
        <f t="shared" si="1"/>
        <v>2025-05</v>
      </c>
    </row>
    <row r="41" spans="1:15" x14ac:dyDescent="0.3">
      <c r="A41" t="s">
        <v>163</v>
      </c>
      <c r="B41" t="s">
        <v>164</v>
      </c>
      <c r="C41" t="s">
        <v>58</v>
      </c>
      <c r="D41" t="s">
        <v>54</v>
      </c>
      <c r="E41" t="s">
        <v>90</v>
      </c>
      <c r="F41" t="s">
        <v>145</v>
      </c>
      <c r="G41">
        <v>18.149999999999999</v>
      </c>
      <c r="H41" t="s">
        <v>61</v>
      </c>
      <c r="I41" t="s">
        <v>42</v>
      </c>
      <c r="M41">
        <f>VLOOKUP(H41,'Stage Order'!$A$2:$B$8,2,FALSE)</f>
        <v>1</v>
      </c>
      <c r="N41" t="str">
        <f t="shared" si="0"/>
        <v>2. 1-24 hours</v>
      </c>
      <c r="O41" t="str">
        <f t="shared" si="1"/>
        <v>2026-02</v>
      </c>
    </row>
    <row r="42" spans="1:15" x14ac:dyDescent="0.3">
      <c r="A42" t="s">
        <v>165</v>
      </c>
      <c r="B42" t="s">
        <v>166</v>
      </c>
      <c r="C42" t="s">
        <v>58</v>
      </c>
      <c r="D42" t="s">
        <v>77</v>
      </c>
      <c r="E42" t="s">
        <v>39</v>
      </c>
      <c r="F42" t="s">
        <v>106</v>
      </c>
      <c r="G42">
        <v>5.64</v>
      </c>
      <c r="H42" t="s">
        <v>41</v>
      </c>
      <c r="I42" t="s">
        <v>42</v>
      </c>
      <c r="M42">
        <f>VLOOKUP(H42,'Stage Order'!$A$2:$B$8,2,FALSE)</f>
        <v>2</v>
      </c>
      <c r="N42" t="str">
        <f t="shared" si="0"/>
        <v>2. 1-24 hours</v>
      </c>
      <c r="O42" t="str">
        <f t="shared" si="1"/>
        <v>2025-03</v>
      </c>
    </row>
    <row r="43" spans="1:15" x14ac:dyDescent="0.3">
      <c r="A43" t="s">
        <v>167</v>
      </c>
      <c r="B43" t="s">
        <v>168</v>
      </c>
      <c r="C43" t="s">
        <v>58</v>
      </c>
      <c r="D43" t="s">
        <v>29</v>
      </c>
      <c r="E43" t="s">
        <v>39</v>
      </c>
      <c r="F43" t="s">
        <v>66</v>
      </c>
      <c r="G43">
        <v>8.36</v>
      </c>
      <c r="H43" t="s">
        <v>61</v>
      </c>
      <c r="I43" t="s">
        <v>42</v>
      </c>
      <c r="M43">
        <f>VLOOKUP(H43,'Stage Order'!$A$2:$B$8,2,FALSE)</f>
        <v>1</v>
      </c>
      <c r="N43" t="str">
        <f t="shared" si="0"/>
        <v>2. 1-24 hours</v>
      </c>
      <c r="O43" t="str">
        <f t="shared" si="1"/>
        <v>2026-03</v>
      </c>
    </row>
    <row r="44" spans="1:15" x14ac:dyDescent="0.3">
      <c r="A44" t="s">
        <v>169</v>
      </c>
      <c r="B44" t="s">
        <v>170</v>
      </c>
      <c r="C44" t="s">
        <v>28</v>
      </c>
      <c r="D44" t="s">
        <v>77</v>
      </c>
      <c r="E44" t="s">
        <v>39</v>
      </c>
      <c r="F44" t="s">
        <v>40</v>
      </c>
      <c r="G44">
        <v>1.37</v>
      </c>
      <c r="H44" t="s">
        <v>32</v>
      </c>
      <c r="I44" t="s">
        <v>33</v>
      </c>
      <c r="K44">
        <v>904.9</v>
      </c>
      <c r="L44" t="s">
        <v>171</v>
      </c>
      <c r="M44">
        <f>VLOOKUP(H44,'Stage Order'!$A$2:$B$8,2,FALSE)</f>
        <v>7</v>
      </c>
      <c r="N44" t="str">
        <f t="shared" si="0"/>
        <v>2. 1-24 hours</v>
      </c>
      <c r="O44" t="str">
        <f t="shared" si="1"/>
        <v>2026-03</v>
      </c>
    </row>
    <row r="45" spans="1:15" x14ac:dyDescent="0.3">
      <c r="A45" t="s">
        <v>172</v>
      </c>
      <c r="B45" t="s">
        <v>173</v>
      </c>
      <c r="C45" t="s">
        <v>28</v>
      </c>
      <c r="D45" t="s">
        <v>29</v>
      </c>
      <c r="E45" t="s">
        <v>39</v>
      </c>
      <c r="F45" t="s">
        <v>66</v>
      </c>
      <c r="G45">
        <v>2.98</v>
      </c>
      <c r="H45" t="s">
        <v>41</v>
      </c>
      <c r="I45" t="s">
        <v>42</v>
      </c>
      <c r="M45">
        <f>VLOOKUP(H45,'Stage Order'!$A$2:$B$8,2,FALSE)</f>
        <v>2</v>
      </c>
      <c r="N45" t="str">
        <f t="shared" si="0"/>
        <v>2. 1-24 hours</v>
      </c>
      <c r="O45" t="str">
        <f t="shared" si="1"/>
        <v>2025-08</v>
      </c>
    </row>
    <row r="46" spans="1:15" x14ac:dyDescent="0.3">
      <c r="A46" t="s">
        <v>174</v>
      </c>
      <c r="B46" t="s">
        <v>175</v>
      </c>
      <c r="C46" t="s">
        <v>53</v>
      </c>
      <c r="D46" t="s">
        <v>38</v>
      </c>
      <c r="E46" t="s">
        <v>90</v>
      </c>
      <c r="F46" t="s">
        <v>112</v>
      </c>
      <c r="G46">
        <v>0.92</v>
      </c>
      <c r="H46" t="s">
        <v>138</v>
      </c>
      <c r="I46" t="s">
        <v>48</v>
      </c>
      <c r="J46" t="s">
        <v>139</v>
      </c>
      <c r="K46">
        <v>311.45</v>
      </c>
      <c r="L46" t="s">
        <v>176</v>
      </c>
      <c r="M46">
        <f>VLOOKUP(H46,'Stage Order'!$A$2:$B$8,2,FALSE)</f>
        <v>6</v>
      </c>
      <c r="N46" t="str">
        <f t="shared" si="0"/>
        <v>1. Under 1 hour</v>
      </c>
      <c r="O46" t="str">
        <f t="shared" si="1"/>
        <v>2026-02</v>
      </c>
    </row>
    <row r="47" spans="1:15" x14ac:dyDescent="0.3">
      <c r="A47" t="s">
        <v>177</v>
      </c>
      <c r="B47" t="s">
        <v>178</v>
      </c>
      <c r="C47" t="s">
        <v>37</v>
      </c>
      <c r="D47" t="s">
        <v>54</v>
      </c>
      <c r="E47" t="s">
        <v>90</v>
      </c>
      <c r="F47" t="s">
        <v>91</v>
      </c>
      <c r="G47">
        <v>5.34</v>
      </c>
      <c r="H47" t="s">
        <v>41</v>
      </c>
      <c r="I47" t="s">
        <v>42</v>
      </c>
      <c r="M47">
        <f>VLOOKUP(H47,'Stage Order'!$A$2:$B$8,2,FALSE)</f>
        <v>2</v>
      </c>
      <c r="N47" t="str">
        <f t="shared" si="0"/>
        <v>2. 1-24 hours</v>
      </c>
      <c r="O47" t="str">
        <f t="shared" si="1"/>
        <v>2026-06</v>
      </c>
    </row>
    <row r="48" spans="1:15" x14ac:dyDescent="0.3">
      <c r="A48" t="s">
        <v>179</v>
      </c>
      <c r="B48" t="s">
        <v>180</v>
      </c>
      <c r="C48" t="s">
        <v>81</v>
      </c>
      <c r="D48" t="s">
        <v>29</v>
      </c>
      <c r="E48" t="s">
        <v>39</v>
      </c>
      <c r="F48" t="s">
        <v>40</v>
      </c>
      <c r="G48">
        <v>3.62</v>
      </c>
      <c r="H48" t="s">
        <v>61</v>
      </c>
      <c r="I48" t="s">
        <v>42</v>
      </c>
      <c r="M48">
        <f>VLOOKUP(H48,'Stage Order'!$A$2:$B$8,2,FALSE)</f>
        <v>1</v>
      </c>
      <c r="N48" t="str">
        <f t="shared" si="0"/>
        <v>2. 1-24 hours</v>
      </c>
      <c r="O48" t="str">
        <f t="shared" si="1"/>
        <v>2025-09</v>
      </c>
    </row>
    <row r="49" spans="1:15" x14ac:dyDescent="0.3">
      <c r="A49" t="s">
        <v>181</v>
      </c>
      <c r="B49" t="s">
        <v>182</v>
      </c>
      <c r="C49" t="s">
        <v>76</v>
      </c>
      <c r="D49" t="s">
        <v>97</v>
      </c>
      <c r="E49" t="s">
        <v>39</v>
      </c>
      <c r="F49" t="s">
        <v>40</v>
      </c>
      <c r="G49">
        <v>7.02</v>
      </c>
      <c r="H49" t="s">
        <v>41</v>
      </c>
      <c r="I49" t="s">
        <v>42</v>
      </c>
      <c r="M49">
        <f>VLOOKUP(H49,'Stage Order'!$A$2:$B$8,2,FALSE)</f>
        <v>2</v>
      </c>
      <c r="N49" t="str">
        <f t="shared" si="0"/>
        <v>2. 1-24 hours</v>
      </c>
      <c r="O49" t="str">
        <f t="shared" si="1"/>
        <v>2025-07</v>
      </c>
    </row>
    <row r="50" spans="1:15" x14ac:dyDescent="0.3">
      <c r="A50" t="s">
        <v>183</v>
      </c>
      <c r="B50" t="s">
        <v>184</v>
      </c>
      <c r="C50" t="s">
        <v>53</v>
      </c>
      <c r="D50" t="s">
        <v>29</v>
      </c>
      <c r="E50" t="s">
        <v>59</v>
      </c>
      <c r="F50" t="s">
        <v>117</v>
      </c>
      <c r="G50">
        <v>3.41</v>
      </c>
      <c r="H50" t="s">
        <v>32</v>
      </c>
      <c r="I50" t="s">
        <v>33</v>
      </c>
      <c r="K50">
        <v>572.70000000000005</v>
      </c>
      <c r="L50" t="s">
        <v>185</v>
      </c>
      <c r="M50">
        <f>VLOOKUP(H50,'Stage Order'!$A$2:$B$8,2,FALSE)</f>
        <v>7</v>
      </c>
      <c r="N50" t="str">
        <f t="shared" si="0"/>
        <v>2. 1-24 hours</v>
      </c>
      <c r="O50" t="str">
        <f t="shared" si="1"/>
        <v>2026-05</v>
      </c>
    </row>
    <row r="51" spans="1:15" x14ac:dyDescent="0.3">
      <c r="A51" t="s">
        <v>186</v>
      </c>
      <c r="B51" t="s">
        <v>187</v>
      </c>
      <c r="C51" t="s">
        <v>76</v>
      </c>
      <c r="D51" t="s">
        <v>54</v>
      </c>
      <c r="E51" t="s">
        <v>90</v>
      </c>
      <c r="F51" t="s">
        <v>112</v>
      </c>
      <c r="G51">
        <v>1.27</v>
      </c>
      <c r="H51" t="s">
        <v>47</v>
      </c>
      <c r="I51" t="s">
        <v>48</v>
      </c>
      <c r="J51" t="s">
        <v>98</v>
      </c>
      <c r="K51">
        <v>459.38</v>
      </c>
      <c r="L51" t="s">
        <v>188</v>
      </c>
      <c r="M51">
        <f>VLOOKUP(H51,'Stage Order'!$A$2:$B$8,2,FALSE)</f>
        <v>4</v>
      </c>
      <c r="N51" t="str">
        <f t="shared" si="0"/>
        <v>2. 1-24 hours</v>
      </c>
      <c r="O51" t="str">
        <f t="shared" si="1"/>
        <v>2025-05</v>
      </c>
    </row>
    <row r="52" spans="1:15" x14ac:dyDescent="0.3">
      <c r="A52" t="s">
        <v>189</v>
      </c>
      <c r="B52" t="s">
        <v>190</v>
      </c>
      <c r="C52" t="s">
        <v>53</v>
      </c>
      <c r="D52" t="s">
        <v>54</v>
      </c>
      <c r="E52" t="s">
        <v>90</v>
      </c>
      <c r="F52" t="s">
        <v>91</v>
      </c>
      <c r="G52">
        <v>0.27</v>
      </c>
      <c r="H52" t="s">
        <v>32</v>
      </c>
      <c r="I52" t="s">
        <v>33</v>
      </c>
      <c r="K52">
        <v>464.24</v>
      </c>
      <c r="L52" t="s">
        <v>191</v>
      </c>
      <c r="M52">
        <f>VLOOKUP(H52,'Stage Order'!$A$2:$B$8,2,FALSE)</f>
        <v>7</v>
      </c>
      <c r="N52" t="str">
        <f t="shared" si="0"/>
        <v>1. Under 1 hour</v>
      </c>
      <c r="O52" t="str">
        <f t="shared" si="1"/>
        <v>2026-02</v>
      </c>
    </row>
    <row r="53" spans="1:15" x14ac:dyDescent="0.3">
      <c r="A53" t="s">
        <v>192</v>
      </c>
      <c r="B53" t="s">
        <v>193</v>
      </c>
      <c r="C53" t="s">
        <v>28</v>
      </c>
      <c r="D53" t="s">
        <v>77</v>
      </c>
      <c r="E53" t="s">
        <v>59</v>
      </c>
      <c r="F53" t="s">
        <v>117</v>
      </c>
      <c r="G53">
        <v>1.1200000000000001</v>
      </c>
      <c r="H53" t="s">
        <v>41</v>
      </c>
      <c r="I53" t="s">
        <v>42</v>
      </c>
      <c r="M53">
        <f>VLOOKUP(H53,'Stage Order'!$A$2:$B$8,2,FALSE)</f>
        <v>2</v>
      </c>
      <c r="N53" t="str">
        <f t="shared" si="0"/>
        <v>2. 1-24 hours</v>
      </c>
      <c r="O53" t="str">
        <f t="shared" si="1"/>
        <v>2026-01</v>
      </c>
    </row>
    <row r="54" spans="1:15" x14ac:dyDescent="0.3">
      <c r="A54" t="s">
        <v>194</v>
      </c>
      <c r="B54" t="s">
        <v>195</v>
      </c>
      <c r="C54" t="s">
        <v>58</v>
      </c>
      <c r="D54" t="s">
        <v>77</v>
      </c>
      <c r="E54" t="s">
        <v>90</v>
      </c>
      <c r="F54" t="s">
        <v>91</v>
      </c>
      <c r="G54">
        <v>8.27</v>
      </c>
      <c r="H54" t="s">
        <v>138</v>
      </c>
      <c r="I54" t="s">
        <v>48</v>
      </c>
      <c r="J54" t="s">
        <v>139</v>
      </c>
      <c r="K54">
        <v>1000.06</v>
      </c>
      <c r="L54" t="s">
        <v>196</v>
      </c>
      <c r="M54">
        <f>VLOOKUP(H54,'Stage Order'!$A$2:$B$8,2,FALSE)</f>
        <v>6</v>
      </c>
      <c r="N54" t="str">
        <f t="shared" si="0"/>
        <v>2. 1-24 hours</v>
      </c>
      <c r="O54" t="str">
        <f t="shared" si="1"/>
        <v>2025-11</v>
      </c>
    </row>
    <row r="55" spans="1:15" x14ac:dyDescent="0.3">
      <c r="A55" t="s">
        <v>197</v>
      </c>
      <c r="B55" t="s">
        <v>198</v>
      </c>
      <c r="C55" t="s">
        <v>81</v>
      </c>
      <c r="D55" t="s">
        <v>77</v>
      </c>
      <c r="E55" t="s">
        <v>90</v>
      </c>
      <c r="F55" t="s">
        <v>91</v>
      </c>
      <c r="G55">
        <v>2.19</v>
      </c>
      <c r="H55" t="s">
        <v>61</v>
      </c>
      <c r="I55" t="s">
        <v>42</v>
      </c>
      <c r="M55">
        <f>VLOOKUP(H55,'Stage Order'!$A$2:$B$8,2,FALSE)</f>
        <v>1</v>
      </c>
      <c r="N55" t="str">
        <f t="shared" si="0"/>
        <v>2. 1-24 hours</v>
      </c>
      <c r="O55" t="str">
        <f t="shared" si="1"/>
        <v>2025-10</v>
      </c>
    </row>
    <row r="56" spans="1:15" x14ac:dyDescent="0.3">
      <c r="A56" t="s">
        <v>199</v>
      </c>
      <c r="B56" t="s">
        <v>200</v>
      </c>
      <c r="C56" t="s">
        <v>37</v>
      </c>
      <c r="D56" t="s">
        <v>29</v>
      </c>
      <c r="E56" t="s">
        <v>45</v>
      </c>
      <c r="F56" t="s">
        <v>46</v>
      </c>
      <c r="G56">
        <v>2.6</v>
      </c>
      <c r="H56" t="s">
        <v>41</v>
      </c>
      <c r="I56" t="s">
        <v>42</v>
      </c>
      <c r="M56">
        <f>VLOOKUP(H56,'Stage Order'!$A$2:$B$8,2,FALSE)</f>
        <v>2</v>
      </c>
      <c r="N56" t="str">
        <f t="shared" si="0"/>
        <v>2. 1-24 hours</v>
      </c>
      <c r="O56" t="str">
        <f t="shared" si="1"/>
        <v>2025-09</v>
      </c>
    </row>
    <row r="57" spans="1:15" x14ac:dyDescent="0.3">
      <c r="A57" t="s">
        <v>201</v>
      </c>
      <c r="B57" t="s">
        <v>202</v>
      </c>
      <c r="C57" t="s">
        <v>76</v>
      </c>
      <c r="D57" t="s">
        <v>77</v>
      </c>
      <c r="E57" t="s">
        <v>39</v>
      </c>
      <c r="F57" t="s">
        <v>66</v>
      </c>
      <c r="G57">
        <v>2.89</v>
      </c>
      <c r="H57" t="s">
        <v>41</v>
      </c>
      <c r="I57" t="s">
        <v>42</v>
      </c>
      <c r="M57">
        <f>VLOOKUP(H57,'Stage Order'!$A$2:$B$8,2,FALSE)</f>
        <v>2</v>
      </c>
      <c r="N57" t="str">
        <f t="shared" si="0"/>
        <v>2. 1-24 hours</v>
      </c>
      <c r="O57" t="str">
        <f t="shared" si="1"/>
        <v>2025-08</v>
      </c>
    </row>
    <row r="58" spans="1:15" x14ac:dyDescent="0.3">
      <c r="A58" t="s">
        <v>203</v>
      </c>
      <c r="B58" t="s">
        <v>204</v>
      </c>
      <c r="C58" t="s">
        <v>53</v>
      </c>
      <c r="D58" t="s">
        <v>77</v>
      </c>
      <c r="E58" t="s">
        <v>59</v>
      </c>
      <c r="F58" t="s">
        <v>117</v>
      </c>
      <c r="G58">
        <v>2.61</v>
      </c>
      <c r="H58" t="s">
        <v>32</v>
      </c>
      <c r="I58" t="s">
        <v>33</v>
      </c>
      <c r="K58">
        <v>960.65</v>
      </c>
      <c r="L58" t="s">
        <v>205</v>
      </c>
      <c r="M58">
        <f>VLOOKUP(H58,'Stage Order'!$A$2:$B$8,2,FALSE)</f>
        <v>7</v>
      </c>
      <c r="N58" t="str">
        <f t="shared" si="0"/>
        <v>2. 1-24 hours</v>
      </c>
      <c r="O58" t="str">
        <f t="shared" si="1"/>
        <v>2025-05</v>
      </c>
    </row>
    <row r="59" spans="1:15" x14ac:dyDescent="0.3">
      <c r="A59" t="s">
        <v>206</v>
      </c>
      <c r="B59" t="s">
        <v>207</v>
      </c>
      <c r="C59" t="s">
        <v>125</v>
      </c>
      <c r="D59" t="s">
        <v>29</v>
      </c>
      <c r="E59" t="s">
        <v>59</v>
      </c>
      <c r="F59" t="s">
        <v>117</v>
      </c>
      <c r="G59">
        <v>15.1</v>
      </c>
      <c r="H59" t="s">
        <v>47</v>
      </c>
      <c r="I59" t="s">
        <v>48</v>
      </c>
      <c r="J59" t="s">
        <v>139</v>
      </c>
      <c r="K59">
        <v>574.74</v>
      </c>
      <c r="L59" t="s">
        <v>208</v>
      </c>
      <c r="M59">
        <f>VLOOKUP(H59,'Stage Order'!$A$2:$B$8,2,FALSE)</f>
        <v>4</v>
      </c>
      <c r="N59" t="str">
        <f t="shared" si="0"/>
        <v>2. 1-24 hours</v>
      </c>
      <c r="O59" t="str">
        <f t="shared" si="1"/>
        <v>2025-08</v>
      </c>
    </row>
    <row r="60" spans="1:15" x14ac:dyDescent="0.3">
      <c r="A60" t="s">
        <v>209</v>
      </c>
      <c r="B60" t="s">
        <v>210</v>
      </c>
      <c r="C60" t="s">
        <v>37</v>
      </c>
      <c r="D60" t="s">
        <v>54</v>
      </c>
      <c r="E60" t="s">
        <v>45</v>
      </c>
      <c r="F60" t="s">
        <v>46</v>
      </c>
      <c r="G60">
        <v>2.14</v>
      </c>
      <c r="H60" t="s">
        <v>128</v>
      </c>
      <c r="I60" t="s">
        <v>42</v>
      </c>
      <c r="M60">
        <f>VLOOKUP(H60,'Stage Order'!$A$2:$B$8,2,FALSE)</f>
        <v>3</v>
      </c>
      <c r="N60" t="str">
        <f t="shared" si="0"/>
        <v>2. 1-24 hours</v>
      </c>
      <c r="O60" t="str">
        <f t="shared" si="1"/>
        <v>2025-09</v>
      </c>
    </row>
    <row r="61" spans="1:15" x14ac:dyDescent="0.3">
      <c r="A61" t="s">
        <v>211</v>
      </c>
      <c r="B61" t="s">
        <v>212</v>
      </c>
      <c r="C61" t="s">
        <v>28</v>
      </c>
      <c r="D61" t="s">
        <v>77</v>
      </c>
      <c r="E61" t="s">
        <v>90</v>
      </c>
      <c r="F61" t="s">
        <v>91</v>
      </c>
      <c r="G61">
        <v>3.49</v>
      </c>
      <c r="H61" t="s">
        <v>41</v>
      </c>
      <c r="I61" t="s">
        <v>42</v>
      </c>
      <c r="M61">
        <f>VLOOKUP(H61,'Stage Order'!$A$2:$B$8,2,FALSE)</f>
        <v>2</v>
      </c>
      <c r="N61" t="str">
        <f t="shared" si="0"/>
        <v>2. 1-24 hours</v>
      </c>
      <c r="O61" t="str">
        <f t="shared" si="1"/>
        <v>2026-02</v>
      </c>
    </row>
    <row r="62" spans="1:15" x14ac:dyDescent="0.3">
      <c r="A62" t="s">
        <v>213</v>
      </c>
      <c r="B62" t="s">
        <v>214</v>
      </c>
      <c r="C62" t="s">
        <v>37</v>
      </c>
      <c r="D62" t="s">
        <v>54</v>
      </c>
      <c r="E62" t="s">
        <v>45</v>
      </c>
      <c r="F62" t="s">
        <v>55</v>
      </c>
      <c r="G62">
        <v>1.72</v>
      </c>
      <c r="H62" t="s">
        <v>146</v>
      </c>
      <c r="I62" t="s">
        <v>48</v>
      </c>
      <c r="J62" t="s">
        <v>139</v>
      </c>
      <c r="K62">
        <v>552.96</v>
      </c>
      <c r="L62" t="s">
        <v>215</v>
      </c>
      <c r="M62">
        <f>VLOOKUP(H62,'Stage Order'!$A$2:$B$8,2,FALSE)</f>
        <v>5</v>
      </c>
      <c r="N62" t="str">
        <f t="shared" si="0"/>
        <v>2. 1-24 hours</v>
      </c>
      <c r="O62" t="str">
        <f t="shared" si="1"/>
        <v>2025-11</v>
      </c>
    </row>
    <row r="63" spans="1:15" x14ac:dyDescent="0.3">
      <c r="A63" t="s">
        <v>216</v>
      </c>
      <c r="B63" t="s">
        <v>217</v>
      </c>
      <c r="C63" t="s">
        <v>81</v>
      </c>
      <c r="D63" t="s">
        <v>77</v>
      </c>
      <c r="E63" t="s">
        <v>59</v>
      </c>
      <c r="F63" t="s">
        <v>60</v>
      </c>
      <c r="G63">
        <v>2.8</v>
      </c>
      <c r="H63" t="s">
        <v>41</v>
      </c>
      <c r="I63" t="s">
        <v>42</v>
      </c>
      <c r="M63">
        <f>VLOOKUP(H63,'Stage Order'!$A$2:$B$8,2,FALSE)</f>
        <v>2</v>
      </c>
      <c r="N63" t="str">
        <f t="shared" si="0"/>
        <v>2. 1-24 hours</v>
      </c>
      <c r="O63" t="str">
        <f t="shared" si="1"/>
        <v>2026-04</v>
      </c>
    </row>
    <row r="64" spans="1:15" x14ac:dyDescent="0.3">
      <c r="A64" t="s">
        <v>218</v>
      </c>
      <c r="B64" t="s">
        <v>219</v>
      </c>
      <c r="C64" t="s">
        <v>53</v>
      </c>
      <c r="D64" t="s">
        <v>77</v>
      </c>
      <c r="E64" t="s">
        <v>39</v>
      </c>
      <c r="F64" t="s">
        <v>40</v>
      </c>
      <c r="G64">
        <v>12.16</v>
      </c>
      <c r="H64" t="s">
        <v>41</v>
      </c>
      <c r="I64" t="s">
        <v>42</v>
      </c>
      <c r="M64">
        <f>VLOOKUP(H64,'Stage Order'!$A$2:$B$8,2,FALSE)</f>
        <v>2</v>
      </c>
      <c r="N64" t="str">
        <f t="shared" si="0"/>
        <v>2. 1-24 hours</v>
      </c>
      <c r="O64" t="str">
        <f t="shared" si="1"/>
        <v>2026-03</v>
      </c>
    </row>
    <row r="65" spans="1:15" x14ac:dyDescent="0.3">
      <c r="A65" t="s">
        <v>220</v>
      </c>
      <c r="B65" t="s">
        <v>221</v>
      </c>
      <c r="C65" t="s">
        <v>58</v>
      </c>
      <c r="D65" t="s">
        <v>97</v>
      </c>
      <c r="E65" t="s">
        <v>39</v>
      </c>
      <c r="F65" t="s">
        <v>40</v>
      </c>
      <c r="G65">
        <v>5.18</v>
      </c>
      <c r="H65" t="s">
        <v>41</v>
      </c>
      <c r="I65" t="s">
        <v>42</v>
      </c>
      <c r="M65">
        <f>VLOOKUP(H65,'Stage Order'!$A$2:$B$8,2,FALSE)</f>
        <v>2</v>
      </c>
      <c r="N65" t="str">
        <f t="shared" si="0"/>
        <v>2. 1-24 hours</v>
      </c>
      <c r="O65" t="str">
        <f t="shared" si="1"/>
        <v>2026-06</v>
      </c>
    </row>
    <row r="66" spans="1:15" x14ac:dyDescent="0.3">
      <c r="A66" t="s">
        <v>222</v>
      </c>
      <c r="B66" t="s">
        <v>223</v>
      </c>
      <c r="C66" t="s">
        <v>28</v>
      </c>
      <c r="D66" t="s">
        <v>29</v>
      </c>
      <c r="E66" t="s">
        <v>30</v>
      </c>
      <c r="F66" t="s">
        <v>82</v>
      </c>
      <c r="G66">
        <v>2.27</v>
      </c>
      <c r="H66" t="s">
        <v>41</v>
      </c>
      <c r="I66" t="s">
        <v>42</v>
      </c>
      <c r="M66">
        <f>VLOOKUP(H66,'Stage Order'!$A$2:$B$8,2,FALSE)</f>
        <v>2</v>
      </c>
      <c r="N66" t="str">
        <f t="shared" ref="N66:N129" si="2">IF(G66&lt;=1,"1. Under 1 hour",IF(G66&lt;=24,"2. 1-24 hours",IF(G66&lt;=72,"3. 1-3 days","4. Over 3 days")))</f>
        <v>2. 1-24 hours</v>
      </c>
      <c r="O66" t="str">
        <f t="shared" ref="O66:O129" si="3">TEXT(B66,"YYYY-MM")</f>
        <v>2026-05</v>
      </c>
    </row>
    <row r="67" spans="1:15" x14ac:dyDescent="0.3">
      <c r="A67" t="s">
        <v>224</v>
      </c>
      <c r="B67" t="s">
        <v>225</v>
      </c>
      <c r="C67" t="s">
        <v>58</v>
      </c>
      <c r="D67" t="s">
        <v>77</v>
      </c>
      <c r="E67" t="s">
        <v>30</v>
      </c>
      <c r="F67" t="s">
        <v>31</v>
      </c>
      <c r="G67">
        <v>1.32</v>
      </c>
      <c r="H67" t="s">
        <v>41</v>
      </c>
      <c r="I67" t="s">
        <v>42</v>
      </c>
      <c r="M67">
        <f>VLOOKUP(H67,'Stage Order'!$A$2:$B$8,2,FALSE)</f>
        <v>2</v>
      </c>
      <c r="N67" t="str">
        <f t="shared" si="2"/>
        <v>2. 1-24 hours</v>
      </c>
      <c r="O67" t="str">
        <f t="shared" si="3"/>
        <v>2026-01</v>
      </c>
    </row>
    <row r="68" spans="1:15" x14ac:dyDescent="0.3">
      <c r="A68" t="s">
        <v>226</v>
      </c>
      <c r="B68" t="s">
        <v>227</v>
      </c>
      <c r="C68" t="s">
        <v>125</v>
      </c>
      <c r="D68" t="s">
        <v>77</v>
      </c>
      <c r="E68" t="s">
        <v>45</v>
      </c>
      <c r="F68" t="s">
        <v>46</v>
      </c>
      <c r="G68">
        <v>4.01</v>
      </c>
      <c r="H68" t="s">
        <v>41</v>
      </c>
      <c r="I68" t="s">
        <v>42</v>
      </c>
      <c r="M68">
        <f>VLOOKUP(H68,'Stage Order'!$A$2:$B$8,2,FALSE)</f>
        <v>2</v>
      </c>
      <c r="N68" t="str">
        <f t="shared" si="2"/>
        <v>2. 1-24 hours</v>
      </c>
      <c r="O68" t="str">
        <f t="shared" si="3"/>
        <v>2026-02</v>
      </c>
    </row>
    <row r="69" spans="1:15" x14ac:dyDescent="0.3">
      <c r="A69" t="s">
        <v>228</v>
      </c>
      <c r="B69" t="s">
        <v>229</v>
      </c>
      <c r="C69" t="s">
        <v>28</v>
      </c>
      <c r="D69" t="s">
        <v>54</v>
      </c>
      <c r="E69" t="s">
        <v>39</v>
      </c>
      <c r="F69" t="s">
        <v>106</v>
      </c>
      <c r="G69">
        <v>2.48</v>
      </c>
      <c r="H69" t="s">
        <v>32</v>
      </c>
      <c r="I69" t="s">
        <v>33</v>
      </c>
      <c r="K69">
        <v>485.63</v>
      </c>
      <c r="L69" t="s">
        <v>230</v>
      </c>
      <c r="M69">
        <f>VLOOKUP(H69,'Stage Order'!$A$2:$B$8,2,FALSE)</f>
        <v>7</v>
      </c>
      <c r="N69" t="str">
        <f t="shared" si="2"/>
        <v>2. 1-24 hours</v>
      </c>
      <c r="O69" t="str">
        <f t="shared" si="3"/>
        <v>2025-01</v>
      </c>
    </row>
    <row r="70" spans="1:15" x14ac:dyDescent="0.3">
      <c r="A70" t="s">
        <v>231</v>
      </c>
      <c r="B70" t="s">
        <v>232</v>
      </c>
      <c r="C70" t="s">
        <v>58</v>
      </c>
      <c r="D70" t="s">
        <v>29</v>
      </c>
      <c r="E70" t="s">
        <v>59</v>
      </c>
      <c r="F70" t="s">
        <v>137</v>
      </c>
      <c r="G70">
        <v>2.0299999999999998</v>
      </c>
      <c r="H70" t="s">
        <v>41</v>
      </c>
      <c r="I70" t="s">
        <v>42</v>
      </c>
      <c r="M70">
        <f>VLOOKUP(H70,'Stage Order'!$A$2:$B$8,2,FALSE)</f>
        <v>2</v>
      </c>
      <c r="N70" t="str">
        <f t="shared" si="2"/>
        <v>2. 1-24 hours</v>
      </c>
      <c r="O70" t="str">
        <f t="shared" si="3"/>
        <v>2026-05</v>
      </c>
    </row>
    <row r="71" spans="1:15" x14ac:dyDescent="0.3">
      <c r="A71" t="s">
        <v>233</v>
      </c>
      <c r="B71" t="s">
        <v>234</v>
      </c>
      <c r="C71" t="s">
        <v>37</v>
      </c>
      <c r="D71" t="s">
        <v>97</v>
      </c>
      <c r="E71" t="s">
        <v>45</v>
      </c>
      <c r="F71" t="s">
        <v>94</v>
      </c>
      <c r="G71">
        <v>0.44</v>
      </c>
      <c r="H71" t="s">
        <v>61</v>
      </c>
      <c r="I71" t="s">
        <v>42</v>
      </c>
      <c r="M71">
        <f>VLOOKUP(H71,'Stage Order'!$A$2:$B$8,2,FALSE)</f>
        <v>1</v>
      </c>
      <c r="N71" t="str">
        <f t="shared" si="2"/>
        <v>1. Under 1 hour</v>
      </c>
      <c r="O71" t="str">
        <f t="shared" si="3"/>
        <v>2025-06</v>
      </c>
    </row>
    <row r="72" spans="1:15" x14ac:dyDescent="0.3">
      <c r="A72" t="s">
        <v>235</v>
      </c>
      <c r="B72" t="s">
        <v>236</v>
      </c>
      <c r="C72" t="s">
        <v>125</v>
      </c>
      <c r="D72" t="s">
        <v>29</v>
      </c>
      <c r="E72" t="s">
        <v>59</v>
      </c>
      <c r="F72" t="s">
        <v>137</v>
      </c>
      <c r="G72">
        <v>6.31</v>
      </c>
      <c r="H72" t="s">
        <v>138</v>
      </c>
      <c r="I72" t="s">
        <v>48</v>
      </c>
      <c r="J72" t="s">
        <v>139</v>
      </c>
      <c r="K72">
        <v>529.34</v>
      </c>
      <c r="L72" t="s">
        <v>237</v>
      </c>
      <c r="M72">
        <f>VLOOKUP(H72,'Stage Order'!$A$2:$B$8,2,FALSE)</f>
        <v>6</v>
      </c>
      <c r="N72" t="str">
        <f t="shared" si="2"/>
        <v>2. 1-24 hours</v>
      </c>
      <c r="O72" t="str">
        <f t="shared" si="3"/>
        <v>2025-09</v>
      </c>
    </row>
    <row r="73" spans="1:15" x14ac:dyDescent="0.3">
      <c r="A73" t="s">
        <v>238</v>
      </c>
      <c r="B73" t="s">
        <v>239</v>
      </c>
      <c r="C73" t="s">
        <v>81</v>
      </c>
      <c r="D73" t="s">
        <v>29</v>
      </c>
      <c r="E73" t="s">
        <v>39</v>
      </c>
      <c r="F73" t="s">
        <v>106</v>
      </c>
      <c r="G73">
        <v>8.56</v>
      </c>
      <c r="H73" t="s">
        <v>128</v>
      </c>
      <c r="I73" t="s">
        <v>42</v>
      </c>
      <c r="M73">
        <f>VLOOKUP(H73,'Stage Order'!$A$2:$B$8,2,FALSE)</f>
        <v>3</v>
      </c>
      <c r="N73" t="str">
        <f t="shared" si="2"/>
        <v>2. 1-24 hours</v>
      </c>
      <c r="O73" t="str">
        <f t="shared" si="3"/>
        <v>2025-11</v>
      </c>
    </row>
    <row r="74" spans="1:15" x14ac:dyDescent="0.3">
      <c r="A74" t="s">
        <v>240</v>
      </c>
      <c r="B74" t="s">
        <v>241</v>
      </c>
      <c r="C74" t="s">
        <v>81</v>
      </c>
      <c r="D74" t="s">
        <v>77</v>
      </c>
      <c r="E74" t="s">
        <v>45</v>
      </c>
      <c r="F74" t="s">
        <v>94</v>
      </c>
      <c r="G74">
        <v>19.309999999999999</v>
      </c>
      <c r="H74" t="s">
        <v>61</v>
      </c>
      <c r="I74" t="s">
        <v>42</v>
      </c>
      <c r="M74">
        <f>VLOOKUP(H74,'Stage Order'!$A$2:$B$8,2,FALSE)</f>
        <v>1</v>
      </c>
      <c r="N74" t="str">
        <f t="shared" si="2"/>
        <v>2. 1-24 hours</v>
      </c>
      <c r="O74" t="str">
        <f t="shared" si="3"/>
        <v>2025-04</v>
      </c>
    </row>
    <row r="75" spans="1:15" x14ac:dyDescent="0.3">
      <c r="A75" t="s">
        <v>242</v>
      </c>
      <c r="B75" t="s">
        <v>243</v>
      </c>
      <c r="C75" t="s">
        <v>37</v>
      </c>
      <c r="D75" t="s">
        <v>54</v>
      </c>
      <c r="E75" t="s">
        <v>59</v>
      </c>
      <c r="F75" t="s">
        <v>117</v>
      </c>
      <c r="G75">
        <v>5.22</v>
      </c>
      <c r="H75" t="s">
        <v>32</v>
      </c>
      <c r="I75" t="s">
        <v>33</v>
      </c>
      <c r="K75">
        <v>414.78</v>
      </c>
      <c r="L75" t="s">
        <v>244</v>
      </c>
      <c r="M75">
        <f>VLOOKUP(H75,'Stage Order'!$A$2:$B$8,2,FALSE)</f>
        <v>7</v>
      </c>
      <c r="N75" t="str">
        <f t="shared" si="2"/>
        <v>2. 1-24 hours</v>
      </c>
      <c r="O75" t="str">
        <f t="shared" si="3"/>
        <v>2025-10</v>
      </c>
    </row>
    <row r="76" spans="1:15" x14ac:dyDescent="0.3">
      <c r="A76" t="s">
        <v>245</v>
      </c>
      <c r="B76" t="s">
        <v>246</v>
      </c>
      <c r="C76" t="s">
        <v>81</v>
      </c>
      <c r="D76" t="s">
        <v>77</v>
      </c>
      <c r="E76" t="s">
        <v>45</v>
      </c>
      <c r="F76" t="s">
        <v>46</v>
      </c>
      <c r="G76">
        <v>3.25</v>
      </c>
      <c r="H76" t="s">
        <v>47</v>
      </c>
      <c r="I76" t="s">
        <v>48</v>
      </c>
      <c r="J76" t="s">
        <v>49</v>
      </c>
      <c r="K76">
        <v>1164.3699999999999</v>
      </c>
      <c r="L76" t="s">
        <v>247</v>
      </c>
      <c r="M76">
        <f>VLOOKUP(H76,'Stage Order'!$A$2:$B$8,2,FALSE)</f>
        <v>4</v>
      </c>
      <c r="N76" t="str">
        <f t="shared" si="2"/>
        <v>2. 1-24 hours</v>
      </c>
      <c r="O76" t="str">
        <f t="shared" si="3"/>
        <v>2025-05</v>
      </c>
    </row>
    <row r="77" spans="1:15" x14ac:dyDescent="0.3">
      <c r="A77" t="s">
        <v>248</v>
      </c>
      <c r="B77" t="s">
        <v>249</v>
      </c>
      <c r="C77" t="s">
        <v>37</v>
      </c>
      <c r="D77" t="s">
        <v>97</v>
      </c>
      <c r="E77" t="s">
        <v>59</v>
      </c>
      <c r="F77" t="s">
        <v>137</v>
      </c>
      <c r="G77">
        <v>5.77</v>
      </c>
      <c r="H77" t="s">
        <v>41</v>
      </c>
      <c r="I77" t="s">
        <v>42</v>
      </c>
      <c r="M77">
        <f>VLOOKUP(H77,'Stage Order'!$A$2:$B$8,2,FALSE)</f>
        <v>2</v>
      </c>
      <c r="N77" t="str">
        <f t="shared" si="2"/>
        <v>2. 1-24 hours</v>
      </c>
      <c r="O77" t="str">
        <f t="shared" si="3"/>
        <v>2025-08</v>
      </c>
    </row>
    <row r="78" spans="1:15" x14ac:dyDescent="0.3">
      <c r="A78" t="s">
        <v>250</v>
      </c>
      <c r="B78" t="s">
        <v>251</v>
      </c>
      <c r="C78" t="s">
        <v>37</v>
      </c>
      <c r="D78" t="s">
        <v>54</v>
      </c>
      <c r="E78" t="s">
        <v>45</v>
      </c>
      <c r="F78" t="s">
        <v>46</v>
      </c>
      <c r="G78">
        <v>8.49</v>
      </c>
      <c r="H78" t="s">
        <v>41</v>
      </c>
      <c r="I78" t="s">
        <v>42</v>
      </c>
      <c r="M78">
        <f>VLOOKUP(H78,'Stage Order'!$A$2:$B$8,2,FALSE)</f>
        <v>2</v>
      </c>
      <c r="N78" t="str">
        <f t="shared" si="2"/>
        <v>2. 1-24 hours</v>
      </c>
      <c r="O78" t="str">
        <f t="shared" si="3"/>
        <v>2026-05</v>
      </c>
    </row>
    <row r="79" spans="1:15" x14ac:dyDescent="0.3">
      <c r="A79" t="s">
        <v>252</v>
      </c>
      <c r="B79" t="s">
        <v>253</v>
      </c>
      <c r="C79" t="s">
        <v>37</v>
      </c>
      <c r="D79" t="s">
        <v>29</v>
      </c>
      <c r="E79" t="s">
        <v>39</v>
      </c>
      <c r="F79" t="s">
        <v>106</v>
      </c>
      <c r="G79">
        <v>6.65</v>
      </c>
      <c r="H79" t="s">
        <v>61</v>
      </c>
      <c r="I79" t="s">
        <v>42</v>
      </c>
      <c r="M79">
        <f>VLOOKUP(H79,'Stage Order'!$A$2:$B$8,2,FALSE)</f>
        <v>1</v>
      </c>
      <c r="N79" t="str">
        <f t="shared" si="2"/>
        <v>2. 1-24 hours</v>
      </c>
      <c r="O79" t="str">
        <f t="shared" si="3"/>
        <v>2025-03</v>
      </c>
    </row>
    <row r="80" spans="1:15" x14ac:dyDescent="0.3">
      <c r="A80" t="s">
        <v>254</v>
      </c>
      <c r="B80" t="s">
        <v>255</v>
      </c>
      <c r="C80" t="s">
        <v>125</v>
      </c>
      <c r="D80" t="s">
        <v>29</v>
      </c>
      <c r="E80" t="s">
        <v>39</v>
      </c>
      <c r="F80" t="s">
        <v>40</v>
      </c>
      <c r="G80">
        <v>2.92</v>
      </c>
      <c r="H80" t="s">
        <v>41</v>
      </c>
      <c r="I80" t="s">
        <v>42</v>
      </c>
      <c r="M80">
        <f>VLOOKUP(H80,'Stage Order'!$A$2:$B$8,2,FALSE)</f>
        <v>2</v>
      </c>
      <c r="N80" t="str">
        <f t="shared" si="2"/>
        <v>2. 1-24 hours</v>
      </c>
      <c r="O80" t="str">
        <f t="shared" si="3"/>
        <v>2025-08</v>
      </c>
    </row>
    <row r="81" spans="1:15" x14ac:dyDescent="0.3">
      <c r="A81" t="s">
        <v>256</v>
      </c>
      <c r="B81" t="s">
        <v>257</v>
      </c>
      <c r="C81" t="s">
        <v>37</v>
      </c>
      <c r="D81" t="s">
        <v>97</v>
      </c>
      <c r="E81" t="s">
        <v>30</v>
      </c>
      <c r="F81" t="s">
        <v>78</v>
      </c>
      <c r="G81">
        <v>9.2200000000000006</v>
      </c>
      <c r="H81" t="s">
        <v>146</v>
      </c>
      <c r="I81" t="s">
        <v>48</v>
      </c>
      <c r="J81" t="s">
        <v>139</v>
      </c>
      <c r="K81">
        <v>1493.43</v>
      </c>
      <c r="L81" t="s">
        <v>258</v>
      </c>
      <c r="M81">
        <f>VLOOKUP(H81,'Stage Order'!$A$2:$B$8,2,FALSE)</f>
        <v>5</v>
      </c>
      <c r="N81" t="str">
        <f t="shared" si="2"/>
        <v>2. 1-24 hours</v>
      </c>
      <c r="O81" t="str">
        <f t="shared" si="3"/>
        <v>2026-04</v>
      </c>
    </row>
    <row r="82" spans="1:15" x14ac:dyDescent="0.3">
      <c r="A82" t="s">
        <v>259</v>
      </c>
      <c r="B82" t="s">
        <v>260</v>
      </c>
      <c r="C82" t="s">
        <v>58</v>
      </c>
      <c r="D82" t="s">
        <v>29</v>
      </c>
      <c r="E82" t="s">
        <v>39</v>
      </c>
      <c r="F82" t="s">
        <v>66</v>
      </c>
      <c r="G82">
        <v>5.8</v>
      </c>
      <c r="H82" t="s">
        <v>61</v>
      </c>
      <c r="I82" t="s">
        <v>42</v>
      </c>
      <c r="M82">
        <f>VLOOKUP(H82,'Stage Order'!$A$2:$B$8,2,FALSE)</f>
        <v>1</v>
      </c>
      <c r="N82" t="str">
        <f t="shared" si="2"/>
        <v>2. 1-24 hours</v>
      </c>
      <c r="O82" t="str">
        <f t="shared" si="3"/>
        <v>2025-09</v>
      </c>
    </row>
    <row r="83" spans="1:15" x14ac:dyDescent="0.3">
      <c r="A83" t="s">
        <v>261</v>
      </c>
      <c r="B83" t="s">
        <v>262</v>
      </c>
      <c r="C83" t="s">
        <v>28</v>
      </c>
      <c r="D83" t="s">
        <v>54</v>
      </c>
      <c r="E83" t="s">
        <v>30</v>
      </c>
      <c r="F83" t="s">
        <v>31</v>
      </c>
      <c r="G83">
        <v>1.32</v>
      </c>
      <c r="H83" t="s">
        <v>41</v>
      </c>
      <c r="I83" t="s">
        <v>42</v>
      </c>
      <c r="M83">
        <f>VLOOKUP(H83,'Stage Order'!$A$2:$B$8,2,FALSE)</f>
        <v>2</v>
      </c>
      <c r="N83" t="str">
        <f t="shared" si="2"/>
        <v>2. 1-24 hours</v>
      </c>
      <c r="O83" t="str">
        <f t="shared" si="3"/>
        <v>2025-08</v>
      </c>
    </row>
    <row r="84" spans="1:15" x14ac:dyDescent="0.3">
      <c r="A84" t="s">
        <v>263</v>
      </c>
      <c r="B84" t="s">
        <v>264</v>
      </c>
      <c r="C84" t="s">
        <v>125</v>
      </c>
      <c r="D84" t="s">
        <v>77</v>
      </c>
      <c r="E84" t="s">
        <v>39</v>
      </c>
      <c r="F84" t="s">
        <v>40</v>
      </c>
      <c r="G84">
        <v>2.76</v>
      </c>
      <c r="H84" t="s">
        <v>61</v>
      </c>
      <c r="I84" t="s">
        <v>42</v>
      </c>
      <c r="M84">
        <f>VLOOKUP(H84,'Stage Order'!$A$2:$B$8,2,FALSE)</f>
        <v>1</v>
      </c>
      <c r="N84" t="str">
        <f t="shared" si="2"/>
        <v>2. 1-24 hours</v>
      </c>
      <c r="O84" t="str">
        <f t="shared" si="3"/>
        <v>2025-07</v>
      </c>
    </row>
    <row r="85" spans="1:15" x14ac:dyDescent="0.3">
      <c r="A85" t="s">
        <v>265</v>
      </c>
      <c r="B85" t="s">
        <v>266</v>
      </c>
      <c r="C85" t="s">
        <v>37</v>
      </c>
      <c r="D85" t="s">
        <v>54</v>
      </c>
      <c r="E85" t="s">
        <v>39</v>
      </c>
      <c r="F85" t="s">
        <v>40</v>
      </c>
      <c r="G85">
        <v>1.34</v>
      </c>
      <c r="H85" t="s">
        <v>146</v>
      </c>
      <c r="I85" t="s">
        <v>48</v>
      </c>
      <c r="J85" t="s">
        <v>139</v>
      </c>
      <c r="K85">
        <v>467.4</v>
      </c>
      <c r="L85" t="s">
        <v>267</v>
      </c>
      <c r="M85">
        <f>VLOOKUP(H85,'Stage Order'!$A$2:$B$8,2,FALSE)</f>
        <v>5</v>
      </c>
      <c r="N85" t="str">
        <f t="shared" si="2"/>
        <v>2. 1-24 hours</v>
      </c>
      <c r="O85" t="str">
        <f t="shared" si="3"/>
        <v>2026-05</v>
      </c>
    </row>
    <row r="86" spans="1:15" x14ac:dyDescent="0.3">
      <c r="A86" t="s">
        <v>268</v>
      </c>
      <c r="B86" t="s">
        <v>269</v>
      </c>
      <c r="C86" t="s">
        <v>125</v>
      </c>
      <c r="D86" t="s">
        <v>38</v>
      </c>
      <c r="E86" t="s">
        <v>59</v>
      </c>
      <c r="F86" t="s">
        <v>117</v>
      </c>
      <c r="G86">
        <v>0.52</v>
      </c>
      <c r="H86" t="s">
        <v>32</v>
      </c>
      <c r="I86" t="s">
        <v>33</v>
      </c>
      <c r="K86">
        <v>303.77999999999997</v>
      </c>
      <c r="L86" t="s">
        <v>270</v>
      </c>
      <c r="M86">
        <f>VLOOKUP(H86,'Stage Order'!$A$2:$B$8,2,FALSE)</f>
        <v>7</v>
      </c>
      <c r="N86" t="str">
        <f t="shared" si="2"/>
        <v>1. Under 1 hour</v>
      </c>
      <c r="O86" t="str">
        <f t="shared" si="3"/>
        <v>2025-12</v>
      </c>
    </row>
    <row r="87" spans="1:15" x14ac:dyDescent="0.3">
      <c r="A87" t="s">
        <v>271</v>
      </c>
      <c r="B87" t="s">
        <v>272</v>
      </c>
      <c r="C87" t="s">
        <v>125</v>
      </c>
      <c r="D87" t="s">
        <v>54</v>
      </c>
      <c r="E87" t="s">
        <v>59</v>
      </c>
      <c r="F87" t="s">
        <v>60</v>
      </c>
      <c r="G87">
        <v>2.82</v>
      </c>
      <c r="H87" t="s">
        <v>41</v>
      </c>
      <c r="I87" t="s">
        <v>42</v>
      </c>
      <c r="M87">
        <f>VLOOKUP(H87,'Stage Order'!$A$2:$B$8,2,FALSE)</f>
        <v>2</v>
      </c>
      <c r="N87" t="str">
        <f t="shared" si="2"/>
        <v>2. 1-24 hours</v>
      </c>
      <c r="O87" t="str">
        <f t="shared" si="3"/>
        <v>2026-03</v>
      </c>
    </row>
    <row r="88" spans="1:15" x14ac:dyDescent="0.3">
      <c r="A88" t="s">
        <v>273</v>
      </c>
      <c r="B88" t="s">
        <v>274</v>
      </c>
      <c r="C88" t="s">
        <v>125</v>
      </c>
      <c r="D88" t="s">
        <v>38</v>
      </c>
      <c r="E88" t="s">
        <v>59</v>
      </c>
      <c r="F88" t="s">
        <v>137</v>
      </c>
      <c r="G88">
        <v>2.96</v>
      </c>
      <c r="H88" t="s">
        <v>61</v>
      </c>
      <c r="I88" t="s">
        <v>42</v>
      </c>
      <c r="M88">
        <f>VLOOKUP(H88,'Stage Order'!$A$2:$B$8,2,FALSE)</f>
        <v>1</v>
      </c>
      <c r="N88" t="str">
        <f t="shared" si="2"/>
        <v>2. 1-24 hours</v>
      </c>
      <c r="O88" t="str">
        <f t="shared" si="3"/>
        <v>2026-03</v>
      </c>
    </row>
    <row r="89" spans="1:15" x14ac:dyDescent="0.3">
      <c r="A89" t="s">
        <v>275</v>
      </c>
      <c r="B89" t="s">
        <v>276</v>
      </c>
      <c r="C89" t="s">
        <v>58</v>
      </c>
      <c r="D89" t="s">
        <v>38</v>
      </c>
      <c r="E89" t="s">
        <v>39</v>
      </c>
      <c r="F89" t="s">
        <v>66</v>
      </c>
      <c r="G89">
        <v>2.58</v>
      </c>
      <c r="H89" t="s">
        <v>61</v>
      </c>
      <c r="I89" t="s">
        <v>42</v>
      </c>
      <c r="M89">
        <f>VLOOKUP(H89,'Stage Order'!$A$2:$B$8,2,FALSE)</f>
        <v>1</v>
      </c>
      <c r="N89" t="str">
        <f t="shared" si="2"/>
        <v>2. 1-24 hours</v>
      </c>
      <c r="O89" t="str">
        <f t="shared" si="3"/>
        <v>2025-10</v>
      </c>
    </row>
    <row r="90" spans="1:15" x14ac:dyDescent="0.3">
      <c r="A90" t="s">
        <v>277</v>
      </c>
      <c r="B90" t="s">
        <v>278</v>
      </c>
      <c r="C90" t="s">
        <v>125</v>
      </c>
      <c r="D90" t="s">
        <v>77</v>
      </c>
      <c r="E90" t="s">
        <v>45</v>
      </c>
      <c r="F90" t="s">
        <v>46</v>
      </c>
      <c r="G90">
        <v>2.02</v>
      </c>
      <c r="H90" t="s">
        <v>41</v>
      </c>
      <c r="I90" t="s">
        <v>42</v>
      </c>
      <c r="M90">
        <f>VLOOKUP(H90,'Stage Order'!$A$2:$B$8,2,FALSE)</f>
        <v>2</v>
      </c>
      <c r="N90" t="str">
        <f t="shared" si="2"/>
        <v>2. 1-24 hours</v>
      </c>
      <c r="O90" t="str">
        <f t="shared" si="3"/>
        <v>2026-06</v>
      </c>
    </row>
    <row r="91" spans="1:15" x14ac:dyDescent="0.3">
      <c r="A91" t="s">
        <v>279</v>
      </c>
      <c r="B91" t="s">
        <v>280</v>
      </c>
      <c r="C91" t="s">
        <v>37</v>
      </c>
      <c r="D91" t="s">
        <v>97</v>
      </c>
      <c r="E91" t="s">
        <v>59</v>
      </c>
      <c r="F91" t="s">
        <v>60</v>
      </c>
      <c r="G91">
        <v>1.59</v>
      </c>
      <c r="H91" t="s">
        <v>41</v>
      </c>
      <c r="I91" t="s">
        <v>42</v>
      </c>
      <c r="M91">
        <f>VLOOKUP(H91,'Stage Order'!$A$2:$B$8,2,FALSE)</f>
        <v>2</v>
      </c>
      <c r="N91" t="str">
        <f t="shared" si="2"/>
        <v>2. 1-24 hours</v>
      </c>
      <c r="O91" t="str">
        <f t="shared" si="3"/>
        <v>2025-12</v>
      </c>
    </row>
    <row r="92" spans="1:15" x14ac:dyDescent="0.3">
      <c r="A92" t="s">
        <v>281</v>
      </c>
      <c r="B92" t="s">
        <v>282</v>
      </c>
      <c r="C92" t="s">
        <v>58</v>
      </c>
      <c r="D92" t="s">
        <v>29</v>
      </c>
      <c r="E92" t="s">
        <v>90</v>
      </c>
      <c r="F92" t="s">
        <v>112</v>
      </c>
      <c r="G92">
        <v>8.89</v>
      </c>
      <c r="H92" t="s">
        <v>128</v>
      </c>
      <c r="I92" t="s">
        <v>42</v>
      </c>
      <c r="M92">
        <f>VLOOKUP(H92,'Stage Order'!$A$2:$B$8,2,FALSE)</f>
        <v>3</v>
      </c>
      <c r="N92" t="str">
        <f t="shared" si="2"/>
        <v>2. 1-24 hours</v>
      </c>
      <c r="O92" t="str">
        <f t="shared" si="3"/>
        <v>2026-02</v>
      </c>
    </row>
    <row r="93" spans="1:15" x14ac:dyDescent="0.3">
      <c r="A93" t="s">
        <v>283</v>
      </c>
      <c r="B93" t="s">
        <v>284</v>
      </c>
      <c r="C93" t="s">
        <v>53</v>
      </c>
      <c r="D93" t="s">
        <v>77</v>
      </c>
      <c r="E93" t="s">
        <v>90</v>
      </c>
      <c r="F93" t="s">
        <v>145</v>
      </c>
      <c r="G93">
        <v>4.16</v>
      </c>
      <c r="H93" t="s">
        <v>138</v>
      </c>
      <c r="I93" t="s">
        <v>48</v>
      </c>
      <c r="J93" t="s">
        <v>139</v>
      </c>
      <c r="K93">
        <v>1181.29</v>
      </c>
      <c r="L93" t="s">
        <v>285</v>
      </c>
      <c r="M93">
        <f>VLOOKUP(H93,'Stage Order'!$A$2:$B$8,2,FALSE)</f>
        <v>6</v>
      </c>
      <c r="N93" t="str">
        <f t="shared" si="2"/>
        <v>2. 1-24 hours</v>
      </c>
      <c r="O93" t="str">
        <f t="shared" si="3"/>
        <v>2025-08</v>
      </c>
    </row>
    <row r="94" spans="1:15" x14ac:dyDescent="0.3">
      <c r="A94" t="s">
        <v>286</v>
      </c>
      <c r="B94" t="s">
        <v>287</v>
      </c>
      <c r="C94" t="s">
        <v>81</v>
      </c>
      <c r="D94" t="s">
        <v>29</v>
      </c>
      <c r="E94" t="s">
        <v>90</v>
      </c>
      <c r="F94" t="s">
        <v>145</v>
      </c>
      <c r="G94">
        <v>2.7</v>
      </c>
      <c r="H94" t="s">
        <v>61</v>
      </c>
      <c r="I94" t="s">
        <v>42</v>
      </c>
      <c r="M94">
        <f>VLOOKUP(H94,'Stage Order'!$A$2:$B$8,2,FALSE)</f>
        <v>1</v>
      </c>
      <c r="N94" t="str">
        <f t="shared" si="2"/>
        <v>2. 1-24 hours</v>
      </c>
      <c r="O94" t="str">
        <f t="shared" si="3"/>
        <v>2025-01</v>
      </c>
    </row>
    <row r="95" spans="1:15" x14ac:dyDescent="0.3">
      <c r="A95" t="s">
        <v>288</v>
      </c>
      <c r="B95" t="s">
        <v>289</v>
      </c>
      <c r="C95" t="s">
        <v>37</v>
      </c>
      <c r="D95" t="s">
        <v>54</v>
      </c>
      <c r="E95" t="s">
        <v>45</v>
      </c>
      <c r="F95" t="s">
        <v>46</v>
      </c>
      <c r="G95">
        <v>0.99</v>
      </c>
      <c r="H95" t="s">
        <v>32</v>
      </c>
      <c r="I95" t="s">
        <v>33</v>
      </c>
      <c r="K95">
        <v>496.76</v>
      </c>
      <c r="L95" t="s">
        <v>290</v>
      </c>
      <c r="M95">
        <f>VLOOKUP(H95,'Stage Order'!$A$2:$B$8,2,FALSE)</f>
        <v>7</v>
      </c>
      <c r="N95" t="str">
        <f t="shared" si="2"/>
        <v>1. Under 1 hour</v>
      </c>
      <c r="O95" t="str">
        <f t="shared" si="3"/>
        <v>2025-09</v>
      </c>
    </row>
    <row r="96" spans="1:15" x14ac:dyDescent="0.3">
      <c r="A96" t="s">
        <v>291</v>
      </c>
      <c r="B96" t="s">
        <v>292</v>
      </c>
      <c r="C96" t="s">
        <v>37</v>
      </c>
      <c r="D96" t="s">
        <v>77</v>
      </c>
      <c r="E96" t="s">
        <v>45</v>
      </c>
      <c r="F96" t="s">
        <v>55</v>
      </c>
      <c r="G96">
        <v>1.57</v>
      </c>
      <c r="H96" t="s">
        <v>146</v>
      </c>
      <c r="I96" t="s">
        <v>48</v>
      </c>
      <c r="J96" t="s">
        <v>113</v>
      </c>
      <c r="K96">
        <v>914.85</v>
      </c>
      <c r="L96" t="s">
        <v>293</v>
      </c>
      <c r="M96">
        <f>VLOOKUP(H96,'Stage Order'!$A$2:$B$8,2,FALSE)</f>
        <v>5</v>
      </c>
      <c r="N96" t="str">
        <f t="shared" si="2"/>
        <v>2. 1-24 hours</v>
      </c>
      <c r="O96" t="str">
        <f t="shared" si="3"/>
        <v>2025-08</v>
      </c>
    </row>
    <row r="97" spans="1:15" x14ac:dyDescent="0.3">
      <c r="A97" t="s">
        <v>294</v>
      </c>
      <c r="B97" t="s">
        <v>295</v>
      </c>
      <c r="C97" t="s">
        <v>58</v>
      </c>
      <c r="D97" t="s">
        <v>38</v>
      </c>
      <c r="E97" t="s">
        <v>59</v>
      </c>
      <c r="F97" t="s">
        <v>60</v>
      </c>
      <c r="G97">
        <v>3.37</v>
      </c>
      <c r="H97" t="s">
        <v>128</v>
      </c>
      <c r="I97" t="s">
        <v>42</v>
      </c>
      <c r="M97">
        <f>VLOOKUP(H97,'Stage Order'!$A$2:$B$8,2,FALSE)</f>
        <v>3</v>
      </c>
      <c r="N97" t="str">
        <f t="shared" si="2"/>
        <v>2. 1-24 hours</v>
      </c>
      <c r="O97" t="str">
        <f t="shared" si="3"/>
        <v>2025-02</v>
      </c>
    </row>
    <row r="98" spans="1:15" x14ac:dyDescent="0.3">
      <c r="A98" t="s">
        <v>296</v>
      </c>
      <c r="B98" t="s">
        <v>297</v>
      </c>
      <c r="C98" t="s">
        <v>81</v>
      </c>
      <c r="D98" t="s">
        <v>77</v>
      </c>
      <c r="E98" t="s">
        <v>39</v>
      </c>
      <c r="F98" t="s">
        <v>40</v>
      </c>
      <c r="G98">
        <v>0.79</v>
      </c>
      <c r="H98" t="s">
        <v>41</v>
      </c>
      <c r="I98" t="s">
        <v>42</v>
      </c>
      <c r="M98">
        <f>VLOOKUP(H98,'Stage Order'!$A$2:$B$8,2,FALSE)</f>
        <v>2</v>
      </c>
      <c r="N98" t="str">
        <f t="shared" si="2"/>
        <v>1. Under 1 hour</v>
      </c>
      <c r="O98" t="str">
        <f t="shared" si="3"/>
        <v>2025-06</v>
      </c>
    </row>
    <row r="99" spans="1:15" x14ac:dyDescent="0.3">
      <c r="A99" t="s">
        <v>298</v>
      </c>
      <c r="B99" t="s">
        <v>299</v>
      </c>
      <c r="C99" t="s">
        <v>37</v>
      </c>
      <c r="D99" t="s">
        <v>77</v>
      </c>
      <c r="E99" t="s">
        <v>45</v>
      </c>
      <c r="F99" t="s">
        <v>46</v>
      </c>
      <c r="G99">
        <v>1.27</v>
      </c>
      <c r="H99" t="s">
        <v>41</v>
      </c>
      <c r="I99" t="s">
        <v>42</v>
      </c>
      <c r="M99">
        <f>VLOOKUP(H99,'Stage Order'!$A$2:$B$8,2,FALSE)</f>
        <v>2</v>
      </c>
      <c r="N99" t="str">
        <f t="shared" si="2"/>
        <v>2. 1-24 hours</v>
      </c>
      <c r="O99" t="str">
        <f t="shared" si="3"/>
        <v>2025-11</v>
      </c>
    </row>
    <row r="100" spans="1:15" x14ac:dyDescent="0.3">
      <c r="A100" t="s">
        <v>300</v>
      </c>
      <c r="B100" t="s">
        <v>301</v>
      </c>
      <c r="C100" t="s">
        <v>125</v>
      </c>
      <c r="D100" t="s">
        <v>77</v>
      </c>
      <c r="E100" t="s">
        <v>30</v>
      </c>
      <c r="F100" t="s">
        <v>78</v>
      </c>
      <c r="G100">
        <v>0.61</v>
      </c>
      <c r="H100" t="s">
        <v>41</v>
      </c>
      <c r="I100" t="s">
        <v>42</v>
      </c>
      <c r="M100">
        <f>VLOOKUP(H100,'Stage Order'!$A$2:$B$8,2,FALSE)</f>
        <v>2</v>
      </c>
      <c r="N100" t="str">
        <f t="shared" si="2"/>
        <v>1. Under 1 hour</v>
      </c>
      <c r="O100" t="str">
        <f t="shared" si="3"/>
        <v>2025-04</v>
      </c>
    </row>
    <row r="101" spans="1:15" x14ac:dyDescent="0.3">
      <c r="A101" t="s">
        <v>302</v>
      </c>
      <c r="B101" t="s">
        <v>303</v>
      </c>
      <c r="C101" t="s">
        <v>76</v>
      </c>
      <c r="D101" t="s">
        <v>54</v>
      </c>
      <c r="E101" t="s">
        <v>39</v>
      </c>
      <c r="F101" t="s">
        <v>106</v>
      </c>
      <c r="G101">
        <v>2.67</v>
      </c>
      <c r="H101" t="s">
        <v>32</v>
      </c>
      <c r="I101" t="s">
        <v>33</v>
      </c>
      <c r="K101">
        <v>434.29</v>
      </c>
      <c r="L101" t="s">
        <v>304</v>
      </c>
      <c r="M101">
        <f>VLOOKUP(H101,'Stage Order'!$A$2:$B$8,2,FALSE)</f>
        <v>7</v>
      </c>
      <c r="N101" t="str">
        <f t="shared" si="2"/>
        <v>2. 1-24 hours</v>
      </c>
      <c r="O101" t="str">
        <f t="shared" si="3"/>
        <v>2025-01</v>
      </c>
    </row>
    <row r="102" spans="1:15" x14ac:dyDescent="0.3">
      <c r="A102" t="s">
        <v>305</v>
      </c>
      <c r="B102" t="s">
        <v>306</v>
      </c>
      <c r="C102" t="s">
        <v>125</v>
      </c>
      <c r="D102" t="s">
        <v>29</v>
      </c>
      <c r="E102" t="s">
        <v>30</v>
      </c>
      <c r="F102" t="s">
        <v>31</v>
      </c>
      <c r="G102">
        <v>2.16</v>
      </c>
      <c r="H102" t="s">
        <v>61</v>
      </c>
      <c r="I102" t="s">
        <v>42</v>
      </c>
      <c r="M102">
        <f>VLOOKUP(H102,'Stage Order'!$A$2:$B$8,2,FALSE)</f>
        <v>1</v>
      </c>
      <c r="N102" t="str">
        <f t="shared" si="2"/>
        <v>2. 1-24 hours</v>
      </c>
      <c r="O102" t="str">
        <f t="shared" si="3"/>
        <v>2026-01</v>
      </c>
    </row>
    <row r="103" spans="1:15" x14ac:dyDescent="0.3">
      <c r="A103" t="s">
        <v>307</v>
      </c>
      <c r="B103" t="s">
        <v>308</v>
      </c>
      <c r="C103" t="s">
        <v>37</v>
      </c>
      <c r="D103" t="s">
        <v>97</v>
      </c>
      <c r="E103" t="s">
        <v>39</v>
      </c>
      <c r="F103" t="s">
        <v>66</v>
      </c>
      <c r="G103">
        <v>3.05</v>
      </c>
      <c r="H103" t="s">
        <v>61</v>
      </c>
      <c r="I103" t="s">
        <v>42</v>
      </c>
      <c r="M103">
        <f>VLOOKUP(H103,'Stage Order'!$A$2:$B$8,2,FALSE)</f>
        <v>1</v>
      </c>
      <c r="N103" t="str">
        <f t="shared" si="2"/>
        <v>2. 1-24 hours</v>
      </c>
      <c r="O103" t="str">
        <f t="shared" si="3"/>
        <v>2026-03</v>
      </c>
    </row>
    <row r="104" spans="1:15" x14ac:dyDescent="0.3">
      <c r="A104" t="s">
        <v>309</v>
      </c>
      <c r="B104" t="s">
        <v>310</v>
      </c>
      <c r="C104" t="s">
        <v>28</v>
      </c>
      <c r="D104" t="s">
        <v>54</v>
      </c>
      <c r="E104" t="s">
        <v>39</v>
      </c>
      <c r="F104" t="s">
        <v>106</v>
      </c>
      <c r="G104">
        <v>13.92</v>
      </c>
      <c r="H104" t="s">
        <v>41</v>
      </c>
      <c r="I104" t="s">
        <v>42</v>
      </c>
      <c r="M104">
        <f>VLOOKUP(H104,'Stage Order'!$A$2:$B$8,2,FALSE)</f>
        <v>2</v>
      </c>
      <c r="N104" t="str">
        <f t="shared" si="2"/>
        <v>2. 1-24 hours</v>
      </c>
      <c r="O104" t="str">
        <f t="shared" si="3"/>
        <v>2025-01</v>
      </c>
    </row>
    <row r="105" spans="1:15" x14ac:dyDescent="0.3">
      <c r="A105" t="s">
        <v>311</v>
      </c>
      <c r="B105" t="s">
        <v>312</v>
      </c>
      <c r="C105" t="s">
        <v>81</v>
      </c>
      <c r="D105" t="s">
        <v>54</v>
      </c>
      <c r="E105" t="s">
        <v>59</v>
      </c>
      <c r="F105" t="s">
        <v>137</v>
      </c>
      <c r="G105">
        <v>9.57</v>
      </c>
      <c r="H105" t="s">
        <v>61</v>
      </c>
      <c r="I105" t="s">
        <v>42</v>
      </c>
      <c r="M105">
        <f>VLOOKUP(H105,'Stage Order'!$A$2:$B$8,2,FALSE)</f>
        <v>1</v>
      </c>
      <c r="N105" t="str">
        <f t="shared" si="2"/>
        <v>2. 1-24 hours</v>
      </c>
      <c r="O105" t="str">
        <f t="shared" si="3"/>
        <v>2026-03</v>
      </c>
    </row>
    <row r="106" spans="1:15" x14ac:dyDescent="0.3">
      <c r="A106" t="s">
        <v>313</v>
      </c>
      <c r="B106" t="s">
        <v>282</v>
      </c>
      <c r="C106" t="s">
        <v>125</v>
      </c>
      <c r="D106" t="s">
        <v>29</v>
      </c>
      <c r="E106" t="s">
        <v>30</v>
      </c>
      <c r="F106" t="s">
        <v>82</v>
      </c>
      <c r="G106">
        <v>9.4499999999999993</v>
      </c>
      <c r="H106" t="s">
        <v>41</v>
      </c>
      <c r="I106" t="s">
        <v>42</v>
      </c>
      <c r="M106">
        <f>VLOOKUP(H106,'Stage Order'!$A$2:$B$8,2,FALSE)</f>
        <v>2</v>
      </c>
      <c r="N106" t="str">
        <f t="shared" si="2"/>
        <v>2. 1-24 hours</v>
      </c>
      <c r="O106" t="str">
        <f t="shared" si="3"/>
        <v>2026-02</v>
      </c>
    </row>
    <row r="107" spans="1:15" x14ac:dyDescent="0.3">
      <c r="A107" t="s">
        <v>314</v>
      </c>
      <c r="B107" t="s">
        <v>315</v>
      </c>
      <c r="C107" t="s">
        <v>28</v>
      </c>
      <c r="D107" t="s">
        <v>54</v>
      </c>
      <c r="E107" t="s">
        <v>45</v>
      </c>
      <c r="F107" t="s">
        <v>94</v>
      </c>
      <c r="G107">
        <v>2.12</v>
      </c>
      <c r="H107" t="s">
        <v>41</v>
      </c>
      <c r="I107" t="s">
        <v>42</v>
      </c>
      <c r="M107">
        <f>VLOOKUP(H107,'Stage Order'!$A$2:$B$8,2,FALSE)</f>
        <v>2</v>
      </c>
      <c r="N107" t="str">
        <f t="shared" si="2"/>
        <v>2. 1-24 hours</v>
      </c>
      <c r="O107" t="str">
        <f t="shared" si="3"/>
        <v>2026-02</v>
      </c>
    </row>
    <row r="108" spans="1:15" x14ac:dyDescent="0.3">
      <c r="A108" t="s">
        <v>316</v>
      </c>
      <c r="B108" t="s">
        <v>317</v>
      </c>
      <c r="C108" t="s">
        <v>125</v>
      </c>
      <c r="D108" t="s">
        <v>77</v>
      </c>
      <c r="E108" t="s">
        <v>45</v>
      </c>
      <c r="F108" t="s">
        <v>46</v>
      </c>
      <c r="G108">
        <v>1.59</v>
      </c>
      <c r="H108" t="s">
        <v>47</v>
      </c>
      <c r="I108" t="s">
        <v>48</v>
      </c>
      <c r="J108" t="s">
        <v>49</v>
      </c>
      <c r="K108">
        <v>1150.3699999999999</v>
      </c>
      <c r="L108" t="s">
        <v>318</v>
      </c>
      <c r="M108">
        <f>VLOOKUP(H108,'Stage Order'!$A$2:$B$8,2,FALSE)</f>
        <v>4</v>
      </c>
      <c r="N108" t="str">
        <f t="shared" si="2"/>
        <v>2. 1-24 hours</v>
      </c>
      <c r="O108" t="str">
        <f t="shared" si="3"/>
        <v>2025-12</v>
      </c>
    </row>
    <row r="109" spans="1:15" x14ac:dyDescent="0.3">
      <c r="A109" t="s">
        <v>319</v>
      </c>
      <c r="B109" t="s">
        <v>320</v>
      </c>
      <c r="C109" t="s">
        <v>125</v>
      </c>
      <c r="D109" t="s">
        <v>29</v>
      </c>
      <c r="E109" t="s">
        <v>30</v>
      </c>
      <c r="F109" t="s">
        <v>82</v>
      </c>
      <c r="G109">
        <v>3.72</v>
      </c>
      <c r="H109" t="s">
        <v>61</v>
      </c>
      <c r="I109" t="s">
        <v>42</v>
      </c>
      <c r="M109">
        <f>VLOOKUP(H109,'Stage Order'!$A$2:$B$8,2,FALSE)</f>
        <v>1</v>
      </c>
      <c r="N109" t="str">
        <f t="shared" si="2"/>
        <v>2. 1-24 hours</v>
      </c>
      <c r="O109" t="str">
        <f t="shared" si="3"/>
        <v>2026-04</v>
      </c>
    </row>
    <row r="110" spans="1:15" x14ac:dyDescent="0.3">
      <c r="A110" t="s">
        <v>321</v>
      </c>
      <c r="B110" t="s">
        <v>322</v>
      </c>
      <c r="C110" t="s">
        <v>53</v>
      </c>
      <c r="D110" t="s">
        <v>38</v>
      </c>
      <c r="E110" t="s">
        <v>45</v>
      </c>
      <c r="F110" t="s">
        <v>46</v>
      </c>
      <c r="G110">
        <v>10.119999999999999</v>
      </c>
      <c r="H110" t="s">
        <v>32</v>
      </c>
      <c r="I110" t="s">
        <v>33</v>
      </c>
      <c r="K110">
        <v>367.36</v>
      </c>
      <c r="L110" t="s">
        <v>323</v>
      </c>
      <c r="M110">
        <f>VLOOKUP(H110,'Stage Order'!$A$2:$B$8,2,FALSE)</f>
        <v>7</v>
      </c>
      <c r="N110" t="str">
        <f t="shared" si="2"/>
        <v>2. 1-24 hours</v>
      </c>
      <c r="O110" t="str">
        <f t="shared" si="3"/>
        <v>2026-03</v>
      </c>
    </row>
    <row r="111" spans="1:15" x14ac:dyDescent="0.3">
      <c r="A111" t="s">
        <v>324</v>
      </c>
      <c r="B111" t="s">
        <v>325</v>
      </c>
      <c r="C111" t="s">
        <v>58</v>
      </c>
      <c r="D111" t="s">
        <v>38</v>
      </c>
      <c r="E111" t="s">
        <v>45</v>
      </c>
      <c r="F111" t="s">
        <v>55</v>
      </c>
      <c r="G111">
        <v>12.52</v>
      </c>
      <c r="H111" t="s">
        <v>41</v>
      </c>
      <c r="I111" t="s">
        <v>42</v>
      </c>
      <c r="M111">
        <f>VLOOKUP(H111,'Stage Order'!$A$2:$B$8,2,FALSE)</f>
        <v>2</v>
      </c>
      <c r="N111" t="str">
        <f t="shared" si="2"/>
        <v>2. 1-24 hours</v>
      </c>
      <c r="O111" t="str">
        <f t="shared" si="3"/>
        <v>2025-03</v>
      </c>
    </row>
    <row r="112" spans="1:15" x14ac:dyDescent="0.3">
      <c r="A112" t="s">
        <v>326</v>
      </c>
      <c r="B112" t="s">
        <v>327</v>
      </c>
      <c r="C112" t="s">
        <v>37</v>
      </c>
      <c r="D112" t="s">
        <v>38</v>
      </c>
      <c r="E112" t="s">
        <v>45</v>
      </c>
      <c r="F112" t="s">
        <v>46</v>
      </c>
      <c r="G112">
        <v>1.81</v>
      </c>
      <c r="H112" t="s">
        <v>138</v>
      </c>
      <c r="I112" t="s">
        <v>48</v>
      </c>
      <c r="J112" t="s">
        <v>49</v>
      </c>
      <c r="K112">
        <v>291.39</v>
      </c>
      <c r="L112" t="s">
        <v>328</v>
      </c>
      <c r="M112">
        <f>VLOOKUP(H112,'Stage Order'!$A$2:$B$8,2,FALSE)</f>
        <v>6</v>
      </c>
      <c r="N112" t="str">
        <f t="shared" si="2"/>
        <v>2. 1-24 hours</v>
      </c>
      <c r="O112" t="str">
        <f t="shared" si="3"/>
        <v>2026-01</v>
      </c>
    </row>
    <row r="113" spans="1:15" x14ac:dyDescent="0.3">
      <c r="A113" t="s">
        <v>329</v>
      </c>
      <c r="B113" t="s">
        <v>330</v>
      </c>
      <c r="C113" t="s">
        <v>58</v>
      </c>
      <c r="D113" t="s">
        <v>54</v>
      </c>
      <c r="E113" t="s">
        <v>59</v>
      </c>
      <c r="F113" t="s">
        <v>137</v>
      </c>
      <c r="G113">
        <v>3.88</v>
      </c>
      <c r="H113" t="s">
        <v>41</v>
      </c>
      <c r="I113" t="s">
        <v>42</v>
      </c>
      <c r="M113">
        <f>VLOOKUP(H113,'Stage Order'!$A$2:$B$8,2,FALSE)</f>
        <v>2</v>
      </c>
      <c r="N113" t="str">
        <f t="shared" si="2"/>
        <v>2. 1-24 hours</v>
      </c>
      <c r="O113" t="str">
        <f t="shared" si="3"/>
        <v>2025-02</v>
      </c>
    </row>
    <row r="114" spans="1:15" x14ac:dyDescent="0.3">
      <c r="A114" t="s">
        <v>331</v>
      </c>
      <c r="B114" t="s">
        <v>332</v>
      </c>
      <c r="C114" t="s">
        <v>37</v>
      </c>
      <c r="D114" t="s">
        <v>77</v>
      </c>
      <c r="E114" t="s">
        <v>45</v>
      </c>
      <c r="F114" t="s">
        <v>46</v>
      </c>
      <c r="G114">
        <v>5.55</v>
      </c>
      <c r="H114" t="s">
        <v>41</v>
      </c>
      <c r="I114" t="s">
        <v>42</v>
      </c>
      <c r="M114">
        <f>VLOOKUP(H114,'Stage Order'!$A$2:$B$8,2,FALSE)</f>
        <v>2</v>
      </c>
      <c r="N114" t="str">
        <f t="shared" si="2"/>
        <v>2. 1-24 hours</v>
      </c>
      <c r="O114" t="str">
        <f t="shared" si="3"/>
        <v>2025-12</v>
      </c>
    </row>
    <row r="115" spans="1:15" x14ac:dyDescent="0.3">
      <c r="A115" t="s">
        <v>333</v>
      </c>
      <c r="B115" t="s">
        <v>334</v>
      </c>
      <c r="C115" t="s">
        <v>28</v>
      </c>
      <c r="D115" t="s">
        <v>54</v>
      </c>
      <c r="E115" t="s">
        <v>59</v>
      </c>
      <c r="F115" t="s">
        <v>117</v>
      </c>
      <c r="G115">
        <v>3.88</v>
      </c>
      <c r="H115" t="s">
        <v>47</v>
      </c>
      <c r="I115" t="s">
        <v>48</v>
      </c>
      <c r="J115" t="s">
        <v>113</v>
      </c>
      <c r="K115">
        <v>596.97</v>
      </c>
      <c r="L115" t="s">
        <v>335</v>
      </c>
      <c r="M115">
        <f>VLOOKUP(H115,'Stage Order'!$A$2:$B$8,2,FALSE)</f>
        <v>4</v>
      </c>
      <c r="N115" t="str">
        <f t="shared" si="2"/>
        <v>2. 1-24 hours</v>
      </c>
      <c r="O115" t="str">
        <f t="shared" si="3"/>
        <v>2025-07</v>
      </c>
    </row>
    <row r="116" spans="1:15" x14ac:dyDescent="0.3">
      <c r="A116" t="s">
        <v>336</v>
      </c>
      <c r="B116" t="s">
        <v>337</v>
      </c>
      <c r="C116" t="s">
        <v>58</v>
      </c>
      <c r="D116" t="s">
        <v>29</v>
      </c>
      <c r="E116" t="s">
        <v>30</v>
      </c>
      <c r="F116" t="s">
        <v>82</v>
      </c>
      <c r="G116">
        <v>7.21</v>
      </c>
      <c r="H116" t="s">
        <v>41</v>
      </c>
      <c r="I116" t="s">
        <v>42</v>
      </c>
      <c r="M116">
        <f>VLOOKUP(H116,'Stage Order'!$A$2:$B$8,2,FALSE)</f>
        <v>2</v>
      </c>
      <c r="N116" t="str">
        <f t="shared" si="2"/>
        <v>2. 1-24 hours</v>
      </c>
      <c r="O116" t="str">
        <f t="shared" si="3"/>
        <v>2026-03</v>
      </c>
    </row>
    <row r="117" spans="1:15" x14ac:dyDescent="0.3">
      <c r="A117" t="s">
        <v>338</v>
      </c>
      <c r="B117" t="s">
        <v>339</v>
      </c>
      <c r="C117" t="s">
        <v>53</v>
      </c>
      <c r="D117" t="s">
        <v>29</v>
      </c>
      <c r="E117" t="s">
        <v>45</v>
      </c>
      <c r="F117" t="s">
        <v>46</v>
      </c>
      <c r="G117">
        <v>1.2</v>
      </c>
      <c r="H117" t="s">
        <v>32</v>
      </c>
      <c r="I117" t="s">
        <v>33</v>
      </c>
      <c r="K117">
        <v>731.11</v>
      </c>
      <c r="L117" t="s">
        <v>340</v>
      </c>
      <c r="M117">
        <f>VLOOKUP(H117,'Stage Order'!$A$2:$B$8,2,FALSE)</f>
        <v>7</v>
      </c>
      <c r="N117" t="str">
        <f t="shared" si="2"/>
        <v>2. 1-24 hours</v>
      </c>
      <c r="O117" t="str">
        <f t="shared" si="3"/>
        <v>2025-08</v>
      </c>
    </row>
    <row r="118" spans="1:15" x14ac:dyDescent="0.3">
      <c r="A118" t="s">
        <v>341</v>
      </c>
      <c r="B118" t="s">
        <v>342</v>
      </c>
      <c r="C118" t="s">
        <v>81</v>
      </c>
      <c r="D118" t="s">
        <v>77</v>
      </c>
      <c r="E118" t="s">
        <v>59</v>
      </c>
      <c r="F118" t="s">
        <v>60</v>
      </c>
      <c r="G118">
        <v>3.41</v>
      </c>
      <c r="H118" t="s">
        <v>47</v>
      </c>
      <c r="I118" t="s">
        <v>48</v>
      </c>
      <c r="J118" t="s">
        <v>98</v>
      </c>
      <c r="K118">
        <v>1181.44</v>
      </c>
      <c r="L118" t="s">
        <v>343</v>
      </c>
      <c r="M118">
        <f>VLOOKUP(H118,'Stage Order'!$A$2:$B$8,2,FALSE)</f>
        <v>4</v>
      </c>
      <c r="N118" t="str">
        <f t="shared" si="2"/>
        <v>2. 1-24 hours</v>
      </c>
      <c r="O118" t="str">
        <f t="shared" si="3"/>
        <v>2026-03</v>
      </c>
    </row>
    <row r="119" spans="1:15" x14ac:dyDescent="0.3">
      <c r="A119" t="s">
        <v>344</v>
      </c>
      <c r="B119" t="s">
        <v>345</v>
      </c>
      <c r="C119" t="s">
        <v>37</v>
      </c>
      <c r="D119" t="s">
        <v>77</v>
      </c>
      <c r="E119" t="s">
        <v>30</v>
      </c>
      <c r="F119" t="s">
        <v>82</v>
      </c>
      <c r="G119">
        <v>0.69</v>
      </c>
      <c r="H119" t="s">
        <v>41</v>
      </c>
      <c r="I119" t="s">
        <v>42</v>
      </c>
      <c r="M119">
        <f>VLOOKUP(H119,'Stage Order'!$A$2:$B$8,2,FALSE)</f>
        <v>2</v>
      </c>
      <c r="N119" t="str">
        <f t="shared" si="2"/>
        <v>1. Under 1 hour</v>
      </c>
      <c r="O119" t="str">
        <f t="shared" si="3"/>
        <v>2025-08</v>
      </c>
    </row>
    <row r="120" spans="1:15" x14ac:dyDescent="0.3">
      <c r="A120" t="s">
        <v>346</v>
      </c>
      <c r="B120" t="s">
        <v>347</v>
      </c>
      <c r="C120" t="s">
        <v>125</v>
      </c>
      <c r="D120" t="s">
        <v>54</v>
      </c>
      <c r="E120" t="s">
        <v>45</v>
      </c>
      <c r="F120" t="s">
        <v>55</v>
      </c>
      <c r="G120">
        <v>2.21</v>
      </c>
      <c r="H120" t="s">
        <v>61</v>
      </c>
      <c r="I120" t="s">
        <v>42</v>
      </c>
      <c r="M120">
        <f>VLOOKUP(H120,'Stage Order'!$A$2:$B$8,2,FALSE)</f>
        <v>1</v>
      </c>
      <c r="N120" t="str">
        <f t="shared" si="2"/>
        <v>2. 1-24 hours</v>
      </c>
      <c r="O120" t="str">
        <f t="shared" si="3"/>
        <v>2026-01</v>
      </c>
    </row>
    <row r="121" spans="1:15" x14ac:dyDescent="0.3">
      <c r="A121" t="s">
        <v>348</v>
      </c>
      <c r="B121" t="s">
        <v>349</v>
      </c>
      <c r="C121" t="s">
        <v>76</v>
      </c>
      <c r="D121" t="s">
        <v>54</v>
      </c>
      <c r="E121" t="s">
        <v>30</v>
      </c>
      <c r="F121" t="s">
        <v>78</v>
      </c>
      <c r="G121">
        <v>1.59</v>
      </c>
      <c r="H121" t="s">
        <v>138</v>
      </c>
      <c r="I121" t="s">
        <v>48</v>
      </c>
      <c r="J121" t="s">
        <v>139</v>
      </c>
      <c r="K121">
        <v>438.6</v>
      </c>
      <c r="L121" t="s">
        <v>350</v>
      </c>
      <c r="M121">
        <f>VLOOKUP(H121,'Stage Order'!$A$2:$B$8,2,FALSE)</f>
        <v>6</v>
      </c>
      <c r="N121" t="str">
        <f t="shared" si="2"/>
        <v>2. 1-24 hours</v>
      </c>
      <c r="O121" t="str">
        <f t="shared" si="3"/>
        <v>2025-07</v>
      </c>
    </row>
    <row r="122" spans="1:15" x14ac:dyDescent="0.3">
      <c r="A122" t="s">
        <v>351</v>
      </c>
      <c r="B122" t="s">
        <v>352</v>
      </c>
      <c r="C122" t="s">
        <v>37</v>
      </c>
      <c r="D122" t="s">
        <v>54</v>
      </c>
      <c r="E122" t="s">
        <v>59</v>
      </c>
      <c r="F122" t="s">
        <v>60</v>
      </c>
      <c r="G122">
        <v>0.83</v>
      </c>
      <c r="H122" t="s">
        <v>146</v>
      </c>
      <c r="I122" t="s">
        <v>48</v>
      </c>
      <c r="J122" t="s">
        <v>98</v>
      </c>
      <c r="K122">
        <v>503</v>
      </c>
      <c r="L122" t="s">
        <v>353</v>
      </c>
      <c r="M122">
        <f>VLOOKUP(H122,'Stage Order'!$A$2:$B$8,2,FALSE)</f>
        <v>5</v>
      </c>
      <c r="N122" t="str">
        <f t="shared" si="2"/>
        <v>1. Under 1 hour</v>
      </c>
      <c r="O122" t="str">
        <f t="shared" si="3"/>
        <v>2026-01</v>
      </c>
    </row>
    <row r="123" spans="1:15" x14ac:dyDescent="0.3">
      <c r="A123" t="s">
        <v>354</v>
      </c>
      <c r="B123" t="s">
        <v>355</v>
      </c>
      <c r="C123" t="s">
        <v>58</v>
      </c>
      <c r="D123" t="s">
        <v>97</v>
      </c>
      <c r="E123" t="s">
        <v>90</v>
      </c>
      <c r="F123" t="s">
        <v>91</v>
      </c>
      <c r="G123">
        <v>1.28</v>
      </c>
      <c r="H123" t="s">
        <v>61</v>
      </c>
      <c r="I123" t="s">
        <v>42</v>
      </c>
      <c r="M123">
        <f>VLOOKUP(H123,'Stage Order'!$A$2:$B$8,2,FALSE)</f>
        <v>1</v>
      </c>
      <c r="N123" t="str">
        <f t="shared" si="2"/>
        <v>2. 1-24 hours</v>
      </c>
      <c r="O123" t="str">
        <f t="shared" si="3"/>
        <v>2025-08</v>
      </c>
    </row>
    <row r="124" spans="1:15" x14ac:dyDescent="0.3">
      <c r="A124" t="s">
        <v>356</v>
      </c>
      <c r="B124" t="s">
        <v>357</v>
      </c>
      <c r="C124" t="s">
        <v>58</v>
      </c>
      <c r="D124" t="s">
        <v>77</v>
      </c>
      <c r="E124" t="s">
        <v>90</v>
      </c>
      <c r="F124" t="s">
        <v>112</v>
      </c>
      <c r="G124">
        <v>9.23</v>
      </c>
      <c r="H124" t="s">
        <v>41</v>
      </c>
      <c r="I124" t="s">
        <v>42</v>
      </c>
      <c r="M124">
        <f>VLOOKUP(H124,'Stage Order'!$A$2:$B$8,2,FALSE)</f>
        <v>2</v>
      </c>
      <c r="N124" t="str">
        <f t="shared" si="2"/>
        <v>2. 1-24 hours</v>
      </c>
      <c r="O124" t="str">
        <f t="shared" si="3"/>
        <v>2025-05</v>
      </c>
    </row>
    <row r="125" spans="1:15" x14ac:dyDescent="0.3">
      <c r="A125" t="s">
        <v>358</v>
      </c>
      <c r="B125" t="s">
        <v>359</v>
      </c>
      <c r="C125" t="s">
        <v>37</v>
      </c>
      <c r="D125" t="s">
        <v>54</v>
      </c>
      <c r="E125" t="s">
        <v>45</v>
      </c>
      <c r="F125" t="s">
        <v>46</v>
      </c>
      <c r="G125">
        <v>4.6900000000000004</v>
      </c>
      <c r="H125" t="s">
        <v>41</v>
      </c>
      <c r="I125" t="s">
        <v>42</v>
      </c>
      <c r="M125">
        <f>VLOOKUP(H125,'Stage Order'!$A$2:$B$8,2,FALSE)</f>
        <v>2</v>
      </c>
      <c r="N125" t="str">
        <f t="shared" si="2"/>
        <v>2. 1-24 hours</v>
      </c>
      <c r="O125" t="str">
        <f t="shared" si="3"/>
        <v>2025-10</v>
      </c>
    </row>
    <row r="126" spans="1:15" x14ac:dyDescent="0.3">
      <c r="A126" t="s">
        <v>360</v>
      </c>
      <c r="B126" t="s">
        <v>361</v>
      </c>
      <c r="C126" t="s">
        <v>76</v>
      </c>
      <c r="D126" t="s">
        <v>29</v>
      </c>
      <c r="E126" t="s">
        <v>45</v>
      </c>
      <c r="F126" t="s">
        <v>94</v>
      </c>
      <c r="G126">
        <v>3.77</v>
      </c>
      <c r="H126" t="s">
        <v>146</v>
      </c>
      <c r="I126" t="s">
        <v>48</v>
      </c>
      <c r="J126" t="s">
        <v>139</v>
      </c>
      <c r="K126">
        <v>724.34</v>
      </c>
      <c r="L126" t="s">
        <v>362</v>
      </c>
      <c r="M126">
        <f>VLOOKUP(H126,'Stage Order'!$A$2:$B$8,2,FALSE)</f>
        <v>5</v>
      </c>
      <c r="N126" t="str">
        <f t="shared" si="2"/>
        <v>2. 1-24 hours</v>
      </c>
      <c r="O126" t="str">
        <f t="shared" si="3"/>
        <v>2026-04</v>
      </c>
    </row>
    <row r="127" spans="1:15" x14ac:dyDescent="0.3">
      <c r="A127" t="s">
        <v>363</v>
      </c>
      <c r="B127" t="s">
        <v>364</v>
      </c>
      <c r="C127" t="s">
        <v>58</v>
      </c>
      <c r="D127" t="s">
        <v>29</v>
      </c>
      <c r="E127" t="s">
        <v>59</v>
      </c>
      <c r="F127" t="s">
        <v>137</v>
      </c>
      <c r="G127">
        <v>13.52</v>
      </c>
      <c r="H127" t="s">
        <v>41</v>
      </c>
      <c r="I127" t="s">
        <v>42</v>
      </c>
      <c r="M127">
        <f>VLOOKUP(H127,'Stage Order'!$A$2:$B$8,2,FALSE)</f>
        <v>2</v>
      </c>
      <c r="N127" t="str">
        <f t="shared" si="2"/>
        <v>2. 1-24 hours</v>
      </c>
      <c r="O127" t="str">
        <f t="shared" si="3"/>
        <v>2025-10</v>
      </c>
    </row>
    <row r="128" spans="1:15" x14ac:dyDescent="0.3">
      <c r="A128" t="s">
        <v>365</v>
      </c>
      <c r="B128" t="s">
        <v>366</v>
      </c>
      <c r="C128" t="s">
        <v>37</v>
      </c>
      <c r="D128" t="s">
        <v>54</v>
      </c>
      <c r="E128" t="s">
        <v>39</v>
      </c>
      <c r="F128" t="s">
        <v>66</v>
      </c>
      <c r="G128">
        <v>9.44</v>
      </c>
      <c r="H128" t="s">
        <v>128</v>
      </c>
      <c r="I128" t="s">
        <v>42</v>
      </c>
      <c r="M128">
        <f>VLOOKUP(H128,'Stage Order'!$A$2:$B$8,2,FALSE)</f>
        <v>3</v>
      </c>
      <c r="N128" t="str">
        <f t="shared" si="2"/>
        <v>2. 1-24 hours</v>
      </c>
      <c r="O128" t="str">
        <f t="shared" si="3"/>
        <v>2025-04</v>
      </c>
    </row>
    <row r="129" spans="1:15" x14ac:dyDescent="0.3">
      <c r="A129" t="s">
        <v>367</v>
      </c>
      <c r="B129" t="s">
        <v>368</v>
      </c>
      <c r="C129" t="s">
        <v>125</v>
      </c>
      <c r="D129" t="s">
        <v>77</v>
      </c>
      <c r="E129" t="s">
        <v>45</v>
      </c>
      <c r="F129" t="s">
        <v>94</v>
      </c>
      <c r="G129">
        <v>4.4400000000000004</v>
      </c>
      <c r="H129" t="s">
        <v>41</v>
      </c>
      <c r="I129" t="s">
        <v>42</v>
      </c>
      <c r="M129">
        <f>VLOOKUP(H129,'Stage Order'!$A$2:$B$8,2,FALSE)</f>
        <v>2</v>
      </c>
      <c r="N129" t="str">
        <f t="shared" si="2"/>
        <v>2. 1-24 hours</v>
      </c>
      <c r="O129" t="str">
        <f t="shared" si="3"/>
        <v>2025-07</v>
      </c>
    </row>
    <row r="130" spans="1:15" x14ac:dyDescent="0.3">
      <c r="A130" t="s">
        <v>369</v>
      </c>
      <c r="B130" t="s">
        <v>370</v>
      </c>
      <c r="C130" t="s">
        <v>81</v>
      </c>
      <c r="D130" t="s">
        <v>77</v>
      </c>
      <c r="E130" t="s">
        <v>59</v>
      </c>
      <c r="F130" t="s">
        <v>137</v>
      </c>
      <c r="G130">
        <v>0.65</v>
      </c>
      <c r="H130" t="s">
        <v>61</v>
      </c>
      <c r="I130" t="s">
        <v>42</v>
      </c>
      <c r="M130">
        <f>VLOOKUP(H130,'Stage Order'!$A$2:$B$8,2,FALSE)</f>
        <v>1</v>
      </c>
      <c r="N130" t="str">
        <f t="shared" ref="N130:N193" si="4">IF(G130&lt;=1,"1. Under 1 hour",IF(G130&lt;=24,"2. 1-24 hours",IF(G130&lt;=72,"3. 1-3 days","4. Over 3 days")))</f>
        <v>1. Under 1 hour</v>
      </c>
      <c r="O130" t="str">
        <f t="shared" ref="O130:O193" si="5">TEXT(B130,"YYYY-MM")</f>
        <v>2025-12</v>
      </c>
    </row>
    <row r="131" spans="1:15" x14ac:dyDescent="0.3">
      <c r="A131" t="s">
        <v>371</v>
      </c>
      <c r="B131" t="s">
        <v>372</v>
      </c>
      <c r="C131" t="s">
        <v>125</v>
      </c>
      <c r="D131" t="s">
        <v>54</v>
      </c>
      <c r="E131" t="s">
        <v>45</v>
      </c>
      <c r="F131" t="s">
        <v>55</v>
      </c>
      <c r="G131">
        <v>1</v>
      </c>
      <c r="H131" t="s">
        <v>61</v>
      </c>
      <c r="I131" t="s">
        <v>42</v>
      </c>
      <c r="M131">
        <f>VLOOKUP(H131,'Stage Order'!$A$2:$B$8,2,FALSE)</f>
        <v>1</v>
      </c>
      <c r="N131" t="str">
        <f t="shared" si="4"/>
        <v>1. Under 1 hour</v>
      </c>
      <c r="O131" t="str">
        <f t="shared" si="5"/>
        <v>2025-12</v>
      </c>
    </row>
    <row r="132" spans="1:15" x14ac:dyDescent="0.3">
      <c r="A132" t="s">
        <v>373</v>
      </c>
      <c r="B132" t="s">
        <v>374</v>
      </c>
      <c r="C132" t="s">
        <v>58</v>
      </c>
      <c r="D132" t="s">
        <v>77</v>
      </c>
      <c r="E132" t="s">
        <v>30</v>
      </c>
      <c r="F132" t="s">
        <v>78</v>
      </c>
      <c r="G132">
        <v>1.35</v>
      </c>
      <c r="H132" t="s">
        <v>61</v>
      </c>
      <c r="I132" t="s">
        <v>42</v>
      </c>
      <c r="M132">
        <f>VLOOKUP(H132,'Stage Order'!$A$2:$B$8,2,FALSE)</f>
        <v>1</v>
      </c>
      <c r="N132" t="str">
        <f t="shared" si="4"/>
        <v>2. 1-24 hours</v>
      </c>
      <c r="O132" t="str">
        <f t="shared" si="5"/>
        <v>2026-02</v>
      </c>
    </row>
    <row r="133" spans="1:15" x14ac:dyDescent="0.3">
      <c r="A133" t="s">
        <v>375</v>
      </c>
      <c r="B133" t="s">
        <v>376</v>
      </c>
      <c r="C133" t="s">
        <v>58</v>
      </c>
      <c r="D133" t="s">
        <v>77</v>
      </c>
      <c r="E133" t="s">
        <v>39</v>
      </c>
      <c r="F133" t="s">
        <v>106</v>
      </c>
      <c r="G133">
        <v>1.07</v>
      </c>
      <c r="H133" t="s">
        <v>146</v>
      </c>
      <c r="I133" t="s">
        <v>48</v>
      </c>
      <c r="J133" t="s">
        <v>113</v>
      </c>
      <c r="K133">
        <v>892.09</v>
      </c>
      <c r="L133" t="s">
        <v>377</v>
      </c>
      <c r="M133">
        <f>VLOOKUP(H133,'Stage Order'!$A$2:$B$8,2,FALSE)</f>
        <v>5</v>
      </c>
      <c r="N133" t="str">
        <f t="shared" si="4"/>
        <v>2. 1-24 hours</v>
      </c>
      <c r="O133" t="str">
        <f t="shared" si="5"/>
        <v>2025-04</v>
      </c>
    </row>
    <row r="134" spans="1:15" x14ac:dyDescent="0.3">
      <c r="A134" t="s">
        <v>378</v>
      </c>
      <c r="B134" t="s">
        <v>379</v>
      </c>
      <c r="C134" t="s">
        <v>125</v>
      </c>
      <c r="D134" t="s">
        <v>54</v>
      </c>
      <c r="E134" t="s">
        <v>39</v>
      </c>
      <c r="F134" t="s">
        <v>106</v>
      </c>
      <c r="G134">
        <v>2.9</v>
      </c>
      <c r="H134" t="s">
        <v>41</v>
      </c>
      <c r="I134" t="s">
        <v>42</v>
      </c>
      <c r="M134">
        <f>VLOOKUP(H134,'Stage Order'!$A$2:$B$8,2,FALSE)</f>
        <v>2</v>
      </c>
      <c r="N134" t="str">
        <f t="shared" si="4"/>
        <v>2. 1-24 hours</v>
      </c>
      <c r="O134" t="str">
        <f t="shared" si="5"/>
        <v>2025-02</v>
      </c>
    </row>
    <row r="135" spans="1:15" x14ac:dyDescent="0.3">
      <c r="A135" t="s">
        <v>380</v>
      </c>
      <c r="B135" t="s">
        <v>381</v>
      </c>
      <c r="C135" t="s">
        <v>58</v>
      </c>
      <c r="D135" t="s">
        <v>29</v>
      </c>
      <c r="E135" t="s">
        <v>45</v>
      </c>
      <c r="F135" t="s">
        <v>55</v>
      </c>
      <c r="G135">
        <v>6.26</v>
      </c>
      <c r="H135" t="s">
        <v>41</v>
      </c>
      <c r="I135" t="s">
        <v>42</v>
      </c>
      <c r="M135">
        <f>VLOOKUP(H135,'Stage Order'!$A$2:$B$8,2,FALSE)</f>
        <v>2</v>
      </c>
      <c r="N135" t="str">
        <f t="shared" si="4"/>
        <v>2. 1-24 hours</v>
      </c>
      <c r="O135" t="str">
        <f t="shared" si="5"/>
        <v>2025-03</v>
      </c>
    </row>
    <row r="136" spans="1:15" x14ac:dyDescent="0.3">
      <c r="A136" t="s">
        <v>382</v>
      </c>
      <c r="B136" t="s">
        <v>383</v>
      </c>
      <c r="C136" t="s">
        <v>81</v>
      </c>
      <c r="D136" t="s">
        <v>38</v>
      </c>
      <c r="E136" t="s">
        <v>59</v>
      </c>
      <c r="F136" t="s">
        <v>60</v>
      </c>
      <c r="G136">
        <v>5.86</v>
      </c>
      <c r="H136" t="s">
        <v>41</v>
      </c>
      <c r="I136" t="s">
        <v>42</v>
      </c>
      <c r="M136">
        <f>VLOOKUP(H136,'Stage Order'!$A$2:$B$8,2,FALSE)</f>
        <v>2</v>
      </c>
      <c r="N136" t="str">
        <f t="shared" si="4"/>
        <v>2. 1-24 hours</v>
      </c>
      <c r="O136" t="str">
        <f t="shared" si="5"/>
        <v>2025-05</v>
      </c>
    </row>
    <row r="137" spans="1:15" x14ac:dyDescent="0.3">
      <c r="A137" t="s">
        <v>384</v>
      </c>
      <c r="B137" t="s">
        <v>385</v>
      </c>
      <c r="C137" t="s">
        <v>58</v>
      </c>
      <c r="D137" t="s">
        <v>54</v>
      </c>
      <c r="E137" t="s">
        <v>59</v>
      </c>
      <c r="F137" t="s">
        <v>137</v>
      </c>
      <c r="G137">
        <v>0.67</v>
      </c>
      <c r="H137" t="s">
        <v>41</v>
      </c>
      <c r="I137" t="s">
        <v>42</v>
      </c>
      <c r="M137">
        <f>VLOOKUP(H137,'Stage Order'!$A$2:$B$8,2,FALSE)</f>
        <v>2</v>
      </c>
      <c r="N137" t="str">
        <f t="shared" si="4"/>
        <v>1. Under 1 hour</v>
      </c>
      <c r="O137" t="str">
        <f t="shared" si="5"/>
        <v>2025-11</v>
      </c>
    </row>
    <row r="138" spans="1:15" x14ac:dyDescent="0.3">
      <c r="A138" t="s">
        <v>386</v>
      </c>
      <c r="B138" t="s">
        <v>387</v>
      </c>
      <c r="C138" t="s">
        <v>37</v>
      </c>
      <c r="D138" t="s">
        <v>54</v>
      </c>
      <c r="E138" t="s">
        <v>45</v>
      </c>
      <c r="F138" t="s">
        <v>94</v>
      </c>
      <c r="G138">
        <v>1.54</v>
      </c>
      <c r="H138" t="s">
        <v>41</v>
      </c>
      <c r="I138" t="s">
        <v>42</v>
      </c>
      <c r="M138">
        <f>VLOOKUP(H138,'Stage Order'!$A$2:$B$8,2,FALSE)</f>
        <v>2</v>
      </c>
      <c r="N138" t="str">
        <f t="shared" si="4"/>
        <v>2. 1-24 hours</v>
      </c>
      <c r="O138" t="str">
        <f t="shared" si="5"/>
        <v>2025-03</v>
      </c>
    </row>
    <row r="139" spans="1:15" x14ac:dyDescent="0.3">
      <c r="A139" t="s">
        <v>388</v>
      </c>
      <c r="B139" t="s">
        <v>389</v>
      </c>
      <c r="C139" t="s">
        <v>58</v>
      </c>
      <c r="D139" t="s">
        <v>29</v>
      </c>
      <c r="E139" t="s">
        <v>59</v>
      </c>
      <c r="F139" t="s">
        <v>60</v>
      </c>
      <c r="G139">
        <v>1.17</v>
      </c>
      <c r="H139" t="s">
        <v>41</v>
      </c>
      <c r="I139" t="s">
        <v>42</v>
      </c>
      <c r="M139">
        <f>VLOOKUP(H139,'Stage Order'!$A$2:$B$8,2,FALSE)</f>
        <v>2</v>
      </c>
      <c r="N139" t="str">
        <f t="shared" si="4"/>
        <v>2. 1-24 hours</v>
      </c>
      <c r="O139" t="str">
        <f t="shared" si="5"/>
        <v>2026-06</v>
      </c>
    </row>
    <row r="140" spans="1:15" x14ac:dyDescent="0.3">
      <c r="A140" t="s">
        <v>390</v>
      </c>
      <c r="B140" t="s">
        <v>391</v>
      </c>
      <c r="C140" t="s">
        <v>125</v>
      </c>
      <c r="D140" t="s">
        <v>77</v>
      </c>
      <c r="E140" t="s">
        <v>45</v>
      </c>
      <c r="F140" t="s">
        <v>55</v>
      </c>
      <c r="G140">
        <v>3.37</v>
      </c>
      <c r="H140" t="s">
        <v>41</v>
      </c>
      <c r="I140" t="s">
        <v>42</v>
      </c>
      <c r="M140">
        <f>VLOOKUP(H140,'Stage Order'!$A$2:$B$8,2,FALSE)</f>
        <v>2</v>
      </c>
      <c r="N140" t="str">
        <f t="shared" si="4"/>
        <v>2. 1-24 hours</v>
      </c>
      <c r="O140" t="str">
        <f t="shared" si="5"/>
        <v>2026-02</v>
      </c>
    </row>
    <row r="141" spans="1:15" x14ac:dyDescent="0.3">
      <c r="A141" t="s">
        <v>392</v>
      </c>
      <c r="B141" t="s">
        <v>393</v>
      </c>
      <c r="C141" t="s">
        <v>37</v>
      </c>
      <c r="D141" t="s">
        <v>54</v>
      </c>
      <c r="E141" t="s">
        <v>30</v>
      </c>
      <c r="F141" t="s">
        <v>82</v>
      </c>
      <c r="G141">
        <v>1.49</v>
      </c>
      <c r="H141" t="s">
        <v>128</v>
      </c>
      <c r="I141" t="s">
        <v>42</v>
      </c>
      <c r="M141">
        <f>VLOOKUP(H141,'Stage Order'!$A$2:$B$8,2,FALSE)</f>
        <v>3</v>
      </c>
      <c r="N141" t="str">
        <f t="shared" si="4"/>
        <v>2. 1-24 hours</v>
      </c>
      <c r="O141" t="str">
        <f t="shared" si="5"/>
        <v>2025-11</v>
      </c>
    </row>
    <row r="142" spans="1:15" x14ac:dyDescent="0.3">
      <c r="A142" t="s">
        <v>394</v>
      </c>
      <c r="B142" t="s">
        <v>395</v>
      </c>
      <c r="C142" t="s">
        <v>58</v>
      </c>
      <c r="D142" t="s">
        <v>54</v>
      </c>
      <c r="E142" t="s">
        <v>59</v>
      </c>
      <c r="F142" t="s">
        <v>117</v>
      </c>
      <c r="G142">
        <v>1.61</v>
      </c>
      <c r="H142" t="s">
        <v>146</v>
      </c>
      <c r="I142" t="s">
        <v>48</v>
      </c>
      <c r="J142" t="s">
        <v>139</v>
      </c>
      <c r="K142">
        <v>463.67</v>
      </c>
      <c r="L142" t="s">
        <v>396</v>
      </c>
      <c r="M142">
        <f>VLOOKUP(H142,'Stage Order'!$A$2:$B$8,2,FALSE)</f>
        <v>5</v>
      </c>
      <c r="N142" t="str">
        <f t="shared" si="4"/>
        <v>2. 1-24 hours</v>
      </c>
      <c r="O142" t="str">
        <f t="shared" si="5"/>
        <v>2026-04</v>
      </c>
    </row>
    <row r="143" spans="1:15" x14ac:dyDescent="0.3">
      <c r="A143" t="s">
        <v>397</v>
      </c>
      <c r="B143" t="s">
        <v>398</v>
      </c>
      <c r="C143" t="s">
        <v>37</v>
      </c>
      <c r="D143" t="s">
        <v>77</v>
      </c>
      <c r="E143" t="s">
        <v>59</v>
      </c>
      <c r="F143" t="s">
        <v>137</v>
      </c>
      <c r="G143">
        <v>2.5099999999999998</v>
      </c>
      <c r="H143" t="s">
        <v>41</v>
      </c>
      <c r="I143" t="s">
        <v>42</v>
      </c>
      <c r="M143">
        <f>VLOOKUP(H143,'Stage Order'!$A$2:$B$8,2,FALSE)</f>
        <v>2</v>
      </c>
      <c r="N143" t="str">
        <f t="shared" si="4"/>
        <v>2. 1-24 hours</v>
      </c>
      <c r="O143" t="str">
        <f t="shared" si="5"/>
        <v>2026-04</v>
      </c>
    </row>
    <row r="144" spans="1:15" x14ac:dyDescent="0.3">
      <c r="A144" t="s">
        <v>399</v>
      </c>
      <c r="B144" t="s">
        <v>400</v>
      </c>
      <c r="C144" t="s">
        <v>37</v>
      </c>
      <c r="D144" t="s">
        <v>38</v>
      </c>
      <c r="E144" t="s">
        <v>90</v>
      </c>
      <c r="F144" t="s">
        <v>145</v>
      </c>
      <c r="G144">
        <v>3.09</v>
      </c>
      <c r="H144" t="s">
        <v>41</v>
      </c>
      <c r="I144" t="s">
        <v>42</v>
      </c>
      <c r="M144">
        <f>VLOOKUP(H144,'Stage Order'!$A$2:$B$8,2,FALSE)</f>
        <v>2</v>
      </c>
      <c r="N144" t="str">
        <f t="shared" si="4"/>
        <v>2. 1-24 hours</v>
      </c>
      <c r="O144" t="str">
        <f t="shared" si="5"/>
        <v>2026-03</v>
      </c>
    </row>
    <row r="145" spans="1:15" x14ac:dyDescent="0.3">
      <c r="A145" t="s">
        <v>401</v>
      </c>
      <c r="B145" t="s">
        <v>402</v>
      </c>
      <c r="C145" t="s">
        <v>125</v>
      </c>
      <c r="D145" t="s">
        <v>77</v>
      </c>
      <c r="E145" t="s">
        <v>45</v>
      </c>
      <c r="F145" t="s">
        <v>46</v>
      </c>
      <c r="G145">
        <v>0.91</v>
      </c>
      <c r="H145" t="s">
        <v>32</v>
      </c>
      <c r="I145" t="s">
        <v>33</v>
      </c>
      <c r="K145">
        <v>998.27</v>
      </c>
      <c r="L145" t="s">
        <v>403</v>
      </c>
      <c r="M145">
        <f>VLOOKUP(H145,'Stage Order'!$A$2:$B$8,2,FALSE)</f>
        <v>7</v>
      </c>
      <c r="N145" t="str">
        <f t="shared" si="4"/>
        <v>1. Under 1 hour</v>
      </c>
      <c r="O145" t="str">
        <f t="shared" si="5"/>
        <v>2025-12</v>
      </c>
    </row>
    <row r="146" spans="1:15" x14ac:dyDescent="0.3">
      <c r="A146" t="s">
        <v>404</v>
      </c>
      <c r="B146" t="s">
        <v>405</v>
      </c>
      <c r="C146" t="s">
        <v>81</v>
      </c>
      <c r="D146" t="s">
        <v>77</v>
      </c>
      <c r="E146" t="s">
        <v>45</v>
      </c>
      <c r="F146" t="s">
        <v>46</v>
      </c>
      <c r="G146">
        <v>4.3600000000000003</v>
      </c>
      <c r="H146" t="s">
        <v>128</v>
      </c>
      <c r="I146" t="s">
        <v>42</v>
      </c>
      <c r="M146">
        <f>VLOOKUP(H146,'Stage Order'!$A$2:$B$8,2,FALSE)</f>
        <v>3</v>
      </c>
      <c r="N146" t="str">
        <f t="shared" si="4"/>
        <v>2. 1-24 hours</v>
      </c>
      <c r="O146" t="str">
        <f t="shared" si="5"/>
        <v>2026-03</v>
      </c>
    </row>
    <row r="147" spans="1:15" x14ac:dyDescent="0.3">
      <c r="A147" t="s">
        <v>406</v>
      </c>
      <c r="B147" t="s">
        <v>407</v>
      </c>
      <c r="C147" t="s">
        <v>76</v>
      </c>
      <c r="D147" t="s">
        <v>77</v>
      </c>
      <c r="E147" t="s">
        <v>59</v>
      </c>
      <c r="F147" t="s">
        <v>137</v>
      </c>
      <c r="G147">
        <v>9.44</v>
      </c>
      <c r="H147" t="s">
        <v>47</v>
      </c>
      <c r="I147" t="s">
        <v>48</v>
      </c>
      <c r="J147" t="s">
        <v>139</v>
      </c>
      <c r="K147">
        <v>979.19</v>
      </c>
      <c r="L147" t="s">
        <v>408</v>
      </c>
      <c r="M147">
        <f>VLOOKUP(H147,'Stage Order'!$A$2:$B$8,2,FALSE)</f>
        <v>4</v>
      </c>
      <c r="N147" t="str">
        <f t="shared" si="4"/>
        <v>2. 1-24 hours</v>
      </c>
      <c r="O147" t="str">
        <f t="shared" si="5"/>
        <v>2026-06</v>
      </c>
    </row>
    <row r="148" spans="1:15" x14ac:dyDescent="0.3">
      <c r="A148" t="s">
        <v>409</v>
      </c>
      <c r="B148" t="s">
        <v>410</v>
      </c>
      <c r="C148" t="s">
        <v>37</v>
      </c>
      <c r="D148" t="s">
        <v>77</v>
      </c>
      <c r="E148" t="s">
        <v>39</v>
      </c>
      <c r="F148" t="s">
        <v>106</v>
      </c>
      <c r="G148">
        <v>3.12</v>
      </c>
      <c r="H148" t="s">
        <v>41</v>
      </c>
      <c r="I148" t="s">
        <v>42</v>
      </c>
      <c r="M148">
        <f>VLOOKUP(H148,'Stage Order'!$A$2:$B$8,2,FALSE)</f>
        <v>2</v>
      </c>
      <c r="N148" t="str">
        <f t="shared" si="4"/>
        <v>2. 1-24 hours</v>
      </c>
      <c r="O148" t="str">
        <f t="shared" si="5"/>
        <v>2025-06</v>
      </c>
    </row>
    <row r="149" spans="1:15" x14ac:dyDescent="0.3">
      <c r="A149" t="s">
        <v>411</v>
      </c>
      <c r="B149" t="s">
        <v>412</v>
      </c>
      <c r="C149" t="s">
        <v>81</v>
      </c>
      <c r="D149" t="s">
        <v>38</v>
      </c>
      <c r="E149" t="s">
        <v>45</v>
      </c>
      <c r="F149" t="s">
        <v>55</v>
      </c>
      <c r="G149">
        <v>1.3</v>
      </c>
      <c r="H149" t="s">
        <v>61</v>
      </c>
      <c r="I149" t="s">
        <v>42</v>
      </c>
      <c r="M149">
        <f>VLOOKUP(H149,'Stage Order'!$A$2:$B$8,2,FALSE)</f>
        <v>1</v>
      </c>
      <c r="N149" t="str">
        <f t="shared" si="4"/>
        <v>2. 1-24 hours</v>
      </c>
      <c r="O149" t="str">
        <f t="shared" si="5"/>
        <v>2025-07</v>
      </c>
    </row>
    <row r="150" spans="1:15" x14ac:dyDescent="0.3">
      <c r="A150" t="s">
        <v>413</v>
      </c>
      <c r="B150" t="s">
        <v>414</v>
      </c>
      <c r="C150" t="s">
        <v>81</v>
      </c>
      <c r="D150" t="s">
        <v>97</v>
      </c>
      <c r="E150" t="s">
        <v>45</v>
      </c>
      <c r="F150" t="s">
        <v>55</v>
      </c>
      <c r="G150">
        <v>8.7200000000000006</v>
      </c>
      <c r="H150" t="s">
        <v>61</v>
      </c>
      <c r="I150" t="s">
        <v>42</v>
      </c>
      <c r="M150">
        <f>VLOOKUP(H150,'Stage Order'!$A$2:$B$8,2,FALSE)</f>
        <v>1</v>
      </c>
      <c r="N150" t="str">
        <f t="shared" si="4"/>
        <v>2. 1-24 hours</v>
      </c>
      <c r="O150" t="str">
        <f t="shared" si="5"/>
        <v>2025-03</v>
      </c>
    </row>
    <row r="151" spans="1:15" x14ac:dyDescent="0.3">
      <c r="A151" t="s">
        <v>415</v>
      </c>
      <c r="B151" t="s">
        <v>416</v>
      </c>
      <c r="C151" t="s">
        <v>125</v>
      </c>
      <c r="D151" t="s">
        <v>77</v>
      </c>
      <c r="E151" t="s">
        <v>30</v>
      </c>
      <c r="F151" t="s">
        <v>78</v>
      </c>
      <c r="G151">
        <v>8.85</v>
      </c>
      <c r="H151" t="s">
        <v>41</v>
      </c>
      <c r="I151" t="s">
        <v>42</v>
      </c>
      <c r="M151">
        <f>VLOOKUP(H151,'Stage Order'!$A$2:$B$8,2,FALSE)</f>
        <v>2</v>
      </c>
      <c r="N151" t="str">
        <f t="shared" si="4"/>
        <v>2. 1-24 hours</v>
      </c>
      <c r="O151" t="str">
        <f t="shared" si="5"/>
        <v>2025-01</v>
      </c>
    </row>
    <row r="152" spans="1:15" x14ac:dyDescent="0.3">
      <c r="A152" t="s">
        <v>417</v>
      </c>
      <c r="B152" t="s">
        <v>418</v>
      </c>
      <c r="C152" t="s">
        <v>125</v>
      </c>
      <c r="D152" t="s">
        <v>97</v>
      </c>
      <c r="E152" t="s">
        <v>39</v>
      </c>
      <c r="F152" t="s">
        <v>40</v>
      </c>
      <c r="G152">
        <v>1.69</v>
      </c>
      <c r="H152" t="s">
        <v>61</v>
      </c>
      <c r="I152" t="s">
        <v>42</v>
      </c>
      <c r="M152">
        <f>VLOOKUP(H152,'Stage Order'!$A$2:$B$8,2,FALSE)</f>
        <v>1</v>
      </c>
      <c r="N152" t="str">
        <f t="shared" si="4"/>
        <v>2. 1-24 hours</v>
      </c>
      <c r="O152" t="str">
        <f t="shared" si="5"/>
        <v>2025-06</v>
      </c>
    </row>
    <row r="153" spans="1:15" x14ac:dyDescent="0.3">
      <c r="A153" t="s">
        <v>419</v>
      </c>
      <c r="B153" t="s">
        <v>420</v>
      </c>
      <c r="C153" t="s">
        <v>37</v>
      </c>
      <c r="D153" t="s">
        <v>29</v>
      </c>
      <c r="E153" t="s">
        <v>59</v>
      </c>
      <c r="F153" t="s">
        <v>60</v>
      </c>
      <c r="G153">
        <v>1.48</v>
      </c>
      <c r="H153" t="s">
        <v>47</v>
      </c>
      <c r="I153" t="s">
        <v>48</v>
      </c>
      <c r="J153" t="s">
        <v>49</v>
      </c>
      <c r="K153">
        <v>648.59</v>
      </c>
      <c r="L153" t="s">
        <v>421</v>
      </c>
      <c r="M153">
        <f>VLOOKUP(H153,'Stage Order'!$A$2:$B$8,2,FALSE)</f>
        <v>4</v>
      </c>
      <c r="N153" t="str">
        <f t="shared" si="4"/>
        <v>2. 1-24 hours</v>
      </c>
      <c r="O153" t="str">
        <f t="shared" si="5"/>
        <v>2025-12</v>
      </c>
    </row>
    <row r="154" spans="1:15" x14ac:dyDescent="0.3">
      <c r="A154" t="s">
        <v>422</v>
      </c>
      <c r="B154" t="s">
        <v>423</v>
      </c>
      <c r="C154" t="s">
        <v>76</v>
      </c>
      <c r="D154" t="s">
        <v>77</v>
      </c>
      <c r="E154" t="s">
        <v>59</v>
      </c>
      <c r="F154" t="s">
        <v>117</v>
      </c>
      <c r="G154">
        <v>1.1399999999999999</v>
      </c>
      <c r="H154" t="s">
        <v>47</v>
      </c>
      <c r="I154" t="s">
        <v>48</v>
      </c>
      <c r="J154" t="s">
        <v>98</v>
      </c>
      <c r="K154">
        <v>913.27</v>
      </c>
      <c r="L154" t="s">
        <v>424</v>
      </c>
      <c r="M154">
        <f>VLOOKUP(H154,'Stage Order'!$A$2:$B$8,2,FALSE)</f>
        <v>4</v>
      </c>
      <c r="N154" t="str">
        <f t="shared" si="4"/>
        <v>2. 1-24 hours</v>
      </c>
      <c r="O154" t="str">
        <f t="shared" si="5"/>
        <v>2025-01</v>
      </c>
    </row>
    <row r="155" spans="1:15" x14ac:dyDescent="0.3">
      <c r="A155" t="s">
        <v>425</v>
      </c>
      <c r="B155" t="s">
        <v>426</v>
      </c>
      <c r="C155" t="s">
        <v>37</v>
      </c>
      <c r="D155" t="s">
        <v>77</v>
      </c>
      <c r="E155" t="s">
        <v>59</v>
      </c>
      <c r="F155" t="s">
        <v>137</v>
      </c>
      <c r="G155">
        <v>5.66</v>
      </c>
      <c r="H155" t="s">
        <v>47</v>
      </c>
      <c r="I155" t="s">
        <v>48</v>
      </c>
      <c r="J155" t="s">
        <v>49</v>
      </c>
      <c r="K155">
        <v>1124.6500000000001</v>
      </c>
      <c r="L155" t="s">
        <v>427</v>
      </c>
      <c r="M155">
        <f>VLOOKUP(H155,'Stage Order'!$A$2:$B$8,2,FALSE)</f>
        <v>4</v>
      </c>
      <c r="N155" t="str">
        <f t="shared" si="4"/>
        <v>2. 1-24 hours</v>
      </c>
      <c r="O155" t="str">
        <f t="shared" si="5"/>
        <v>2026-04</v>
      </c>
    </row>
    <row r="156" spans="1:15" x14ac:dyDescent="0.3">
      <c r="A156" t="s">
        <v>428</v>
      </c>
      <c r="B156" t="s">
        <v>429</v>
      </c>
      <c r="C156" t="s">
        <v>28</v>
      </c>
      <c r="D156" t="s">
        <v>77</v>
      </c>
      <c r="E156" t="s">
        <v>90</v>
      </c>
      <c r="F156" t="s">
        <v>145</v>
      </c>
      <c r="G156">
        <v>3.6</v>
      </c>
      <c r="H156" t="s">
        <v>146</v>
      </c>
      <c r="I156" t="s">
        <v>48</v>
      </c>
      <c r="J156" t="s">
        <v>139</v>
      </c>
      <c r="K156">
        <v>1009.47</v>
      </c>
      <c r="L156" t="s">
        <v>430</v>
      </c>
      <c r="M156">
        <f>VLOOKUP(H156,'Stage Order'!$A$2:$B$8,2,FALSE)</f>
        <v>5</v>
      </c>
      <c r="N156" t="str">
        <f t="shared" si="4"/>
        <v>2. 1-24 hours</v>
      </c>
      <c r="O156" t="str">
        <f t="shared" si="5"/>
        <v>2026-01</v>
      </c>
    </row>
    <row r="157" spans="1:15" x14ac:dyDescent="0.3">
      <c r="A157" t="s">
        <v>431</v>
      </c>
      <c r="B157" t="s">
        <v>432</v>
      </c>
      <c r="C157" t="s">
        <v>53</v>
      </c>
      <c r="D157" t="s">
        <v>38</v>
      </c>
      <c r="E157" t="s">
        <v>59</v>
      </c>
      <c r="F157" t="s">
        <v>60</v>
      </c>
      <c r="G157">
        <v>2.33</v>
      </c>
      <c r="H157" t="s">
        <v>41</v>
      </c>
      <c r="I157" t="s">
        <v>42</v>
      </c>
      <c r="M157">
        <f>VLOOKUP(H157,'Stage Order'!$A$2:$B$8,2,FALSE)</f>
        <v>2</v>
      </c>
      <c r="N157" t="str">
        <f t="shared" si="4"/>
        <v>2. 1-24 hours</v>
      </c>
      <c r="O157" t="str">
        <f t="shared" si="5"/>
        <v>2025-03</v>
      </c>
    </row>
    <row r="158" spans="1:15" x14ac:dyDescent="0.3">
      <c r="A158" t="s">
        <v>433</v>
      </c>
      <c r="B158" t="s">
        <v>434</v>
      </c>
      <c r="C158" t="s">
        <v>58</v>
      </c>
      <c r="D158" t="s">
        <v>77</v>
      </c>
      <c r="E158" t="s">
        <v>45</v>
      </c>
      <c r="F158" t="s">
        <v>46</v>
      </c>
      <c r="G158">
        <v>3.08</v>
      </c>
      <c r="H158" t="s">
        <v>146</v>
      </c>
      <c r="I158" t="s">
        <v>48</v>
      </c>
      <c r="J158" t="s">
        <v>49</v>
      </c>
      <c r="K158">
        <v>968.12</v>
      </c>
      <c r="L158" t="s">
        <v>435</v>
      </c>
      <c r="M158">
        <f>VLOOKUP(H158,'Stage Order'!$A$2:$B$8,2,FALSE)</f>
        <v>5</v>
      </c>
      <c r="N158" t="str">
        <f t="shared" si="4"/>
        <v>2. 1-24 hours</v>
      </c>
      <c r="O158" t="str">
        <f t="shared" si="5"/>
        <v>2025-03</v>
      </c>
    </row>
    <row r="159" spans="1:15" x14ac:dyDescent="0.3">
      <c r="A159" t="s">
        <v>436</v>
      </c>
      <c r="B159" t="s">
        <v>437</v>
      </c>
      <c r="C159" t="s">
        <v>58</v>
      </c>
      <c r="D159" t="s">
        <v>77</v>
      </c>
      <c r="E159" t="s">
        <v>59</v>
      </c>
      <c r="F159" t="s">
        <v>60</v>
      </c>
      <c r="G159">
        <v>1.88</v>
      </c>
      <c r="H159" t="s">
        <v>61</v>
      </c>
      <c r="I159" t="s">
        <v>42</v>
      </c>
      <c r="M159">
        <f>VLOOKUP(H159,'Stage Order'!$A$2:$B$8,2,FALSE)</f>
        <v>1</v>
      </c>
      <c r="N159" t="str">
        <f t="shared" si="4"/>
        <v>2. 1-24 hours</v>
      </c>
      <c r="O159" t="str">
        <f t="shared" si="5"/>
        <v>2026-06</v>
      </c>
    </row>
    <row r="160" spans="1:15" x14ac:dyDescent="0.3">
      <c r="A160" t="s">
        <v>438</v>
      </c>
      <c r="B160" t="s">
        <v>439</v>
      </c>
      <c r="C160" t="s">
        <v>28</v>
      </c>
      <c r="D160" t="s">
        <v>38</v>
      </c>
      <c r="E160" t="s">
        <v>59</v>
      </c>
      <c r="F160" t="s">
        <v>137</v>
      </c>
      <c r="G160">
        <v>2.46</v>
      </c>
      <c r="H160" t="s">
        <v>41</v>
      </c>
      <c r="I160" t="s">
        <v>42</v>
      </c>
      <c r="M160">
        <f>VLOOKUP(H160,'Stage Order'!$A$2:$B$8,2,FALSE)</f>
        <v>2</v>
      </c>
      <c r="N160" t="str">
        <f t="shared" si="4"/>
        <v>2. 1-24 hours</v>
      </c>
      <c r="O160" t="str">
        <f t="shared" si="5"/>
        <v>2025-04</v>
      </c>
    </row>
    <row r="161" spans="1:15" x14ac:dyDescent="0.3">
      <c r="A161" t="s">
        <v>440</v>
      </c>
      <c r="B161" t="s">
        <v>441</v>
      </c>
      <c r="C161" t="s">
        <v>58</v>
      </c>
      <c r="D161" t="s">
        <v>29</v>
      </c>
      <c r="E161" t="s">
        <v>59</v>
      </c>
      <c r="F161" t="s">
        <v>117</v>
      </c>
      <c r="G161">
        <v>3.67</v>
      </c>
      <c r="H161" t="s">
        <v>41</v>
      </c>
      <c r="I161" t="s">
        <v>42</v>
      </c>
      <c r="M161">
        <f>VLOOKUP(H161,'Stage Order'!$A$2:$B$8,2,FALSE)</f>
        <v>2</v>
      </c>
      <c r="N161" t="str">
        <f t="shared" si="4"/>
        <v>2. 1-24 hours</v>
      </c>
      <c r="O161" t="str">
        <f t="shared" si="5"/>
        <v>2025-11</v>
      </c>
    </row>
    <row r="162" spans="1:15" x14ac:dyDescent="0.3">
      <c r="A162" t="s">
        <v>442</v>
      </c>
      <c r="B162" t="s">
        <v>443</v>
      </c>
      <c r="C162" t="s">
        <v>125</v>
      </c>
      <c r="D162" t="s">
        <v>38</v>
      </c>
      <c r="E162" t="s">
        <v>45</v>
      </c>
      <c r="F162" t="s">
        <v>46</v>
      </c>
      <c r="G162">
        <v>0.36</v>
      </c>
      <c r="H162" t="s">
        <v>47</v>
      </c>
      <c r="I162" t="s">
        <v>48</v>
      </c>
      <c r="J162" t="s">
        <v>139</v>
      </c>
      <c r="K162">
        <v>364.32</v>
      </c>
      <c r="L162" t="s">
        <v>444</v>
      </c>
      <c r="M162">
        <f>VLOOKUP(H162,'Stage Order'!$A$2:$B$8,2,FALSE)</f>
        <v>4</v>
      </c>
      <c r="N162" t="str">
        <f t="shared" si="4"/>
        <v>1. Under 1 hour</v>
      </c>
      <c r="O162" t="str">
        <f t="shared" si="5"/>
        <v>2026-04</v>
      </c>
    </row>
    <row r="163" spans="1:15" x14ac:dyDescent="0.3">
      <c r="A163" t="s">
        <v>445</v>
      </c>
      <c r="B163" t="s">
        <v>446</v>
      </c>
      <c r="C163" t="s">
        <v>81</v>
      </c>
      <c r="D163" t="s">
        <v>54</v>
      </c>
      <c r="E163" t="s">
        <v>90</v>
      </c>
      <c r="F163" t="s">
        <v>145</v>
      </c>
      <c r="G163">
        <v>3.64</v>
      </c>
      <c r="H163" t="s">
        <v>61</v>
      </c>
      <c r="I163" t="s">
        <v>42</v>
      </c>
      <c r="M163">
        <f>VLOOKUP(H163,'Stage Order'!$A$2:$B$8,2,FALSE)</f>
        <v>1</v>
      </c>
      <c r="N163" t="str">
        <f t="shared" si="4"/>
        <v>2. 1-24 hours</v>
      </c>
      <c r="O163" t="str">
        <f t="shared" si="5"/>
        <v>2025-03</v>
      </c>
    </row>
    <row r="164" spans="1:15" x14ac:dyDescent="0.3">
      <c r="A164" t="s">
        <v>447</v>
      </c>
      <c r="B164" t="s">
        <v>448</v>
      </c>
      <c r="C164" t="s">
        <v>81</v>
      </c>
      <c r="D164" t="s">
        <v>54</v>
      </c>
      <c r="E164" t="s">
        <v>39</v>
      </c>
      <c r="F164" t="s">
        <v>106</v>
      </c>
      <c r="G164">
        <v>2.59</v>
      </c>
      <c r="H164" t="s">
        <v>41</v>
      </c>
      <c r="I164" t="s">
        <v>42</v>
      </c>
      <c r="M164">
        <f>VLOOKUP(H164,'Stage Order'!$A$2:$B$8,2,FALSE)</f>
        <v>2</v>
      </c>
      <c r="N164" t="str">
        <f t="shared" si="4"/>
        <v>2. 1-24 hours</v>
      </c>
      <c r="O164" t="str">
        <f t="shared" si="5"/>
        <v>2025-10</v>
      </c>
    </row>
    <row r="165" spans="1:15" x14ac:dyDescent="0.3">
      <c r="A165" t="s">
        <v>449</v>
      </c>
      <c r="B165" t="s">
        <v>450</v>
      </c>
      <c r="C165" t="s">
        <v>28</v>
      </c>
      <c r="D165" t="s">
        <v>54</v>
      </c>
      <c r="E165" t="s">
        <v>45</v>
      </c>
      <c r="F165" t="s">
        <v>46</v>
      </c>
      <c r="G165">
        <v>3.83</v>
      </c>
      <c r="H165" t="s">
        <v>32</v>
      </c>
      <c r="I165" t="s">
        <v>33</v>
      </c>
      <c r="K165">
        <v>541.66</v>
      </c>
      <c r="L165" t="s">
        <v>451</v>
      </c>
      <c r="M165">
        <f>VLOOKUP(H165,'Stage Order'!$A$2:$B$8,2,FALSE)</f>
        <v>7</v>
      </c>
      <c r="N165" t="str">
        <f t="shared" si="4"/>
        <v>2. 1-24 hours</v>
      </c>
      <c r="O165" t="str">
        <f t="shared" si="5"/>
        <v>2025-01</v>
      </c>
    </row>
    <row r="166" spans="1:15" x14ac:dyDescent="0.3">
      <c r="A166" t="s">
        <v>452</v>
      </c>
      <c r="B166" t="s">
        <v>453</v>
      </c>
      <c r="C166" t="s">
        <v>53</v>
      </c>
      <c r="D166" t="s">
        <v>97</v>
      </c>
      <c r="E166" t="s">
        <v>45</v>
      </c>
      <c r="F166" t="s">
        <v>46</v>
      </c>
      <c r="G166">
        <v>2.06</v>
      </c>
      <c r="H166" t="s">
        <v>41</v>
      </c>
      <c r="I166" t="s">
        <v>42</v>
      </c>
      <c r="M166">
        <f>VLOOKUP(H166,'Stage Order'!$A$2:$B$8,2,FALSE)</f>
        <v>2</v>
      </c>
      <c r="N166" t="str">
        <f t="shared" si="4"/>
        <v>2. 1-24 hours</v>
      </c>
      <c r="O166" t="str">
        <f t="shared" si="5"/>
        <v>2026-03</v>
      </c>
    </row>
    <row r="167" spans="1:15" x14ac:dyDescent="0.3">
      <c r="A167" t="s">
        <v>454</v>
      </c>
      <c r="B167" t="s">
        <v>455</v>
      </c>
      <c r="C167" t="s">
        <v>58</v>
      </c>
      <c r="D167" t="s">
        <v>38</v>
      </c>
      <c r="E167" t="s">
        <v>39</v>
      </c>
      <c r="F167" t="s">
        <v>66</v>
      </c>
      <c r="G167">
        <v>1.29</v>
      </c>
      <c r="H167" t="s">
        <v>41</v>
      </c>
      <c r="I167" t="s">
        <v>42</v>
      </c>
      <c r="M167">
        <f>VLOOKUP(H167,'Stage Order'!$A$2:$B$8,2,FALSE)</f>
        <v>2</v>
      </c>
      <c r="N167" t="str">
        <f t="shared" si="4"/>
        <v>2. 1-24 hours</v>
      </c>
      <c r="O167" t="str">
        <f t="shared" si="5"/>
        <v>2026-05</v>
      </c>
    </row>
    <row r="168" spans="1:15" x14ac:dyDescent="0.3">
      <c r="A168" t="s">
        <v>456</v>
      </c>
      <c r="B168" t="s">
        <v>457</v>
      </c>
      <c r="C168" t="s">
        <v>53</v>
      </c>
      <c r="D168" t="s">
        <v>38</v>
      </c>
      <c r="E168" t="s">
        <v>45</v>
      </c>
      <c r="F168" t="s">
        <v>94</v>
      </c>
      <c r="G168">
        <v>7.1</v>
      </c>
      <c r="H168" t="s">
        <v>32</v>
      </c>
      <c r="I168" t="s">
        <v>33</v>
      </c>
      <c r="K168">
        <v>301.61</v>
      </c>
      <c r="L168" t="s">
        <v>458</v>
      </c>
      <c r="M168">
        <f>VLOOKUP(H168,'Stage Order'!$A$2:$B$8,2,FALSE)</f>
        <v>7</v>
      </c>
      <c r="N168" t="str">
        <f t="shared" si="4"/>
        <v>2. 1-24 hours</v>
      </c>
      <c r="O168" t="str">
        <f t="shared" si="5"/>
        <v>2025-12</v>
      </c>
    </row>
    <row r="169" spans="1:15" x14ac:dyDescent="0.3">
      <c r="A169" t="s">
        <v>459</v>
      </c>
      <c r="B169" t="s">
        <v>460</v>
      </c>
      <c r="C169" t="s">
        <v>28</v>
      </c>
      <c r="D169" t="s">
        <v>54</v>
      </c>
      <c r="E169" t="s">
        <v>30</v>
      </c>
      <c r="F169" t="s">
        <v>31</v>
      </c>
      <c r="G169">
        <v>3.13</v>
      </c>
      <c r="H169" t="s">
        <v>32</v>
      </c>
      <c r="I169" t="s">
        <v>33</v>
      </c>
      <c r="K169">
        <v>458.4</v>
      </c>
      <c r="L169" t="s">
        <v>461</v>
      </c>
      <c r="M169">
        <f>VLOOKUP(H169,'Stage Order'!$A$2:$B$8,2,FALSE)</f>
        <v>7</v>
      </c>
      <c r="N169" t="str">
        <f t="shared" si="4"/>
        <v>2. 1-24 hours</v>
      </c>
      <c r="O169" t="str">
        <f t="shared" si="5"/>
        <v>2025-11</v>
      </c>
    </row>
    <row r="170" spans="1:15" x14ac:dyDescent="0.3">
      <c r="A170" t="s">
        <v>462</v>
      </c>
      <c r="B170" t="s">
        <v>463</v>
      </c>
      <c r="C170" t="s">
        <v>37</v>
      </c>
      <c r="D170" t="s">
        <v>97</v>
      </c>
      <c r="E170" t="s">
        <v>45</v>
      </c>
      <c r="F170" t="s">
        <v>94</v>
      </c>
      <c r="G170">
        <v>3.24</v>
      </c>
      <c r="H170" t="s">
        <v>47</v>
      </c>
      <c r="I170" t="s">
        <v>48</v>
      </c>
      <c r="J170" t="s">
        <v>113</v>
      </c>
      <c r="K170">
        <v>1321</v>
      </c>
      <c r="L170" t="s">
        <v>464</v>
      </c>
      <c r="M170">
        <f>VLOOKUP(H170,'Stage Order'!$A$2:$B$8,2,FALSE)</f>
        <v>4</v>
      </c>
      <c r="N170" t="str">
        <f t="shared" si="4"/>
        <v>2. 1-24 hours</v>
      </c>
      <c r="O170" t="str">
        <f t="shared" si="5"/>
        <v>2025-02</v>
      </c>
    </row>
    <row r="171" spans="1:15" x14ac:dyDescent="0.3">
      <c r="A171" t="s">
        <v>465</v>
      </c>
      <c r="B171" t="s">
        <v>466</v>
      </c>
      <c r="C171" t="s">
        <v>37</v>
      </c>
      <c r="D171" t="s">
        <v>38</v>
      </c>
      <c r="E171" t="s">
        <v>59</v>
      </c>
      <c r="F171" t="s">
        <v>137</v>
      </c>
      <c r="G171">
        <v>3.82</v>
      </c>
      <c r="H171" t="s">
        <v>41</v>
      </c>
      <c r="I171" t="s">
        <v>42</v>
      </c>
      <c r="M171">
        <f>VLOOKUP(H171,'Stage Order'!$A$2:$B$8,2,FALSE)</f>
        <v>2</v>
      </c>
      <c r="N171" t="str">
        <f t="shared" si="4"/>
        <v>2. 1-24 hours</v>
      </c>
      <c r="O171" t="str">
        <f t="shared" si="5"/>
        <v>2025-03</v>
      </c>
    </row>
    <row r="172" spans="1:15" x14ac:dyDescent="0.3">
      <c r="A172" t="s">
        <v>467</v>
      </c>
      <c r="B172" t="s">
        <v>468</v>
      </c>
      <c r="C172" t="s">
        <v>37</v>
      </c>
      <c r="D172" t="s">
        <v>77</v>
      </c>
      <c r="E172" t="s">
        <v>39</v>
      </c>
      <c r="F172" t="s">
        <v>106</v>
      </c>
      <c r="G172">
        <v>3.76</v>
      </c>
      <c r="H172" t="s">
        <v>41</v>
      </c>
      <c r="I172" t="s">
        <v>42</v>
      </c>
      <c r="M172">
        <f>VLOOKUP(H172,'Stage Order'!$A$2:$B$8,2,FALSE)</f>
        <v>2</v>
      </c>
      <c r="N172" t="str">
        <f t="shared" si="4"/>
        <v>2. 1-24 hours</v>
      </c>
      <c r="O172" t="str">
        <f t="shared" si="5"/>
        <v>2025-03</v>
      </c>
    </row>
    <row r="173" spans="1:15" x14ac:dyDescent="0.3">
      <c r="A173" t="s">
        <v>469</v>
      </c>
      <c r="B173" t="s">
        <v>470</v>
      </c>
      <c r="C173" t="s">
        <v>53</v>
      </c>
      <c r="D173" t="s">
        <v>54</v>
      </c>
      <c r="E173" t="s">
        <v>59</v>
      </c>
      <c r="F173" t="s">
        <v>117</v>
      </c>
      <c r="G173">
        <v>0.79</v>
      </c>
      <c r="H173" t="s">
        <v>32</v>
      </c>
      <c r="I173" t="s">
        <v>33</v>
      </c>
      <c r="K173">
        <v>415.79</v>
      </c>
      <c r="L173" t="s">
        <v>471</v>
      </c>
      <c r="M173">
        <f>VLOOKUP(H173,'Stage Order'!$A$2:$B$8,2,FALSE)</f>
        <v>7</v>
      </c>
      <c r="N173" t="str">
        <f t="shared" si="4"/>
        <v>1. Under 1 hour</v>
      </c>
      <c r="O173" t="str">
        <f t="shared" si="5"/>
        <v>2025-05</v>
      </c>
    </row>
    <row r="174" spans="1:15" x14ac:dyDescent="0.3">
      <c r="A174" t="s">
        <v>472</v>
      </c>
      <c r="B174" t="s">
        <v>473</v>
      </c>
      <c r="C174" t="s">
        <v>28</v>
      </c>
      <c r="D174" t="s">
        <v>38</v>
      </c>
      <c r="E174" t="s">
        <v>59</v>
      </c>
      <c r="F174" t="s">
        <v>60</v>
      </c>
      <c r="G174">
        <v>4.5999999999999996</v>
      </c>
      <c r="H174" t="s">
        <v>32</v>
      </c>
      <c r="I174" t="s">
        <v>33</v>
      </c>
      <c r="K174">
        <v>382.75</v>
      </c>
      <c r="L174" t="s">
        <v>474</v>
      </c>
      <c r="M174">
        <f>VLOOKUP(H174,'Stage Order'!$A$2:$B$8,2,FALSE)</f>
        <v>7</v>
      </c>
      <c r="N174" t="str">
        <f t="shared" si="4"/>
        <v>2. 1-24 hours</v>
      </c>
      <c r="O174" t="str">
        <f t="shared" si="5"/>
        <v>2025-06</v>
      </c>
    </row>
    <row r="175" spans="1:15" x14ac:dyDescent="0.3">
      <c r="A175" t="s">
        <v>475</v>
      </c>
      <c r="B175" t="s">
        <v>476</v>
      </c>
      <c r="C175" t="s">
        <v>76</v>
      </c>
      <c r="D175" t="s">
        <v>29</v>
      </c>
      <c r="E175" t="s">
        <v>45</v>
      </c>
      <c r="F175" t="s">
        <v>55</v>
      </c>
      <c r="G175">
        <v>1.65</v>
      </c>
      <c r="H175" t="s">
        <v>41</v>
      </c>
      <c r="I175" t="s">
        <v>42</v>
      </c>
      <c r="M175">
        <f>VLOOKUP(H175,'Stage Order'!$A$2:$B$8,2,FALSE)</f>
        <v>2</v>
      </c>
      <c r="N175" t="str">
        <f t="shared" si="4"/>
        <v>2. 1-24 hours</v>
      </c>
      <c r="O175" t="str">
        <f t="shared" si="5"/>
        <v>2025-05</v>
      </c>
    </row>
    <row r="176" spans="1:15" x14ac:dyDescent="0.3">
      <c r="A176" t="s">
        <v>477</v>
      </c>
      <c r="B176" t="s">
        <v>478</v>
      </c>
      <c r="C176" t="s">
        <v>125</v>
      </c>
      <c r="D176" t="s">
        <v>38</v>
      </c>
      <c r="E176" t="s">
        <v>45</v>
      </c>
      <c r="F176" t="s">
        <v>55</v>
      </c>
      <c r="G176">
        <v>14.17</v>
      </c>
      <c r="H176" t="s">
        <v>47</v>
      </c>
      <c r="I176" t="s">
        <v>48</v>
      </c>
      <c r="J176" t="s">
        <v>98</v>
      </c>
      <c r="K176">
        <v>349.42</v>
      </c>
      <c r="L176" t="s">
        <v>479</v>
      </c>
      <c r="M176">
        <f>VLOOKUP(H176,'Stage Order'!$A$2:$B$8,2,FALSE)</f>
        <v>4</v>
      </c>
      <c r="N176" t="str">
        <f t="shared" si="4"/>
        <v>2. 1-24 hours</v>
      </c>
      <c r="O176" t="str">
        <f t="shared" si="5"/>
        <v>2025-06</v>
      </c>
    </row>
    <row r="177" spans="1:15" x14ac:dyDescent="0.3">
      <c r="A177" t="s">
        <v>480</v>
      </c>
      <c r="B177" t="s">
        <v>481</v>
      </c>
      <c r="C177" t="s">
        <v>125</v>
      </c>
      <c r="D177" t="s">
        <v>29</v>
      </c>
      <c r="E177" t="s">
        <v>45</v>
      </c>
      <c r="F177" t="s">
        <v>55</v>
      </c>
      <c r="G177">
        <v>2.2000000000000002</v>
      </c>
      <c r="H177" t="s">
        <v>146</v>
      </c>
      <c r="I177" t="s">
        <v>48</v>
      </c>
      <c r="J177" t="s">
        <v>49</v>
      </c>
      <c r="K177">
        <v>757.04</v>
      </c>
      <c r="L177" t="s">
        <v>482</v>
      </c>
      <c r="M177">
        <f>VLOOKUP(H177,'Stage Order'!$A$2:$B$8,2,FALSE)</f>
        <v>5</v>
      </c>
      <c r="N177" t="str">
        <f t="shared" si="4"/>
        <v>2. 1-24 hours</v>
      </c>
      <c r="O177" t="str">
        <f t="shared" si="5"/>
        <v>2026-04</v>
      </c>
    </row>
    <row r="178" spans="1:15" x14ac:dyDescent="0.3">
      <c r="A178" t="s">
        <v>483</v>
      </c>
      <c r="B178" t="s">
        <v>484</v>
      </c>
      <c r="C178" t="s">
        <v>58</v>
      </c>
      <c r="D178" t="s">
        <v>38</v>
      </c>
      <c r="E178" t="s">
        <v>45</v>
      </c>
      <c r="F178" t="s">
        <v>46</v>
      </c>
      <c r="G178">
        <v>1.46</v>
      </c>
      <c r="H178" t="s">
        <v>61</v>
      </c>
      <c r="I178" t="s">
        <v>42</v>
      </c>
      <c r="M178">
        <f>VLOOKUP(H178,'Stage Order'!$A$2:$B$8,2,FALSE)</f>
        <v>1</v>
      </c>
      <c r="N178" t="str">
        <f t="shared" si="4"/>
        <v>2. 1-24 hours</v>
      </c>
      <c r="O178" t="str">
        <f t="shared" si="5"/>
        <v>2025-06</v>
      </c>
    </row>
    <row r="179" spans="1:15" x14ac:dyDescent="0.3">
      <c r="A179" t="s">
        <v>485</v>
      </c>
      <c r="B179" t="s">
        <v>486</v>
      </c>
      <c r="C179" t="s">
        <v>125</v>
      </c>
      <c r="D179" t="s">
        <v>38</v>
      </c>
      <c r="E179" t="s">
        <v>39</v>
      </c>
      <c r="F179" t="s">
        <v>106</v>
      </c>
      <c r="G179">
        <v>1.4</v>
      </c>
      <c r="H179" t="s">
        <v>47</v>
      </c>
      <c r="I179" t="s">
        <v>48</v>
      </c>
      <c r="J179" t="s">
        <v>49</v>
      </c>
      <c r="K179">
        <v>391.35</v>
      </c>
      <c r="L179" t="s">
        <v>487</v>
      </c>
      <c r="M179">
        <f>VLOOKUP(H179,'Stage Order'!$A$2:$B$8,2,FALSE)</f>
        <v>4</v>
      </c>
      <c r="N179" t="str">
        <f t="shared" si="4"/>
        <v>2. 1-24 hours</v>
      </c>
      <c r="O179" t="str">
        <f t="shared" si="5"/>
        <v>2025-07</v>
      </c>
    </row>
    <row r="180" spans="1:15" x14ac:dyDescent="0.3">
      <c r="A180" t="s">
        <v>488</v>
      </c>
      <c r="B180" t="s">
        <v>489</v>
      </c>
      <c r="C180" t="s">
        <v>37</v>
      </c>
      <c r="D180" t="s">
        <v>54</v>
      </c>
      <c r="E180" t="s">
        <v>59</v>
      </c>
      <c r="F180" t="s">
        <v>117</v>
      </c>
      <c r="G180">
        <v>2.13</v>
      </c>
      <c r="H180" t="s">
        <v>41</v>
      </c>
      <c r="I180" t="s">
        <v>42</v>
      </c>
      <c r="M180">
        <f>VLOOKUP(H180,'Stage Order'!$A$2:$B$8,2,FALSE)</f>
        <v>2</v>
      </c>
      <c r="N180" t="str">
        <f t="shared" si="4"/>
        <v>2. 1-24 hours</v>
      </c>
      <c r="O180" t="str">
        <f t="shared" si="5"/>
        <v>2025-06</v>
      </c>
    </row>
    <row r="181" spans="1:15" x14ac:dyDescent="0.3">
      <c r="A181" t="s">
        <v>490</v>
      </c>
      <c r="B181" t="s">
        <v>491</v>
      </c>
      <c r="C181" t="s">
        <v>81</v>
      </c>
      <c r="D181" t="s">
        <v>54</v>
      </c>
      <c r="E181" t="s">
        <v>90</v>
      </c>
      <c r="F181" t="s">
        <v>145</v>
      </c>
      <c r="G181">
        <v>6.19</v>
      </c>
      <c r="H181" t="s">
        <v>61</v>
      </c>
      <c r="I181" t="s">
        <v>42</v>
      </c>
      <c r="M181">
        <f>VLOOKUP(H181,'Stage Order'!$A$2:$B$8,2,FALSE)</f>
        <v>1</v>
      </c>
      <c r="N181" t="str">
        <f t="shared" si="4"/>
        <v>2. 1-24 hours</v>
      </c>
      <c r="O181" t="str">
        <f t="shared" si="5"/>
        <v>2026-03</v>
      </c>
    </row>
    <row r="182" spans="1:15" x14ac:dyDescent="0.3">
      <c r="A182" t="s">
        <v>492</v>
      </c>
      <c r="B182" t="s">
        <v>493</v>
      </c>
      <c r="C182" t="s">
        <v>58</v>
      </c>
      <c r="D182" t="s">
        <v>38</v>
      </c>
      <c r="E182" t="s">
        <v>30</v>
      </c>
      <c r="F182" t="s">
        <v>82</v>
      </c>
      <c r="G182">
        <v>5.49</v>
      </c>
      <c r="H182" t="s">
        <v>61</v>
      </c>
      <c r="I182" t="s">
        <v>42</v>
      </c>
      <c r="M182">
        <f>VLOOKUP(H182,'Stage Order'!$A$2:$B$8,2,FALSE)</f>
        <v>1</v>
      </c>
      <c r="N182" t="str">
        <f t="shared" si="4"/>
        <v>2. 1-24 hours</v>
      </c>
      <c r="O182" t="str">
        <f t="shared" si="5"/>
        <v>2026-04</v>
      </c>
    </row>
    <row r="183" spans="1:15" x14ac:dyDescent="0.3">
      <c r="A183" t="s">
        <v>494</v>
      </c>
      <c r="B183" t="s">
        <v>495</v>
      </c>
      <c r="C183" t="s">
        <v>37</v>
      </c>
      <c r="D183" t="s">
        <v>29</v>
      </c>
      <c r="E183" t="s">
        <v>45</v>
      </c>
      <c r="F183" t="s">
        <v>94</v>
      </c>
      <c r="G183">
        <v>14.7</v>
      </c>
      <c r="H183" t="s">
        <v>41</v>
      </c>
      <c r="I183" t="s">
        <v>42</v>
      </c>
      <c r="M183">
        <f>VLOOKUP(H183,'Stage Order'!$A$2:$B$8,2,FALSE)</f>
        <v>2</v>
      </c>
      <c r="N183" t="str">
        <f t="shared" si="4"/>
        <v>2. 1-24 hours</v>
      </c>
      <c r="O183" t="str">
        <f t="shared" si="5"/>
        <v>2026-06</v>
      </c>
    </row>
    <row r="184" spans="1:15" x14ac:dyDescent="0.3">
      <c r="A184" t="s">
        <v>496</v>
      </c>
      <c r="B184" t="s">
        <v>497</v>
      </c>
      <c r="C184" t="s">
        <v>53</v>
      </c>
      <c r="D184" t="s">
        <v>54</v>
      </c>
      <c r="E184" t="s">
        <v>45</v>
      </c>
      <c r="F184" t="s">
        <v>55</v>
      </c>
      <c r="G184">
        <v>4.66</v>
      </c>
      <c r="H184" t="s">
        <v>61</v>
      </c>
      <c r="I184" t="s">
        <v>42</v>
      </c>
      <c r="M184">
        <f>VLOOKUP(H184,'Stage Order'!$A$2:$B$8,2,FALSE)</f>
        <v>1</v>
      </c>
      <c r="N184" t="str">
        <f t="shared" si="4"/>
        <v>2. 1-24 hours</v>
      </c>
      <c r="O184" t="str">
        <f t="shared" si="5"/>
        <v>2025-07</v>
      </c>
    </row>
    <row r="185" spans="1:15" x14ac:dyDescent="0.3">
      <c r="A185" t="s">
        <v>498</v>
      </c>
      <c r="B185" t="s">
        <v>499</v>
      </c>
      <c r="C185" t="s">
        <v>28</v>
      </c>
      <c r="D185" t="s">
        <v>77</v>
      </c>
      <c r="E185" t="s">
        <v>39</v>
      </c>
      <c r="F185" t="s">
        <v>40</v>
      </c>
      <c r="G185">
        <v>1.0900000000000001</v>
      </c>
      <c r="H185" t="s">
        <v>32</v>
      </c>
      <c r="I185" t="s">
        <v>33</v>
      </c>
      <c r="K185">
        <v>901.66</v>
      </c>
      <c r="L185" t="s">
        <v>500</v>
      </c>
      <c r="M185">
        <f>VLOOKUP(H185,'Stage Order'!$A$2:$B$8,2,FALSE)</f>
        <v>7</v>
      </c>
      <c r="N185" t="str">
        <f t="shared" si="4"/>
        <v>2. 1-24 hours</v>
      </c>
      <c r="O185" t="str">
        <f t="shared" si="5"/>
        <v>2025-09</v>
      </c>
    </row>
    <row r="186" spans="1:15" x14ac:dyDescent="0.3">
      <c r="A186" t="s">
        <v>501</v>
      </c>
      <c r="B186" t="s">
        <v>502</v>
      </c>
      <c r="C186" t="s">
        <v>58</v>
      </c>
      <c r="D186" t="s">
        <v>97</v>
      </c>
      <c r="E186" t="s">
        <v>39</v>
      </c>
      <c r="F186" t="s">
        <v>40</v>
      </c>
      <c r="G186">
        <v>10.61</v>
      </c>
      <c r="H186" t="s">
        <v>41</v>
      </c>
      <c r="I186" t="s">
        <v>42</v>
      </c>
      <c r="M186">
        <f>VLOOKUP(H186,'Stage Order'!$A$2:$B$8,2,FALSE)</f>
        <v>2</v>
      </c>
      <c r="N186" t="str">
        <f t="shared" si="4"/>
        <v>2. 1-24 hours</v>
      </c>
      <c r="O186" t="str">
        <f t="shared" si="5"/>
        <v>2025-08</v>
      </c>
    </row>
    <row r="187" spans="1:15" x14ac:dyDescent="0.3">
      <c r="A187" t="s">
        <v>503</v>
      </c>
      <c r="B187" t="s">
        <v>504</v>
      </c>
      <c r="C187" t="s">
        <v>53</v>
      </c>
      <c r="D187" t="s">
        <v>38</v>
      </c>
      <c r="E187" t="s">
        <v>45</v>
      </c>
      <c r="F187" t="s">
        <v>46</v>
      </c>
      <c r="G187">
        <v>4.45</v>
      </c>
      <c r="H187" t="s">
        <v>146</v>
      </c>
      <c r="I187" t="s">
        <v>48</v>
      </c>
      <c r="J187" t="s">
        <v>139</v>
      </c>
      <c r="K187">
        <v>304.02</v>
      </c>
      <c r="L187" t="s">
        <v>505</v>
      </c>
      <c r="M187">
        <f>VLOOKUP(H187,'Stage Order'!$A$2:$B$8,2,FALSE)</f>
        <v>5</v>
      </c>
      <c r="N187" t="str">
        <f t="shared" si="4"/>
        <v>2. 1-24 hours</v>
      </c>
      <c r="O187" t="str">
        <f t="shared" si="5"/>
        <v>2025-02</v>
      </c>
    </row>
    <row r="188" spans="1:15" x14ac:dyDescent="0.3">
      <c r="A188" t="s">
        <v>506</v>
      </c>
      <c r="B188" t="s">
        <v>507</v>
      </c>
      <c r="C188" t="s">
        <v>37</v>
      </c>
      <c r="D188" t="s">
        <v>77</v>
      </c>
      <c r="E188" t="s">
        <v>39</v>
      </c>
      <c r="F188" t="s">
        <v>106</v>
      </c>
      <c r="G188">
        <v>5.37</v>
      </c>
      <c r="H188" t="s">
        <v>41</v>
      </c>
      <c r="I188" t="s">
        <v>42</v>
      </c>
      <c r="M188">
        <f>VLOOKUP(H188,'Stage Order'!$A$2:$B$8,2,FALSE)</f>
        <v>2</v>
      </c>
      <c r="N188" t="str">
        <f t="shared" si="4"/>
        <v>2. 1-24 hours</v>
      </c>
      <c r="O188" t="str">
        <f t="shared" si="5"/>
        <v>2026-04</v>
      </c>
    </row>
    <row r="189" spans="1:15" x14ac:dyDescent="0.3">
      <c r="A189" t="s">
        <v>508</v>
      </c>
      <c r="B189" t="s">
        <v>509</v>
      </c>
      <c r="C189" t="s">
        <v>76</v>
      </c>
      <c r="D189" t="s">
        <v>54</v>
      </c>
      <c r="E189" t="s">
        <v>59</v>
      </c>
      <c r="F189" t="s">
        <v>60</v>
      </c>
      <c r="G189">
        <v>1.75</v>
      </c>
      <c r="H189" t="s">
        <v>41</v>
      </c>
      <c r="I189" t="s">
        <v>42</v>
      </c>
      <c r="M189">
        <f>VLOOKUP(H189,'Stage Order'!$A$2:$B$8,2,FALSE)</f>
        <v>2</v>
      </c>
      <c r="N189" t="str">
        <f t="shared" si="4"/>
        <v>2. 1-24 hours</v>
      </c>
      <c r="O189" t="str">
        <f t="shared" si="5"/>
        <v>2026-05</v>
      </c>
    </row>
    <row r="190" spans="1:15" x14ac:dyDescent="0.3">
      <c r="A190" t="s">
        <v>510</v>
      </c>
      <c r="B190" t="s">
        <v>511</v>
      </c>
      <c r="C190" t="s">
        <v>125</v>
      </c>
      <c r="D190" t="s">
        <v>54</v>
      </c>
      <c r="E190" t="s">
        <v>90</v>
      </c>
      <c r="F190" t="s">
        <v>91</v>
      </c>
      <c r="G190">
        <v>1.0900000000000001</v>
      </c>
      <c r="H190" t="s">
        <v>61</v>
      </c>
      <c r="I190" t="s">
        <v>42</v>
      </c>
      <c r="M190">
        <f>VLOOKUP(H190,'Stage Order'!$A$2:$B$8,2,FALSE)</f>
        <v>1</v>
      </c>
      <c r="N190" t="str">
        <f t="shared" si="4"/>
        <v>2. 1-24 hours</v>
      </c>
      <c r="O190" t="str">
        <f t="shared" si="5"/>
        <v>2026-03</v>
      </c>
    </row>
    <row r="191" spans="1:15" x14ac:dyDescent="0.3">
      <c r="A191" t="s">
        <v>512</v>
      </c>
      <c r="B191" t="s">
        <v>513</v>
      </c>
      <c r="C191" t="s">
        <v>37</v>
      </c>
      <c r="D191" t="s">
        <v>38</v>
      </c>
      <c r="E191" t="s">
        <v>59</v>
      </c>
      <c r="F191" t="s">
        <v>117</v>
      </c>
      <c r="G191">
        <v>1.82</v>
      </c>
      <c r="H191" t="s">
        <v>32</v>
      </c>
      <c r="I191" t="s">
        <v>33</v>
      </c>
      <c r="K191">
        <v>375.52</v>
      </c>
      <c r="L191" t="s">
        <v>514</v>
      </c>
      <c r="M191">
        <f>VLOOKUP(H191,'Stage Order'!$A$2:$B$8,2,FALSE)</f>
        <v>7</v>
      </c>
      <c r="N191" t="str">
        <f t="shared" si="4"/>
        <v>2. 1-24 hours</v>
      </c>
      <c r="O191" t="str">
        <f t="shared" si="5"/>
        <v>2026-03</v>
      </c>
    </row>
    <row r="192" spans="1:15" x14ac:dyDescent="0.3">
      <c r="A192" t="s">
        <v>515</v>
      </c>
      <c r="B192" t="s">
        <v>516</v>
      </c>
      <c r="C192" t="s">
        <v>28</v>
      </c>
      <c r="D192" t="s">
        <v>54</v>
      </c>
      <c r="E192" t="s">
        <v>45</v>
      </c>
      <c r="F192" t="s">
        <v>94</v>
      </c>
      <c r="G192">
        <v>5.25</v>
      </c>
      <c r="H192" t="s">
        <v>32</v>
      </c>
      <c r="I192" t="s">
        <v>33</v>
      </c>
      <c r="K192">
        <v>528.29999999999995</v>
      </c>
      <c r="L192" t="s">
        <v>517</v>
      </c>
      <c r="M192">
        <f>VLOOKUP(H192,'Stage Order'!$A$2:$B$8,2,FALSE)</f>
        <v>7</v>
      </c>
      <c r="N192" t="str">
        <f t="shared" si="4"/>
        <v>2. 1-24 hours</v>
      </c>
      <c r="O192" t="str">
        <f t="shared" si="5"/>
        <v>2025-07</v>
      </c>
    </row>
    <row r="193" spans="1:15" x14ac:dyDescent="0.3">
      <c r="A193" t="s">
        <v>518</v>
      </c>
      <c r="B193" t="s">
        <v>519</v>
      </c>
      <c r="C193" t="s">
        <v>28</v>
      </c>
      <c r="D193" t="s">
        <v>29</v>
      </c>
      <c r="E193" t="s">
        <v>39</v>
      </c>
      <c r="F193" t="s">
        <v>40</v>
      </c>
      <c r="G193">
        <v>5.9</v>
      </c>
      <c r="H193" t="s">
        <v>41</v>
      </c>
      <c r="I193" t="s">
        <v>42</v>
      </c>
      <c r="M193">
        <f>VLOOKUP(H193,'Stage Order'!$A$2:$B$8,2,FALSE)</f>
        <v>2</v>
      </c>
      <c r="N193" t="str">
        <f t="shared" si="4"/>
        <v>2. 1-24 hours</v>
      </c>
      <c r="O193" t="str">
        <f t="shared" si="5"/>
        <v>2026-06</v>
      </c>
    </row>
    <row r="194" spans="1:15" x14ac:dyDescent="0.3">
      <c r="A194" t="s">
        <v>520</v>
      </c>
      <c r="B194" t="s">
        <v>521</v>
      </c>
      <c r="C194" t="s">
        <v>53</v>
      </c>
      <c r="D194" t="s">
        <v>54</v>
      </c>
      <c r="E194" t="s">
        <v>59</v>
      </c>
      <c r="F194" t="s">
        <v>137</v>
      </c>
      <c r="G194">
        <v>6.23</v>
      </c>
      <c r="H194" t="s">
        <v>138</v>
      </c>
      <c r="I194" t="s">
        <v>48</v>
      </c>
      <c r="J194" t="s">
        <v>139</v>
      </c>
      <c r="K194">
        <v>482.65</v>
      </c>
      <c r="L194" t="s">
        <v>522</v>
      </c>
      <c r="M194">
        <f>VLOOKUP(H194,'Stage Order'!$A$2:$B$8,2,FALSE)</f>
        <v>6</v>
      </c>
      <c r="N194" t="str">
        <f t="shared" ref="N194:N257" si="6">IF(G194&lt;=1,"1. Under 1 hour",IF(G194&lt;=24,"2. 1-24 hours",IF(G194&lt;=72,"3. 1-3 days","4. Over 3 days")))</f>
        <v>2. 1-24 hours</v>
      </c>
      <c r="O194" t="str">
        <f t="shared" ref="O194:O257" si="7">TEXT(B194,"YYYY-MM")</f>
        <v>2025-08</v>
      </c>
    </row>
    <row r="195" spans="1:15" x14ac:dyDescent="0.3">
      <c r="A195" t="s">
        <v>523</v>
      </c>
      <c r="B195" t="s">
        <v>524</v>
      </c>
      <c r="C195" t="s">
        <v>81</v>
      </c>
      <c r="D195" t="s">
        <v>54</v>
      </c>
      <c r="E195" t="s">
        <v>39</v>
      </c>
      <c r="F195" t="s">
        <v>40</v>
      </c>
      <c r="G195">
        <v>3.27</v>
      </c>
      <c r="H195" t="s">
        <v>41</v>
      </c>
      <c r="I195" t="s">
        <v>42</v>
      </c>
      <c r="M195">
        <f>VLOOKUP(H195,'Stage Order'!$A$2:$B$8,2,FALSE)</f>
        <v>2</v>
      </c>
      <c r="N195" t="str">
        <f t="shared" si="6"/>
        <v>2. 1-24 hours</v>
      </c>
      <c r="O195" t="str">
        <f t="shared" si="7"/>
        <v>2026-02</v>
      </c>
    </row>
    <row r="196" spans="1:15" x14ac:dyDescent="0.3">
      <c r="A196" t="s">
        <v>525</v>
      </c>
      <c r="B196" t="s">
        <v>526</v>
      </c>
      <c r="C196" t="s">
        <v>37</v>
      </c>
      <c r="D196" t="s">
        <v>54</v>
      </c>
      <c r="E196" t="s">
        <v>30</v>
      </c>
      <c r="F196" t="s">
        <v>82</v>
      </c>
      <c r="G196">
        <v>1.88</v>
      </c>
      <c r="H196" t="s">
        <v>146</v>
      </c>
      <c r="I196" t="s">
        <v>48</v>
      </c>
      <c r="J196" t="s">
        <v>98</v>
      </c>
      <c r="K196">
        <v>551.59</v>
      </c>
      <c r="L196" t="s">
        <v>527</v>
      </c>
      <c r="M196">
        <f>VLOOKUP(H196,'Stage Order'!$A$2:$B$8,2,FALSE)</f>
        <v>5</v>
      </c>
      <c r="N196" t="str">
        <f t="shared" si="6"/>
        <v>2. 1-24 hours</v>
      </c>
      <c r="O196" t="str">
        <f t="shared" si="7"/>
        <v>2026-03</v>
      </c>
    </row>
    <row r="197" spans="1:15" x14ac:dyDescent="0.3">
      <c r="A197" t="s">
        <v>528</v>
      </c>
      <c r="B197" t="s">
        <v>529</v>
      </c>
      <c r="C197" t="s">
        <v>76</v>
      </c>
      <c r="D197" t="s">
        <v>77</v>
      </c>
      <c r="E197" t="s">
        <v>90</v>
      </c>
      <c r="F197" t="s">
        <v>112</v>
      </c>
      <c r="G197">
        <v>2.19</v>
      </c>
      <c r="H197" t="s">
        <v>61</v>
      </c>
      <c r="I197" t="s">
        <v>42</v>
      </c>
      <c r="M197">
        <f>VLOOKUP(H197,'Stage Order'!$A$2:$B$8,2,FALSE)</f>
        <v>1</v>
      </c>
      <c r="N197" t="str">
        <f t="shared" si="6"/>
        <v>2. 1-24 hours</v>
      </c>
      <c r="O197" t="str">
        <f t="shared" si="7"/>
        <v>2025-08</v>
      </c>
    </row>
    <row r="198" spans="1:15" x14ac:dyDescent="0.3">
      <c r="A198" t="s">
        <v>530</v>
      </c>
      <c r="B198" t="s">
        <v>531</v>
      </c>
      <c r="C198" t="s">
        <v>58</v>
      </c>
      <c r="D198" t="s">
        <v>77</v>
      </c>
      <c r="E198" t="s">
        <v>45</v>
      </c>
      <c r="F198" t="s">
        <v>55</v>
      </c>
      <c r="G198">
        <v>4.3099999999999996</v>
      </c>
      <c r="H198" t="s">
        <v>41</v>
      </c>
      <c r="I198" t="s">
        <v>42</v>
      </c>
      <c r="M198">
        <f>VLOOKUP(H198,'Stage Order'!$A$2:$B$8,2,FALSE)</f>
        <v>2</v>
      </c>
      <c r="N198" t="str">
        <f t="shared" si="6"/>
        <v>2. 1-24 hours</v>
      </c>
      <c r="O198" t="str">
        <f t="shared" si="7"/>
        <v>2025-04</v>
      </c>
    </row>
    <row r="199" spans="1:15" x14ac:dyDescent="0.3">
      <c r="A199" t="s">
        <v>532</v>
      </c>
      <c r="B199" t="s">
        <v>533</v>
      </c>
      <c r="C199" t="s">
        <v>58</v>
      </c>
      <c r="D199" t="s">
        <v>29</v>
      </c>
      <c r="E199" t="s">
        <v>30</v>
      </c>
      <c r="F199" t="s">
        <v>78</v>
      </c>
      <c r="G199">
        <v>39.880000000000003</v>
      </c>
      <c r="H199" t="s">
        <v>41</v>
      </c>
      <c r="I199" t="s">
        <v>42</v>
      </c>
      <c r="M199">
        <f>VLOOKUP(H199,'Stage Order'!$A$2:$B$8,2,FALSE)</f>
        <v>2</v>
      </c>
      <c r="N199" t="str">
        <f t="shared" si="6"/>
        <v>3. 1-3 days</v>
      </c>
      <c r="O199" t="str">
        <f t="shared" si="7"/>
        <v>2026-06</v>
      </c>
    </row>
    <row r="200" spans="1:15" x14ac:dyDescent="0.3">
      <c r="A200" t="s">
        <v>534</v>
      </c>
      <c r="B200" t="s">
        <v>535</v>
      </c>
      <c r="C200" t="s">
        <v>58</v>
      </c>
      <c r="D200" t="s">
        <v>38</v>
      </c>
      <c r="E200" t="s">
        <v>90</v>
      </c>
      <c r="F200" t="s">
        <v>145</v>
      </c>
      <c r="G200">
        <v>5.53</v>
      </c>
      <c r="H200" t="s">
        <v>128</v>
      </c>
      <c r="I200" t="s">
        <v>42</v>
      </c>
      <c r="M200">
        <f>VLOOKUP(H200,'Stage Order'!$A$2:$B$8,2,FALSE)</f>
        <v>3</v>
      </c>
      <c r="N200" t="str">
        <f t="shared" si="6"/>
        <v>2. 1-24 hours</v>
      </c>
      <c r="O200" t="str">
        <f t="shared" si="7"/>
        <v>2025-09</v>
      </c>
    </row>
    <row r="201" spans="1:15" x14ac:dyDescent="0.3">
      <c r="A201" t="s">
        <v>536</v>
      </c>
      <c r="B201" t="s">
        <v>537</v>
      </c>
      <c r="C201" t="s">
        <v>58</v>
      </c>
      <c r="D201" t="s">
        <v>77</v>
      </c>
      <c r="E201" t="s">
        <v>59</v>
      </c>
      <c r="F201" t="s">
        <v>60</v>
      </c>
      <c r="G201">
        <v>1.01</v>
      </c>
      <c r="H201" t="s">
        <v>146</v>
      </c>
      <c r="I201" t="s">
        <v>48</v>
      </c>
      <c r="J201" t="s">
        <v>139</v>
      </c>
      <c r="K201">
        <v>1021.5</v>
      </c>
      <c r="L201" t="s">
        <v>538</v>
      </c>
      <c r="M201">
        <f>VLOOKUP(H201,'Stage Order'!$A$2:$B$8,2,FALSE)</f>
        <v>5</v>
      </c>
      <c r="N201" t="str">
        <f t="shared" si="6"/>
        <v>2. 1-24 hours</v>
      </c>
      <c r="O201" t="str">
        <f t="shared" si="7"/>
        <v>2025-11</v>
      </c>
    </row>
    <row r="202" spans="1:15" x14ac:dyDescent="0.3">
      <c r="A202" t="s">
        <v>539</v>
      </c>
      <c r="B202" t="s">
        <v>540</v>
      </c>
      <c r="C202" t="s">
        <v>28</v>
      </c>
      <c r="D202" t="s">
        <v>54</v>
      </c>
      <c r="E202" t="s">
        <v>90</v>
      </c>
      <c r="F202" t="s">
        <v>145</v>
      </c>
      <c r="G202">
        <v>1.26</v>
      </c>
      <c r="H202" t="s">
        <v>41</v>
      </c>
      <c r="I202" t="s">
        <v>42</v>
      </c>
      <c r="M202">
        <f>VLOOKUP(H202,'Stage Order'!$A$2:$B$8,2,FALSE)</f>
        <v>2</v>
      </c>
      <c r="N202" t="str">
        <f t="shared" si="6"/>
        <v>2. 1-24 hours</v>
      </c>
      <c r="O202" t="str">
        <f t="shared" si="7"/>
        <v>2026-04</v>
      </c>
    </row>
    <row r="203" spans="1:15" x14ac:dyDescent="0.3">
      <c r="A203" t="s">
        <v>541</v>
      </c>
      <c r="B203" t="s">
        <v>542</v>
      </c>
      <c r="C203" t="s">
        <v>28</v>
      </c>
      <c r="D203" t="s">
        <v>54</v>
      </c>
      <c r="E203" t="s">
        <v>90</v>
      </c>
      <c r="F203" t="s">
        <v>145</v>
      </c>
      <c r="G203">
        <v>2.63</v>
      </c>
      <c r="H203" t="s">
        <v>138</v>
      </c>
      <c r="I203" t="s">
        <v>48</v>
      </c>
      <c r="J203" t="s">
        <v>139</v>
      </c>
      <c r="K203">
        <v>541.28</v>
      </c>
      <c r="L203" t="s">
        <v>543</v>
      </c>
      <c r="M203">
        <f>VLOOKUP(H203,'Stage Order'!$A$2:$B$8,2,FALSE)</f>
        <v>6</v>
      </c>
      <c r="N203" t="str">
        <f t="shared" si="6"/>
        <v>2. 1-24 hours</v>
      </c>
      <c r="O203" t="str">
        <f t="shared" si="7"/>
        <v>2025-08</v>
      </c>
    </row>
    <row r="204" spans="1:15" x14ac:dyDescent="0.3">
      <c r="A204" t="s">
        <v>544</v>
      </c>
      <c r="B204" t="s">
        <v>545</v>
      </c>
      <c r="C204" t="s">
        <v>125</v>
      </c>
      <c r="D204" t="s">
        <v>54</v>
      </c>
      <c r="E204" t="s">
        <v>39</v>
      </c>
      <c r="F204" t="s">
        <v>106</v>
      </c>
      <c r="G204">
        <v>4.04</v>
      </c>
      <c r="H204" t="s">
        <v>47</v>
      </c>
      <c r="I204" t="s">
        <v>48</v>
      </c>
      <c r="J204" t="s">
        <v>98</v>
      </c>
      <c r="K204">
        <v>420.26</v>
      </c>
      <c r="L204" t="s">
        <v>546</v>
      </c>
      <c r="M204">
        <f>VLOOKUP(H204,'Stage Order'!$A$2:$B$8,2,FALSE)</f>
        <v>4</v>
      </c>
      <c r="N204" t="str">
        <f t="shared" si="6"/>
        <v>2. 1-24 hours</v>
      </c>
      <c r="O204" t="str">
        <f t="shared" si="7"/>
        <v>2026-02</v>
      </c>
    </row>
    <row r="205" spans="1:15" x14ac:dyDescent="0.3">
      <c r="A205" t="s">
        <v>547</v>
      </c>
      <c r="B205" t="s">
        <v>548</v>
      </c>
      <c r="C205" t="s">
        <v>53</v>
      </c>
      <c r="D205" t="s">
        <v>97</v>
      </c>
      <c r="E205" t="s">
        <v>59</v>
      </c>
      <c r="F205" t="s">
        <v>60</v>
      </c>
      <c r="G205">
        <v>5.62</v>
      </c>
      <c r="H205" t="s">
        <v>138</v>
      </c>
      <c r="I205" t="s">
        <v>48</v>
      </c>
      <c r="J205" t="s">
        <v>113</v>
      </c>
      <c r="K205">
        <v>1533.79</v>
      </c>
      <c r="L205" t="s">
        <v>549</v>
      </c>
      <c r="M205">
        <f>VLOOKUP(H205,'Stage Order'!$A$2:$B$8,2,FALSE)</f>
        <v>6</v>
      </c>
      <c r="N205" t="str">
        <f t="shared" si="6"/>
        <v>2. 1-24 hours</v>
      </c>
      <c r="O205" t="str">
        <f t="shared" si="7"/>
        <v>2025-06</v>
      </c>
    </row>
    <row r="206" spans="1:15" x14ac:dyDescent="0.3">
      <c r="A206" t="s">
        <v>550</v>
      </c>
      <c r="B206" t="s">
        <v>551</v>
      </c>
      <c r="C206" t="s">
        <v>81</v>
      </c>
      <c r="D206" t="s">
        <v>97</v>
      </c>
      <c r="E206" t="s">
        <v>39</v>
      </c>
      <c r="F206" t="s">
        <v>66</v>
      </c>
      <c r="G206">
        <v>3.57</v>
      </c>
      <c r="H206" t="s">
        <v>61</v>
      </c>
      <c r="I206" t="s">
        <v>42</v>
      </c>
      <c r="M206">
        <f>VLOOKUP(H206,'Stage Order'!$A$2:$B$8,2,FALSE)</f>
        <v>1</v>
      </c>
      <c r="N206" t="str">
        <f t="shared" si="6"/>
        <v>2. 1-24 hours</v>
      </c>
      <c r="O206" t="str">
        <f t="shared" si="7"/>
        <v>2025-04</v>
      </c>
    </row>
    <row r="207" spans="1:15" x14ac:dyDescent="0.3">
      <c r="A207" t="s">
        <v>552</v>
      </c>
      <c r="B207" t="s">
        <v>553</v>
      </c>
      <c r="C207" t="s">
        <v>53</v>
      </c>
      <c r="D207" t="s">
        <v>97</v>
      </c>
      <c r="E207" t="s">
        <v>45</v>
      </c>
      <c r="F207" t="s">
        <v>55</v>
      </c>
      <c r="G207">
        <v>1.56</v>
      </c>
      <c r="H207" t="s">
        <v>41</v>
      </c>
      <c r="I207" t="s">
        <v>42</v>
      </c>
      <c r="M207">
        <f>VLOOKUP(H207,'Stage Order'!$A$2:$B$8,2,FALSE)</f>
        <v>2</v>
      </c>
      <c r="N207" t="str">
        <f t="shared" si="6"/>
        <v>2. 1-24 hours</v>
      </c>
      <c r="O207" t="str">
        <f t="shared" si="7"/>
        <v>2025-03</v>
      </c>
    </row>
    <row r="208" spans="1:15" x14ac:dyDescent="0.3">
      <c r="A208" t="s">
        <v>554</v>
      </c>
      <c r="B208" t="s">
        <v>555</v>
      </c>
      <c r="C208" t="s">
        <v>28</v>
      </c>
      <c r="D208" t="s">
        <v>77</v>
      </c>
      <c r="E208" t="s">
        <v>30</v>
      </c>
      <c r="F208" t="s">
        <v>31</v>
      </c>
      <c r="G208">
        <v>2.84</v>
      </c>
      <c r="H208" t="s">
        <v>146</v>
      </c>
      <c r="I208" t="s">
        <v>48</v>
      </c>
      <c r="J208" t="s">
        <v>98</v>
      </c>
      <c r="K208">
        <v>970.7</v>
      </c>
      <c r="L208" t="s">
        <v>556</v>
      </c>
      <c r="M208">
        <f>VLOOKUP(H208,'Stage Order'!$A$2:$B$8,2,FALSE)</f>
        <v>5</v>
      </c>
      <c r="N208" t="str">
        <f t="shared" si="6"/>
        <v>2. 1-24 hours</v>
      </c>
      <c r="O208" t="str">
        <f t="shared" si="7"/>
        <v>2025-02</v>
      </c>
    </row>
    <row r="209" spans="1:15" x14ac:dyDescent="0.3">
      <c r="A209" t="s">
        <v>557</v>
      </c>
      <c r="B209" t="s">
        <v>558</v>
      </c>
      <c r="C209" t="s">
        <v>53</v>
      </c>
      <c r="D209" t="s">
        <v>29</v>
      </c>
      <c r="E209" t="s">
        <v>59</v>
      </c>
      <c r="F209" t="s">
        <v>137</v>
      </c>
      <c r="G209">
        <v>3.53</v>
      </c>
      <c r="H209" t="s">
        <v>41</v>
      </c>
      <c r="I209" t="s">
        <v>42</v>
      </c>
      <c r="M209">
        <f>VLOOKUP(H209,'Stage Order'!$A$2:$B$8,2,FALSE)</f>
        <v>2</v>
      </c>
      <c r="N209" t="str">
        <f t="shared" si="6"/>
        <v>2. 1-24 hours</v>
      </c>
      <c r="O209" t="str">
        <f t="shared" si="7"/>
        <v>2025-10</v>
      </c>
    </row>
    <row r="210" spans="1:15" x14ac:dyDescent="0.3">
      <c r="A210" t="s">
        <v>559</v>
      </c>
      <c r="B210" t="s">
        <v>560</v>
      </c>
      <c r="C210" t="s">
        <v>125</v>
      </c>
      <c r="D210" t="s">
        <v>29</v>
      </c>
      <c r="E210" t="s">
        <v>90</v>
      </c>
      <c r="F210" t="s">
        <v>91</v>
      </c>
      <c r="G210">
        <v>0.5</v>
      </c>
      <c r="H210" t="s">
        <v>61</v>
      </c>
      <c r="I210" t="s">
        <v>42</v>
      </c>
      <c r="M210">
        <f>VLOOKUP(H210,'Stage Order'!$A$2:$B$8,2,FALSE)</f>
        <v>1</v>
      </c>
      <c r="N210" t="str">
        <f t="shared" si="6"/>
        <v>1. Under 1 hour</v>
      </c>
      <c r="O210" t="str">
        <f t="shared" si="7"/>
        <v>2025-03</v>
      </c>
    </row>
    <row r="211" spans="1:15" x14ac:dyDescent="0.3">
      <c r="A211" t="s">
        <v>561</v>
      </c>
      <c r="B211" t="s">
        <v>562</v>
      </c>
      <c r="C211" t="s">
        <v>37</v>
      </c>
      <c r="D211" t="s">
        <v>97</v>
      </c>
      <c r="E211" t="s">
        <v>39</v>
      </c>
      <c r="F211" t="s">
        <v>66</v>
      </c>
      <c r="G211">
        <v>5.13</v>
      </c>
      <c r="H211" t="s">
        <v>61</v>
      </c>
      <c r="I211" t="s">
        <v>42</v>
      </c>
      <c r="M211">
        <f>VLOOKUP(H211,'Stage Order'!$A$2:$B$8,2,FALSE)</f>
        <v>1</v>
      </c>
      <c r="N211" t="str">
        <f t="shared" si="6"/>
        <v>2. 1-24 hours</v>
      </c>
      <c r="O211" t="str">
        <f t="shared" si="7"/>
        <v>2025-11</v>
      </c>
    </row>
    <row r="212" spans="1:15" x14ac:dyDescent="0.3">
      <c r="A212" t="s">
        <v>563</v>
      </c>
      <c r="B212" t="s">
        <v>564</v>
      </c>
      <c r="C212" t="s">
        <v>37</v>
      </c>
      <c r="D212" t="s">
        <v>38</v>
      </c>
      <c r="E212" t="s">
        <v>59</v>
      </c>
      <c r="F212" t="s">
        <v>117</v>
      </c>
      <c r="G212">
        <v>2.83</v>
      </c>
      <c r="H212" t="s">
        <v>41</v>
      </c>
      <c r="I212" t="s">
        <v>42</v>
      </c>
      <c r="M212">
        <f>VLOOKUP(H212,'Stage Order'!$A$2:$B$8,2,FALSE)</f>
        <v>2</v>
      </c>
      <c r="N212" t="str">
        <f t="shared" si="6"/>
        <v>2. 1-24 hours</v>
      </c>
      <c r="O212" t="str">
        <f t="shared" si="7"/>
        <v>2025-07</v>
      </c>
    </row>
    <row r="213" spans="1:15" x14ac:dyDescent="0.3">
      <c r="A213" t="s">
        <v>565</v>
      </c>
      <c r="B213" t="s">
        <v>566</v>
      </c>
      <c r="C213" t="s">
        <v>76</v>
      </c>
      <c r="D213" t="s">
        <v>29</v>
      </c>
      <c r="E213" t="s">
        <v>39</v>
      </c>
      <c r="F213" t="s">
        <v>106</v>
      </c>
      <c r="G213">
        <v>23.84</v>
      </c>
      <c r="H213" t="s">
        <v>32</v>
      </c>
      <c r="I213" t="s">
        <v>33</v>
      </c>
      <c r="K213">
        <v>649.01</v>
      </c>
      <c r="L213" t="s">
        <v>567</v>
      </c>
      <c r="M213">
        <f>VLOOKUP(H213,'Stage Order'!$A$2:$B$8,2,FALSE)</f>
        <v>7</v>
      </c>
      <c r="N213" t="str">
        <f t="shared" si="6"/>
        <v>2. 1-24 hours</v>
      </c>
      <c r="O213" t="str">
        <f t="shared" si="7"/>
        <v>2025-08</v>
      </c>
    </row>
    <row r="214" spans="1:15" x14ac:dyDescent="0.3">
      <c r="A214" t="s">
        <v>568</v>
      </c>
      <c r="B214" t="s">
        <v>569</v>
      </c>
      <c r="C214" t="s">
        <v>53</v>
      </c>
      <c r="D214" t="s">
        <v>77</v>
      </c>
      <c r="E214" t="s">
        <v>45</v>
      </c>
      <c r="F214" t="s">
        <v>94</v>
      </c>
      <c r="G214">
        <v>1.91</v>
      </c>
      <c r="H214" t="s">
        <v>138</v>
      </c>
      <c r="I214" t="s">
        <v>48</v>
      </c>
      <c r="J214" t="s">
        <v>139</v>
      </c>
      <c r="K214">
        <v>1168.3499999999999</v>
      </c>
      <c r="L214" t="s">
        <v>570</v>
      </c>
      <c r="M214">
        <f>VLOOKUP(H214,'Stage Order'!$A$2:$B$8,2,FALSE)</f>
        <v>6</v>
      </c>
      <c r="N214" t="str">
        <f t="shared" si="6"/>
        <v>2. 1-24 hours</v>
      </c>
      <c r="O214" t="str">
        <f t="shared" si="7"/>
        <v>2026-05</v>
      </c>
    </row>
    <row r="215" spans="1:15" x14ac:dyDescent="0.3">
      <c r="A215" t="s">
        <v>571</v>
      </c>
      <c r="B215" t="s">
        <v>572</v>
      </c>
      <c r="C215" t="s">
        <v>37</v>
      </c>
      <c r="D215" t="s">
        <v>54</v>
      </c>
      <c r="E215" t="s">
        <v>90</v>
      </c>
      <c r="F215" t="s">
        <v>145</v>
      </c>
      <c r="G215">
        <v>2.4700000000000002</v>
      </c>
      <c r="H215" t="s">
        <v>32</v>
      </c>
      <c r="I215" t="s">
        <v>33</v>
      </c>
      <c r="K215">
        <v>437.33</v>
      </c>
      <c r="L215" t="s">
        <v>573</v>
      </c>
      <c r="M215">
        <f>VLOOKUP(H215,'Stage Order'!$A$2:$B$8,2,FALSE)</f>
        <v>7</v>
      </c>
      <c r="N215" t="str">
        <f t="shared" si="6"/>
        <v>2. 1-24 hours</v>
      </c>
      <c r="O215" t="str">
        <f t="shared" si="7"/>
        <v>2026-06</v>
      </c>
    </row>
    <row r="216" spans="1:15" x14ac:dyDescent="0.3">
      <c r="A216" t="s">
        <v>574</v>
      </c>
      <c r="B216" t="s">
        <v>575</v>
      </c>
      <c r="C216" t="s">
        <v>125</v>
      </c>
      <c r="D216" t="s">
        <v>29</v>
      </c>
      <c r="E216" t="s">
        <v>59</v>
      </c>
      <c r="F216" t="s">
        <v>60</v>
      </c>
      <c r="G216">
        <v>2.2599999999999998</v>
      </c>
      <c r="H216" t="s">
        <v>138</v>
      </c>
      <c r="I216" t="s">
        <v>48</v>
      </c>
      <c r="J216" t="s">
        <v>113</v>
      </c>
      <c r="K216">
        <v>535.15</v>
      </c>
      <c r="L216" t="s">
        <v>576</v>
      </c>
      <c r="M216">
        <f>VLOOKUP(H216,'Stage Order'!$A$2:$B$8,2,FALSE)</f>
        <v>6</v>
      </c>
      <c r="N216" t="str">
        <f t="shared" si="6"/>
        <v>2. 1-24 hours</v>
      </c>
      <c r="O216" t="str">
        <f t="shared" si="7"/>
        <v>2026-03</v>
      </c>
    </row>
    <row r="217" spans="1:15" x14ac:dyDescent="0.3">
      <c r="A217" t="s">
        <v>577</v>
      </c>
      <c r="B217" t="s">
        <v>578</v>
      </c>
      <c r="C217" t="s">
        <v>28</v>
      </c>
      <c r="D217" t="s">
        <v>77</v>
      </c>
      <c r="E217" t="s">
        <v>59</v>
      </c>
      <c r="F217" t="s">
        <v>60</v>
      </c>
      <c r="G217">
        <v>14.63</v>
      </c>
      <c r="H217" t="s">
        <v>41</v>
      </c>
      <c r="I217" t="s">
        <v>42</v>
      </c>
      <c r="M217">
        <f>VLOOKUP(H217,'Stage Order'!$A$2:$B$8,2,FALSE)</f>
        <v>2</v>
      </c>
      <c r="N217" t="str">
        <f t="shared" si="6"/>
        <v>2. 1-24 hours</v>
      </c>
      <c r="O217" t="str">
        <f t="shared" si="7"/>
        <v>2025-04</v>
      </c>
    </row>
    <row r="218" spans="1:15" x14ac:dyDescent="0.3">
      <c r="A218" t="s">
        <v>579</v>
      </c>
      <c r="B218" t="s">
        <v>580</v>
      </c>
      <c r="C218" t="s">
        <v>37</v>
      </c>
      <c r="D218" t="s">
        <v>97</v>
      </c>
      <c r="E218" t="s">
        <v>45</v>
      </c>
      <c r="F218" t="s">
        <v>94</v>
      </c>
      <c r="G218">
        <v>1.64</v>
      </c>
      <c r="H218" t="s">
        <v>41</v>
      </c>
      <c r="I218" t="s">
        <v>42</v>
      </c>
      <c r="M218">
        <f>VLOOKUP(H218,'Stage Order'!$A$2:$B$8,2,FALSE)</f>
        <v>2</v>
      </c>
      <c r="N218" t="str">
        <f t="shared" si="6"/>
        <v>2. 1-24 hours</v>
      </c>
      <c r="O218" t="str">
        <f t="shared" si="7"/>
        <v>2026-04</v>
      </c>
    </row>
    <row r="219" spans="1:15" x14ac:dyDescent="0.3">
      <c r="A219" t="s">
        <v>581</v>
      </c>
      <c r="B219" t="s">
        <v>582</v>
      </c>
      <c r="C219" t="s">
        <v>37</v>
      </c>
      <c r="D219" t="s">
        <v>97</v>
      </c>
      <c r="E219" t="s">
        <v>45</v>
      </c>
      <c r="F219" t="s">
        <v>55</v>
      </c>
      <c r="G219">
        <v>3.32</v>
      </c>
      <c r="H219" t="s">
        <v>41</v>
      </c>
      <c r="I219" t="s">
        <v>42</v>
      </c>
      <c r="M219">
        <f>VLOOKUP(H219,'Stage Order'!$A$2:$B$8,2,FALSE)</f>
        <v>2</v>
      </c>
      <c r="N219" t="str">
        <f t="shared" si="6"/>
        <v>2. 1-24 hours</v>
      </c>
      <c r="O219" t="str">
        <f t="shared" si="7"/>
        <v>2026-02</v>
      </c>
    </row>
    <row r="220" spans="1:15" x14ac:dyDescent="0.3">
      <c r="A220" t="s">
        <v>583</v>
      </c>
      <c r="B220" t="s">
        <v>584</v>
      </c>
      <c r="C220" t="s">
        <v>125</v>
      </c>
      <c r="D220" t="s">
        <v>29</v>
      </c>
      <c r="E220" t="s">
        <v>90</v>
      </c>
      <c r="F220" t="s">
        <v>91</v>
      </c>
      <c r="G220">
        <v>4.79</v>
      </c>
      <c r="H220" t="s">
        <v>61</v>
      </c>
      <c r="I220" t="s">
        <v>42</v>
      </c>
      <c r="M220">
        <f>VLOOKUP(H220,'Stage Order'!$A$2:$B$8,2,FALSE)</f>
        <v>1</v>
      </c>
      <c r="N220" t="str">
        <f t="shared" si="6"/>
        <v>2. 1-24 hours</v>
      </c>
      <c r="O220" t="str">
        <f t="shared" si="7"/>
        <v>2025-10</v>
      </c>
    </row>
    <row r="221" spans="1:15" x14ac:dyDescent="0.3">
      <c r="A221" t="s">
        <v>585</v>
      </c>
      <c r="B221" t="s">
        <v>586</v>
      </c>
      <c r="C221" t="s">
        <v>37</v>
      </c>
      <c r="D221" t="s">
        <v>77</v>
      </c>
      <c r="E221" t="s">
        <v>39</v>
      </c>
      <c r="F221" t="s">
        <v>66</v>
      </c>
      <c r="G221">
        <v>22.08</v>
      </c>
      <c r="H221" t="s">
        <v>47</v>
      </c>
      <c r="I221" t="s">
        <v>48</v>
      </c>
      <c r="J221" t="s">
        <v>113</v>
      </c>
      <c r="K221">
        <v>1081.1500000000001</v>
      </c>
      <c r="L221" t="s">
        <v>587</v>
      </c>
      <c r="M221">
        <f>VLOOKUP(H221,'Stage Order'!$A$2:$B$8,2,FALSE)</f>
        <v>4</v>
      </c>
      <c r="N221" t="str">
        <f t="shared" si="6"/>
        <v>2. 1-24 hours</v>
      </c>
      <c r="O221" t="str">
        <f t="shared" si="7"/>
        <v>2025-06</v>
      </c>
    </row>
    <row r="222" spans="1:15" x14ac:dyDescent="0.3">
      <c r="A222" t="s">
        <v>588</v>
      </c>
      <c r="B222" t="s">
        <v>589</v>
      </c>
      <c r="C222" t="s">
        <v>37</v>
      </c>
      <c r="D222" t="s">
        <v>54</v>
      </c>
      <c r="E222" t="s">
        <v>90</v>
      </c>
      <c r="F222" t="s">
        <v>112</v>
      </c>
      <c r="G222">
        <v>4.97</v>
      </c>
      <c r="H222" t="s">
        <v>41</v>
      </c>
      <c r="I222" t="s">
        <v>42</v>
      </c>
      <c r="M222">
        <f>VLOOKUP(H222,'Stage Order'!$A$2:$B$8,2,FALSE)</f>
        <v>2</v>
      </c>
      <c r="N222" t="str">
        <f t="shared" si="6"/>
        <v>2. 1-24 hours</v>
      </c>
      <c r="O222" t="str">
        <f t="shared" si="7"/>
        <v>2025-09</v>
      </c>
    </row>
    <row r="223" spans="1:15" x14ac:dyDescent="0.3">
      <c r="A223" t="s">
        <v>590</v>
      </c>
      <c r="B223" t="s">
        <v>591</v>
      </c>
      <c r="C223" t="s">
        <v>125</v>
      </c>
      <c r="D223" t="s">
        <v>54</v>
      </c>
      <c r="E223" t="s">
        <v>90</v>
      </c>
      <c r="F223" t="s">
        <v>112</v>
      </c>
      <c r="G223">
        <v>4.9400000000000004</v>
      </c>
      <c r="H223" t="s">
        <v>41</v>
      </c>
      <c r="I223" t="s">
        <v>42</v>
      </c>
      <c r="M223">
        <f>VLOOKUP(H223,'Stage Order'!$A$2:$B$8,2,FALSE)</f>
        <v>2</v>
      </c>
      <c r="N223" t="str">
        <f t="shared" si="6"/>
        <v>2. 1-24 hours</v>
      </c>
      <c r="O223" t="str">
        <f t="shared" si="7"/>
        <v>2025-02</v>
      </c>
    </row>
    <row r="224" spans="1:15" x14ac:dyDescent="0.3">
      <c r="A224" t="s">
        <v>592</v>
      </c>
      <c r="B224" t="s">
        <v>593</v>
      </c>
      <c r="C224" t="s">
        <v>125</v>
      </c>
      <c r="D224" t="s">
        <v>29</v>
      </c>
      <c r="E224" t="s">
        <v>90</v>
      </c>
      <c r="F224" t="s">
        <v>112</v>
      </c>
      <c r="G224">
        <v>0.73</v>
      </c>
      <c r="H224" t="s">
        <v>146</v>
      </c>
      <c r="I224" t="s">
        <v>48</v>
      </c>
      <c r="J224" t="s">
        <v>49</v>
      </c>
      <c r="K224">
        <v>631.51</v>
      </c>
      <c r="L224" t="s">
        <v>594</v>
      </c>
      <c r="M224">
        <f>VLOOKUP(H224,'Stage Order'!$A$2:$B$8,2,FALSE)</f>
        <v>5</v>
      </c>
      <c r="N224" t="str">
        <f t="shared" si="6"/>
        <v>1. Under 1 hour</v>
      </c>
      <c r="O224" t="str">
        <f t="shared" si="7"/>
        <v>2026-04</v>
      </c>
    </row>
    <row r="225" spans="1:15" x14ac:dyDescent="0.3">
      <c r="A225" t="s">
        <v>595</v>
      </c>
      <c r="B225" t="s">
        <v>596</v>
      </c>
      <c r="C225" t="s">
        <v>125</v>
      </c>
      <c r="D225" t="s">
        <v>54</v>
      </c>
      <c r="E225" t="s">
        <v>90</v>
      </c>
      <c r="F225" t="s">
        <v>91</v>
      </c>
      <c r="G225">
        <v>0.91</v>
      </c>
      <c r="H225" t="s">
        <v>32</v>
      </c>
      <c r="I225" t="s">
        <v>33</v>
      </c>
      <c r="K225">
        <v>517.02</v>
      </c>
      <c r="L225" t="s">
        <v>597</v>
      </c>
      <c r="M225">
        <f>VLOOKUP(H225,'Stage Order'!$A$2:$B$8,2,FALSE)</f>
        <v>7</v>
      </c>
      <c r="N225" t="str">
        <f t="shared" si="6"/>
        <v>1. Under 1 hour</v>
      </c>
      <c r="O225" t="str">
        <f t="shared" si="7"/>
        <v>2025-01</v>
      </c>
    </row>
    <row r="226" spans="1:15" x14ac:dyDescent="0.3">
      <c r="A226" t="s">
        <v>598</v>
      </c>
      <c r="B226" t="s">
        <v>599</v>
      </c>
      <c r="C226" t="s">
        <v>53</v>
      </c>
      <c r="D226" t="s">
        <v>77</v>
      </c>
      <c r="E226" t="s">
        <v>45</v>
      </c>
      <c r="F226" t="s">
        <v>94</v>
      </c>
      <c r="G226">
        <v>1.1499999999999999</v>
      </c>
      <c r="H226" t="s">
        <v>41</v>
      </c>
      <c r="I226" t="s">
        <v>42</v>
      </c>
      <c r="M226">
        <f>VLOOKUP(H226,'Stage Order'!$A$2:$B$8,2,FALSE)</f>
        <v>2</v>
      </c>
      <c r="N226" t="str">
        <f t="shared" si="6"/>
        <v>2. 1-24 hours</v>
      </c>
      <c r="O226" t="str">
        <f t="shared" si="7"/>
        <v>2025-04</v>
      </c>
    </row>
    <row r="227" spans="1:15" x14ac:dyDescent="0.3">
      <c r="A227" t="s">
        <v>600</v>
      </c>
      <c r="B227" t="s">
        <v>601</v>
      </c>
      <c r="C227" t="s">
        <v>125</v>
      </c>
      <c r="D227" t="s">
        <v>29</v>
      </c>
      <c r="E227" t="s">
        <v>45</v>
      </c>
      <c r="F227" t="s">
        <v>55</v>
      </c>
      <c r="G227">
        <v>1.1200000000000001</v>
      </c>
      <c r="H227" t="s">
        <v>41</v>
      </c>
      <c r="I227" t="s">
        <v>42</v>
      </c>
      <c r="M227">
        <f>VLOOKUP(H227,'Stage Order'!$A$2:$B$8,2,FALSE)</f>
        <v>2</v>
      </c>
      <c r="N227" t="str">
        <f t="shared" si="6"/>
        <v>2. 1-24 hours</v>
      </c>
      <c r="O227" t="str">
        <f t="shared" si="7"/>
        <v>2025-07</v>
      </c>
    </row>
    <row r="228" spans="1:15" x14ac:dyDescent="0.3">
      <c r="A228" t="s">
        <v>602</v>
      </c>
      <c r="B228" t="s">
        <v>603</v>
      </c>
      <c r="C228" t="s">
        <v>125</v>
      </c>
      <c r="D228" t="s">
        <v>54</v>
      </c>
      <c r="E228" t="s">
        <v>90</v>
      </c>
      <c r="F228" t="s">
        <v>145</v>
      </c>
      <c r="G228">
        <v>4.59</v>
      </c>
      <c r="H228" t="s">
        <v>41</v>
      </c>
      <c r="I228" t="s">
        <v>42</v>
      </c>
      <c r="M228">
        <f>VLOOKUP(H228,'Stage Order'!$A$2:$B$8,2,FALSE)</f>
        <v>2</v>
      </c>
      <c r="N228" t="str">
        <f t="shared" si="6"/>
        <v>2. 1-24 hours</v>
      </c>
      <c r="O228" t="str">
        <f t="shared" si="7"/>
        <v>2026-01</v>
      </c>
    </row>
    <row r="229" spans="1:15" x14ac:dyDescent="0.3">
      <c r="A229" t="s">
        <v>604</v>
      </c>
      <c r="B229" t="s">
        <v>605</v>
      </c>
      <c r="C229" t="s">
        <v>58</v>
      </c>
      <c r="D229" t="s">
        <v>29</v>
      </c>
      <c r="E229" t="s">
        <v>90</v>
      </c>
      <c r="F229" t="s">
        <v>91</v>
      </c>
      <c r="G229">
        <v>5.3</v>
      </c>
      <c r="H229" t="s">
        <v>41</v>
      </c>
      <c r="I229" t="s">
        <v>42</v>
      </c>
      <c r="M229">
        <f>VLOOKUP(H229,'Stage Order'!$A$2:$B$8,2,FALSE)</f>
        <v>2</v>
      </c>
      <c r="N229" t="str">
        <f t="shared" si="6"/>
        <v>2. 1-24 hours</v>
      </c>
      <c r="O229" t="str">
        <f t="shared" si="7"/>
        <v>2026-04</v>
      </c>
    </row>
    <row r="230" spans="1:15" x14ac:dyDescent="0.3">
      <c r="A230" t="s">
        <v>606</v>
      </c>
      <c r="B230" t="s">
        <v>607</v>
      </c>
      <c r="C230" t="s">
        <v>76</v>
      </c>
      <c r="D230" t="s">
        <v>38</v>
      </c>
      <c r="E230" t="s">
        <v>39</v>
      </c>
      <c r="F230" t="s">
        <v>106</v>
      </c>
      <c r="G230">
        <v>1.67</v>
      </c>
      <c r="H230" t="s">
        <v>32</v>
      </c>
      <c r="I230" t="s">
        <v>33</v>
      </c>
      <c r="K230">
        <v>385.96</v>
      </c>
      <c r="L230" t="s">
        <v>608</v>
      </c>
      <c r="M230">
        <f>VLOOKUP(H230,'Stage Order'!$A$2:$B$8,2,FALSE)</f>
        <v>7</v>
      </c>
      <c r="N230" t="str">
        <f t="shared" si="6"/>
        <v>2. 1-24 hours</v>
      </c>
      <c r="O230" t="str">
        <f t="shared" si="7"/>
        <v>2025-06</v>
      </c>
    </row>
    <row r="231" spans="1:15" x14ac:dyDescent="0.3">
      <c r="A231" t="s">
        <v>609</v>
      </c>
      <c r="B231" t="s">
        <v>610</v>
      </c>
      <c r="C231" t="s">
        <v>81</v>
      </c>
      <c r="D231" t="s">
        <v>77</v>
      </c>
      <c r="E231" t="s">
        <v>59</v>
      </c>
      <c r="F231" t="s">
        <v>60</v>
      </c>
      <c r="G231">
        <v>4.66</v>
      </c>
      <c r="H231" t="s">
        <v>41</v>
      </c>
      <c r="I231" t="s">
        <v>42</v>
      </c>
      <c r="M231">
        <f>VLOOKUP(H231,'Stage Order'!$A$2:$B$8,2,FALSE)</f>
        <v>2</v>
      </c>
      <c r="N231" t="str">
        <f t="shared" si="6"/>
        <v>2. 1-24 hours</v>
      </c>
      <c r="O231" t="str">
        <f t="shared" si="7"/>
        <v>2025-09</v>
      </c>
    </row>
    <row r="232" spans="1:15" x14ac:dyDescent="0.3">
      <c r="A232" t="s">
        <v>611</v>
      </c>
      <c r="B232" t="s">
        <v>612</v>
      </c>
      <c r="C232" t="s">
        <v>37</v>
      </c>
      <c r="D232" t="s">
        <v>54</v>
      </c>
      <c r="E232" t="s">
        <v>59</v>
      </c>
      <c r="F232" t="s">
        <v>117</v>
      </c>
      <c r="G232">
        <v>1.27</v>
      </c>
      <c r="H232" t="s">
        <v>61</v>
      </c>
      <c r="I232" t="s">
        <v>42</v>
      </c>
      <c r="M232">
        <f>VLOOKUP(H232,'Stage Order'!$A$2:$B$8,2,FALSE)</f>
        <v>1</v>
      </c>
      <c r="N232" t="str">
        <f t="shared" si="6"/>
        <v>2. 1-24 hours</v>
      </c>
      <c r="O232" t="str">
        <f t="shared" si="7"/>
        <v>2025-07</v>
      </c>
    </row>
    <row r="233" spans="1:15" x14ac:dyDescent="0.3">
      <c r="A233" t="s">
        <v>613</v>
      </c>
      <c r="B233" t="s">
        <v>614</v>
      </c>
      <c r="C233" t="s">
        <v>125</v>
      </c>
      <c r="D233" t="s">
        <v>77</v>
      </c>
      <c r="E233" t="s">
        <v>45</v>
      </c>
      <c r="F233" t="s">
        <v>94</v>
      </c>
      <c r="G233">
        <v>2.5</v>
      </c>
      <c r="H233" t="s">
        <v>41</v>
      </c>
      <c r="I233" t="s">
        <v>42</v>
      </c>
      <c r="M233">
        <f>VLOOKUP(H233,'Stage Order'!$A$2:$B$8,2,FALSE)</f>
        <v>2</v>
      </c>
      <c r="N233" t="str">
        <f t="shared" si="6"/>
        <v>2. 1-24 hours</v>
      </c>
      <c r="O233" t="str">
        <f t="shared" si="7"/>
        <v>2025-07</v>
      </c>
    </row>
    <row r="234" spans="1:15" x14ac:dyDescent="0.3">
      <c r="A234" t="s">
        <v>615</v>
      </c>
      <c r="B234" t="s">
        <v>616</v>
      </c>
      <c r="C234" t="s">
        <v>76</v>
      </c>
      <c r="D234" t="s">
        <v>97</v>
      </c>
      <c r="E234" t="s">
        <v>30</v>
      </c>
      <c r="F234" t="s">
        <v>31</v>
      </c>
      <c r="G234">
        <v>4.6500000000000004</v>
      </c>
      <c r="H234" t="s">
        <v>41</v>
      </c>
      <c r="I234" t="s">
        <v>42</v>
      </c>
      <c r="M234">
        <f>VLOOKUP(H234,'Stage Order'!$A$2:$B$8,2,FALSE)</f>
        <v>2</v>
      </c>
      <c r="N234" t="str">
        <f t="shared" si="6"/>
        <v>2. 1-24 hours</v>
      </c>
      <c r="O234" t="str">
        <f t="shared" si="7"/>
        <v>2026-02</v>
      </c>
    </row>
    <row r="235" spans="1:15" x14ac:dyDescent="0.3">
      <c r="A235" t="s">
        <v>617</v>
      </c>
      <c r="B235" t="s">
        <v>618</v>
      </c>
      <c r="C235" t="s">
        <v>37</v>
      </c>
      <c r="D235" t="s">
        <v>77</v>
      </c>
      <c r="E235" t="s">
        <v>39</v>
      </c>
      <c r="F235" t="s">
        <v>66</v>
      </c>
      <c r="G235">
        <v>7.16</v>
      </c>
      <c r="H235" t="s">
        <v>128</v>
      </c>
      <c r="I235" t="s">
        <v>42</v>
      </c>
      <c r="M235">
        <f>VLOOKUP(H235,'Stage Order'!$A$2:$B$8,2,FALSE)</f>
        <v>3</v>
      </c>
      <c r="N235" t="str">
        <f t="shared" si="6"/>
        <v>2. 1-24 hours</v>
      </c>
      <c r="O235" t="str">
        <f t="shared" si="7"/>
        <v>2026-05</v>
      </c>
    </row>
    <row r="236" spans="1:15" x14ac:dyDescent="0.3">
      <c r="A236" t="s">
        <v>619</v>
      </c>
      <c r="B236" t="s">
        <v>620</v>
      </c>
      <c r="C236" t="s">
        <v>37</v>
      </c>
      <c r="D236" t="s">
        <v>29</v>
      </c>
      <c r="E236" t="s">
        <v>39</v>
      </c>
      <c r="F236" t="s">
        <v>40</v>
      </c>
      <c r="G236">
        <v>0.28999999999999998</v>
      </c>
      <c r="H236" t="s">
        <v>146</v>
      </c>
      <c r="I236" t="s">
        <v>48</v>
      </c>
      <c r="J236" t="s">
        <v>139</v>
      </c>
      <c r="K236">
        <v>575.25</v>
      </c>
      <c r="L236" t="s">
        <v>621</v>
      </c>
      <c r="M236">
        <f>VLOOKUP(H236,'Stage Order'!$A$2:$B$8,2,FALSE)</f>
        <v>5</v>
      </c>
      <c r="N236" t="str">
        <f t="shared" si="6"/>
        <v>1. Under 1 hour</v>
      </c>
      <c r="O236" t="str">
        <f t="shared" si="7"/>
        <v>2025-08</v>
      </c>
    </row>
    <row r="237" spans="1:15" x14ac:dyDescent="0.3">
      <c r="A237" t="s">
        <v>622</v>
      </c>
      <c r="B237" t="s">
        <v>623</v>
      </c>
      <c r="C237" t="s">
        <v>37</v>
      </c>
      <c r="D237" t="s">
        <v>38</v>
      </c>
      <c r="E237" t="s">
        <v>59</v>
      </c>
      <c r="F237" t="s">
        <v>60</v>
      </c>
      <c r="G237">
        <v>1.53</v>
      </c>
      <c r="H237" t="s">
        <v>41</v>
      </c>
      <c r="I237" t="s">
        <v>42</v>
      </c>
      <c r="M237">
        <f>VLOOKUP(H237,'Stage Order'!$A$2:$B$8,2,FALSE)</f>
        <v>2</v>
      </c>
      <c r="N237" t="str">
        <f t="shared" si="6"/>
        <v>2. 1-24 hours</v>
      </c>
      <c r="O237" t="str">
        <f t="shared" si="7"/>
        <v>2025-05</v>
      </c>
    </row>
    <row r="238" spans="1:15" x14ac:dyDescent="0.3">
      <c r="A238" t="s">
        <v>624</v>
      </c>
      <c r="B238" t="s">
        <v>625</v>
      </c>
      <c r="C238" t="s">
        <v>125</v>
      </c>
      <c r="D238" t="s">
        <v>97</v>
      </c>
      <c r="E238" t="s">
        <v>90</v>
      </c>
      <c r="F238" t="s">
        <v>112</v>
      </c>
      <c r="G238">
        <v>1.78</v>
      </c>
      <c r="H238" t="s">
        <v>41</v>
      </c>
      <c r="I238" t="s">
        <v>42</v>
      </c>
      <c r="M238">
        <f>VLOOKUP(H238,'Stage Order'!$A$2:$B$8,2,FALSE)</f>
        <v>2</v>
      </c>
      <c r="N238" t="str">
        <f t="shared" si="6"/>
        <v>2. 1-24 hours</v>
      </c>
      <c r="O238" t="str">
        <f t="shared" si="7"/>
        <v>2025-03</v>
      </c>
    </row>
    <row r="239" spans="1:15" x14ac:dyDescent="0.3">
      <c r="A239" t="s">
        <v>626</v>
      </c>
      <c r="B239" t="s">
        <v>627</v>
      </c>
      <c r="C239" t="s">
        <v>58</v>
      </c>
      <c r="D239" t="s">
        <v>77</v>
      </c>
      <c r="E239" t="s">
        <v>90</v>
      </c>
      <c r="F239" t="s">
        <v>145</v>
      </c>
      <c r="G239">
        <v>6.47</v>
      </c>
      <c r="H239" t="s">
        <v>61</v>
      </c>
      <c r="I239" t="s">
        <v>42</v>
      </c>
      <c r="M239">
        <f>VLOOKUP(H239,'Stage Order'!$A$2:$B$8,2,FALSE)</f>
        <v>1</v>
      </c>
      <c r="N239" t="str">
        <f t="shared" si="6"/>
        <v>2. 1-24 hours</v>
      </c>
      <c r="O239" t="str">
        <f t="shared" si="7"/>
        <v>2026-04</v>
      </c>
    </row>
    <row r="240" spans="1:15" x14ac:dyDescent="0.3">
      <c r="A240" t="s">
        <v>628</v>
      </c>
      <c r="B240" t="s">
        <v>629</v>
      </c>
      <c r="C240" t="s">
        <v>53</v>
      </c>
      <c r="D240" t="s">
        <v>77</v>
      </c>
      <c r="E240" t="s">
        <v>39</v>
      </c>
      <c r="F240" t="s">
        <v>66</v>
      </c>
      <c r="G240">
        <v>2.44</v>
      </c>
      <c r="H240" t="s">
        <v>47</v>
      </c>
      <c r="I240" t="s">
        <v>48</v>
      </c>
      <c r="J240" t="s">
        <v>98</v>
      </c>
      <c r="K240">
        <v>1063.99</v>
      </c>
      <c r="L240" t="s">
        <v>630</v>
      </c>
      <c r="M240">
        <f>VLOOKUP(H240,'Stage Order'!$A$2:$B$8,2,FALSE)</f>
        <v>4</v>
      </c>
      <c r="N240" t="str">
        <f t="shared" si="6"/>
        <v>2. 1-24 hours</v>
      </c>
      <c r="O240" t="str">
        <f t="shared" si="7"/>
        <v>2025-03</v>
      </c>
    </row>
    <row r="241" spans="1:15" x14ac:dyDescent="0.3">
      <c r="A241" t="s">
        <v>631</v>
      </c>
      <c r="B241" t="s">
        <v>632</v>
      </c>
      <c r="C241" t="s">
        <v>53</v>
      </c>
      <c r="D241" t="s">
        <v>77</v>
      </c>
      <c r="E241" t="s">
        <v>45</v>
      </c>
      <c r="F241" t="s">
        <v>55</v>
      </c>
      <c r="G241">
        <v>5.52</v>
      </c>
      <c r="H241" t="s">
        <v>41</v>
      </c>
      <c r="I241" t="s">
        <v>42</v>
      </c>
      <c r="M241">
        <f>VLOOKUP(H241,'Stage Order'!$A$2:$B$8,2,FALSE)</f>
        <v>2</v>
      </c>
      <c r="N241" t="str">
        <f t="shared" si="6"/>
        <v>2. 1-24 hours</v>
      </c>
      <c r="O241" t="str">
        <f t="shared" si="7"/>
        <v>2025-06</v>
      </c>
    </row>
    <row r="242" spans="1:15" x14ac:dyDescent="0.3">
      <c r="A242" t="s">
        <v>633</v>
      </c>
      <c r="B242" t="s">
        <v>634</v>
      </c>
      <c r="C242" t="s">
        <v>28</v>
      </c>
      <c r="D242" t="s">
        <v>54</v>
      </c>
      <c r="E242" t="s">
        <v>30</v>
      </c>
      <c r="F242" t="s">
        <v>78</v>
      </c>
      <c r="G242">
        <v>1.82</v>
      </c>
      <c r="H242" t="s">
        <v>41</v>
      </c>
      <c r="I242" t="s">
        <v>42</v>
      </c>
      <c r="M242">
        <f>VLOOKUP(H242,'Stage Order'!$A$2:$B$8,2,FALSE)</f>
        <v>2</v>
      </c>
      <c r="N242" t="str">
        <f t="shared" si="6"/>
        <v>2. 1-24 hours</v>
      </c>
      <c r="O242" t="str">
        <f t="shared" si="7"/>
        <v>2025-11</v>
      </c>
    </row>
    <row r="243" spans="1:15" x14ac:dyDescent="0.3">
      <c r="A243" t="s">
        <v>635</v>
      </c>
      <c r="B243" t="s">
        <v>636</v>
      </c>
      <c r="C243" t="s">
        <v>125</v>
      </c>
      <c r="D243" t="s">
        <v>77</v>
      </c>
      <c r="E243" t="s">
        <v>45</v>
      </c>
      <c r="F243" t="s">
        <v>94</v>
      </c>
      <c r="G243">
        <v>1.5</v>
      </c>
      <c r="H243" t="s">
        <v>41</v>
      </c>
      <c r="I243" t="s">
        <v>42</v>
      </c>
      <c r="M243">
        <f>VLOOKUP(H243,'Stage Order'!$A$2:$B$8,2,FALSE)</f>
        <v>2</v>
      </c>
      <c r="N243" t="str">
        <f t="shared" si="6"/>
        <v>2. 1-24 hours</v>
      </c>
      <c r="O243" t="str">
        <f t="shared" si="7"/>
        <v>2025-04</v>
      </c>
    </row>
    <row r="244" spans="1:15" x14ac:dyDescent="0.3">
      <c r="A244" t="s">
        <v>637</v>
      </c>
      <c r="B244" t="s">
        <v>638</v>
      </c>
      <c r="C244" t="s">
        <v>125</v>
      </c>
      <c r="D244" t="s">
        <v>29</v>
      </c>
      <c r="E244" t="s">
        <v>59</v>
      </c>
      <c r="F244" t="s">
        <v>60</v>
      </c>
      <c r="G244">
        <v>30.85</v>
      </c>
      <c r="H244" t="s">
        <v>41</v>
      </c>
      <c r="I244" t="s">
        <v>42</v>
      </c>
      <c r="M244">
        <f>VLOOKUP(H244,'Stage Order'!$A$2:$B$8,2,FALSE)</f>
        <v>2</v>
      </c>
      <c r="N244" t="str">
        <f t="shared" si="6"/>
        <v>3. 1-3 days</v>
      </c>
      <c r="O244" t="str">
        <f t="shared" si="7"/>
        <v>2026-02</v>
      </c>
    </row>
    <row r="245" spans="1:15" x14ac:dyDescent="0.3">
      <c r="A245" t="s">
        <v>639</v>
      </c>
      <c r="B245" t="s">
        <v>640</v>
      </c>
      <c r="C245" t="s">
        <v>81</v>
      </c>
      <c r="D245" t="s">
        <v>29</v>
      </c>
      <c r="E245" t="s">
        <v>39</v>
      </c>
      <c r="F245" t="s">
        <v>66</v>
      </c>
      <c r="G245">
        <v>6.79</v>
      </c>
      <c r="H245" t="s">
        <v>61</v>
      </c>
      <c r="I245" t="s">
        <v>42</v>
      </c>
      <c r="M245">
        <f>VLOOKUP(H245,'Stage Order'!$A$2:$B$8,2,FALSE)</f>
        <v>1</v>
      </c>
      <c r="N245" t="str">
        <f t="shared" si="6"/>
        <v>2. 1-24 hours</v>
      </c>
      <c r="O245" t="str">
        <f t="shared" si="7"/>
        <v>2026-02</v>
      </c>
    </row>
    <row r="246" spans="1:15" x14ac:dyDescent="0.3">
      <c r="A246" t="s">
        <v>641</v>
      </c>
      <c r="B246" t="s">
        <v>642</v>
      </c>
      <c r="C246" t="s">
        <v>81</v>
      </c>
      <c r="D246" t="s">
        <v>97</v>
      </c>
      <c r="E246" t="s">
        <v>39</v>
      </c>
      <c r="F246" t="s">
        <v>40</v>
      </c>
      <c r="G246">
        <v>0.9</v>
      </c>
      <c r="H246" t="s">
        <v>47</v>
      </c>
      <c r="I246" t="s">
        <v>48</v>
      </c>
      <c r="J246" t="s">
        <v>49</v>
      </c>
      <c r="K246">
        <v>1702.53</v>
      </c>
      <c r="L246" t="s">
        <v>643</v>
      </c>
      <c r="M246">
        <f>VLOOKUP(H246,'Stage Order'!$A$2:$B$8,2,FALSE)</f>
        <v>4</v>
      </c>
      <c r="N246" t="str">
        <f t="shared" si="6"/>
        <v>1. Under 1 hour</v>
      </c>
      <c r="O246" t="str">
        <f t="shared" si="7"/>
        <v>2025-04</v>
      </c>
    </row>
    <row r="247" spans="1:15" x14ac:dyDescent="0.3">
      <c r="A247" t="s">
        <v>644</v>
      </c>
      <c r="B247" t="s">
        <v>645</v>
      </c>
      <c r="C247" t="s">
        <v>58</v>
      </c>
      <c r="D247" t="s">
        <v>29</v>
      </c>
      <c r="E247" t="s">
        <v>45</v>
      </c>
      <c r="F247" t="s">
        <v>94</v>
      </c>
      <c r="G247">
        <v>1.04</v>
      </c>
      <c r="H247" t="s">
        <v>41</v>
      </c>
      <c r="I247" t="s">
        <v>42</v>
      </c>
      <c r="M247">
        <f>VLOOKUP(H247,'Stage Order'!$A$2:$B$8,2,FALSE)</f>
        <v>2</v>
      </c>
      <c r="N247" t="str">
        <f t="shared" si="6"/>
        <v>2. 1-24 hours</v>
      </c>
      <c r="O247" t="str">
        <f t="shared" si="7"/>
        <v>2025-12</v>
      </c>
    </row>
    <row r="248" spans="1:15" x14ac:dyDescent="0.3">
      <c r="A248" t="s">
        <v>646</v>
      </c>
      <c r="B248" t="s">
        <v>647</v>
      </c>
      <c r="C248" t="s">
        <v>37</v>
      </c>
      <c r="D248" t="s">
        <v>29</v>
      </c>
      <c r="E248" t="s">
        <v>59</v>
      </c>
      <c r="F248" t="s">
        <v>137</v>
      </c>
      <c r="G248">
        <v>11.49</v>
      </c>
      <c r="H248" t="s">
        <v>61</v>
      </c>
      <c r="I248" t="s">
        <v>42</v>
      </c>
      <c r="M248">
        <f>VLOOKUP(H248,'Stage Order'!$A$2:$B$8,2,FALSE)</f>
        <v>1</v>
      </c>
      <c r="N248" t="str">
        <f t="shared" si="6"/>
        <v>2. 1-24 hours</v>
      </c>
      <c r="O248" t="str">
        <f t="shared" si="7"/>
        <v>2025-12</v>
      </c>
    </row>
    <row r="249" spans="1:15" x14ac:dyDescent="0.3">
      <c r="A249" t="s">
        <v>648</v>
      </c>
      <c r="B249" t="s">
        <v>649</v>
      </c>
      <c r="C249" t="s">
        <v>53</v>
      </c>
      <c r="D249" t="s">
        <v>97</v>
      </c>
      <c r="E249" t="s">
        <v>30</v>
      </c>
      <c r="F249" t="s">
        <v>31</v>
      </c>
      <c r="G249">
        <v>8.76</v>
      </c>
      <c r="H249" t="s">
        <v>41</v>
      </c>
      <c r="I249" t="s">
        <v>42</v>
      </c>
      <c r="M249">
        <f>VLOOKUP(H249,'Stage Order'!$A$2:$B$8,2,FALSE)</f>
        <v>2</v>
      </c>
      <c r="N249" t="str">
        <f t="shared" si="6"/>
        <v>2. 1-24 hours</v>
      </c>
      <c r="O249" t="str">
        <f t="shared" si="7"/>
        <v>2025-12</v>
      </c>
    </row>
    <row r="250" spans="1:15" x14ac:dyDescent="0.3">
      <c r="A250" t="s">
        <v>650</v>
      </c>
      <c r="B250" t="s">
        <v>651</v>
      </c>
      <c r="C250" t="s">
        <v>53</v>
      </c>
      <c r="D250" t="s">
        <v>54</v>
      </c>
      <c r="E250" t="s">
        <v>59</v>
      </c>
      <c r="F250" t="s">
        <v>117</v>
      </c>
      <c r="G250">
        <v>5.14</v>
      </c>
      <c r="H250" t="s">
        <v>41</v>
      </c>
      <c r="I250" t="s">
        <v>42</v>
      </c>
      <c r="M250">
        <f>VLOOKUP(H250,'Stage Order'!$A$2:$B$8,2,FALSE)</f>
        <v>2</v>
      </c>
      <c r="N250" t="str">
        <f t="shared" si="6"/>
        <v>2. 1-24 hours</v>
      </c>
      <c r="O250" t="str">
        <f t="shared" si="7"/>
        <v>2026-06</v>
      </c>
    </row>
    <row r="251" spans="1:15" x14ac:dyDescent="0.3">
      <c r="A251" t="s">
        <v>652</v>
      </c>
      <c r="B251" t="s">
        <v>653</v>
      </c>
      <c r="C251" t="s">
        <v>37</v>
      </c>
      <c r="D251" t="s">
        <v>77</v>
      </c>
      <c r="E251" t="s">
        <v>90</v>
      </c>
      <c r="F251" t="s">
        <v>145</v>
      </c>
      <c r="G251">
        <v>20.5</v>
      </c>
      <c r="H251" t="s">
        <v>61</v>
      </c>
      <c r="I251" t="s">
        <v>42</v>
      </c>
      <c r="M251">
        <f>VLOOKUP(H251,'Stage Order'!$A$2:$B$8,2,FALSE)</f>
        <v>1</v>
      </c>
      <c r="N251" t="str">
        <f t="shared" si="6"/>
        <v>2. 1-24 hours</v>
      </c>
      <c r="O251" t="str">
        <f t="shared" si="7"/>
        <v>2025-07</v>
      </c>
    </row>
    <row r="252" spans="1:15" x14ac:dyDescent="0.3">
      <c r="A252" t="s">
        <v>654</v>
      </c>
      <c r="B252" t="s">
        <v>655</v>
      </c>
      <c r="C252" t="s">
        <v>125</v>
      </c>
      <c r="D252" t="s">
        <v>77</v>
      </c>
      <c r="E252" t="s">
        <v>45</v>
      </c>
      <c r="F252" t="s">
        <v>55</v>
      </c>
      <c r="G252">
        <v>7.72</v>
      </c>
      <c r="H252" t="s">
        <v>41</v>
      </c>
      <c r="I252" t="s">
        <v>42</v>
      </c>
      <c r="M252">
        <f>VLOOKUP(H252,'Stage Order'!$A$2:$B$8,2,FALSE)</f>
        <v>2</v>
      </c>
      <c r="N252" t="str">
        <f t="shared" si="6"/>
        <v>2. 1-24 hours</v>
      </c>
      <c r="O252" t="str">
        <f t="shared" si="7"/>
        <v>2025-11</v>
      </c>
    </row>
    <row r="253" spans="1:15" x14ac:dyDescent="0.3">
      <c r="A253" t="s">
        <v>656</v>
      </c>
      <c r="B253" t="s">
        <v>657</v>
      </c>
      <c r="C253" t="s">
        <v>125</v>
      </c>
      <c r="D253" t="s">
        <v>38</v>
      </c>
      <c r="E253" t="s">
        <v>39</v>
      </c>
      <c r="F253" t="s">
        <v>66</v>
      </c>
      <c r="G253">
        <v>4.4800000000000004</v>
      </c>
      <c r="H253" t="s">
        <v>61</v>
      </c>
      <c r="I253" t="s">
        <v>42</v>
      </c>
      <c r="M253">
        <f>VLOOKUP(H253,'Stage Order'!$A$2:$B$8,2,FALSE)</f>
        <v>1</v>
      </c>
      <c r="N253" t="str">
        <f t="shared" si="6"/>
        <v>2. 1-24 hours</v>
      </c>
      <c r="O253" t="str">
        <f t="shared" si="7"/>
        <v>2026-03</v>
      </c>
    </row>
    <row r="254" spans="1:15" x14ac:dyDescent="0.3">
      <c r="A254" t="s">
        <v>658</v>
      </c>
      <c r="B254" t="s">
        <v>659</v>
      </c>
      <c r="C254" t="s">
        <v>53</v>
      </c>
      <c r="D254" t="s">
        <v>54</v>
      </c>
      <c r="E254" t="s">
        <v>45</v>
      </c>
      <c r="F254" t="s">
        <v>46</v>
      </c>
      <c r="G254">
        <v>2.33</v>
      </c>
      <c r="H254" t="s">
        <v>41</v>
      </c>
      <c r="I254" t="s">
        <v>42</v>
      </c>
      <c r="M254">
        <f>VLOOKUP(H254,'Stage Order'!$A$2:$B$8,2,FALSE)</f>
        <v>2</v>
      </c>
      <c r="N254" t="str">
        <f t="shared" si="6"/>
        <v>2. 1-24 hours</v>
      </c>
      <c r="O254" t="str">
        <f t="shared" si="7"/>
        <v>2025-01</v>
      </c>
    </row>
    <row r="255" spans="1:15" x14ac:dyDescent="0.3">
      <c r="A255" t="s">
        <v>660</v>
      </c>
      <c r="B255" t="s">
        <v>661</v>
      </c>
      <c r="C255" t="s">
        <v>81</v>
      </c>
      <c r="D255" t="s">
        <v>77</v>
      </c>
      <c r="E255" t="s">
        <v>39</v>
      </c>
      <c r="F255" t="s">
        <v>66</v>
      </c>
      <c r="G255">
        <v>2.58</v>
      </c>
      <c r="H255" t="s">
        <v>61</v>
      </c>
      <c r="I255" t="s">
        <v>42</v>
      </c>
      <c r="M255">
        <f>VLOOKUP(H255,'Stage Order'!$A$2:$B$8,2,FALSE)</f>
        <v>1</v>
      </c>
      <c r="N255" t="str">
        <f t="shared" si="6"/>
        <v>2. 1-24 hours</v>
      </c>
      <c r="O255" t="str">
        <f t="shared" si="7"/>
        <v>2025-02</v>
      </c>
    </row>
    <row r="256" spans="1:15" x14ac:dyDescent="0.3">
      <c r="A256" t="s">
        <v>662</v>
      </c>
      <c r="B256" t="s">
        <v>663</v>
      </c>
      <c r="C256" t="s">
        <v>58</v>
      </c>
      <c r="D256" t="s">
        <v>97</v>
      </c>
      <c r="E256" t="s">
        <v>45</v>
      </c>
      <c r="F256" t="s">
        <v>55</v>
      </c>
      <c r="G256">
        <v>5.1100000000000003</v>
      </c>
      <c r="H256" t="s">
        <v>146</v>
      </c>
      <c r="I256" t="s">
        <v>48</v>
      </c>
      <c r="J256" t="s">
        <v>139</v>
      </c>
      <c r="K256">
        <v>1542.88</v>
      </c>
      <c r="L256" t="s">
        <v>664</v>
      </c>
      <c r="M256">
        <f>VLOOKUP(H256,'Stage Order'!$A$2:$B$8,2,FALSE)</f>
        <v>5</v>
      </c>
      <c r="N256" t="str">
        <f t="shared" si="6"/>
        <v>2. 1-24 hours</v>
      </c>
      <c r="O256" t="str">
        <f t="shared" si="7"/>
        <v>2026-06</v>
      </c>
    </row>
    <row r="257" spans="1:15" x14ac:dyDescent="0.3">
      <c r="A257" t="s">
        <v>665</v>
      </c>
      <c r="B257" t="s">
        <v>666</v>
      </c>
      <c r="C257" t="s">
        <v>81</v>
      </c>
      <c r="D257" t="s">
        <v>54</v>
      </c>
      <c r="E257" t="s">
        <v>45</v>
      </c>
      <c r="F257" t="s">
        <v>94</v>
      </c>
      <c r="G257">
        <v>2.23</v>
      </c>
      <c r="H257" t="s">
        <v>61</v>
      </c>
      <c r="I257" t="s">
        <v>42</v>
      </c>
      <c r="M257">
        <f>VLOOKUP(H257,'Stage Order'!$A$2:$B$8,2,FALSE)</f>
        <v>1</v>
      </c>
      <c r="N257" t="str">
        <f t="shared" si="6"/>
        <v>2. 1-24 hours</v>
      </c>
      <c r="O257" t="str">
        <f t="shared" si="7"/>
        <v>2025-11</v>
      </c>
    </row>
    <row r="258" spans="1:15" x14ac:dyDescent="0.3">
      <c r="A258" t="s">
        <v>667</v>
      </c>
      <c r="B258" t="s">
        <v>668</v>
      </c>
      <c r="C258" t="s">
        <v>58</v>
      </c>
      <c r="D258" t="s">
        <v>38</v>
      </c>
      <c r="E258" t="s">
        <v>39</v>
      </c>
      <c r="F258" t="s">
        <v>66</v>
      </c>
      <c r="G258">
        <v>3.35</v>
      </c>
      <c r="H258" t="s">
        <v>61</v>
      </c>
      <c r="I258" t="s">
        <v>42</v>
      </c>
      <c r="M258">
        <f>VLOOKUP(H258,'Stage Order'!$A$2:$B$8,2,FALSE)</f>
        <v>1</v>
      </c>
      <c r="N258" t="str">
        <f t="shared" ref="N258:N321" si="8">IF(G258&lt;=1,"1. Under 1 hour",IF(G258&lt;=24,"2. 1-24 hours",IF(G258&lt;=72,"3. 1-3 days","4. Over 3 days")))</f>
        <v>2. 1-24 hours</v>
      </c>
      <c r="O258" t="str">
        <f t="shared" ref="O258:O321" si="9">TEXT(B258,"YYYY-MM")</f>
        <v>2025-07</v>
      </c>
    </row>
    <row r="259" spans="1:15" x14ac:dyDescent="0.3">
      <c r="A259" t="s">
        <v>669</v>
      </c>
      <c r="B259" t="s">
        <v>670</v>
      </c>
      <c r="C259" t="s">
        <v>53</v>
      </c>
      <c r="D259" t="s">
        <v>97</v>
      </c>
      <c r="E259" t="s">
        <v>45</v>
      </c>
      <c r="F259" t="s">
        <v>55</v>
      </c>
      <c r="G259">
        <v>3.45</v>
      </c>
      <c r="H259" t="s">
        <v>138</v>
      </c>
      <c r="I259" t="s">
        <v>48</v>
      </c>
      <c r="J259" t="s">
        <v>49</v>
      </c>
      <c r="K259">
        <v>1361.82</v>
      </c>
      <c r="L259" t="s">
        <v>671</v>
      </c>
      <c r="M259">
        <f>VLOOKUP(H259,'Stage Order'!$A$2:$B$8,2,FALSE)</f>
        <v>6</v>
      </c>
      <c r="N259" t="str">
        <f t="shared" si="8"/>
        <v>2. 1-24 hours</v>
      </c>
      <c r="O259" t="str">
        <f t="shared" si="9"/>
        <v>2025-07</v>
      </c>
    </row>
    <row r="260" spans="1:15" x14ac:dyDescent="0.3">
      <c r="A260" t="s">
        <v>672</v>
      </c>
      <c r="B260" t="s">
        <v>673</v>
      </c>
      <c r="C260" t="s">
        <v>58</v>
      </c>
      <c r="D260" t="s">
        <v>54</v>
      </c>
      <c r="E260" t="s">
        <v>90</v>
      </c>
      <c r="F260" t="s">
        <v>112</v>
      </c>
      <c r="G260">
        <v>19.55</v>
      </c>
      <c r="H260" t="s">
        <v>41</v>
      </c>
      <c r="I260" t="s">
        <v>42</v>
      </c>
      <c r="M260">
        <f>VLOOKUP(H260,'Stage Order'!$A$2:$B$8,2,FALSE)</f>
        <v>2</v>
      </c>
      <c r="N260" t="str">
        <f t="shared" si="8"/>
        <v>2. 1-24 hours</v>
      </c>
      <c r="O260" t="str">
        <f t="shared" si="9"/>
        <v>2025-06</v>
      </c>
    </row>
    <row r="261" spans="1:15" x14ac:dyDescent="0.3">
      <c r="A261" t="s">
        <v>674</v>
      </c>
      <c r="B261" t="s">
        <v>675</v>
      </c>
      <c r="C261" t="s">
        <v>53</v>
      </c>
      <c r="D261" t="s">
        <v>54</v>
      </c>
      <c r="E261" t="s">
        <v>30</v>
      </c>
      <c r="F261" t="s">
        <v>82</v>
      </c>
      <c r="G261">
        <v>5.14</v>
      </c>
      <c r="H261" t="s">
        <v>32</v>
      </c>
      <c r="I261" t="s">
        <v>33</v>
      </c>
      <c r="K261">
        <v>486.16</v>
      </c>
      <c r="L261" t="s">
        <v>676</v>
      </c>
      <c r="M261">
        <f>VLOOKUP(H261,'Stage Order'!$A$2:$B$8,2,FALSE)</f>
        <v>7</v>
      </c>
      <c r="N261" t="str">
        <f t="shared" si="8"/>
        <v>2. 1-24 hours</v>
      </c>
      <c r="O261" t="str">
        <f t="shared" si="9"/>
        <v>2025-10</v>
      </c>
    </row>
    <row r="262" spans="1:15" x14ac:dyDescent="0.3">
      <c r="A262" t="s">
        <v>677</v>
      </c>
      <c r="B262" t="s">
        <v>678</v>
      </c>
      <c r="C262" t="s">
        <v>125</v>
      </c>
      <c r="D262" t="s">
        <v>54</v>
      </c>
      <c r="E262" t="s">
        <v>90</v>
      </c>
      <c r="F262" t="s">
        <v>91</v>
      </c>
      <c r="G262">
        <v>21.02</v>
      </c>
      <c r="H262" t="s">
        <v>61</v>
      </c>
      <c r="I262" t="s">
        <v>42</v>
      </c>
      <c r="M262">
        <f>VLOOKUP(H262,'Stage Order'!$A$2:$B$8,2,FALSE)</f>
        <v>1</v>
      </c>
      <c r="N262" t="str">
        <f t="shared" si="8"/>
        <v>2. 1-24 hours</v>
      </c>
      <c r="O262" t="str">
        <f t="shared" si="9"/>
        <v>2025-08</v>
      </c>
    </row>
    <row r="263" spans="1:15" x14ac:dyDescent="0.3">
      <c r="A263" t="s">
        <v>679</v>
      </c>
      <c r="B263" t="s">
        <v>680</v>
      </c>
      <c r="C263" t="s">
        <v>125</v>
      </c>
      <c r="D263" t="s">
        <v>29</v>
      </c>
      <c r="E263" t="s">
        <v>45</v>
      </c>
      <c r="F263" t="s">
        <v>55</v>
      </c>
      <c r="G263">
        <v>2.6</v>
      </c>
      <c r="H263" t="s">
        <v>61</v>
      </c>
      <c r="I263" t="s">
        <v>42</v>
      </c>
      <c r="M263">
        <f>VLOOKUP(H263,'Stage Order'!$A$2:$B$8,2,FALSE)</f>
        <v>1</v>
      </c>
      <c r="N263" t="str">
        <f t="shared" si="8"/>
        <v>2. 1-24 hours</v>
      </c>
      <c r="O263" t="str">
        <f t="shared" si="9"/>
        <v>2026-06</v>
      </c>
    </row>
    <row r="264" spans="1:15" x14ac:dyDescent="0.3">
      <c r="A264" t="s">
        <v>681</v>
      </c>
      <c r="B264" t="s">
        <v>682</v>
      </c>
      <c r="C264" t="s">
        <v>28</v>
      </c>
      <c r="D264" t="s">
        <v>77</v>
      </c>
      <c r="E264" t="s">
        <v>45</v>
      </c>
      <c r="F264" t="s">
        <v>55</v>
      </c>
      <c r="G264">
        <v>2.38</v>
      </c>
      <c r="H264" t="s">
        <v>41</v>
      </c>
      <c r="I264" t="s">
        <v>42</v>
      </c>
      <c r="M264">
        <f>VLOOKUP(H264,'Stage Order'!$A$2:$B$8,2,FALSE)</f>
        <v>2</v>
      </c>
      <c r="N264" t="str">
        <f t="shared" si="8"/>
        <v>2. 1-24 hours</v>
      </c>
      <c r="O264" t="str">
        <f t="shared" si="9"/>
        <v>2025-03</v>
      </c>
    </row>
    <row r="265" spans="1:15" x14ac:dyDescent="0.3">
      <c r="A265" t="s">
        <v>683</v>
      </c>
      <c r="B265" t="s">
        <v>684</v>
      </c>
      <c r="C265" t="s">
        <v>81</v>
      </c>
      <c r="D265" t="s">
        <v>77</v>
      </c>
      <c r="E265" t="s">
        <v>30</v>
      </c>
      <c r="F265" t="s">
        <v>78</v>
      </c>
      <c r="G265">
        <v>5.84</v>
      </c>
      <c r="H265" t="s">
        <v>61</v>
      </c>
      <c r="I265" t="s">
        <v>42</v>
      </c>
      <c r="M265">
        <f>VLOOKUP(H265,'Stage Order'!$A$2:$B$8,2,FALSE)</f>
        <v>1</v>
      </c>
      <c r="N265" t="str">
        <f t="shared" si="8"/>
        <v>2. 1-24 hours</v>
      </c>
      <c r="O265" t="str">
        <f t="shared" si="9"/>
        <v>2026-05</v>
      </c>
    </row>
    <row r="266" spans="1:15" x14ac:dyDescent="0.3">
      <c r="A266" t="s">
        <v>685</v>
      </c>
      <c r="B266" t="s">
        <v>686</v>
      </c>
      <c r="C266" t="s">
        <v>28</v>
      </c>
      <c r="D266" t="s">
        <v>38</v>
      </c>
      <c r="E266" t="s">
        <v>39</v>
      </c>
      <c r="F266" t="s">
        <v>40</v>
      </c>
      <c r="G266">
        <v>10.119999999999999</v>
      </c>
      <c r="H266" t="s">
        <v>138</v>
      </c>
      <c r="I266" t="s">
        <v>48</v>
      </c>
      <c r="J266" t="s">
        <v>49</v>
      </c>
      <c r="K266">
        <v>379.64</v>
      </c>
      <c r="L266" t="s">
        <v>687</v>
      </c>
      <c r="M266">
        <f>VLOOKUP(H266,'Stage Order'!$A$2:$B$8,2,FALSE)</f>
        <v>6</v>
      </c>
      <c r="N266" t="str">
        <f t="shared" si="8"/>
        <v>2. 1-24 hours</v>
      </c>
      <c r="O266" t="str">
        <f t="shared" si="9"/>
        <v>2025-11</v>
      </c>
    </row>
    <row r="267" spans="1:15" x14ac:dyDescent="0.3">
      <c r="A267" t="s">
        <v>688</v>
      </c>
      <c r="B267" t="s">
        <v>689</v>
      </c>
      <c r="C267" t="s">
        <v>53</v>
      </c>
      <c r="D267" t="s">
        <v>77</v>
      </c>
      <c r="E267" t="s">
        <v>45</v>
      </c>
      <c r="F267" t="s">
        <v>46</v>
      </c>
      <c r="G267">
        <v>1.07</v>
      </c>
      <c r="H267" t="s">
        <v>138</v>
      </c>
      <c r="I267" t="s">
        <v>48</v>
      </c>
      <c r="J267" t="s">
        <v>98</v>
      </c>
      <c r="K267">
        <v>1113.3699999999999</v>
      </c>
      <c r="L267" t="s">
        <v>690</v>
      </c>
      <c r="M267">
        <f>VLOOKUP(H267,'Stage Order'!$A$2:$B$8,2,FALSE)</f>
        <v>6</v>
      </c>
      <c r="N267" t="str">
        <f t="shared" si="8"/>
        <v>2. 1-24 hours</v>
      </c>
      <c r="O267" t="str">
        <f t="shared" si="9"/>
        <v>2025-02</v>
      </c>
    </row>
    <row r="268" spans="1:15" x14ac:dyDescent="0.3">
      <c r="A268" t="s">
        <v>691</v>
      </c>
      <c r="B268" t="s">
        <v>692</v>
      </c>
      <c r="C268" t="s">
        <v>37</v>
      </c>
      <c r="D268" t="s">
        <v>29</v>
      </c>
      <c r="E268" t="s">
        <v>39</v>
      </c>
      <c r="F268" t="s">
        <v>106</v>
      </c>
      <c r="G268">
        <v>6.59</v>
      </c>
      <c r="H268" t="s">
        <v>41</v>
      </c>
      <c r="I268" t="s">
        <v>42</v>
      </c>
      <c r="M268">
        <f>VLOOKUP(H268,'Stage Order'!$A$2:$B$8,2,FALSE)</f>
        <v>2</v>
      </c>
      <c r="N268" t="str">
        <f t="shared" si="8"/>
        <v>2. 1-24 hours</v>
      </c>
      <c r="O268" t="str">
        <f t="shared" si="9"/>
        <v>2025-08</v>
      </c>
    </row>
    <row r="269" spans="1:15" x14ac:dyDescent="0.3">
      <c r="A269" t="s">
        <v>693</v>
      </c>
      <c r="B269" t="s">
        <v>694</v>
      </c>
      <c r="C269" t="s">
        <v>125</v>
      </c>
      <c r="D269" t="s">
        <v>29</v>
      </c>
      <c r="E269" t="s">
        <v>90</v>
      </c>
      <c r="F269" t="s">
        <v>91</v>
      </c>
      <c r="G269">
        <v>7.07</v>
      </c>
      <c r="H269" t="s">
        <v>41</v>
      </c>
      <c r="I269" t="s">
        <v>42</v>
      </c>
      <c r="M269">
        <f>VLOOKUP(H269,'Stage Order'!$A$2:$B$8,2,FALSE)</f>
        <v>2</v>
      </c>
      <c r="N269" t="str">
        <f t="shared" si="8"/>
        <v>2. 1-24 hours</v>
      </c>
      <c r="O269" t="str">
        <f t="shared" si="9"/>
        <v>2025-09</v>
      </c>
    </row>
    <row r="270" spans="1:15" x14ac:dyDescent="0.3">
      <c r="A270" t="s">
        <v>695</v>
      </c>
      <c r="B270" t="s">
        <v>696</v>
      </c>
      <c r="C270" t="s">
        <v>58</v>
      </c>
      <c r="D270" t="s">
        <v>54</v>
      </c>
      <c r="E270" t="s">
        <v>39</v>
      </c>
      <c r="F270" t="s">
        <v>40</v>
      </c>
      <c r="G270">
        <v>1.95</v>
      </c>
      <c r="H270" t="s">
        <v>61</v>
      </c>
      <c r="I270" t="s">
        <v>42</v>
      </c>
      <c r="M270">
        <f>VLOOKUP(H270,'Stage Order'!$A$2:$B$8,2,FALSE)</f>
        <v>1</v>
      </c>
      <c r="N270" t="str">
        <f t="shared" si="8"/>
        <v>2. 1-24 hours</v>
      </c>
      <c r="O270" t="str">
        <f t="shared" si="9"/>
        <v>2026-03</v>
      </c>
    </row>
    <row r="271" spans="1:15" x14ac:dyDescent="0.3">
      <c r="A271" t="s">
        <v>697</v>
      </c>
      <c r="B271" t="s">
        <v>698</v>
      </c>
      <c r="C271" t="s">
        <v>28</v>
      </c>
      <c r="D271" t="s">
        <v>29</v>
      </c>
      <c r="E271" t="s">
        <v>59</v>
      </c>
      <c r="F271" t="s">
        <v>117</v>
      </c>
      <c r="G271">
        <v>2.72</v>
      </c>
      <c r="H271" t="s">
        <v>32</v>
      </c>
      <c r="I271" t="s">
        <v>33</v>
      </c>
      <c r="K271">
        <v>530</v>
      </c>
      <c r="L271" t="s">
        <v>699</v>
      </c>
      <c r="M271">
        <f>VLOOKUP(H271,'Stage Order'!$A$2:$B$8,2,FALSE)</f>
        <v>7</v>
      </c>
      <c r="N271" t="str">
        <f t="shared" si="8"/>
        <v>2. 1-24 hours</v>
      </c>
      <c r="O271" t="str">
        <f t="shared" si="9"/>
        <v>2025-10</v>
      </c>
    </row>
    <row r="272" spans="1:15" x14ac:dyDescent="0.3">
      <c r="A272" t="s">
        <v>700</v>
      </c>
      <c r="B272" t="s">
        <v>701</v>
      </c>
      <c r="C272" t="s">
        <v>125</v>
      </c>
      <c r="D272" t="s">
        <v>77</v>
      </c>
      <c r="E272" t="s">
        <v>39</v>
      </c>
      <c r="F272" t="s">
        <v>66</v>
      </c>
      <c r="G272">
        <v>34.67</v>
      </c>
      <c r="H272" t="s">
        <v>128</v>
      </c>
      <c r="I272" t="s">
        <v>42</v>
      </c>
      <c r="M272">
        <f>VLOOKUP(H272,'Stage Order'!$A$2:$B$8,2,FALSE)</f>
        <v>3</v>
      </c>
      <c r="N272" t="str">
        <f t="shared" si="8"/>
        <v>3. 1-3 days</v>
      </c>
      <c r="O272" t="str">
        <f t="shared" si="9"/>
        <v>2026-06</v>
      </c>
    </row>
    <row r="273" spans="1:15" x14ac:dyDescent="0.3">
      <c r="A273" t="s">
        <v>702</v>
      </c>
      <c r="B273" t="s">
        <v>703</v>
      </c>
      <c r="C273" t="s">
        <v>125</v>
      </c>
      <c r="D273" t="s">
        <v>38</v>
      </c>
      <c r="E273" t="s">
        <v>90</v>
      </c>
      <c r="F273" t="s">
        <v>145</v>
      </c>
      <c r="G273">
        <v>5.71</v>
      </c>
      <c r="H273" t="s">
        <v>61</v>
      </c>
      <c r="I273" t="s">
        <v>42</v>
      </c>
      <c r="M273">
        <f>VLOOKUP(H273,'Stage Order'!$A$2:$B$8,2,FALSE)</f>
        <v>1</v>
      </c>
      <c r="N273" t="str">
        <f t="shared" si="8"/>
        <v>2. 1-24 hours</v>
      </c>
      <c r="O273" t="str">
        <f t="shared" si="9"/>
        <v>2026-02</v>
      </c>
    </row>
    <row r="274" spans="1:15" x14ac:dyDescent="0.3">
      <c r="A274" t="s">
        <v>704</v>
      </c>
      <c r="B274" t="s">
        <v>705</v>
      </c>
      <c r="C274" t="s">
        <v>125</v>
      </c>
      <c r="D274" t="s">
        <v>77</v>
      </c>
      <c r="E274" t="s">
        <v>45</v>
      </c>
      <c r="F274" t="s">
        <v>94</v>
      </c>
      <c r="G274">
        <v>9.01</v>
      </c>
      <c r="H274" t="s">
        <v>41</v>
      </c>
      <c r="I274" t="s">
        <v>42</v>
      </c>
      <c r="M274">
        <f>VLOOKUP(H274,'Stage Order'!$A$2:$B$8,2,FALSE)</f>
        <v>2</v>
      </c>
      <c r="N274" t="str">
        <f t="shared" si="8"/>
        <v>2. 1-24 hours</v>
      </c>
      <c r="O274" t="str">
        <f t="shared" si="9"/>
        <v>2025-09</v>
      </c>
    </row>
    <row r="275" spans="1:15" x14ac:dyDescent="0.3">
      <c r="A275" t="s">
        <v>706</v>
      </c>
      <c r="B275" t="s">
        <v>707</v>
      </c>
      <c r="C275" t="s">
        <v>53</v>
      </c>
      <c r="D275" t="s">
        <v>54</v>
      </c>
      <c r="E275" t="s">
        <v>45</v>
      </c>
      <c r="F275" t="s">
        <v>94</v>
      </c>
      <c r="G275">
        <v>1.1399999999999999</v>
      </c>
      <c r="H275" t="s">
        <v>41</v>
      </c>
      <c r="I275" t="s">
        <v>42</v>
      </c>
      <c r="M275">
        <f>VLOOKUP(H275,'Stage Order'!$A$2:$B$8,2,FALSE)</f>
        <v>2</v>
      </c>
      <c r="N275" t="str">
        <f t="shared" si="8"/>
        <v>2. 1-24 hours</v>
      </c>
      <c r="O275" t="str">
        <f t="shared" si="9"/>
        <v>2025-05</v>
      </c>
    </row>
    <row r="276" spans="1:15" x14ac:dyDescent="0.3">
      <c r="A276" t="s">
        <v>708</v>
      </c>
      <c r="B276" t="s">
        <v>709</v>
      </c>
      <c r="C276" t="s">
        <v>58</v>
      </c>
      <c r="D276" t="s">
        <v>38</v>
      </c>
      <c r="E276" t="s">
        <v>59</v>
      </c>
      <c r="F276" t="s">
        <v>137</v>
      </c>
      <c r="G276">
        <v>1.65</v>
      </c>
      <c r="H276" t="s">
        <v>61</v>
      </c>
      <c r="I276" t="s">
        <v>42</v>
      </c>
      <c r="M276">
        <f>VLOOKUP(H276,'Stage Order'!$A$2:$B$8,2,FALSE)</f>
        <v>1</v>
      </c>
      <c r="N276" t="str">
        <f t="shared" si="8"/>
        <v>2. 1-24 hours</v>
      </c>
      <c r="O276" t="str">
        <f t="shared" si="9"/>
        <v>2025-06</v>
      </c>
    </row>
    <row r="277" spans="1:15" x14ac:dyDescent="0.3">
      <c r="A277" t="s">
        <v>710</v>
      </c>
      <c r="B277" t="s">
        <v>711</v>
      </c>
      <c r="C277" t="s">
        <v>125</v>
      </c>
      <c r="D277" t="s">
        <v>97</v>
      </c>
      <c r="E277" t="s">
        <v>45</v>
      </c>
      <c r="F277" t="s">
        <v>94</v>
      </c>
      <c r="G277">
        <v>1</v>
      </c>
      <c r="H277" t="s">
        <v>61</v>
      </c>
      <c r="I277" t="s">
        <v>42</v>
      </c>
      <c r="M277">
        <f>VLOOKUP(H277,'Stage Order'!$A$2:$B$8,2,FALSE)</f>
        <v>1</v>
      </c>
      <c r="N277" t="str">
        <f t="shared" si="8"/>
        <v>1. Under 1 hour</v>
      </c>
      <c r="O277" t="str">
        <f t="shared" si="9"/>
        <v>2025-12</v>
      </c>
    </row>
    <row r="278" spans="1:15" x14ac:dyDescent="0.3">
      <c r="A278" t="s">
        <v>712</v>
      </c>
      <c r="B278" t="s">
        <v>713</v>
      </c>
      <c r="C278" t="s">
        <v>58</v>
      </c>
      <c r="D278" t="s">
        <v>54</v>
      </c>
      <c r="E278" t="s">
        <v>90</v>
      </c>
      <c r="F278" t="s">
        <v>145</v>
      </c>
      <c r="G278">
        <v>4.9400000000000004</v>
      </c>
      <c r="H278" t="s">
        <v>41</v>
      </c>
      <c r="I278" t="s">
        <v>42</v>
      </c>
      <c r="M278">
        <f>VLOOKUP(H278,'Stage Order'!$A$2:$B$8,2,FALSE)</f>
        <v>2</v>
      </c>
      <c r="N278" t="str">
        <f t="shared" si="8"/>
        <v>2. 1-24 hours</v>
      </c>
      <c r="O278" t="str">
        <f t="shared" si="9"/>
        <v>2026-03</v>
      </c>
    </row>
    <row r="279" spans="1:15" x14ac:dyDescent="0.3">
      <c r="A279" t="s">
        <v>714</v>
      </c>
      <c r="B279" t="s">
        <v>715</v>
      </c>
      <c r="C279" t="s">
        <v>28</v>
      </c>
      <c r="D279" t="s">
        <v>77</v>
      </c>
      <c r="E279" t="s">
        <v>39</v>
      </c>
      <c r="F279" t="s">
        <v>66</v>
      </c>
      <c r="G279">
        <v>12.78</v>
      </c>
      <c r="H279" t="s">
        <v>47</v>
      </c>
      <c r="I279" t="s">
        <v>48</v>
      </c>
      <c r="J279" t="s">
        <v>139</v>
      </c>
      <c r="K279">
        <v>1166.8399999999999</v>
      </c>
      <c r="L279" t="s">
        <v>716</v>
      </c>
      <c r="M279">
        <f>VLOOKUP(H279,'Stage Order'!$A$2:$B$8,2,FALSE)</f>
        <v>4</v>
      </c>
      <c r="N279" t="str">
        <f t="shared" si="8"/>
        <v>2. 1-24 hours</v>
      </c>
      <c r="O279" t="str">
        <f t="shared" si="9"/>
        <v>2025-11</v>
      </c>
    </row>
    <row r="280" spans="1:15" x14ac:dyDescent="0.3">
      <c r="A280" t="s">
        <v>717</v>
      </c>
      <c r="B280" t="s">
        <v>718</v>
      </c>
      <c r="C280" t="s">
        <v>58</v>
      </c>
      <c r="D280" t="s">
        <v>54</v>
      </c>
      <c r="E280" t="s">
        <v>90</v>
      </c>
      <c r="F280" t="s">
        <v>112</v>
      </c>
      <c r="G280">
        <v>4.25</v>
      </c>
      <c r="H280" t="s">
        <v>41</v>
      </c>
      <c r="I280" t="s">
        <v>42</v>
      </c>
      <c r="M280">
        <f>VLOOKUP(H280,'Stage Order'!$A$2:$B$8,2,FALSE)</f>
        <v>2</v>
      </c>
      <c r="N280" t="str">
        <f t="shared" si="8"/>
        <v>2. 1-24 hours</v>
      </c>
      <c r="O280" t="str">
        <f t="shared" si="9"/>
        <v>2025-06</v>
      </c>
    </row>
    <row r="281" spans="1:15" x14ac:dyDescent="0.3">
      <c r="A281" t="s">
        <v>719</v>
      </c>
      <c r="B281" t="s">
        <v>720</v>
      </c>
      <c r="C281" t="s">
        <v>28</v>
      </c>
      <c r="D281" t="s">
        <v>97</v>
      </c>
      <c r="E281" t="s">
        <v>59</v>
      </c>
      <c r="F281" t="s">
        <v>117</v>
      </c>
      <c r="G281">
        <v>2.5</v>
      </c>
      <c r="H281" t="s">
        <v>138</v>
      </c>
      <c r="I281" t="s">
        <v>48</v>
      </c>
      <c r="J281" t="s">
        <v>98</v>
      </c>
      <c r="K281">
        <v>1575.85</v>
      </c>
      <c r="L281" t="s">
        <v>721</v>
      </c>
      <c r="M281">
        <f>VLOOKUP(H281,'Stage Order'!$A$2:$B$8,2,FALSE)</f>
        <v>6</v>
      </c>
      <c r="N281" t="str">
        <f t="shared" si="8"/>
        <v>2. 1-24 hours</v>
      </c>
      <c r="O281" t="str">
        <f t="shared" si="9"/>
        <v>2025-03</v>
      </c>
    </row>
    <row r="282" spans="1:15" x14ac:dyDescent="0.3">
      <c r="A282" t="s">
        <v>722</v>
      </c>
      <c r="B282" t="s">
        <v>723</v>
      </c>
      <c r="C282" t="s">
        <v>53</v>
      </c>
      <c r="D282" t="s">
        <v>97</v>
      </c>
      <c r="E282" t="s">
        <v>90</v>
      </c>
      <c r="F282" t="s">
        <v>91</v>
      </c>
      <c r="G282">
        <v>4.53</v>
      </c>
      <c r="H282" t="s">
        <v>41</v>
      </c>
      <c r="I282" t="s">
        <v>42</v>
      </c>
      <c r="M282">
        <f>VLOOKUP(H282,'Stage Order'!$A$2:$B$8,2,FALSE)</f>
        <v>2</v>
      </c>
      <c r="N282" t="str">
        <f t="shared" si="8"/>
        <v>2. 1-24 hours</v>
      </c>
      <c r="O282" t="str">
        <f t="shared" si="9"/>
        <v>2026-06</v>
      </c>
    </row>
    <row r="283" spans="1:15" x14ac:dyDescent="0.3">
      <c r="A283" t="s">
        <v>724</v>
      </c>
      <c r="B283" t="s">
        <v>725</v>
      </c>
      <c r="C283" t="s">
        <v>58</v>
      </c>
      <c r="D283" t="s">
        <v>97</v>
      </c>
      <c r="E283" t="s">
        <v>90</v>
      </c>
      <c r="F283" t="s">
        <v>145</v>
      </c>
      <c r="G283">
        <v>2.2200000000000002</v>
      </c>
      <c r="H283" t="s">
        <v>61</v>
      </c>
      <c r="I283" t="s">
        <v>42</v>
      </c>
      <c r="M283">
        <f>VLOOKUP(H283,'Stage Order'!$A$2:$B$8,2,FALSE)</f>
        <v>1</v>
      </c>
      <c r="N283" t="str">
        <f t="shared" si="8"/>
        <v>2. 1-24 hours</v>
      </c>
      <c r="O283" t="str">
        <f t="shared" si="9"/>
        <v>2026-03</v>
      </c>
    </row>
    <row r="284" spans="1:15" x14ac:dyDescent="0.3">
      <c r="A284" t="s">
        <v>726</v>
      </c>
      <c r="B284" t="s">
        <v>727</v>
      </c>
      <c r="C284" t="s">
        <v>125</v>
      </c>
      <c r="D284" t="s">
        <v>77</v>
      </c>
      <c r="E284" t="s">
        <v>59</v>
      </c>
      <c r="F284" t="s">
        <v>60</v>
      </c>
      <c r="G284">
        <v>5.34</v>
      </c>
      <c r="H284" t="s">
        <v>128</v>
      </c>
      <c r="I284" t="s">
        <v>42</v>
      </c>
      <c r="M284">
        <f>VLOOKUP(H284,'Stage Order'!$A$2:$B$8,2,FALSE)</f>
        <v>3</v>
      </c>
      <c r="N284" t="str">
        <f t="shared" si="8"/>
        <v>2. 1-24 hours</v>
      </c>
      <c r="O284" t="str">
        <f t="shared" si="9"/>
        <v>2026-02</v>
      </c>
    </row>
    <row r="285" spans="1:15" x14ac:dyDescent="0.3">
      <c r="A285" t="s">
        <v>728</v>
      </c>
      <c r="B285" t="s">
        <v>729</v>
      </c>
      <c r="C285" t="s">
        <v>125</v>
      </c>
      <c r="D285" t="s">
        <v>77</v>
      </c>
      <c r="E285" t="s">
        <v>39</v>
      </c>
      <c r="F285" t="s">
        <v>66</v>
      </c>
      <c r="G285">
        <v>3.25</v>
      </c>
      <c r="H285" t="s">
        <v>41</v>
      </c>
      <c r="I285" t="s">
        <v>42</v>
      </c>
      <c r="M285">
        <f>VLOOKUP(H285,'Stage Order'!$A$2:$B$8,2,FALSE)</f>
        <v>2</v>
      </c>
      <c r="N285" t="str">
        <f t="shared" si="8"/>
        <v>2. 1-24 hours</v>
      </c>
      <c r="O285" t="str">
        <f t="shared" si="9"/>
        <v>2026-01</v>
      </c>
    </row>
    <row r="286" spans="1:15" x14ac:dyDescent="0.3">
      <c r="A286" t="s">
        <v>730</v>
      </c>
      <c r="B286" t="s">
        <v>731</v>
      </c>
      <c r="C286" t="s">
        <v>58</v>
      </c>
      <c r="D286" t="s">
        <v>29</v>
      </c>
      <c r="E286" t="s">
        <v>59</v>
      </c>
      <c r="F286" t="s">
        <v>60</v>
      </c>
      <c r="G286">
        <v>3.69</v>
      </c>
      <c r="H286" t="s">
        <v>61</v>
      </c>
      <c r="I286" t="s">
        <v>42</v>
      </c>
      <c r="M286">
        <f>VLOOKUP(H286,'Stage Order'!$A$2:$B$8,2,FALSE)</f>
        <v>1</v>
      </c>
      <c r="N286" t="str">
        <f t="shared" si="8"/>
        <v>2. 1-24 hours</v>
      </c>
      <c r="O286" t="str">
        <f t="shared" si="9"/>
        <v>2026-06</v>
      </c>
    </row>
    <row r="287" spans="1:15" x14ac:dyDescent="0.3">
      <c r="A287" t="s">
        <v>732</v>
      </c>
      <c r="B287" t="s">
        <v>733</v>
      </c>
      <c r="C287" t="s">
        <v>37</v>
      </c>
      <c r="D287" t="s">
        <v>29</v>
      </c>
      <c r="E287" t="s">
        <v>59</v>
      </c>
      <c r="F287" t="s">
        <v>60</v>
      </c>
      <c r="G287">
        <v>3.17</v>
      </c>
      <c r="H287" t="s">
        <v>41</v>
      </c>
      <c r="I287" t="s">
        <v>42</v>
      </c>
      <c r="M287">
        <f>VLOOKUP(H287,'Stage Order'!$A$2:$B$8,2,FALSE)</f>
        <v>2</v>
      </c>
      <c r="N287" t="str">
        <f t="shared" si="8"/>
        <v>2. 1-24 hours</v>
      </c>
      <c r="O287" t="str">
        <f t="shared" si="9"/>
        <v>2025-09</v>
      </c>
    </row>
    <row r="288" spans="1:15" x14ac:dyDescent="0.3">
      <c r="A288" t="s">
        <v>734</v>
      </c>
      <c r="B288" t="s">
        <v>735</v>
      </c>
      <c r="C288" t="s">
        <v>53</v>
      </c>
      <c r="D288" t="s">
        <v>29</v>
      </c>
      <c r="E288" t="s">
        <v>90</v>
      </c>
      <c r="F288" t="s">
        <v>91</v>
      </c>
      <c r="G288">
        <v>1.45</v>
      </c>
      <c r="H288" t="s">
        <v>41</v>
      </c>
      <c r="I288" t="s">
        <v>42</v>
      </c>
      <c r="M288">
        <f>VLOOKUP(H288,'Stage Order'!$A$2:$B$8,2,FALSE)</f>
        <v>2</v>
      </c>
      <c r="N288" t="str">
        <f t="shared" si="8"/>
        <v>2. 1-24 hours</v>
      </c>
      <c r="O288" t="str">
        <f t="shared" si="9"/>
        <v>2025-05</v>
      </c>
    </row>
    <row r="289" spans="1:15" x14ac:dyDescent="0.3">
      <c r="A289" t="s">
        <v>736</v>
      </c>
      <c r="B289" t="s">
        <v>737</v>
      </c>
      <c r="C289" t="s">
        <v>58</v>
      </c>
      <c r="D289" t="s">
        <v>54</v>
      </c>
      <c r="E289" t="s">
        <v>30</v>
      </c>
      <c r="F289" t="s">
        <v>31</v>
      </c>
      <c r="G289">
        <v>4.5</v>
      </c>
      <c r="H289" t="s">
        <v>41</v>
      </c>
      <c r="I289" t="s">
        <v>42</v>
      </c>
      <c r="M289">
        <f>VLOOKUP(H289,'Stage Order'!$A$2:$B$8,2,FALSE)</f>
        <v>2</v>
      </c>
      <c r="N289" t="str">
        <f t="shared" si="8"/>
        <v>2. 1-24 hours</v>
      </c>
      <c r="O289" t="str">
        <f t="shared" si="9"/>
        <v>2025-01</v>
      </c>
    </row>
    <row r="290" spans="1:15" x14ac:dyDescent="0.3">
      <c r="A290" t="s">
        <v>738</v>
      </c>
      <c r="B290" t="s">
        <v>739</v>
      </c>
      <c r="C290" t="s">
        <v>125</v>
      </c>
      <c r="D290" t="s">
        <v>38</v>
      </c>
      <c r="E290" t="s">
        <v>45</v>
      </c>
      <c r="F290" t="s">
        <v>55</v>
      </c>
      <c r="G290">
        <v>3.26</v>
      </c>
      <c r="H290" t="s">
        <v>61</v>
      </c>
      <c r="I290" t="s">
        <v>42</v>
      </c>
      <c r="M290">
        <f>VLOOKUP(H290,'Stage Order'!$A$2:$B$8,2,FALSE)</f>
        <v>1</v>
      </c>
      <c r="N290" t="str">
        <f t="shared" si="8"/>
        <v>2. 1-24 hours</v>
      </c>
      <c r="O290" t="str">
        <f t="shared" si="9"/>
        <v>2025-10</v>
      </c>
    </row>
    <row r="291" spans="1:15" x14ac:dyDescent="0.3">
      <c r="A291" t="s">
        <v>740</v>
      </c>
      <c r="B291" t="s">
        <v>741</v>
      </c>
      <c r="C291" t="s">
        <v>37</v>
      </c>
      <c r="D291" t="s">
        <v>54</v>
      </c>
      <c r="E291" t="s">
        <v>30</v>
      </c>
      <c r="F291" t="s">
        <v>31</v>
      </c>
      <c r="G291">
        <v>9.39</v>
      </c>
      <c r="H291" t="s">
        <v>47</v>
      </c>
      <c r="I291" t="s">
        <v>48</v>
      </c>
      <c r="J291" t="s">
        <v>742</v>
      </c>
      <c r="K291">
        <v>540.13</v>
      </c>
      <c r="L291" t="s">
        <v>743</v>
      </c>
      <c r="M291">
        <f>VLOOKUP(H291,'Stage Order'!$A$2:$B$8,2,FALSE)</f>
        <v>4</v>
      </c>
      <c r="N291" t="str">
        <f t="shared" si="8"/>
        <v>2. 1-24 hours</v>
      </c>
      <c r="O291" t="str">
        <f t="shared" si="9"/>
        <v>2025-10</v>
      </c>
    </row>
    <row r="292" spans="1:15" x14ac:dyDescent="0.3">
      <c r="A292" t="s">
        <v>744</v>
      </c>
      <c r="B292" t="s">
        <v>745</v>
      </c>
      <c r="C292" t="s">
        <v>58</v>
      </c>
      <c r="D292" t="s">
        <v>77</v>
      </c>
      <c r="E292" t="s">
        <v>90</v>
      </c>
      <c r="F292" t="s">
        <v>91</v>
      </c>
      <c r="G292">
        <v>3.87</v>
      </c>
      <c r="H292" t="s">
        <v>41</v>
      </c>
      <c r="I292" t="s">
        <v>42</v>
      </c>
      <c r="M292">
        <f>VLOOKUP(H292,'Stage Order'!$A$2:$B$8,2,FALSE)</f>
        <v>2</v>
      </c>
      <c r="N292" t="str">
        <f t="shared" si="8"/>
        <v>2. 1-24 hours</v>
      </c>
      <c r="O292" t="str">
        <f t="shared" si="9"/>
        <v>2025-01</v>
      </c>
    </row>
    <row r="293" spans="1:15" x14ac:dyDescent="0.3">
      <c r="A293" t="s">
        <v>746</v>
      </c>
      <c r="B293" t="s">
        <v>747</v>
      </c>
      <c r="C293" t="s">
        <v>81</v>
      </c>
      <c r="D293" t="s">
        <v>29</v>
      </c>
      <c r="E293" t="s">
        <v>59</v>
      </c>
      <c r="F293" t="s">
        <v>117</v>
      </c>
      <c r="G293">
        <v>11.68</v>
      </c>
      <c r="H293" t="s">
        <v>41</v>
      </c>
      <c r="I293" t="s">
        <v>42</v>
      </c>
      <c r="M293">
        <f>VLOOKUP(H293,'Stage Order'!$A$2:$B$8,2,FALSE)</f>
        <v>2</v>
      </c>
      <c r="N293" t="str">
        <f t="shared" si="8"/>
        <v>2. 1-24 hours</v>
      </c>
      <c r="O293" t="str">
        <f t="shared" si="9"/>
        <v>2025-03</v>
      </c>
    </row>
    <row r="294" spans="1:15" x14ac:dyDescent="0.3">
      <c r="A294" t="s">
        <v>748</v>
      </c>
      <c r="B294" t="s">
        <v>749</v>
      </c>
      <c r="C294" t="s">
        <v>37</v>
      </c>
      <c r="D294" t="s">
        <v>29</v>
      </c>
      <c r="E294" t="s">
        <v>90</v>
      </c>
      <c r="F294" t="s">
        <v>91</v>
      </c>
      <c r="G294">
        <v>3.27</v>
      </c>
      <c r="H294" t="s">
        <v>47</v>
      </c>
      <c r="I294" t="s">
        <v>48</v>
      </c>
      <c r="J294" t="s">
        <v>139</v>
      </c>
      <c r="K294">
        <v>680.42</v>
      </c>
      <c r="L294" t="s">
        <v>750</v>
      </c>
      <c r="M294">
        <f>VLOOKUP(H294,'Stage Order'!$A$2:$B$8,2,FALSE)</f>
        <v>4</v>
      </c>
      <c r="N294" t="str">
        <f t="shared" si="8"/>
        <v>2. 1-24 hours</v>
      </c>
      <c r="O294" t="str">
        <f t="shared" si="9"/>
        <v>2025-01</v>
      </c>
    </row>
    <row r="295" spans="1:15" x14ac:dyDescent="0.3">
      <c r="A295" t="s">
        <v>751</v>
      </c>
      <c r="B295" t="s">
        <v>752</v>
      </c>
      <c r="C295" t="s">
        <v>81</v>
      </c>
      <c r="D295" t="s">
        <v>54</v>
      </c>
      <c r="E295" t="s">
        <v>45</v>
      </c>
      <c r="F295" t="s">
        <v>94</v>
      </c>
      <c r="G295">
        <v>5.56</v>
      </c>
      <c r="H295" t="s">
        <v>61</v>
      </c>
      <c r="I295" t="s">
        <v>42</v>
      </c>
      <c r="M295">
        <f>VLOOKUP(H295,'Stage Order'!$A$2:$B$8,2,FALSE)</f>
        <v>1</v>
      </c>
      <c r="N295" t="str">
        <f t="shared" si="8"/>
        <v>2. 1-24 hours</v>
      </c>
      <c r="O295" t="str">
        <f t="shared" si="9"/>
        <v>2025-11</v>
      </c>
    </row>
    <row r="296" spans="1:15" x14ac:dyDescent="0.3">
      <c r="A296" t="s">
        <v>753</v>
      </c>
      <c r="B296" t="s">
        <v>754</v>
      </c>
      <c r="C296" t="s">
        <v>28</v>
      </c>
      <c r="D296" t="s">
        <v>38</v>
      </c>
      <c r="E296" t="s">
        <v>39</v>
      </c>
      <c r="F296" t="s">
        <v>66</v>
      </c>
      <c r="G296">
        <v>7.86</v>
      </c>
      <c r="H296" t="s">
        <v>32</v>
      </c>
      <c r="I296" t="s">
        <v>33</v>
      </c>
      <c r="K296">
        <v>301.64</v>
      </c>
      <c r="L296" t="s">
        <v>755</v>
      </c>
      <c r="M296">
        <f>VLOOKUP(H296,'Stage Order'!$A$2:$B$8,2,FALSE)</f>
        <v>7</v>
      </c>
      <c r="N296" t="str">
        <f t="shared" si="8"/>
        <v>2. 1-24 hours</v>
      </c>
      <c r="O296" t="str">
        <f t="shared" si="9"/>
        <v>2025-10</v>
      </c>
    </row>
    <row r="297" spans="1:15" x14ac:dyDescent="0.3">
      <c r="A297" t="s">
        <v>756</v>
      </c>
      <c r="B297" t="s">
        <v>757</v>
      </c>
      <c r="C297" t="s">
        <v>28</v>
      </c>
      <c r="D297" t="s">
        <v>54</v>
      </c>
      <c r="E297" t="s">
        <v>45</v>
      </c>
      <c r="F297" t="s">
        <v>94</v>
      </c>
      <c r="G297">
        <v>1.9</v>
      </c>
      <c r="H297" t="s">
        <v>41</v>
      </c>
      <c r="I297" t="s">
        <v>42</v>
      </c>
      <c r="M297">
        <f>VLOOKUP(H297,'Stage Order'!$A$2:$B$8,2,FALSE)</f>
        <v>2</v>
      </c>
      <c r="N297" t="str">
        <f t="shared" si="8"/>
        <v>2. 1-24 hours</v>
      </c>
      <c r="O297" t="str">
        <f t="shared" si="9"/>
        <v>2025-07</v>
      </c>
    </row>
    <row r="298" spans="1:15" x14ac:dyDescent="0.3">
      <c r="A298" t="s">
        <v>758</v>
      </c>
      <c r="B298" t="s">
        <v>759</v>
      </c>
      <c r="C298" t="s">
        <v>37</v>
      </c>
      <c r="D298" t="s">
        <v>97</v>
      </c>
      <c r="E298" t="s">
        <v>39</v>
      </c>
      <c r="F298" t="s">
        <v>40</v>
      </c>
      <c r="G298">
        <v>1.46</v>
      </c>
      <c r="H298" t="s">
        <v>47</v>
      </c>
      <c r="I298" t="s">
        <v>48</v>
      </c>
      <c r="J298" t="s">
        <v>139</v>
      </c>
      <c r="K298">
        <v>1465.01</v>
      </c>
      <c r="L298" t="s">
        <v>760</v>
      </c>
      <c r="M298">
        <f>VLOOKUP(H298,'Stage Order'!$A$2:$B$8,2,FALSE)</f>
        <v>4</v>
      </c>
      <c r="N298" t="str">
        <f t="shared" si="8"/>
        <v>2. 1-24 hours</v>
      </c>
      <c r="O298" t="str">
        <f t="shared" si="9"/>
        <v>2025-11</v>
      </c>
    </row>
    <row r="299" spans="1:15" x14ac:dyDescent="0.3">
      <c r="A299" t="s">
        <v>761</v>
      </c>
      <c r="B299" t="s">
        <v>762</v>
      </c>
      <c r="C299" t="s">
        <v>37</v>
      </c>
      <c r="D299" t="s">
        <v>77</v>
      </c>
      <c r="E299" t="s">
        <v>45</v>
      </c>
      <c r="F299" t="s">
        <v>46</v>
      </c>
      <c r="G299">
        <v>2.67</v>
      </c>
      <c r="H299" t="s">
        <v>47</v>
      </c>
      <c r="I299" t="s">
        <v>48</v>
      </c>
      <c r="J299" t="s">
        <v>742</v>
      </c>
      <c r="K299">
        <v>871.83</v>
      </c>
      <c r="L299" t="s">
        <v>763</v>
      </c>
      <c r="M299">
        <f>VLOOKUP(H299,'Stage Order'!$A$2:$B$8,2,FALSE)</f>
        <v>4</v>
      </c>
      <c r="N299" t="str">
        <f t="shared" si="8"/>
        <v>2. 1-24 hours</v>
      </c>
      <c r="O299" t="str">
        <f t="shared" si="9"/>
        <v>2025-03</v>
      </c>
    </row>
    <row r="300" spans="1:15" x14ac:dyDescent="0.3">
      <c r="A300" t="s">
        <v>764</v>
      </c>
      <c r="B300" t="s">
        <v>765</v>
      </c>
      <c r="C300" t="s">
        <v>37</v>
      </c>
      <c r="D300" t="s">
        <v>29</v>
      </c>
      <c r="E300" t="s">
        <v>30</v>
      </c>
      <c r="F300" t="s">
        <v>78</v>
      </c>
      <c r="G300">
        <v>3.3</v>
      </c>
      <c r="H300" t="s">
        <v>41</v>
      </c>
      <c r="I300" t="s">
        <v>42</v>
      </c>
      <c r="M300">
        <f>VLOOKUP(H300,'Stage Order'!$A$2:$B$8,2,FALSE)</f>
        <v>2</v>
      </c>
      <c r="N300" t="str">
        <f t="shared" si="8"/>
        <v>2. 1-24 hours</v>
      </c>
      <c r="O300" t="str">
        <f t="shared" si="9"/>
        <v>2025-10</v>
      </c>
    </row>
    <row r="301" spans="1:15" x14ac:dyDescent="0.3">
      <c r="A301" t="s">
        <v>766</v>
      </c>
      <c r="B301" t="s">
        <v>767</v>
      </c>
      <c r="C301" t="s">
        <v>53</v>
      </c>
      <c r="D301" t="s">
        <v>29</v>
      </c>
      <c r="E301" t="s">
        <v>59</v>
      </c>
      <c r="F301" t="s">
        <v>60</v>
      </c>
      <c r="G301">
        <v>2.98</v>
      </c>
      <c r="H301" t="s">
        <v>41</v>
      </c>
      <c r="I301" t="s">
        <v>42</v>
      </c>
      <c r="M301">
        <f>VLOOKUP(H301,'Stage Order'!$A$2:$B$8,2,FALSE)</f>
        <v>2</v>
      </c>
      <c r="N301" t="str">
        <f t="shared" si="8"/>
        <v>2. 1-24 hours</v>
      </c>
      <c r="O301" t="str">
        <f t="shared" si="9"/>
        <v>2025-06</v>
      </c>
    </row>
    <row r="302" spans="1:15" x14ac:dyDescent="0.3">
      <c r="A302" t="s">
        <v>768</v>
      </c>
      <c r="B302" t="s">
        <v>769</v>
      </c>
      <c r="C302" t="s">
        <v>37</v>
      </c>
      <c r="D302" t="s">
        <v>54</v>
      </c>
      <c r="E302" t="s">
        <v>45</v>
      </c>
      <c r="F302" t="s">
        <v>55</v>
      </c>
      <c r="G302">
        <v>2.66</v>
      </c>
      <c r="H302" t="s">
        <v>41</v>
      </c>
      <c r="I302" t="s">
        <v>42</v>
      </c>
      <c r="M302">
        <f>VLOOKUP(H302,'Stage Order'!$A$2:$B$8,2,FALSE)</f>
        <v>2</v>
      </c>
      <c r="N302" t="str">
        <f t="shared" si="8"/>
        <v>2. 1-24 hours</v>
      </c>
      <c r="O302" t="str">
        <f t="shared" si="9"/>
        <v>2025-04</v>
      </c>
    </row>
    <row r="303" spans="1:15" x14ac:dyDescent="0.3">
      <c r="A303" t="s">
        <v>770</v>
      </c>
      <c r="B303" t="s">
        <v>771</v>
      </c>
      <c r="C303" t="s">
        <v>58</v>
      </c>
      <c r="D303" t="s">
        <v>29</v>
      </c>
      <c r="E303" t="s">
        <v>59</v>
      </c>
      <c r="F303" t="s">
        <v>137</v>
      </c>
      <c r="G303">
        <v>2.3199999999999998</v>
      </c>
      <c r="H303" t="s">
        <v>61</v>
      </c>
      <c r="I303" t="s">
        <v>42</v>
      </c>
      <c r="M303">
        <f>VLOOKUP(H303,'Stage Order'!$A$2:$B$8,2,FALSE)</f>
        <v>1</v>
      </c>
      <c r="N303" t="str">
        <f t="shared" si="8"/>
        <v>2. 1-24 hours</v>
      </c>
      <c r="O303" t="str">
        <f t="shared" si="9"/>
        <v>2025-08</v>
      </c>
    </row>
    <row r="304" spans="1:15" x14ac:dyDescent="0.3">
      <c r="A304" t="s">
        <v>772</v>
      </c>
      <c r="B304" t="s">
        <v>773</v>
      </c>
      <c r="C304" t="s">
        <v>81</v>
      </c>
      <c r="D304" t="s">
        <v>38</v>
      </c>
      <c r="E304" t="s">
        <v>39</v>
      </c>
      <c r="F304" t="s">
        <v>40</v>
      </c>
      <c r="G304">
        <v>1.2</v>
      </c>
      <c r="H304" t="s">
        <v>41</v>
      </c>
      <c r="I304" t="s">
        <v>42</v>
      </c>
      <c r="M304">
        <f>VLOOKUP(H304,'Stage Order'!$A$2:$B$8,2,FALSE)</f>
        <v>2</v>
      </c>
      <c r="N304" t="str">
        <f t="shared" si="8"/>
        <v>2. 1-24 hours</v>
      </c>
      <c r="O304" t="str">
        <f t="shared" si="9"/>
        <v>2026-04</v>
      </c>
    </row>
    <row r="305" spans="1:15" x14ac:dyDescent="0.3">
      <c r="A305" t="s">
        <v>774</v>
      </c>
      <c r="B305" t="s">
        <v>775</v>
      </c>
      <c r="C305" t="s">
        <v>76</v>
      </c>
      <c r="D305" t="s">
        <v>54</v>
      </c>
      <c r="E305" t="s">
        <v>59</v>
      </c>
      <c r="F305" t="s">
        <v>137</v>
      </c>
      <c r="G305">
        <v>5.79</v>
      </c>
      <c r="H305" t="s">
        <v>128</v>
      </c>
      <c r="I305" t="s">
        <v>42</v>
      </c>
      <c r="M305">
        <f>VLOOKUP(H305,'Stage Order'!$A$2:$B$8,2,FALSE)</f>
        <v>3</v>
      </c>
      <c r="N305" t="str">
        <f t="shared" si="8"/>
        <v>2. 1-24 hours</v>
      </c>
      <c r="O305" t="str">
        <f t="shared" si="9"/>
        <v>2025-11</v>
      </c>
    </row>
    <row r="306" spans="1:15" x14ac:dyDescent="0.3">
      <c r="A306" t="s">
        <v>776</v>
      </c>
      <c r="B306" t="s">
        <v>777</v>
      </c>
      <c r="C306" t="s">
        <v>37</v>
      </c>
      <c r="D306" t="s">
        <v>38</v>
      </c>
      <c r="E306" t="s">
        <v>90</v>
      </c>
      <c r="F306" t="s">
        <v>91</v>
      </c>
      <c r="G306">
        <v>2.57</v>
      </c>
      <c r="H306" t="s">
        <v>41</v>
      </c>
      <c r="I306" t="s">
        <v>42</v>
      </c>
      <c r="M306">
        <f>VLOOKUP(H306,'Stage Order'!$A$2:$B$8,2,FALSE)</f>
        <v>2</v>
      </c>
      <c r="N306" t="str">
        <f t="shared" si="8"/>
        <v>2. 1-24 hours</v>
      </c>
      <c r="O306" t="str">
        <f t="shared" si="9"/>
        <v>2025-01</v>
      </c>
    </row>
    <row r="307" spans="1:15" x14ac:dyDescent="0.3">
      <c r="A307" t="s">
        <v>778</v>
      </c>
      <c r="B307" t="s">
        <v>779</v>
      </c>
      <c r="C307" t="s">
        <v>81</v>
      </c>
      <c r="D307" t="s">
        <v>38</v>
      </c>
      <c r="E307" t="s">
        <v>45</v>
      </c>
      <c r="F307" t="s">
        <v>46</v>
      </c>
      <c r="G307">
        <v>1.67</v>
      </c>
      <c r="H307" t="s">
        <v>61</v>
      </c>
      <c r="I307" t="s">
        <v>42</v>
      </c>
      <c r="M307">
        <f>VLOOKUP(H307,'Stage Order'!$A$2:$B$8,2,FALSE)</f>
        <v>1</v>
      </c>
      <c r="N307" t="str">
        <f t="shared" si="8"/>
        <v>2. 1-24 hours</v>
      </c>
      <c r="O307" t="str">
        <f t="shared" si="9"/>
        <v>2026-03</v>
      </c>
    </row>
    <row r="308" spans="1:15" x14ac:dyDescent="0.3">
      <c r="A308" t="s">
        <v>780</v>
      </c>
      <c r="B308" t="s">
        <v>781</v>
      </c>
      <c r="C308" t="s">
        <v>37</v>
      </c>
      <c r="D308" t="s">
        <v>54</v>
      </c>
      <c r="E308" t="s">
        <v>59</v>
      </c>
      <c r="F308" t="s">
        <v>60</v>
      </c>
      <c r="G308">
        <v>11.07</v>
      </c>
      <c r="H308" t="s">
        <v>47</v>
      </c>
      <c r="I308" t="s">
        <v>48</v>
      </c>
      <c r="J308" t="s">
        <v>49</v>
      </c>
      <c r="K308">
        <v>433.06</v>
      </c>
      <c r="L308" t="s">
        <v>782</v>
      </c>
      <c r="M308">
        <f>VLOOKUP(H308,'Stage Order'!$A$2:$B$8,2,FALSE)</f>
        <v>4</v>
      </c>
      <c r="N308" t="str">
        <f t="shared" si="8"/>
        <v>2. 1-24 hours</v>
      </c>
      <c r="O308" t="str">
        <f t="shared" si="9"/>
        <v>2025-07</v>
      </c>
    </row>
    <row r="309" spans="1:15" x14ac:dyDescent="0.3">
      <c r="A309" t="s">
        <v>783</v>
      </c>
      <c r="B309" t="s">
        <v>784</v>
      </c>
      <c r="C309" t="s">
        <v>125</v>
      </c>
      <c r="D309" t="s">
        <v>77</v>
      </c>
      <c r="E309" t="s">
        <v>59</v>
      </c>
      <c r="F309" t="s">
        <v>137</v>
      </c>
      <c r="G309">
        <v>3.54</v>
      </c>
      <c r="H309" t="s">
        <v>41</v>
      </c>
      <c r="I309" t="s">
        <v>42</v>
      </c>
      <c r="M309">
        <f>VLOOKUP(H309,'Stage Order'!$A$2:$B$8,2,FALSE)</f>
        <v>2</v>
      </c>
      <c r="N309" t="str">
        <f t="shared" si="8"/>
        <v>2. 1-24 hours</v>
      </c>
      <c r="O309" t="str">
        <f t="shared" si="9"/>
        <v>2026-02</v>
      </c>
    </row>
    <row r="310" spans="1:15" x14ac:dyDescent="0.3">
      <c r="A310" t="s">
        <v>785</v>
      </c>
      <c r="B310" t="s">
        <v>786</v>
      </c>
      <c r="C310" t="s">
        <v>125</v>
      </c>
      <c r="D310" t="s">
        <v>29</v>
      </c>
      <c r="E310" t="s">
        <v>45</v>
      </c>
      <c r="F310" t="s">
        <v>55</v>
      </c>
      <c r="G310">
        <v>1.08</v>
      </c>
      <c r="H310" t="s">
        <v>47</v>
      </c>
      <c r="I310" t="s">
        <v>48</v>
      </c>
      <c r="J310" t="s">
        <v>113</v>
      </c>
      <c r="K310">
        <v>702.94</v>
      </c>
      <c r="L310" t="s">
        <v>787</v>
      </c>
      <c r="M310">
        <f>VLOOKUP(H310,'Stage Order'!$A$2:$B$8,2,FALSE)</f>
        <v>4</v>
      </c>
      <c r="N310" t="str">
        <f t="shared" si="8"/>
        <v>2. 1-24 hours</v>
      </c>
      <c r="O310" t="str">
        <f t="shared" si="9"/>
        <v>2025-12</v>
      </c>
    </row>
    <row r="311" spans="1:15" x14ac:dyDescent="0.3">
      <c r="A311" t="s">
        <v>788</v>
      </c>
      <c r="B311" t="s">
        <v>789</v>
      </c>
      <c r="C311" t="s">
        <v>76</v>
      </c>
      <c r="D311" t="s">
        <v>54</v>
      </c>
      <c r="E311" t="s">
        <v>90</v>
      </c>
      <c r="F311" t="s">
        <v>112</v>
      </c>
      <c r="G311">
        <v>2.38</v>
      </c>
      <c r="H311" t="s">
        <v>41</v>
      </c>
      <c r="I311" t="s">
        <v>42</v>
      </c>
      <c r="M311">
        <f>VLOOKUP(H311,'Stage Order'!$A$2:$B$8,2,FALSE)</f>
        <v>2</v>
      </c>
      <c r="N311" t="str">
        <f t="shared" si="8"/>
        <v>2. 1-24 hours</v>
      </c>
      <c r="O311" t="str">
        <f t="shared" si="9"/>
        <v>2025-02</v>
      </c>
    </row>
    <row r="312" spans="1:15" x14ac:dyDescent="0.3">
      <c r="A312" t="s">
        <v>790</v>
      </c>
      <c r="B312" t="s">
        <v>791</v>
      </c>
      <c r="C312" t="s">
        <v>125</v>
      </c>
      <c r="D312" t="s">
        <v>38</v>
      </c>
      <c r="E312" t="s">
        <v>39</v>
      </c>
      <c r="F312" t="s">
        <v>106</v>
      </c>
      <c r="G312">
        <v>1.64</v>
      </c>
      <c r="H312" t="s">
        <v>61</v>
      </c>
      <c r="I312" t="s">
        <v>42</v>
      </c>
      <c r="M312">
        <f>VLOOKUP(H312,'Stage Order'!$A$2:$B$8,2,FALSE)</f>
        <v>1</v>
      </c>
      <c r="N312" t="str">
        <f t="shared" si="8"/>
        <v>2. 1-24 hours</v>
      </c>
      <c r="O312" t="str">
        <f t="shared" si="9"/>
        <v>2025-07</v>
      </c>
    </row>
    <row r="313" spans="1:15" x14ac:dyDescent="0.3">
      <c r="A313" t="s">
        <v>792</v>
      </c>
      <c r="B313" t="s">
        <v>793</v>
      </c>
      <c r="C313" t="s">
        <v>58</v>
      </c>
      <c r="D313" t="s">
        <v>77</v>
      </c>
      <c r="E313" t="s">
        <v>45</v>
      </c>
      <c r="F313" t="s">
        <v>94</v>
      </c>
      <c r="G313">
        <v>1.66</v>
      </c>
      <c r="H313" t="s">
        <v>128</v>
      </c>
      <c r="I313" t="s">
        <v>42</v>
      </c>
      <c r="M313">
        <f>VLOOKUP(H313,'Stage Order'!$A$2:$B$8,2,FALSE)</f>
        <v>3</v>
      </c>
      <c r="N313" t="str">
        <f t="shared" si="8"/>
        <v>2. 1-24 hours</v>
      </c>
      <c r="O313" t="str">
        <f t="shared" si="9"/>
        <v>2025-06</v>
      </c>
    </row>
    <row r="314" spans="1:15" x14ac:dyDescent="0.3">
      <c r="A314" t="s">
        <v>794</v>
      </c>
      <c r="B314" t="s">
        <v>795</v>
      </c>
      <c r="C314" t="s">
        <v>58</v>
      </c>
      <c r="D314" t="s">
        <v>29</v>
      </c>
      <c r="E314" t="s">
        <v>59</v>
      </c>
      <c r="F314" t="s">
        <v>60</v>
      </c>
      <c r="G314">
        <v>4.0199999999999996</v>
      </c>
      <c r="H314" t="s">
        <v>138</v>
      </c>
      <c r="I314" t="s">
        <v>48</v>
      </c>
      <c r="J314" t="s">
        <v>139</v>
      </c>
      <c r="K314">
        <v>633.84</v>
      </c>
      <c r="L314" t="s">
        <v>796</v>
      </c>
      <c r="M314">
        <f>VLOOKUP(H314,'Stage Order'!$A$2:$B$8,2,FALSE)</f>
        <v>6</v>
      </c>
      <c r="N314" t="str">
        <f t="shared" si="8"/>
        <v>2. 1-24 hours</v>
      </c>
      <c r="O314" t="str">
        <f t="shared" si="9"/>
        <v>2026-01</v>
      </c>
    </row>
    <row r="315" spans="1:15" x14ac:dyDescent="0.3">
      <c r="A315" t="s">
        <v>797</v>
      </c>
      <c r="B315" t="s">
        <v>798</v>
      </c>
      <c r="C315" t="s">
        <v>37</v>
      </c>
      <c r="D315" t="s">
        <v>54</v>
      </c>
      <c r="E315" t="s">
        <v>30</v>
      </c>
      <c r="F315" t="s">
        <v>78</v>
      </c>
      <c r="G315">
        <v>5.65</v>
      </c>
      <c r="H315" t="s">
        <v>61</v>
      </c>
      <c r="I315" t="s">
        <v>42</v>
      </c>
      <c r="M315">
        <f>VLOOKUP(H315,'Stage Order'!$A$2:$B$8,2,FALSE)</f>
        <v>1</v>
      </c>
      <c r="N315" t="str">
        <f t="shared" si="8"/>
        <v>2. 1-24 hours</v>
      </c>
      <c r="O315" t="str">
        <f t="shared" si="9"/>
        <v>2026-05</v>
      </c>
    </row>
    <row r="316" spans="1:15" x14ac:dyDescent="0.3">
      <c r="A316" t="s">
        <v>799</v>
      </c>
      <c r="B316" t="s">
        <v>800</v>
      </c>
      <c r="C316" t="s">
        <v>58</v>
      </c>
      <c r="D316" t="s">
        <v>77</v>
      </c>
      <c r="E316" t="s">
        <v>45</v>
      </c>
      <c r="F316" t="s">
        <v>94</v>
      </c>
      <c r="G316">
        <v>3.06</v>
      </c>
      <c r="H316" t="s">
        <v>41</v>
      </c>
      <c r="I316" t="s">
        <v>42</v>
      </c>
      <c r="M316">
        <f>VLOOKUP(H316,'Stage Order'!$A$2:$B$8,2,FALSE)</f>
        <v>2</v>
      </c>
      <c r="N316" t="str">
        <f t="shared" si="8"/>
        <v>2. 1-24 hours</v>
      </c>
      <c r="O316" t="str">
        <f t="shared" si="9"/>
        <v>2025-09</v>
      </c>
    </row>
    <row r="317" spans="1:15" x14ac:dyDescent="0.3">
      <c r="A317" t="s">
        <v>801</v>
      </c>
      <c r="B317" t="s">
        <v>802</v>
      </c>
      <c r="C317" t="s">
        <v>58</v>
      </c>
      <c r="D317" t="s">
        <v>29</v>
      </c>
      <c r="E317" t="s">
        <v>45</v>
      </c>
      <c r="F317" t="s">
        <v>46</v>
      </c>
      <c r="G317">
        <v>0.7</v>
      </c>
      <c r="H317" t="s">
        <v>41</v>
      </c>
      <c r="I317" t="s">
        <v>42</v>
      </c>
      <c r="M317">
        <f>VLOOKUP(H317,'Stage Order'!$A$2:$B$8,2,FALSE)</f>
        <v>2</v>
      </c>
      <c r="N317" t="str">
        <f t="shared" si="8"/>
        <v>1. Under 1 hour</v>
      </c>
      <c r="O317" t="str">
        <f t="shared" si="9"/>
        <v>2025-09</v>
      </c>
    </row>
    <row r="318" spans="1:15" x14ac:dyDescent="0.3">
      <c r="A318" t="s">
        <v>803</v>
      </c>
      <c r="B318" t="s">
        <v>804</v>
      </c>
      <c r="C318" t="s">
        <v>28</v>
      </c>
      <c r="D318" t="s">
        <v>97</v>
      </c>
      <c r="E318" t="s">
        <v>39</v>
      </c>
      <c r="F318" t="s">
        <v>66</v>
      </c>
      <c r="G318">
        <v>1.55</v>
      </c>
      <c r="H318" t="s">
        <v>146</v>
      </c>
      <c r="I318" t="s">
        <v>48</v>
      </c>
      <c r="J318" t="s">
        <v>139</v>
      </c>
      <c r="K318">
        <v>1531.36</v>
      </c>
      <c r="L318" t="s">
        <v>805</v>
      </c>
      <c r="M318">
        <f>VLOOKUP(H318,'Stage Order'!$A$2:$B$8,2,FALSE)</f>
        <v>5</v>
      </c>
      <c r="N318" t="str">
        <f t="shared" si="8"/>
        <v>2. 1-24 hours</v>
      </c>
      <c r="O318" t="str">
        <f t="shared" si="9"/>
        <v>2026-02</v>
      </c>
    </row>
    <row r="319" spans="1:15" x14ac:dyDescent="0.3">
      <c r="A319" t="s">
        <v>806</v>
      </c>
      <c r="B319" t="s">
        <v>807</v>
      </c>
      <c r="C319" t="s">
        <v>53</v>
      </c>
      <c r="D319" t="s">
        <v>97</v>
      </c>
      <c r="E319" t="s">
        <v>30</v>
      </c>
      <c r="F319" t="s">
        <v>78</v>
      </c>
      <c r="G319">
        <v>1.44</v>
      </c>
      <c r="H319" t="s">
        <v>41</v>
      </c>
      <c r="I319" t="s">
        <v>42</v>
      </c>
      <c r="M319">
        <f>VLOOKUP(H319,'Stage Order'!$A$2:$B$8,2,FALSE)</f>
        <v>2</v>
      </c>
      <c r="N319" t="str">
        <f t="shared" si="8"/>
        <v>2. 1-24 hours</v>
      </c>
      <c r="O319" t="str">
        <f t="shared" si="9"/>
        <v>2025-04</v>
      </c>
    </row>
    <row r="320" spans="1:15" x14ac:dyDescent="0.3">
      <c r="A320" t="s">
        <v>808</v>
      </c>
      <c r="B320" t="s">
        <v>809</v>
      </c>
      <c r="C320" t="s">
        <v>53</v>
      </c>
      <c r="D320" t="s">
        <v>29</v>
      </c>
      <c r="E320" t="s">
        <v>30</v>
      </c>
      <c r="F320" t="s">
        <v>31</v>
      </c>
      <c r="G320">
        <v>6.66</v>
      </c>
      <c r="H320" t="s">
        <v>61</v>
      </c>
      <c r="I320" t="s">
        <v>42</v>
      </c>
      <c r="M320">
        <f>VLOOKUP(H320,'Stage Order'!$A$2:$B$8,2,FALSE)</f>
        <v>1</v>
      </c>
      <c r="N320" t="str">
        <f t="shared" si="8"/>
        <v>2. 1-24 hours</v>
      </c>
      <c r="O320" t="str">
        <f t="shared" si="9"/>
        <v>2025-08</v>
      </c>
    </row>
    <row r="321" spans="1:15" x14ac:dyDescent="0.3">
      <c r="A321" t="s">
        <v>810</v>
      </c>
      <c r="B321" t="s">
        <v>811</v>
      </c>
      <c r="C321" t="s">
        <v>37</v>
      </c>
      <c r="D321" t="s">
        <v>29</v>
      </c>
      <c r="E321" t="s">
        <v>45</v>
      </c>
      <c r="F321" t="s">
        <v>94</v>
      </c>
      <c r="G321">
        <v>11.64</v>
      </c>
      <c r="H321" t="s">
        <v>32</v>
      </c>
      <c r="I321" t="s">
        <v>33</v>
      </c>
      <c r="K321">
        <v>616.59</v>
      </c>
      <c r="L321" t="s">
        <v>812</v>
      </c>
      <c r="M321">
        <f>VLOOKUP(H321,'Stage Order'!$A$2:$B$8,2,FALSE)</f>
        <v>7</v>
      </c>
      <c r="N321" t="str">
        <f t="shared" si="8"/>
        <v>2. 1-24 hours</v>
      </c>
      <c r="O321" t="str">
        <f t="shared" si="9"/>
        <v>2025-06</v>
      </c>
    </row>
    <row r="322" spans="1:15" x14ac:dyDescent="0.3">
      <c r="A322" t="s">
        <v>813</v>
      </c>
      <c r="B322" t="s">
        <v>814</v>
      </c>
      <c r="C322" t="s">
        <v>81</v>
      </c>
      <c r="D322" t="s">
        <v>29</v>
      </c>
      <c r="E322" t="s">
        <v>39</v>
      </c>
      <c r="F322" t="s">
        <v>66</v>
      </c>
      <c r="G322">
        <v>1.59</v>
      </c>
      <c r="H322" t="s">
        <v>41</v>
      </c>
      <c r="I322" t="s">
        <v>42</v>
      </c>
      <c r="M322">
        <f>VLOOKUP(H322,'Stage Order'!$A$2:$B$8,2,FALSE)</f>
        <v>2</v>
      </c>
      <c r="N322" t="str">
        <f t="shared" ref="N322:N385" si="10">IF(G322&lt;=1,"1. Under 1 hour",IF(G322&lt;=24,"2. 1-24 hours",IF(G322&lt;=72,"3. 1-3 days","4. Over 3 days")))</f>
        <v>2. 1-24 hours</v>
      </c>
      <c r="O322" t="str">
        <f t="shared" ref="O322:O385" si="11">TEXT(B322,"YYYY-MM")</f>
        <v>2025-03</v>
      </c>
    </row>
    <row r="323" spans="1:15" x14ac:dyDescent="0.3">
      <c r="A323" t="s">
        <v>815</v>
      </c>
      <c r="B323" t="s">
        <v>816</v>
      </c>
      <c r="C323" t="s">
        <v>53</v>
      </c>
      <c r="D323" t="s">
        <v>77</v>
      </c>
      <c r="E323" t="s">
        <v>59</v>
      </c>
      <c r="F323" t="s">
        <v>137</v>
      </c>
      <c r="G323">
        <v>1.25</v>
      </c>
      <c r="H323" t="s">
        <v>138</v>
      </c>
      <c r="I323" t="s">
        <v>48</v>
      </c>
      <c r="J323" t="s">
        <v>113</v>
      </c>
      <c r="K323">
        <v>1054.05</v>
      </c>
      <c r="L323" t="s">
        <v>817</v>
      </c>
      <c r="M323">
        <f>VLOOKUP(H323,'Stage Order'!$A$2:$B$8,2,FALSE)</f>
        <v>6</v>
      </c>
      <c r="N323" t="str">
        <f t="shared" si="10"/>
        <v>2. 1-24 hours</v>
      </c>
      <c r="O323" t="str">
        <f t="shared" si="11"/>
        <v>2025-02</v>
      </c>
    </row>
    <row r="324" spans="1:15" x14ac:dyDescent="0.3">
      <c r="A324" t="s">
        <v>818</v>
      </c>
      <c r="B324" t="s">
        <v>819</v>
      </c>
      <c r="C324" t="s">
        <v>53</v>
      </c>
      <c r="D324" t="s">
        <v>29</v>
      </c>
      <c r="E324" t="s">
        <v>45</v>
      </c>
      <c r="F324" t="s">
        <v>94</v>
      </c>
      <c r="G324">
        <v>3.6</v>
      </c>
      <c r="H324" t="s">
        <v>32</v>
      </c>
      <c r="I324" t="s">
        <v>33</v>
      </c>
      <c r="K324">
        <v>663.66</v>
      </c>
      <c r="L324" t="s">
        <v>820</v>
      </c>
      <c r="M324">
        <f>VLOOKUP(H324,'Stage Order'!$A$2:$B$8,2,FALSE)</f>
        <v>7</v>
      </c>
      <c r="N324" t="str">
        <f t="shared" si="10"/>
        <v>2. 1-24 hours</v>
      </c>
      <c r="O324" t="str">
        <f t="shared" si="11"/>
        <v>2026-06</v>
      </c>
    </row>
    <row r="325" spans="1:15" x14ac:dyDescent="0.3">
      <c r="A325" t="s">
        <v>821</v>
      </c>
      <c r="B325" t="s">
        <v>822</v>
      </c>
      <c r="C325" t="s">
        <v>58</v>
      </c>
      <c r="D325" t="s">
        <v>29</v>
      </c>
      <c r="E325" t="s">
        <v>45</v>
      </c>
      <c r="F325" t="s">
        <v>55</v>
      </c>
      <c r="G325">
        <v>7.12</v>
      </c>
      <c r="H325" t="s">
        <v>47</v>
      </c>
      <c r="I325" t="s">
        <v>48</v>
      </c>
      <c r="J325" t="s">
        <v>113</v>
      </c>
      <c r="K325">
        <v>703.11</v>
      </c>
      <c r="L325" t="s">
        <v>823</v>
      </c>
      <c r="M325">
        <f>VLOOKUP(H325,'Stage Order'!$A$2:$B$8,2,FALSE)</f>
        <v>4</v>
      </c>
      <c r="N325" t="str">
        <f t="shared" si="10"/>
        <v>2. 1-24 hours</v>
      </c>
      <c r="O325" t="str">
        <f t="shared" si="11"/>
        <v>2025-11</v>
      </c>
    </row>
    <row r="326" spans="1:15" x14ac:dyDescent="0.3">
      <c r="A326" t="s">
        <v>824</v>
      </c>
      <c r="B326" t="s">
        <v>825</v>
      </c>
      <c r="C326" t="s">
        <v>37</v>
      </c>
      <c r="D326" t="s">
        <v>77</v>
      </c>
      <c r="E326" t="s">
        <v>39</v>
      </c>
      <c r="F326" t="s">
        <v>66</v>
      </c>
      <c r="G326">
        <v>9.68</v>
      </c>
      <c r="H326" t="s">
        <v>47</v>
      </c>
      <c r="I326" t="s">
        <v>48</v>
      </c>
      <c r="J326" t="s">
        <v>139</v>
      </c>
      <c r="K326">
        <v>932.87</v>
      </c>
      <c r="L326" t="s">
        <v>826</v>
      </c>
      <c r="M326">
        <f>VLOOKUP(H326,'Stage Order'!$A$2:$B$8,2,FALSE)</f>
        <v>4</v>
      </c>
      <c r="N326" t="str">
        <f t="shared" si="10"/>
        <v>2. 1-24 hours</v>
      </c>
      <c r="O326" t="str">
        <f t="shared" si="11"/>
        <v>2025-04</v>
      </c>
    </row>
    <row r="327" spans="1:15" x14ac:dyDescent="0.3">
      <c r="A327" t="s">
        <v>827</v>
      </c>
      <c r="B327" t="s">
        <v>828</v>
      </c>
      <c r="C327" t="s">
        <v>37</v>
      </c>
      <c r="D327" t="s">
        <v>29</v>
      </c>
      <c r="E327" t="s">
        <v>39</v>
      </c>
      <c r="F327" t="s">
        <v>40</v>
      </c>
      <c r="G327">
        <v>0.72</v>
      </c>
      <c r="H327" t="s">
        <v>138</v>
      </c>
      <c r="I327" t="s">
        <v>48</v>
      </c>
      <c r="J327" t="s">
        <v>113</v>
      </c>
      <c r="K327">
        <v>747.3</v>
      </c>
      <c r="L327" t="s">
        <v>829</v>
      </c>
      <c r="M327">
        <f>VLOOKUP(H327,'Stage Order'!$A$2:$B$8,2,FALSE)</f>
        <v>6</v>
      </c>
      <c r="N327" t="str">
        <f t="shared" si="10"/>
        <v>1. Under 1 hour</v>
      </c>
      <c r="O327" t="str">
        <f t="shared" si="11"/>
        <v>2025-03</v>
      </c>
    </row>
    <row r="328" spans="1:15" x14ac:dyDescent="0.3">
      <c r="A328" t="s">
        <v>830</v>
      </c>
      <c r="B328" t="s">
        <v>831</v>
      </c>
      <c r="C328" t="s">
        <v>28</v>
      </c>
      <c r="D328" t="s">
        <v>97</v>
      </c>
      <c r="E328" t="s">
        <v>39</v>
      </c>
      <c r="F328" t="s">
        <v>40</v>
      </c>
      <c r="G328">
        <v>1.9</v>
      </c>
      <c r="H328" t="s">
        <v>32</v>
      </c>
      <c r="I328" t="s">
        <v>33</v>
      </c>
      <c r="K328">
        <v>1192.08</v>
      </c>
      <c r="L328" t="s">
        <v>832</v>
      </c>
      <c r="M328">
        <f>VLOOKUP(H328,'Stage Order'!$A$2:$B$8,2,FALSE)</f>
        <v>7</v>
      </c>
      <c r="N328" t="str">
        <f t="shared" si="10"/>
        <v>2. 1-24 hours</v>
      </c>
      <c r="O328" t="str">
        <f t="shared" si="11"/>
        <v>2026-03</v>
      </c>
    </row>
    <row r="329" spans="1:15" x14ac:dyDescent="0.3">
      <c r="A329" t="s">
        <v>833</v>
      </c>
      <c r="B329" t="s">
        <v>834</v>
      </c>
      <c r="C329" t="s">
        <v>58</v>
      </c>
      <c r="D329" t="s">
        <v>54</v>
      </c>
      <c r="E329" t="s">
        <v>45</v>
      </c>
      <c r="F329" t="s">
        <v>94</v>
      </c>
      <c r="G329">
        <v>1.21</v>
      </c>
      <c r="H329" t="s">
        <v>61</v>
      </c>
      <c r="I329" t="s">
        <v>42</v>
      </c>
      <c r="M329">
        <f>VLOOKUP(H329,'Stage Order'!$A$2:$B$8,2,FALSE)</f>
        <v>1</v>
      </c>
      <c r="N329" t="str">
        <f t="shared" si="10"/>
        <v>2. 1-24 hours</v>
      </c>
      <c r="O329" t="str">
        <f t="shared" si="11"/>
        <v>2026-04</v>
      </c>
    </row>
    <row r="330" spans="1:15" x14ac:dyDescent="0.3">
      <c r="A330" t="s">
        <v>835</v>
      </c>
      <c r="B330" t="s">
        <v>836</v>
      </c>
      <c r="C330" t="s">
        <v>53</v>
      </c>
      <c r="D330" t="s">
        <v>54</v>
      </c>
      <c r="E330" t="s">
        <v>39</v>
      </c>
      <c r="F330" t="s">
        <v>106</v>
      </c>
      <c r="G330">
        <v>3.5</v>
      </c>
      <c r="H330" t="s">
        <v>138</v>
      </c>
      <c r="I330" t="s">
        <v>48</v>
      </c>
      <c r="J330" t="s">
        <v>139</v>
      </c>
      <c r="K330">
        <v>475.55</v>
      </c>
      <c r="L330" t="s">
        <v>837</v>
      </c>
      <c r="M330">
        <f>VLOOKUP(H330,'Stage Order'!$A$2:$B$8,2,FALSE)</f>
        <v>6</v>
      </c>
      <c r="N330" t="str">
        <f t="shared" si="10"/>
        <v>2. 1-24 hours</v>
      </c>
      <c r="O330" t="str">
        <f t="shared" si="11"/>
        <v>2026-04</v>
      </c>
    </row>
    <row r="331" spans="1:15" x14ac:dyDescent="0.3">
      <c r="A331" t="s">
        <v>838</v>
      </c>
      <c r="B331" t="s">
        <v>839</v>
      </c>
      <c r="C331" t="s">
        <v>76</v>
      </c>
      <c r="D331" t="s">
        <v>54</v>
      </c>
      <c r="E331" t="s">
        <v>59</v>
      </c>
      <c r="F331" t="s">
        <v>117</v>
      </c>
      <c r="G331">
        <v>3.56</v>
      </c>
      <c r="H331" t="s">
        <v>41</v>
      </c>
      <c r="I331" t="s">
        <v>42</v>
      </c>
      <c r="M331">
        <f>VLOOKUP(H331,'Stage Order'!$A$2:$B$8,2,FALSE)</f>
        <v>2</v>
      </c>
      <c r="N331" t="str">
        <f t="shared" si="10"/>
        <v>2. 1-24 hours</v>
      </c>
      <c r="O331" t="str">
        <f t="shared" si="11"/>
        <v>2026-06</v>
      </c>
    </row>
    <row r="332" spans="1:15" x14ac:dyDescent="0.3">
      <c r="A332" t="s">
        <v>840</v>
      </c>
      <c r="B332" t="s">
        <v>841</v>
      </c>
      <c r="C332" t="s">
        <v>58</v>
      </c>
      <c r="D332" t="s">
        <v>54</v>
      </c>
      <c r="E332" t="s">
        <v>90</v>
      </c>
      <c r="F332" t="s">
        <v>91</v>
      </c>
      <c r="G332">
        <v>9.84</v>
      </c>
      <c r="H332" t="s">
        <v>47</v>
      </c>
      <c r="I332" t="s">
        <v>48</v>
      </c>
      <c r="J332" t="s">
        <v>139</v>
      </c>
      <c r="K332">
        <v>518.64</v>
      </c>
      <c r="L332" t="s">
        <v>842</v>
      </c>
      <c r="M332">
        <f>VLOOKUP(H332,'Stage Order'!$A$2:$B$8,2,FALSE)</f>
        <v>4</v>
      </c>
      <c r="N332" t="str">
        <f t="shared" si="10"/>
        <v>2. 1-24 hours</v>
      </c>
      <c r="O332" t="str">
        <f t="shared" si="11"/>
        <v>2026-02</v>
      </c>
    </row>
    <row r="333" spans="1:15" x14ac:dyDescent="0.3">
      <c r="A333" t="s">
        <v>843</v>
      </c>
      <c r="B333" t="s">
        <v>844</v>
      </c>
      <c r="C333" t="s">
        <v>37</v>
      </c>
      <c r="D333" t="s">
        <v>77</v>
      </c>
      <c r="E333" t="s">
        <v>45</v>
      </c>
      <c r="F333" t="s">
        <v>55</v>
      </c>
      <c r="G333">
        <v>4.1399999999999997</v>
      </c>
      <c r="H333" t="s">
        <v>41</v>
      </c>
      <c r="I333" t="s">
        <v>42</v>
      </c>
      <c r="M333">
        <f>VLOOKUP(H333,'Stage Order'!$A$2:$B$8,2,FALSE)</f>
        <v>2</v>
      </c>
      <c r="N333" t="str">
        <f t="shared" si="10"/>
        <v>2. 1-24 hours</v>
      </c>
      <c r="O333" t="str">
        <f t="shared" si="11"/>
        <v>2025-05</v>
      </c>
    </row>
    <row r="334" spans="1:15" x14ac:dyDescent="0.3">
      <c r="A334" t="s">
        <v>845</v>
      </c>
      <c r="B334" t="s">
        <v>846</v>
      </c>
      <c r="C334" t="s">
        <v>125</v>
      </c>
      <c r="D334" t="s">
        <v>29</v>
      </c>
      <c r="E334" t="s">
        <v>39</v>
      </c>
      <c r="F334" t="s">
        <v>106</v>
      </c>
      <c r="G334">
        <v>4.78</v>
      </c>
      <c r="H334" t="s">
        <v>146</v>
      </c>
      <c r="I334" t="s">
        <v>48</v>
      </c>
      <c r="J334" t="s">
        <v>49</v>
      </c>
      <c r="K334">
        <v>698.77</v>
      </c>
      <c r="L334" t="s">
        <v>847</v>
      </c>
      <c r="M334">
        <f>VLOOKUP(H334,'Stage Order'!$A$2:$B$8,2,FALSE)</f>
        <v>5</v>
      </c>
      <c r="N334" t="str">
        <f t="shared" si="10"/>
        <v>2. 1-24 hours</v>
      </c>
      <c r="O334" t="str">
        <f t="shared" si="11"/>
        <v>2025-10</v>
      </c>
    </row>
    <row r="335" spans="1:15" x14ac:dyDescent="0.3">
      <c r="A335" t="s">
        <v>848</v>
      </c>
      <c r="B335" t="s">
        <v>849</v>
      </c>
      <c r="C335" t="s">
        <v>37</v>
      </c>
      <c r="D335" t="s">
        <v>54</v>
      </c>
      <c r="E335" t="s">
        <v>59</v>
      </c>
      <c r="F335" t="s">
        <v>60</v>
      </c>
      <c r="G335">
        <v>3.56</v>
      </c>
      <c r="H335" t="s">
        <v>138</v>
      </c>
      <c r="I335" t="s">
        <v>48</v>
      </c>
      <c r="J335" t="s">
        <v>113</v>
      </c>
      <c r="K335">
        <v>595.57000000000005</v>
      </c>
      <c r="L335" t="s">
        <v>850</v>
      </c>
      <c r="M335">
        <f>VLOOKUP(H335,'Stage Order'!$A$2:$B$8,2,FALSE)</f>
        <v>6</v>
      </c>
      <c r="N335" t="str">
        <f t="shared" si="10"/>
        <v>2. 1-24 hours</v>
      </c>
      <c r="O335" t="str">
        <f t="shared" si="11"/>
        <v>2025-01</v>
      </c>
    </row>
    <row r="336" spans="1:15" x14ac:dyDescent="0.3">
      <c r="A336" t="s">
        <v>851</v>
      </c>
      <c r="B336" t="s">
        <v>852</v>
      </c>
      <c r="C336" t="s">
        <v>125</v>
      </c>
      <c r="D336" t="s">
        <v>54</v>
      </c>
      <c r="E336" t="s">
        <v>39</v>
      </c>
      <c r="F336" t="s">
        <v>106</v>
      </c>
      <c r="G336">
        <v>6.83</v>
      </c>
      <c r="H336" t="s">
        <v>41</v>
      </c>
      <c r="I336" t="s">
        <v>42</v>
      </c>
      <c r="M336">
        <f>VLOOKUP(H336,'Stage Order'!$A$2:$B$8,2,FALSE)</f>
        <v>2</v>
      </c>
      <c r="N336" t="str">
        <f t="shared" si="10"/>
        <v>2. 1-24 hours</v>
      </c>
      <c r="O336" t="str">
        <f t="shared" si="11"/>
        <v>2026-04</v>
      </c>
    </row>
    <row r="337" spans="1:15" x14ac:dyDescent="0.3">
      <c r="A337" t="s">
        <v>853</v>
      </c>
      <c r="B337" t="s">
        <v>854</v>
      </c>
      <c r="C337" t="s">
        <v>125</v>
      </c>
      <c r="D337" t="s">
        <v>54</v>
      </c>
      <c r="E337" t="s">
        <v>45</v>
      </c>
      <c r="F337" t="s">
        <v>46</v>
      </c>
      <c r="G337">
        <v>5.55</v>
      </c>
      <c r="H337" t="s">
        <v>41</v>
      </c>
      <c r="I337" t="s">
        <v>42</v>
      </c>
      <c r="M337">
        <f>VLOOKUP(H337,'Stage Order'!$A$2:$B$8,2,FALSE)</f>
        <v>2</v>
      </c>
      <c r="N337" t="str">
        <f t="shared" si="10"/>
        <v>2. 1-24 hours</v>
      </c>
      <c r="O337" t="str">
        <f t="shared" si="11"/>
        <v>2025-05</v>
      </c>
    </row>
    <row r="338" spans="1:15" x14ac:dyDescent="0.3">
      <c r="A338" t="s">
        <v>855</v>
      </c>
      <c r="B338" t="s">
        <v>856</v>
      </c>
      <c r="C338" t="s">
        <v>37</v>
      </c>
      <c r="D338" t="s">
        <v>54</v>
      </c>
      <c r="E338" t="s">
        <v>39</v>
      </c>
      <c r="F338" t="s">
        <v>66</v>
      </c>
      <c r="G338">
        <v>9.86</v>
      </c>
      <c r="H338" t="s">
        <v>41</v>
      </c>
      <c r="I338" t="s">
        <v>42</v>
      </c>
      <c r="M338">
        <f>VLOOKUP(H338,'Stage Order'!$A$2:$B$8,2,FALSE)</f>
        <v>2</v>
      </c>
      <c r="N338" t="str">
        <f t="shared" si="10"/>
        <v>2. 1-24 hours</v>
      </c>
      <c r="O338" t="str">
        <f t="shared" si="11"/>
        <v>2025-10</v>
      </c>
    </row>
    <row r="339" spans="1:15" x14ac:dyDescent="0.3">
      <c r="A339" t="s">
        <v>857</v>
      </c>
      <c r="B339" t="s">
        <v>858</v>
      </c>
      <c r="C339" t="s">
        <v>37</v>
      </c>
      <c r="D339" t="s">
        <v>54</v>
      </c>
      <c r="E339" t="s">
        <v>45</v>
      </c>
      <c r="F339" t="s">
        <v>46</v>
      </c>
      <c r="G339">
        <v>1.43</v>
      </c>
      <c r="H339" t="s">
        <v>47</v>
      </c>
      <c r="I339" t="s">
        <v>48</v>
      </c>
      <c r="J339" t="s">
        <v>742</v>
      </c>
      <c r="K339">
        <v>596.75</v>
      </c>
      <c r="L339" t="s">
        <v>859</v>
      </c>
      <c r="M339">
        <f>VLOOKUP(H339,'Stage Order'!$A$2:$B$8,2,FALSE)</f>
        <v>4</v>
      </c>
      <c r="N339" t="str">
        <f t="shared" si="10"/>
        <v>2. 1-24 hours</v>
      </c>
      <c r="O339" t="str">
        <f t="shared" si="11"/>
        <v>2026-01</v>
      </c>
    </row>
    <row r="340" spans="1:15" x14ac:dyDescent="0.3">
      <c r="A340" t="s">
        <v>860</v>
      </c>
      <c r="B340" t="s">
        <v>861</v>
      </c>
      <c r="C340" t="s">
        <v>125</v>
      </c>
      <c r="D340" t="s">
        <v>38</v>
      </c>
      <c r="E340" t="s">
        <v>45</v>
      </c>
      <c r="F340" t="s">
        <v>94</v>
      </c>
      <c r="G340">
        <v>4.74</v>
      </c>
      <c r="H340" t="s">
        <v>41</v>
      </c>
      <c r="I340" t="s">
        <v>42</v>
      </c>
      <c r="M340">
        <f>VLOOKUP(H340,'Stage Order'!$A$2:$B$8,2,FALSE)</f>
        <v>2</v>
      </c>
      <c r="N340" t="str">
        <f t="shared" si="10"/>
        <v>2. 1-24 hours</v>
      </c>
      <c r="O340" t="str">
        <f t="shared" si="11"/>
        <v>2026-06</v>
      </c>
    </row>
    <row r="341" spans="1:15" x14ac:dyDescent="0.3">
      <c r="A341" t="s">
        <v>862</v>
      </c>
      <c r="B341" t="s">
        <v>863</v>
      </c>
      <c r="C341" t="s">
        <v>37</v>
      </c>
      <c r="D341" t="s">
        <v>77</v>
      </c>
      <c r="E341" t="s">
        <v>59</v>
      </c>
      <c r="F341" t="s">
        <v>137</v>
      </c>
      <c r="G341">
        <v>2.74</v>
      </c>
      <c r="H341" t="s">
        <v>41</v>
      </c>
      <c r="I341" t="s">
        <v>42</v>
      </c>
      <c r="M341">
        <f>VLOOKUP(H341,'Stage Order'!$A$2:$B$8,2,FALSE)</f>
        <v>2</v>
      </c>
      <c r="N341" t="str">
        <f t="shared" si="10"/>
        <v>2. 1-24 hours</v>
      </c>
      <c r="O341" t="str">
        <f t="shared" si="11"/>
        <v>2025-10</v>
      </c>
    </row>
    <row r="342" spans="1:15" x14ac:dyDescent="0.3">
      <c r="A342" t="s">
        <v>864</v>
      </c>
      <c r="B342" t="s">
        <v>865</v>
      </c>
      <c r="C342" t="s">
        <v>37</v>
      </c>
      <c r="D342" t="s">
        <v>54</v>
      </c>
      <c r="E342" t="s">
        <v>45</v>
      </c>
      <c r="F342" t="s">
        <v>55</v>
      </c>
      <c r="G342">
        <v>1.75</v>
      </c>
      <c r="H342" t="s">
        <v>41</v>
      </c>
      <c r="I342" t="s">
        <v>42</v>
      </c>
      <c r="M342">
        <f>VLOOKUP(H342,'Stage Order'!$A$2:$B$8,2,FALSE)</f>
        <v>2</v>
      </c>
      <c r="N342" t="str">
        <f t="shared" si="10"/>
        <v>2. 1-24 hours</v>
      </c>
      <c r="O342" t="str">
        <f t="shared" si="11"/>
        <v>2025-03</v>
      </c>
    </row>
    <row r="343" spans="1:15" x14ac:dyDescent="0.3">
      <c r="A343" t="s">
        <v>866</v>
      </c>
      <c r="B343" t="s">
        <v>867</v>
      </c>
      <c r="C343" t="s">
        <v>125</v>
      </c>
      <c r="D343" t="s">
        <v>54</v>
      </c>
      <c r="E343" t="s">
        <v>45</v>
      </c>
      <c r="F343" t="s">
        <v>55</v>
      </c>
      <c r="G343">
        <v>1.39</v>
      </c>
      <c r="H343" t="s">
        <v>61</v>
      </c>
      <c r="I343" t="s">
        <v>42</v>
      </c>
      <c r="M343">
        <f>VLOOKUP(H343,'Stage Order'!$A$2:$B$8,2,FALSE)</f>
        <v>1</v>
      </c>
      <c r="N343" t="str">
        <f t="shared" si="10"/>
        <v>2. 1-24 hours</v>
      </c>
      <c r="O343" t="str">
        <f t="shared" si="11"/>
        <v>2025-08</v>
      </c>
    </row>
    <row r="344" spans="1:15" x14ac:dyDescent="0.3">
      <c r="A344" t="s">
        <v>868</v>
      </c>
      <c r="B344" t="s">
        <v>869</v>
      </c>
      <c r="C344" t="s">
        <v>28</v>
      </c>
      <c r="D344" t="s">
        <v>77</v>
      </c>
      <c r="E344" t="s">
        <v>45</v>
      </c>
      <c r="F344" t="s">
        <v>94</v>
      </c>
      <c r="G344">
        <v>4.49</v>
      </c>
      <c r="H344" t="s">
        <v>32</v>
      </c>
      <c r="I344" t="s">
        <v>33</v>
      </c>
      <c r="K344">
        <v>825.01</v>
      </c>
      <c r="L344" t="s">
        <v>870</v>
      </c>
      <c r="M344">
        <f>VLOOKUP(H344,'Stage Order'!$A$2:$B$8,2,FALSE)</f>
        <v>7</v>
      </c>
      <c r="N344" t="str">
        <f t="shared" si="10"/>
        <v>2. 1-24 hours</v>
      </c>
      <c r="O344" t="str">
        <f t="shared" si="11"/>
        <v>2025-10</v>
      </c>
    </row>
    <row r="345" spans="1:15" x14ac:dyDescent="0.3">
      <c r="A345" t="s">
        <v>871</v>
      </c>
      <c r="B345" t="s">
        <v>872</v>
      </c>
      <c r="C345" t="s">
        <v>125</v>
      </c>
      <c r="D345" t="s">
        <v>77</v>
      </c>
      <c r="E345" t="s">
        <v>45</v>
      </c>
      <c r="F345" t="s">
        <v>46</v>
      </c>
      <c r="G345">
        <v>4.24</v>
      </c>
      <c r="H345" t="s">
        <v>41</v>
      </c>
      <c r="I345" t="s">
        <v>42</v>
      </c>
      <c r="M345">
        <f>VLOOKUP(H345,'Stage Order'!$A$2:$B$8,2,FALSE)</f>
        <v>2</v>
      </c>
      <c r="N345" t="str">
        <f t="shared" si="10"/>
        <v>2. 1-24 hours</v>
      </c>
      <c r="O345" t="str">
        <f t="shared" si="11"/>
        <v>2025-06</v>
      </c>
    </row>
    <row r="346" spans="1:15" x14ac:dyDescent="0.3">
      <c r="A346" t="s">
        <v>873</v>
      </c>
      <c r="B346" t="s">
        <v>874</v>
      </c>
      <c r="C346" t="s">
        <v>53</v>
      </c>
      <c r="D346" t="s">
        <v>54</v>
      </c>
      <c r="E346" t="s">
        <v>39</v>
      </c>
      <c r="F346" t="s">
        <v>106</v>
      </c>
      <c r="G346">
        <v>1.02</v>
      </c>
      <c r="H346" t="s">
        <v>32</v>
      </c>
      <c r="I346" t="s">
        <v>33</v>
      </c>
      <c r="K346">
        <v>442.69</v>
      </c>
      <c r="L346" t="s">
        <v>875</v>
      </c>
      <c r="M346">
        <f>VLOOKUP(H346,'Stage Order'!$A$2:$B$8,2,FALSE)</f>
        <v>7</v>
      </c>
      <c r="N346" t="str">
        <f t="shared" si="10"/>
        <v>2. 1-24 hours</v>
      </c>
      <c r="O346" t="str">
        <f t="shared" si="11"/>
        <v>2025-08</v>
      </c>
    </row>
    <row r="347" spans="1:15" x14ac:dyDescent="0.3">
      <c r="A347" t="s">
        <v>876</v>
      </c>
      <c r="B347" t="s">
        <v>877</v>
      </c>
      <c r="C347" t="s">
        <v>58</v>
      </c>
      <c r="D347" t="s">
        <v>54</v>
      </c>
      <c r="E347" t="s">
        <v>45</v>
      </c>
      <c r="F347" t="s">
        <v>55</v>
      </c>
      <c r="G347">
        <v>1.39</v>
      </c>
      <c r="H347" t="s">
        <v>41</v>
      </c>
      <c r="I347" t="s">
        <v>42</v>
      </c>
      <c r="M347">
        <f>VLOOKUP(H347,'Stage Order'!$A$2:$B$8,2,FALSE)</f>
        <v>2</v>
      </c>
      <c r="N347" t="str">
        <f t="shared" si="10"/>
        <v>2. 1-24 hours</v>
      </c>
      <c r="O347" t="str">
        <f t="shared" si="11"/>
        <v>2026-05</v>
      </c>
    </row>
    <row r="348" spans="1:15" x14ac:dyDescent="0.3">
      <c r="A348" t="s">
        <v>878</v>
      </c>
      <c r="B348" t="s">
        <v>879</v>
      </c>
      <c r="C348" t="s">
        <v>53</v>
      </c>
      <c r="D348" t="s">
        <v>38</v>
      </c>
      <c r="E348" t="s">
        <v>90</v>
      </c>
      <c r="F348" t="s">
        <v>145</v>
      </c>
      <c r="G348">
        <v>1.74</v>
      </c>
      <c r="H348" t="s">
        <v>32</v>
      </c>
      <c r="I348" t="s">
        <v>33</v>
      </c>
      <c r="K348">
        <v>316.33</v>
      </c>
      <c r="L348" t="s">
        <v>880</v>
      </c>
      <c r="M348">
        <f>VLOOKUP(H348,'Stage Order'!$A$2:$B$8,2,FALSE)</f>
        <v>7</v>
      </c>
      <c r="N348" t="str">
        <f t="shared" si="10"/>
        <v>2. 1-24 hours</v>
      </c>
      <c r="O348" t="str">
        <f t="shared" si="11"/>
        <v>2025-03</v>
      </c>
    </row>
    <row r="349" spans="1:15" x14ac:dyDescent="0.3">
      <c r="A349" t="s">
        <v>881</v>
      </c>
      <c r="B349" t="s">
        <v>882</v>
      </c>
      <c r="C349" t="s">
        <v>37</v>
      </c>
      <c r="D349" t="s">
        <v>77</v>
      </c>
      <c r="E349" t="s">
        <v>90</v>
      </c>
      <c r="F349" t="s">
        <v>91</v>
      </c>
      <c r="G349">
        <v>1.1599999999999999</v>
      </c>
      <c r="H349" t="s">
        <v>128</v>
      </c>
      <c r="I349" t="s">
        <v>42</v>
      </c>
      <c r="M349">
        <f>VLOOKUP(H349,'Stage Order'!$A$2:$B$8,2,FALSE)</f>
        <v>3</v>
      </c>
      <c r="N349" t="str">
        <f t="shared" si="10"/>
        <v>2. 1-24 hours</v>
      </c>
      <c r="O349" t="str">
        <f t="shared" si="11"/>
        <v>2025-10</v>
      </c>
    </row>
    <row r="350" spans="1:15" x14ac:dyDescent="0.3">
      <c r="A350" t="s">
        <v>883</v>
      </c>
      <c r="B350" t="s">
        <v>884</v>
      </c>
      <c r="C350" t="s">
        <v>58</v>
      </c>
      <c r="D350" t="s">
        <v>38</v>
      </c>
      <c r="E350" t="s">
        <v>39</v>
      </c>
      <c r="F350" t="s">
        <v>106</v>
      </c>
      <c r="G350">
        <v>1.1000000000000001</v>
      </c>
      <c r="H350" t="s">
        <v>146</v>
      </c>
      <c r="I350" t="s">
        <v>48</v>
      </c>
      <c r="J350" t="s">
        <v>98</v>
      </c>
      <c r="K350">
        <v>348.95</v>
      </c>
      <c r="L350" t="s">
        <v>885</v>
      </c>
      <c r="M350">
        <f>VLOOKUP(H350,'Stage Order'!$A$2:$B$8,2,FALSE)</f>
        <v>5</v>
      </c>
      <c r="N350" t="str">
        <f t="shared" si="10"/>
        <v>2. 1-24 hours</v>
      </c>
      <c r="O350" t="str">
        <f t="shared" si="11"/>
        <v>2025-04</v>
      </c>
    </row>
    <row r="351" spans="1:15" x14ac:dyDescent="0.3">
      <c r="A351" t="s">
        <v>886</v>
      </c>
      <c r="B351" t="s">
        <v>887</v>
      </c>
      <c r="C351" t="s">
        <v>76</v>
      </c>
      <c r="D351" t="s">
        <v>54</v>
      </c>
      <c r="E351" t="s">
        <v>30</v>
      </c>
      <c r="F351" t="s">
        <v>82</v>
      </c>
      <c r="G351">
        <v>4.67</v>
      </c>
      <c r="H351" t="s">
        <v>32</v>
      </c>
      <c r="I351" t="s">
        <v>33</v>
      </c>
      <c r="K351">
        <v>408.34</v>
      </c>
      <c r="L351" t="s">
        <v>888</v>
      </c>
      <c r="M351">
        <f>VLOOKUP(H351,'Stage Order'!$A$2:$B$8,2,FALSE)</f>
        <v>7</v>
      </c>
      <c r="N351" t="str">
        <f t="shared" si="10"/>
        <v>2. 1-24 hours</v>
      </c>
      <c r="O351" t="str">
        <f t="shared" si="11"/>
        <v>2025-04</v>
      </c>
    </row>
    <row r="352" spans="1:15" x14ac:dyDescent="0.3">
      <c r="A352" t="s">
        <v>889</v>
      </c>
      <c r="B352" t="s">
        <v>890</v>
      </c>
      <c r="C352" t="s">
        <v>81</v>
      </c>
      <c r="D352" t="s">
        <v>38</v>
      </c>
      <c r="E352" t="s">
        <v>39</v>
      </c>
      <c r="F352" t="s">
        <v>66</v>
      </c>
      <c r="G352">
        <v>4.9400000000000004</v>
      </c>
      <c r="H352" t="s">
        <v>61</v>
      </c>
      <c r="I352" t="s">
        <v>42</v>
      </c>
      <c r="M352">
        <f>VLOOKUP(H352,'Stage Order'!$A$2:$B$8,2,FALSE)</f>
        <v>1</v>
      </c>
      <c r="N352" t="str">
        <f t="shared" si="10"/>
        <v>2. 1-24 hours</v>
      </c>
      <c r="O352" t="str">
        <f t="shared" si="11"/>
        <v>2025-11</v>
      </c>
    </row>
    <row r="353" spans="1:15" x14ac:dyDescent="0.3">
      <c r="A353" t="s">
        <v>891</v>
      </c>
      <c r="B353" t="s">
        <v>892</v>
      </c>
      <c r="C353" t="s">
        <v>58</v>
      </c>
      <c r="D353" t="s">
        <v>54</v>
      </c>
      <c r="E353" t="s">
        <v>45</v>
      </c>
      <c r="F353" t="s">
        <v>55</v>
      </c>
      <c r="G353">
        <v>3.93</v>
      </c>
      <c r="H353" t="s">
        <v>41</v>
      </c>
      <c r="I353" t="s">
        <v>42</v>
      </c>
      <c r="M353">
        <f>VLOOKUP(H353,'Stage Order'!$A$2:$B$8,2,FALSE)</f>
        <v>2</v>
      </c>
      <c r="N353" t="str">
        <f t="shared" si="10"/>
        <v>2. 1-24 hours</v>
      </c>
      <c r="O353" t="str">
        <f t="shared" si="11"/>
        <v>2026-01</v>
      </c>
    </row>
    <row r="354" spans="1:15" x14ac:dyDescent="0.3">
      <c r="A354" t="s">
        <v>893</v>
      </c>
      <c r="B354" t="s">
        <v>894</v>
      </c>
      <c r="C354" t="s">
        <v>125</v>
      </c>
      <c r="D354" t="s">
        <v>77</v>
      </c>
      <c r="E354" t="s">
        <v>45</v>
      </c>
      <c r="F354" t="s">
        <v>46</v>
      </c>
      <c r="G354">
        <v>2.71</v>
      </c>
      <c r="H354" t="s">
        <v>128</v>
      </c>
      <c r="I354" t="s">
        <v>42</v>
      </c>
      <c r="M354">
        <f>VLOOKUP(H354,'Stage Order'!$A$2:$B$8,2,FALSE)</f>
        <v>3</v>
      </c>
      <c r="N354" t="str">
        <f t="shared" si="10"/>
        <v>2. 1-24 hours</v>
      </c>
      <c r="O354" t="str">
        <f t="shared" si="11"/>
        <v>2025-02</v>
      </c>
    </row>
    <row r="355" spans="1:15" x14ac:dyDescent="0.3">
      <c r="A355" t="s">
        <v>895</v>
      </c>
      <c r="B355" t="s">
        <v>896</v>
      </c>
      <c r="C355" t="s">
        <v>125</v>
      </c>
      <c r="D355" t="s">
        <v>54</v>
      </c>
      <c r="E355" t="s">
        <v>59</v>
      </c>
      <c r="F355" t="s">
        <v>117</v>
      </c>
      <c r="G355">
        <v>2.68</v>
      </c>
      <c r="H355" t="s">
        <v>32</v>
      </c>
      <c r="I355" t="s">
        <v>33</v>
      </c>
      <c r="K355">
        <v>580.04</v>
      </c>
      <c r="L355" t="s">
        <v>897</v>
      </c>
      <c r="M355">
        <f>VLOOKUP(H355,'Stage Order'!$A$2:$B$8,2,FALSE)</f>
        <v>7</v>
      </c>
      <c r="N355" t="str">
        <f t="shared" si="10"/>
        <v>2. 1-24 hours</v>
      </c>
      <c r="O355" t="str">
        <f t="shared" si="11"/>
        <v>2026-04</v>
      </c>
    </row>
    <row r="356" spans="1:15" x14ac:dyDescent="0.3">
      <c r="A356" t="s">
        <v>898</v>
      </c>
      <c r="B356" t="s">
        <v>899</v>
      </c>
      <c r="C356" t="s">
        <v>58</v>
      </c>
      <c r="D356" t="s">
        <v>77</v>
      </c>
      <c r="E356" t="s">
        <v>39</v>
      </c>
      <c r="F356" t="s">
        <v>106</v>
      </c>
      <c r="G356">
        <v>3.12</v>
      </c>
      <c r="H356" t="s">
        <v>32</v>
      </c>
      <c r="I356" t="s">
        <v>33</v>
      </c>
      <c r="K356">
        <v>877.44</v>
      </c>
      <c r="L356" t="s">
        <v>900</v>
      </c>
      <c r="M356">
        <f>VLOOKUP(H356,'Stage Order'!$A$2:$B$8,2,FALSE)</f>
        <v>7</v>
      </c>
      <c r="N356" t="str">
        <f t="shared" si="10"/>
        <v>2. 1-24 hours</v>
      </c>
      <c r="O356" t="str">
        <f t="shared" si="11"/>
        <v>2026-06</v>
      </c>
    </row>
    <row r="357" spans="1:15" x14ac:dyDescent="0.3">
      <c r="A357" t="s">
        <v>901</v>
      </c>
      <c r="B357" t="s">
        <v>902</v>
      </c>
      <c r="C357" t="s">
        <v>53</v>
      </c>
      <c r="D357" t="s">
        <v>38</v>
      </c>
      <c r="E357" t="s">
        <v>59</v>
      </c>
      <c r="F357" t="s">
        <v>117</v>
      </c>
      <c r="G357">
        <v>0.6</v>
      </c>
      <c r="H357" t="s">
        <v>32</v>
      </c>
      <c r="I357" t="s">
        <v>33</v>
      </c>
      <c r="K357">
        <v>320.16000000000003</v>
      </c>
      <c r="L357" t="s">
        <v>903</v>
      </c>
      <c r="M357">
        <f>VLOOKUP(H357,'Stage Order'!$A$2:$B$8,2,FALSE)</f>
        <v>7</v>
      </c>
      <c r="N357" t="str">
        <f t="shared" si="10"/>
        <v>1. Under 1 hour</v>
      </c>
      <c r="O357" t="str">
        <f t="shared" si="11"/>
        <v>2026-03</v>
      </c>
    </row>
    <row r="358" spans="1:15" x14ac:dyDescent="0.3">
      <c r="A358" t="s">
        <v>904</v>
      </c>
      <c r="B358" t="s">
        <v>905</v>
      </c>
      <c r="C358" t="s">
        <v>58</v>
      </c>
      <c r="D358" t="s">
        <v>38</v>
      </c>
      <c r="E358" t="s">
        <v>45</v>
      </c>
      <c r="F358" t="s">
        <v>55</v>
      </c>
      <c r="G358">
        <v>1.19</v>
      </c>
      <c r="H358" t="s">
        <v>146</v>
      </c>
      <c r="I358" t="s">
        <v>48</v>
      </c>
      <c r="J358" t="s">
        <v>139</v>
      </c>
      <c r="K358">
        <v>407.24</v>
      </c>
      <c r="L358" t="s">
        <v>906</v>
      </c>
      <c r="M358">
        <f>VLOOKUP(H358,'Stage Order'!$A$2:$B$8,2,FALSE)</f>
        <v>5</v>
      </c>
      <c r="N358" t="str">
        <f t="shared" si="10"/>
        <v>2. 1-24 hours</v>
      </c>
      <c r="O358" t="str">
        <f t="shared" si="11"/>
        <v>2026-03</v>
      </c>
    </row>
    <row r="359" spans="1:15" x14ac:dyDescent="0.3">
      <c r="A359" t="s">
        <v>907</v>
      </c>
      <c r="B359" t="s">
        <v>908</v>
      </c>
      <c r="C359" t="s">
        <v>58</v>
      </c>
      <c r="D359" t="s">
        <v>29</v>
      </c>
      <c r="E359" t="s">
        <v>39</v>
      </c>
      <c r="F359" t="s">
        <v>106</v>
      </c>
      <c r="G359">
        <v>1.02</v>
      </c>
      <c r="H359" t="s">
        <v>47</v>
      </c>
      <c r="I359" t="s">
        <v>48</v>
      </c>
      <c r="J359" t="s">
        <v>139</v>
      </c>
      <c r="K359">
        <v>749.48</v>
      </c>
      <c r="L359" t="s">
        <v>909</v>
      </c>
      <c r="M359">
        <f>VLOOKUP(H359,'Stage Order'!$A$2:$B$8,2,FALSE)</f>
        <v>4</v>
      </c>
      <c r="N359" t="str">
        <f t="shared" si="10"/>
        <v>2. 1-24 hours</v>
      </c>
      <c r="O359" t="str">
        <f t="shared" si="11"/>
        <v>2026-04</v>
      </c>
    </row>
    <row r="360" spans="1:15" x14ac:dyDescent="0.3">
      <c r="A360" t="s">
        <v>910</v>
      </c>
      <c r="B360" t="s">
        <v>911</v>
      </c>
      <c r="C360" t="s">
        <v>37</v>
      </c>
      <c r="D360" t="s">
        <v>54</v>
      </c>
      <c r="E360" t="s">
        <v>45</v>
      </c>
      <c r="F360" t="s">
        <v>46</v>
      </c>
      <c r="G360">
        <v>1.35</v>
      </c>
      <c r="H360" t="s">
        <v>41</v>
      </c>
      <c r="I360" t="s">
        <v>42</v>
      </c>
      <c r="M360">
        <f>VLOOKUP(H360,'Stage Order'!$A$2:$B$8,2,FALSE)</f>
        <v>2</v>
      </c>
      <c r="N360" t="str">
        <f t="shared" si="10"/>
        <v>2. 1-24 hours</v>
      </c>
      <c r="O360" t="str">
        <f t="shared" si="11"/>
        <v>2026-03</v>
      </c>
    </row>
    <row r="361" spans="1:15" x14ac:dyDescent="0.3">
      <c r="A361" t="s">
        <v>912</v>
      </c>
      <c r="B361" t="s">
        <v>913</v>
      </c>
      <c r="C361" t="s">
        <v>28</v>
      </c>
      <c r="D361" t="s">
        <v>77</v>
      </c>
      <c r="E361" t="s">
        <v>39</v>
      </c>
      <c r="F361" t="s">
        <v>40</v>
      </c>
      <c r="G361">
        <v>3.24</v>
      </c>
      <c r="H361" t="s">
        <v>138</v>
      </c>
      <c r="I361" t="s">
        <v>48</v>
      </c>
      <c r="J361" t="s">
        <v>98</v>
      </c>
      <c r="K361">
        <v>918.69</v>
      </c>
      <c r="L361" t="s">
        <v>914</v>
      </c>
      <c r="M361">
        <f>VLOOKUP(H361,'Stage Order'!$A$2:$B$8,2,FALSE)</f>
        <v>6</v>
      </c>
      <c r="N361" t="str">
        <f t="shared" si="10"/>
        <v>2. 1-24 hours</v>
      </c>
      <c r="O361" t="str">
        <f t="shared" si="11"/>
        <v>2025-07</v>
      </c>
    </row>
    <row r="362" spans="1:15" x14ac:dyDescent="0.3">
      <c r="A362" t="s">
        <v>915</v>
      </c>
      <c r="B362" t="s">
        <v>916</v>
      </c>
      <c r="C362" t="s">
        <v>58</v>
      </c>
      <c r="D362" t="s">
        <v>54</v>
      </c>
      <c r="E362" t="s">
        <v>90</v>
      </c>
      <c r="F362" t="s">
        <v>91</v>
      </c>
      <c r="G362">
        <v>2</v>
      </c>
      <c r="H362" t="s">
        <v>41</v>
      </c>
      <c r="I362" t="s">
        <v>42</v>
      </c>
      <c r="M362">
        <f>VLOOKUP(H362,'Stage Order'!$A$2:$B$8,2,FALSE)</f>
        <v>2</v>
      </c>
      <c r="N362" t="str">
        <f t="shared" si="10"/>
        <v>2. 1-24 hours</v>
      </c>
      <c r="O362" t="str">
        <f t="shared" si="11"/>
        <v>2026-05</v>
      </c>
    </row>
    <row r="363" spans="1:15" x14ac:dyDescent="0.3">
      <c r="A363" t="s">
        <v>917</v>
      </c>
      <c r="B363" t="s">
        <v>918</v>
      </c>
      <c r="C363" t="s">
        <v>28</v>
      </c>
      <c r="D363" t="s">
        <v>77</v>
      </c>
      <c r="E363" t="s">
        <v>90</v>
      </c>
      <c r="F363" t="s">
        <v>112</v>
      </c>
      <c r="G363">
        <v>4.05</v>
      </c>
      <c r="H363" t="s">
        <v>41</v>
      </c>
      <c r="I363" t="s">
        <v>42</v>
      </c>
      <c r="M363">
        <f>VLOOKUP(H363,'Stage Order'!$A$2:$B$8,2,FALSE)</f>
        <v>2</v>
      </c>
      <c r="N363" t="str">
        <f t="shared" si="10"/>
        <v>2. 1-24 hours</v>
      </c>
      <c r="O363" t="str">
        <f t="shared" si="11"/>
        <v>2025-01</v>
      </c>
    </row>
    <row r="364" spans="1:15" x14ac:dyDescent="0.3">
      <c r="A364" t="s">
        <v>919</v>
      </c>
      <c r="B364" t="s">
        <v>920</v>
      </c>
      <c r="C364" t="s">
        <v>53</v>
      </c>
      <c r="D364" t="s">
        <v>54</v>
      </c>
      <c r="E364" t="s">
        <v>39</v>
      </c>
      <c r="F364" t="s">
        <v>66</v>
      </c>
      <c r="G364">
        <v>8.5</v>
      </c>
      <c r="H364" t="s">
        <v>41</v>
      </c>
      <c r="I364" t="s">
        <v>42</v>
      </c>
      <c r="M364">
        <f>VLOOKUP(H364,'Stage Order'!$A$2:$B$8,2,FALSE)</f>
        <v>2</v>
      </c>
      <c r="N364" t="str">
        <f t="shared" si="10"/>
        <v>2. 1-24 hours</v>
      </c>
      <c r="O364" t="str">
        <f t="shared" si="11"/>
        <v>2025-05</v>
      </c>
    </row>
    <row r="365" spans="1:15" x14ac:dyDescent="0.3">
      <c r="A365" t="s">
        <v>921</v>
      </c>
      <c r="B365" t="s">
        <v>922</v>
      </c>
      <c r="C365" t="s">
        <v>125</v>
      </c>
      <c r="D365" t="s">
        <v>54</v>
      </c>
      <c r="E365" t="s">
        <v>45</v>
      </c>
      <c r="F365" t="s">
        <v>94</v>
      </c>
      <c r="G365">
        <v>3.57</v>
      </c>
      <c r="H365" t="s">
        <v>47</v>
      </c>
      <c r="I365" t="s">
        <v>48</v>
      </c>
      <c r="J365" t="s">
        <v>139</v>
      </c>
      <c r="K365">
        <v>590.77</v>
      </c>
      <c r="L365" t="s">
        <v>923</v>
      </c>
      <c r="M365">
        <f>VLOOKUP(H365,'Stage Order'!$A$2:$B$8,2,FALSE)</f>
        <v>4</v>
      </c>
      <c r="N365" t="str">
        <f t="shared" si="10"/>
        <v>2. 1-24 hours</v>
      </c>
      <c r="O365" t="str">
        <f t="shared" si="11"/>
        <v>2025-12</v>
      </c>
    </row>
    <row r="366" spans="1:15" x14ac:dyDescent="0.3">
      <c r="A366" t="s">
        <v>924</v>
      </c>
      <c r="B366" t="s">
        <v>925</v>
      </c>
      <c r="C366" t="s">
        <v>125</v>
      </c>
      <c r="D366" t="s">
        <v>77</v>
      </c>
      <c r="E366" t="s">
        <v>45</v>
      </c>
      <c r="F366" t="s">
        <v>55</v>
      </c>
      <c r="G366">
        <v>4.0999999999999996</v>
      </c>
      <c r="H366" t="s">
        <v>41</v>
      </c>
      <c r="I366" t="s">
        <v>42</v>
      </c>
      <c r="M366">
        <f>VLOOKUP(H366,'Stage Order'!$A$2:$B$8,2,FALSE)</f>
        <v>2</v>
      </c>
      <c r="N366" t="str">
        <f t="shared" si="10"/>
        <v>2. 1-24 hours</v>
      </c>
      <c r="O366" t="str">
        <f t="shared" si="11"/>
        <v>2025-05</v>
      </c>
    </row>
    <row r="367" spans="1:15" x14ac:dyDescent="0.3">
      <c r="A367" t="s">
        <v>926</v>
      </c>
      <c r="B367" t="s">
        <v>927</v>
      </c>
      <c r="C367" t="s">
        <v>76</v>
      </c>
      <c r="D367" t="s">
        <v>29</v>
      </c>
      <c r="E367" t="s">
        <v>59</v>
      </c>
      <c r="F367" t="s">
        <v>117</v>
      </c>
      <c r="G367">
        <v>8.43</v>
      </c>
      <c r="H367" t="s">
        <v>32</v>
      </c>
      <c r="I367" t="s">
        <v>33</v>
      </c>
      <c r="K367">
        <v>607.62</v>
      </c>
      <c r="L367" t="s">
        <v>928</v>
      </c>
      <c r="M367">
        <f>VLOOKUP(H367,'Stage Order'!$A$2:$B$8,2,FALSE)</f>
        <v>7</v>
      </c>
      <c r="N367" t="str">
        <f t="shared" si="10"/>
        <v>2. 1-24 hours</v>
      </c>
      <c r="O367" t="str">
        <f t="shared" si="11"/>
        <v>2025-04</v>
      </c>
    </row>
    <row r="368" spans="1:15" x14ac:dyDescent="0.3">
      <c r="A368" t="s">
        <v>929</v>
      </c>
      <c r="B368" t="s">
        <v>930</v>
      </c>
      <c r="C368" t="s">
        <v>81</v>
      </c>
      <c r="D368" t="s">
        <v>77</v>
      </c>
      <c r="E368" t="s">
        <v>90</v>
      </c>
      <c r="F368" t="s">
        <v>91</v>
      </c>
      <c r="G368">
        <v>3.98</v>
      </c>
      <c r="H368" t="s">
        <v>128</v>
      </c>
      <c r="I368" t="s">
        <v>42</v>
      </c>
      <c r="M368">
        <f>VLOOKUP(H368,'Stage Order'!$A$2:$B$8,2,FALSE)</f>
        <v>3</v>
      </c>
      <c r="N368" t="str">
        <f t="shared" si="10"/>
        <v>2. 1-24 hours</v>
      </c>
      <c r="O368" t="str">
        <f t="shared" si="11"/>
        <v>2025-12</v>
      </c>
    </row>
    <row r="369" spans="1:15" x14ac:dyDescent="0.3">
      <c r="A369" t="s">
        <v>931</v>
      </c>
      <c r="B369" t="s">
        <v>932</v>
      </c>
      <c r="C369" t="s">
        <v>53</v>
      </c>
      <c r="D369" t="s">
        <v>29</v>
      </c>
      <c r="E369" t="s">
        <v>39</v>
      </c>
      <c r="F369" t="s">
        <v>40</v>
      </c>
      <c r="G369">
        <v>1.88</v>
      </c>
      <c r="H369" t="s">
        <v>32</v>
      </c>
      <c r="I369" t="s">
        <v>33</v>
      </c>
      <c r="K369">
        <v>579.5</v>
      </c>
      <c r="L369" t="s">
        <v>933</v>
      </c>
      <c r="M369">
        <f>VLOOKUP(H369,'Stage Order'!$A$2:$B$8,2,FALSE)</f>
        <v>7</v>
      </c>
      <c r="N369" t="str">
        <f t="shared" si="10"/>
        <v>2. 1-24 hours</v>
      </c>
      <c r="O369" t="str">
        <f t="shared" si="11"/>
        <v>2025-12</v>
      </c>
    </row>
    <row r="370" spans="1:15" x14ac:dyDescent="0.3">
      <c r="A370" t="s">
        <v>934</v>
      </c>
      <c r="B370" t="s">
        <v>935</v>
      </c>
      <c r="C370" t="s">
        <v>125</v>
      </c>
      <c r="D370" t="s">
        <v>54</v>
      </c>
      <c r="E370" t="s">
        <v>30</v>
      </c>
      <c r="F370" t="s">
        <v>78</v>
      </c>
      <c r="G370">
        <v>2.93</v>
      </c>
      <c r="H370" t="s">
        <v>41</v>
      </c>
      <c r="I370" t="s">
        <v>42</v>
      </c>
      <c r="M370">
        <f>VLOOKUP(H370,'Stage Order'!$A$2:$B$8,2,FALSE)</f>
        <v>2</v>
      </c>
      <c r="N370" t="str">
        <f t="shared" si="10"/>
        <v>2. 1-24 hours</v>
      </c>
      <c r="O370" t="str">
        <f t="shared" si="11"/>
        <v>2025-05</v>
      </c>
    </row>
    <row r="371" spans="1:15" x14ac:dyDescent="0.3">
      <c r="A371" t="s">
        <v>936</v>
      </c>
      <c r="B371" t="s">
        <v>937</v>
      </c>
      <c r="C371" t="s">
        <v>58</v>
      </c>
      <c r="D371" t="s">
        <v>54</v>
      </c>
      <c r="E371" t="s">
        <v>45</v>
      </c>
      <c r="F371" t="s">
        <v>46</v>
      </c>
      <c r="G371">
        <v>0.87</v>
      </c>
      <c r="H371" t="s">
        <v>146</v>
      </c>
      <c r="I371" t="s">
        <v>48</v>
      </c>
      <c r="J371" t="s">
        <v>139</v>
      </c>
      <c r="K371">
        <v>549.41</v>
      </c>
      <c r="L371" t="s">
        <v>938</v>
      </c>
      <c r="M371">
        <f>VLOOKUP(H371,'Stage Order'!$A$2:$B$8,2,FALSE)</f>
        <v>5</v>
      </c>
      <c r="N371" t="str">
        <f t="shared" si="10"/>
        <v>1. Under 1 hour</v>
      </c>
      <c r="O371" t="str">
        <f t="shared" si="11"/>
        <v>2025-01</v>
      </c>
    </row>
    <row r="372" spans="1:15" x14ac:dyDescent="0.3">
      <c r="A372" t="s">
        <v>939</v>
      </c>
      <c r="B372" t="s">
        <v>940</v>
      </c>
      <c r="C372" t="s">
        <v>58</v>
      </c>
      <c r="D372" t="s">
        <v>77</v>
      </c>
      <c r="E372" t="s">
        <v>59</v>
      </c>
      <c r="F372" t="s">
        <v>60</v>
      </c>
      <c r="G372">
        <v>0.56999999999999995</v>
      </c>
      <c r="H372" t="s">
        <v>41</v>
      </c>
      <c r="I372" t="s">
        <v>42</v>
      </c>
      <c r="M372">
        <f>VLOOKUP(H372,'Stage Order'!$A$2:$B$8,2,FALSE)</f>
        <v>2</v>
      </c>
      <c r="N372" t="str">
        <f t="shared" si="10"/>
        <v>1. Under 1 hour</v>
      </c>
      <c r="O372" t="str">
        <f t="shared" si="11"/>
        <v>2025-11</v>
      </c>
    </row>
    <row r="373" spans="1:15" x14ac:dyDescent="0.3">
      <c r="A373" t="s">
        <v>941</v>
      </c>
      <c r="B373" t="s">
        <v>942</v>
      </c>
      <c r="C373" t="s">
        <v>58</v>
      </c>
      <c r="D373" t="s">
        <v>38</v>
      </c>
      <c r="E373" t="s">
        <v>59</v>
      </c>
      <c r="F373" t="s">
        <v>60</v>
      </c>
      <c r="G373">
        <v>1.43</v>
      </c>
      <c r="H373" t="s">
        <v>41</v>
      </c>
      <c r="I373" t="s">
        <v>42</v>
      </c>
      <c r="M373">
        <f>VLOOKUP(H373,'Stage Order'!$A$2:$B$8,2,FALSE)</f>
        <v>2</v>
      </c>
      <c r="N373" t="str">
        <f t="shared" si="10"/>
        <v>2. 1-24 hours</v>
      </c>
      <c r="O373" t="str">
        <f t="shared" si="11"/>
        <v>2025-07</v>
      </c>
    </row>
    <row r="374" spans="1:15" x14ac:dyDescent="0.3">
      <c r="A374" t="s">
        <v>943</v>
      </c>
      <c r="B374" t="s">
        <v>944</v>
      </c>
      <c r="C374" t="s">
        <v>76</v>
      </c>
      <c r="D374" t="s">
        <v>77</v>
      </c>
      <c r="E374" t="s">
        <v>30</v>
      </c>
      <c r="F374" t="s">
        <v>82</v>
      </c>
      <c r="G374">
        <v>4.78</v>
      </c>
      <c r="H374" t="s">
        <v>41</v>
      </c>
      <c r="I374" t="s">
        <v>42</v>
      </c>
      <c r="M374">
        <f>VLOOKUP(H374,'Stage Order'!$A$2:$B$8,2,FALSE)</f>
        <v>2</v>
      </c>
      <c r="N374" t="str">
        <f t="shared" si="10"/>
        <v>2. 1-24 hours</v>
      </c>
      <c r="O374" t="str">
        <f t="shared" si="11"/>
        <v>2026-06</v>
      </c>
    </row>
    <row r="375" spans="1:15" x14ac:dyDescent="0.3">
      <c r="A375" t="s">
        <v>945</v>
      </c>
      <c r="B375" t="s">
        <v>946</v>
      </c>
      <c r="C375" t="s">
        <v>125</v>
      </c>
      <c r="D375" t="s">
        <v>29</v>
      </c>
      <c r="E375" t="s">
        <v>45</v>
      </c>
      <c r="F375" t="s">
        <v>46</v>
      </c>
      <c r="G375">
        <v>1.32</v>
      </c>
      <c r="H375" t="s">
        <v>41</v>
      </c>
      <c r="I375" t="s">
        <v>42</v>
      </c>
      <c r="M375">
        <f>VLOOKUP(H375,'Stage Order'!$A$2:$B$8,2,FALSE)</f>
        <v>2</v>
      </c>
      <c r="N375" t="str">
        <f t="shared" si="10"/>
        <v>2. 1-24 hours</v>
      </c>
      <c r="O375" t="str">
        <f t="shared" si="11"/>
        <v>2025-08</v>
      </c>
    </row>
    <row r="376" spans="1:15" x14ac:dyDescent="0.3">
      <c r="A376" t="s">
        <v>947</v>
      </c>
      <c r="B376" t="s">
        <v>948</v>
      </c>
      <c r="C376" t="s">
        <v>58</v>
      </c>
      <c r="D376" t="s">
        <v>54</v>
      </c>
      <c r="E376" t="s">
        <v>90</v>
      </c>
      <c r="F376" t="s">
        <v>145</v>
      </c>
      <c r="G376">
        <v>1.28</v>
      </c>
      <c r="H376" t="s">
        <v>61</v>
      </c>
      <c r="I376" t="s">
        <v>42</v>
      </c>
      <c r="M376">
        <f>VLOOKUP(H376,'Stage Order'!$A$2:$B$8,2,FALSE)</f>
        <v>1</v>
      </c>
      <c r="N376" t="str">
        <f t="shared" si="10"/>
        <v>2. 1-24 hours</v>
      </c>
      <c r="O376" t="str">
        <f t="shared" si="11"/>
        <v>2025-12</v>
      </c>
    </row>
    <row r="377" spans="1:15" x14ac:dyDescent="0.3">
      <c r="A377" t="s">
        <v>949</v>
      </c>
      <c r="B377" t="s">
        <v>950</v>
      </c>
      <c r="C377" t="s">
        <v>81</v>
      </c>
      <c r="D377" t="s">
        <v>29</v>
      </c>
      <c r="E377" t="s">
        <v>59</v>
      </c>
      <c r="F377" t="s">
        <v>117</v>
      </c>
      <c r="G377">
        <v>2.48</v>
      </c>
      <c r="H377" t="s">
        <v>41</v>
      </c>
      <c r="I377" t="s">
        <v>42</v>
      </c>
      <c r="M377">
        <f>VLOOKUP(H377,'Stage Order'!$A$2:$B$8,2,FALSE)</f>
        <v>2</v>
      </c>
      <c r="N377" t="str">
        <f t="shared" si="10"/>
        <v>2. 1-24 hours</v>
      </c>
      <c r="O377" t="str">
        <f t="shared" si="11"/>
        <v>2026-06</v>
      </c>
    </row>
    <row r="378" spans="1:15" x14ac:dyDescent="0.3">
      <c r="A378" t="s">
        <v>951</v>
      </c>
      <c r="B378" t="s">
        <v>952</v>
      </c>
      <c r="C378" t="s">
        <v>58</v>
      </c>
      <c r="D378" t="s">
        <v>29</v>
      </c>
      <c r="E378" t="s">
        <v>59</v>
      </c>
      <c r="F378" t="s">
        <v>117</v>
      </c>
      <c r="G378">
        <v>0.73</v>
      </c>
      <c r="H378" t="s">
        <v>41</v>
      </c>
      <c r="I378" t="s">
        <v>42</v>
      </c>
      <c r="M378">
        <f>VLOOKUP(H378,'Stage Order'!$A$2:$B$8,2,FALSE)</f>
        <v>2</v>
      </c>
      <c r="N378" t="str">
        <f t="shared" si="10"/>
        <v>1. Under 1 hour</v>
      </c>
      <c r="O378" t="str">
        <f t="shared" si="11"/>
        <v>2025-05</v>
      </c>
    </row>
    <row r="379" spans="1:15" x14ac:dyDescent="0.3">
      <c r="A379" t="s">
        <v>953</v>
      </c>
      <c r="B379" t="s">
        <v>954</v>
      </c>
      <c r="C379" t="s">
        <v>37</v>
      </c>
      <c r="D379" t="s">
        <v>54</v>
      </c>
      <c r="E379" t="s">
        <v>59</v>
      </c>
      <c r="F379" t="s">
        <v>60</v>
      </c>
      <c r="G379">
        <v>6.11</v>
      </c>
      <c r="H379" t="s">
        <v>41</v>
      </c>
      <c r="I379" t="s">
        <v>42</v>
      </c>
      <c r="M379">
        <f>VLOOKUP(H379,'Stage Order'!$A$2:$B$8,2,FALSE)</f>
        <v>2</v>
      </c>
      <c r="N379" t="str">
        <f t="shared" si="10"/>
        <v>2. 1-24 hours</v>
      </c>
      <c r="O379" t="str">
        <f t="shared" si="11"/>
        <v>2025-07</v>
      </c>
    </row>
    <row r="380" spans="1:15" x14ac:dyDescent="0.3">
      <c r="A380" t="s">
        <v>955</v>
      </c>
      <c r="B380" t="s">
        <v>956</v>
      </c>
      <c r="C380" t="s">
        <v>81</v>
      </c>
      <c r="D380" t="s">
        <v>38</v>
      </c>
      <c r="E380" t="s">
        <v>45</v>
      </c>
      <c r="F380" t="s">
        <v>55</v>
      </c>
      <c r="G380">
        <v>0.35</v>
      </c>
      <c r="H380" t="s">
        <v>41</v>
      </c>
      <c r="I380" t="s">
        <v>42</v>
      </c>
      <c r="M380">
        <f>VLOOKUP(H380,'Stage Order'!$A$2:$B$8,2,FALSE)</f>
        <v>2</v>
      </c>
      <c r="N380" t="str">
        <f t="shared" si="10"/>
        <v>1. Under 1 hour</v>
      </c>
      <c r="O380" t="str">
        <f t="shared" si="11"/>
        <v>2025-02</v>
      </c>
    </row>
    <row r="381" spans="1:15" x14ac:dyDescent="0.3">
      <c r="A381" t="s">
        <v>957</v>
      </c>
      <c r="B381" t="s">
        <v>958</v>
      </c>
      <c r="C381" t="s">
        <v>58</v>
      </c>
      <c r="D381" t="s">
        <v>29</v>
      </c>
      <c r="E381" t="s">
        <v>30</v>
      </c>
      <c r="F381" t="s">
        <v>31</v>
      </c>
      <c r="G381">
        <v>6.77</v>
      </c>
      <c r="H381" t="s">
        <v>61</v>
      </c>
      <c r="I381" t="s">
        <v>42</v>
      </c>
      <c r="M381">
        <f>VLOOKUP(H381,'Stage Order'!$A$2:$B$8,2,FALSE)</f>
        <v>1</v>
      </c>
      <c r="N381" t="str">
        <f t="shared" si="10"/>
        <v>2. 1-24 hours</v>
      </c>
      <c r="O381" t="str">
        <f t="shared" si="11"/>
        <v>2025-06</v>
      </c>
    </row>
    <row r="382" spans="1:15" x14ac:dyDescent="0.3">
      <c r="A382" t="s">
        <v>959</v>
      </c>
      <c r="B382" t="s">
        <v>960</v>
      </c>
      <c r="C382" t="s">
        <v>37</v>
      </c>
      <c r="D382" t="s">
        <v>97</v>
      </c>
      <c r="E382" t="s">
        <v>30</v>
      </c>
      <c r="F382" t="s">
        <v>31</v>
      </c>
      <c r="G382">
        <v>20.420000000000002</v>
      </c>
      <c r="H382" t="s">
        <v>41</v>
      </c>
      <c r="I382" t="s">
        <v>42</v>
      </c>
      <c r="M382">
        <f>VLOOKUP(H382,'Stage Order'!$A$2:$B$8,2,FALSE)</f>
        <v>2</v>
      </c>
      <c r="N382" t="str">
        <f t="shared" si="10"/>
        <v>2. 1-24 hours</v>
      </c>
      <c r="O382" t="str">
        <f t="shared" si="11"/>
        <v>2025-05</v>
      </c>
    </row>
    <row r="383" spans="1:15" x14ac:dyDescent="0.3">
      <c r="A383" t="s">
        <v>961</v>
      </c>
      <c r="B383" t="s">
        <v>962</v>
      </c>
      <c r="C383" t="s">
        <v>81</v>
      </c>
      <c r="D383" t="s">
        <v>77</v>
      </c>
      <c r="E383" t="s">
        <v>39</v>
      </c>
      <c r="F383" t="s">
        <v>106</v>
      </c>
      <c r="G383">
        <v>3.68</v>
      </c>
      <c r="H383" t="s">
        <v>47</v>
      </c>
      <c r="I383" t="s">
        <v>48</v>
      </c>
      <c r="J383" t="s">
        <v>98</v>
      </c>
      <c r="K383">
        <v>1141.93</v>
      </c>
      <c r="L383" t="s">
        <v>963</v>
      </c>
      <c r="M383">
        <f>VLOOKUP(H383,'Stage Order'!$A$2:$B$8,2,FALSE)</f>
        <v>4</v>
      </c>
      <c r="N383" t="str">
        <f t="shared" si="10"/>
        <v>2. 1-24 hours</v>
      </c>
      <c r="O383" t="str">
        <f t="shared" si="11"/>
        <v>2025-07</v>
      </c>
    </row>
    <row r="384" spans="1:15" x14ac:dyDescent="0.3">
      <c r="A384" t="s">
        <v>964</v>
      </c>
      <c r="B384" t="s">
        <v>965</v>
      </c>
      <c r="C384" t="s">
        <v>53</v>
      </c>
      <c r="D384" t="s">
        <v>38</v>
      </c>
      <c r="E384" t="s">
        <v>90</v>
      </c>
      <c r="F384" t="s">
        <v>112</v>
      </c>
      <c r="G384">
        <v>1.96</v>
      </c>
      <c r="H384" t="s">
        <v>41</v>
      </c>
      <c r="I384" t="s">
        <v>42</v>
      </c>
      <c r="M384">
        <f>VLOOKUP(H384,'Stage Order'!$A$2:$B$8,2,FALSE)</f>
        <v>2</v>
      </c>
      <c r="N384" t="str">
        <f t="shared" si="10"/>
        <v>2. 1-24 hours</v>
      </c>
      <c r="O384" t="str">
        <f t="shared" si="11"/>
        <v>2025-07</v>
      </c>
    </row>
    <row r="385" spans="1:15" x14ac:dyDescent="0.3">
      <c r="A385" t="s">
        <v>966</v>
      </c>
      <c r="B385" t="s">
        <v>967</v>
      </c>
      <c r="C385" t="s">
        <v>37</v>
      </c>
      <c r="D385" t="s">
        <v>54</v>
      </c>
      <c r="E385" t="s">
        <v>45</v>
      </c>
      <c r="F385" t="s">
        <v>94</v>
      </c>
      <c r="G385">
        <v>4.47</v>
      </c>
      <c r="H385" t="s">
        <v>47</v>
      </c>
      <c r="I385" t="s">
        <v>48</v>
      </c>
      <c r="J385" t="s">
        <v>98</v>
      </c>
      <c r="K385">
        <v>432.18</v>
      </c>
      <c r="L385" t="s">
        <v>968</v>
      </c>
      <c r="M385">
        <f>VLOOKUP(H385,'Stage Order'!$A$2:$B$8,2,FALSE)</f>
        <v>4</v>
      </c>
      <c r="N385" t="str">
        <f t="shared" si="10"/>
        <v>2. 1-24 hours</v>
      </c>
      <c r="O385" t="str">
        <f t="shared" si="11"/>
        <v>2025-12</v>
      </c>
    </row>
    <row r="386" spans="1:15" x14ac:dyDescent="0.3">
      <c r="A386" t="s">
        <v>969</v>
      </c>
      <c r="B386" t="s">
        <v>970</v>
      </c>
      <c r="C386" t="s">
        <v>58</v>
      </c>
      <c r="D386" t="s">
        <v>29</v>
      </c>
      <c r="E386" t="s">
        <v>59</v>
      </c>
      <c r="F386" t="s">
        <v>60</v>
      </c>
      <c r="G386">
        <v>2.34</v>
      </c>
      <c r="H386" t="s">
        <v>61</v>
      </c>
      <c r="I386" t="s">
        <v>42</v>
      </c>
      <c r="M386">
        <f>VLOOKUP(H386,'Stage Order'!$A$2:$B$8,2,FALSE)</f>
        <v>1</v>
      </c>
      <c r="N386" t="str">
        <f t="shared" ref="N386:N449" si="12">IF(G386&lt;=1,"1. Under 1 hour",IF(G386&lt;=24,"2. 1-24 hours",IF(G386&lt;=72,"3. 1-3 days","4. Over 3 days")))</f>
        <v>2. 1-24 hours</v>
      </c>
      <c r="O386" t="str">
        <f t="shared" ref="O386:O449" si="13">TEXT(B386,"YYYY-MM")</f>
        <v>2025-08</v>
      </c>
    </row>
    <row r="387" spans="1:15" x14ac:dyDescent="0.3">
      <c r="A387" t="s">
        <v>971</v>
      </c>
      <c r="B387" t="s">
        <v>972</v>
      </c>
      <c r="C387" t="s">
        <v>125</v>
      </c>
      <c r="D387" t="s">
        <v>29</v>
      </c>
      <c r="E387" t="s">
        <v>45</v>
      </c>
      <c r="F387" t="s">
        <v>94</v>
      </c>
      <c r="G387">
        <v>4.4400000000000004</v>
      </c>
      <c r="H387" t="s">
        <v>128</v>
      </c>
      <c r="I387" t="s">
        <v>42</v>
      </c>
      <c r="M387">
        <f>VLOOKUP(H387,'Stage Order'!$A$2:$B$8,2,FALSE)</f>
        <v>3</v>
      </c>
      <c r="N387" t="str">
        <f t="shared" si="12"/>
        <v>2. 1-24 hours</v>
      </c>
      <c r="O387" t="str">
        <f t="shared" si="13"/>
        <v>2025-01</v>
      </c>
    </row>
    <row r="388" spans="1:15" x14ac:dyDescent="0.3">
      <c r="A388" t="s">
        <v>973</v>
      </c>
      <c r="B388" t="s">
        <v>974</v>
      </c>
      <c r="C388" t="s">
        <v>58</v>
      </c>
      <c r="D388" t="s">
        <v>54</v>
      </c>
      <c r="E388" t="s">
        <v>39</v>
      </c>
      <c r="F388" t="s">
        <v>106</v>
      </c>
      <c r="G388">
        <v>4.59</v>
      </c>
      <c r="H388" t="s">
        <v>41</v>
      </c>
      <c r="I388" t="s">
        <v>42</v>
      </c>
      <c r="M388">
        <f>VLOOKUP(H388,'Stage Order'!$A$2:$B$8,2,FALSE)</f>
        <v>2</v>
      </c>
      <c r="N388" t="str">
        <f t="shared" si="12"/>
        <v>2. 1-24 hours</v>
      </c>
      <c r="O388" t="str">
        <f t="shared" si="13"/>
        <v>2025-04</v>
      </c>
    </row>
    <row r="389" spans="1:15" x14ac:dyDescent="0.3">
      <c r="A389" t="s">
        <v>975</v>
      </c>
      <c r="B389" t="s">
        <v>976</v>
      </c>
      <c r="C389" t="s">
        <v>125</v>
      </c>
      <c r="D389" t="s">
        <v>29</v>
      </c>
      <c r="E389" t="s">
        <v>39</v>
      </c>
      <c r="F389" t="s">
        <v>40</v>
      </c>
      <c r="G389">
        <v>2.15</v>
      </c>
      <c r="H389" t="s">
        <v>146</v>
      </c>
      <c r="I389" t="s">
        <v>48</v>
      </c>
      <c r="J389" t="s">
        <v>139</v>
      </c>
      <c r="K389">
        <v>623.86</v>
      </c>
      <c r="L389" t="s">
        <v>977</v>
      </c>
      <c r="M389">
        <f>VLOOKUP(H389,'Stage Order'!$A$2:$B$8,2,FALSE)</f>
        <v>5</v>
      </c>
      <c r="N389" t="str">
        <f t="shared" si="12"/>
        <v>2. 1-24 hours</v>
      </c>
      <c r="O389" t="str">
        <f t="shared" si="13"/>
        <v>2025-05</v>
      </c>
    </row>
    <row r="390" spans="1:15" x14ac:dyDescent="0.3">
      <c r="A390" t="s">
        <v>978</v>
      </c>
      <c r="B390" t="s">
        <v>979</v>
      </c>
      <c r="C390" t="s">
        <v>37</v>
      </c>
      <c r="D390" t="s">
        <v>38</v>
      </c>
      <c r="E390" t="s">
        <v>45</v>
      </c>
      <c r="F390" t="s">
        <v>55</v>
      </c>
      <c r="G390">
        <v>2.46</v>
      </c>
      <c r="H390" t="s">
        <v>41</v>
      </c>
      <c r="I390" t="s">
        <v>42</v>
      </c>
      <c r="M390">
        <f>VLOOKUP(H390,'Stage Order'!$A$2:$B$8,2,FALSE)</f>
        <v>2</v>
      </c>
      <c r="N390" t="str">
        <f t="shared" si="12"/>
        <v>2. 1-24 hours</v>
      </c>
      <c r="O390" t="str">
        <f t="shared" si="13"/>
        <v>2025-04</v>
      </c>
    </row>
    <row r="391" spans="1:15" x14ac:dyDescent="0.3">
      <c r="A391" t="s">
        <v>980</v>
      </c>
      <c r="B391" t="s">
        <v>981</v>
      </c>
      <c r="C391" t="s">
        <v>76</v>
      </c>
      <c r="D391" t="s">
        <v>54</v>
      </c>
      <c r="E391" t="s">
        <v>45</v>
      </c>
      <c r="F391" t="s">
        <v>94</v>
      </c>
      <c r="G391">
        <v>0.7</v>
      </c>
      <c r="H391" t="s">
        <v>32</v>
      </c>
      <c r="I391" t="s">
        <v>33</v>
      </c>
      <c r="K391">
        <v>447.78</v>
      </c>
      <c r="L391" t="s">
        <v>982</v>
      </c>
      <c r="M391">
        <f>VLOOKUP(H391,'Stage Order'!$A$2:$B$8,2,FALSE)</f>
        <v>7</v>
      </c>
      <c r="N391" t="str">
        <f t="shared" si="12"/>
        <v>1. Under 1 hour</v>
      </c>
      <c r="O391" t="str">
        <f t="shared" si="13"/>
        <v>2026-01</v>
      </c>
    </row>
    <row r="392" spans="1:15" x14ac:dyDescent="0.3">
      <c r="A392" t="s">
        <v>983</v>
      </c>
      <c r="B392" t="s">
        <v>984</v>
      </c>
      <c r="C392" t="s">
        <v>37</v>
      </c>
      <c r="D392" t="s">
        <v>54</v>
      </c>
      <c r="E392" t="s">
        <v>90</v>
      </c>
      <c r="F392" t="s">
        <v>145</v>
      </c>
      <c r="G392">
        <v>2.0699999999999998</v>
      </c>
      <c r="H392" t="s">
        <v>146</v>
      </c>
      <c r="I392" t="s">
        <v>48</v>
      </c>
      <c r="J392" t="s">
        <v>742</v>
      </c>
      <c r="K392">
        <v>547.09</v>
      </c>
      <c r="L392" t="s">
        <v>985</v>
      </c>
      <c r="M392">
        <f>VLOOKUP(H392,'Stage Order'!$A$2:$B$8,2,FALSE)</f>
        <v>5</v>
      </c>
      <c r="N392" t="str">
        <f t="shared" si="12"/>
        <v>2. 1-24 hours</v>
      </c>
      <c r="O392" t="str">
        <f t="shared" si="13"/>
        <v>2025-12</v>
      </c>
    </row>
    <row r="393" spans="1:15" x14ac:dyDescent="0.3">
      <c r="A393" t="s">
        <v>986</v>
      </c>
      <c r="B393" t="s">
        <v>987</v>
      </c>
      <c r="C393" t="s">
        <v>53</v>
      </c>
      <c r="D393" t="s">
        <v>38</v>
      </c>
      <c r="E393" t="s">
        <v>90</v>
      </c>
      <c r="F393" t="s">
        <v>91</v>
      </c>
      <c r="G393">
        <v>2.65</v>
      </c>
      <c r="H393" t="s">
        <v>146</v>
      </c>
      <c r="I393" t="s">
        <v>48</v>
      </c>
      <c r="J393" t="s">
        <v>98</v>
      </c>
      <c r="K393">
        <v>320.52999999999997</v>
      </c>
      <c r="L393" t="s">
        <v>988</v>
      </c>
      <c r="M393">
        <f>VLOOKUP(H393,'Stage Order'!$A$2:$B$8,2,FALSE)</f>
        <v>5</v>
      </c>
      <c r="N393" t="str">
        <f t="shared" si="12"/>
        <v>2. 1-24 hours</v>
      </c>
      <c r="O393" t="str">
        <f t="shared" si="13"/>
        <v>2025-07</v>
      </c>
    </row>
    <row r="394" spans="1:15" x14ac:dyDescent="0.3">
      <c r="A394" t="s">
        <v>989</v>
      </c>
      <c r="B394" t="s">
        <v>990</v>
      </c>
      <c r="C394" t="s">
        <v>58</v>
      </c>
      <c r="D394" t="s">
        <v>97</v>
      </c>
      <c r="E394" t="s">
        <v>39</v>
      </c>
      <c r="F394" t="s">
        <v>66</v>
      </c>
      <c r="G394">
        <v>5.52</v>
      </c>
      <c r="H394" t="s">
        <v>61</v>
      </c>
      <c r="I394" t="s">
        <v>42</v>
      </c>
      <c r="M394">
        <f>VLOOKUP(H394,'Stage Order'!$A$2:$B$8,2,FALSE)</f>
        <v>1</v>
      </c>
      <c r="N394" t="str">
        <f t="shared" si="12"/>
        <v>2. 1-24 hours</v>
      </c>
      <c r="O394" t="str">
        <f t="shared" si="13"/>
        <v>2026-06</v>
      </c>
    </row>
    <row r="395" spans="1:15" x14ac:dyDescent="0.3">
      <c r="A395" t="s">
        <v>991</v>
      </c>
      <c r="B395" t="s">
        <v>992</v>
      </c>
      <c r="C395" t="s">
        <v>53</v>
      </c>
      <c r="D395" t="s">
        <v>29</v>
      </c>
      <c r="E395" t="s">
        <v>45</v>
      </c>
      <c r="F395" t="s">
        <v>46</v>
      </c>
      <c r="G395">
        <v>10.57</v>
      </c>
      <c r="H395" t="s">
        <v>146</v>
      </c>
      <c r="I395" t="s">
        <v>48</v>
      </c>
      <c r="J395" t="s">
        <v>139</v>
      </c>
      <c r="K395">
        <v>595.49</v>
      </c>
      <c r="L395" t="s">
        <v>993</v>
      </c>
      <c r="M395">
        <f>VLOOKUP(H395,'Stage Order'!$A$2:$B$8,2,FALSE)</f>
        <v>5</v>
      </c>
      <c r="N395" t="str">
        <f t="shared" si="12"/>
        <v>2. 1-24 hours</v>
      </c>
      <c r="O395" t="str">
        <f t="shared" si="13"/>
        <v>2026-04</v>
      </c>
    </row>
    <row r="396" spans="1:15" x14ac:dyDescent="0.3">
      <c r="A396" t="s">
        <v>994</v>
      </c>
      <c r="B396" t="s">
        <v>995</v>
      </c>
      <c r="C396" t="s">
        <v>81</v>
      </c>
      <c r="D396" t="s">
        <v>38</v>
      </c>
      <c r="E396" t="s">
        <v>45</v>
      </c>
      <c r="F396" t="s">
        <v>94</v>
      </c>
      <c r="G396">
        <v>5.19</v>
      </c>
      <c r="H396" t="s">
        <v>41</v>
      </c>
      <c r="I396" t="s">
        <v>42</v>
      </c>
      <c r="M396">
        <f>VLOOKUP(H396,'Stage Order'!$A$2:$B$8,2,FALSE)</f>
        <v>2</v>
      </c>
      <c r="N396" t="str">
        <f t="shared" si="12"/>
        <v>2. 1-24 hours</v>
      </c>
      <c r="O396" t="str">
        <f t="shared" si="13"/>
        <v>2025-10</v>
      </c>
    </row>
    <row r="397" spans="1:15" x14ac:dyDescent="0.3">
      <c r="A397" t="s">
        <v>996</v>
      </c>
      <c r="B397" t="s">
        <v>997</v>
      </c>
      <c r="C397" t="s">
        <v>125</v>
      </c>
      <c r="D397" t="s">
        <v>77</v>
      </c>
      <c r="E397" t="s">
        <v>30</v>
      </c>
      <c r="F397" t="s">
        <v>82</v>
      </c>
      <c r="G397">
        <v>6.26</v>
      </c>
      <c r="H397" t="s">
        <v>61</v>
      </c>
      <c r="I397" t="s">
        <v>42</v>
      </c>
      <c r="M397">
        <f>VLOOKUP(H397,'Stage Order'!$A$2:$B$8,2,FALSE)</f>
        <v>1</v>
      </c>
      <c r="N397" t="str">
        <f t="shared" si="12"/>
        <v>2. 1-24 hours</v>
      </c>
      <c r="O397" t="str">
        <f t="shared" si="13"/>
        <v>2025-08</v>
      </c>
    </row>
    <row r="398" spans="1:15" x14ac:dyDescent="0.3">
      <c r="A398" t="s">
        <v>998</v>
      </c>
      <c r="B398" t="s">
        <v>999</v>
      </c>
      <c r="C398" t="s">
        <v>53</v>
      </c>
      <c r="D398" t="s">
        <v>29</v>
      </c>
      <c r="E398" t="s">
        <v>30</v>
      </c>
      <c r="F398" t="s">
        <v>31</v>
      </c>
      <c r="G398">
        <v>5.23</v>
      </c>
      <c r="H398" t="s">
        <v>41</v>
      </c>
      <c r="I398" t="s">
        <v>42</v>
      </c>
      <c r="M398">
        <f>VLOOKUP(H398,'Stage Order'!$A$2:$B$8,2,FALSE)</f>
        <v>2</v>
      </c>
      <c r="N398" t="str">
        <f t="shared" si="12"/>
        <v>2. 1-24 hours</v>
      </c>
      <c r="O398" t="str">
        <f t="shared" si="13"/>
        <v>2025-12</v>
      </c>
    </row>
    <row r="399" spans="1:15" x14ac:dyDescent="0.3">
      <c r="A399" t="s">
        <v>1000</v>
      </c>
      <c r="B399" t="s">
        <v>1001</v>
      </c>
      <c r="C399" t="s">
        <v>37</v>
      </c>
      <c r="D399" t="s">
        <v>54</v>
      </c>
      <c r="E399" t="s">
        <v>59</v>
      </c>
      <c r="F399" t="s">
        <v>117</v>
      </c>
      <c r="G399">
        <v>5.5</v>
      </c>
      <c r="H399" t="s">
        <v>146</v>
      </c>
      <c r="I399" t="s">
        <v>48</v>
      </c>
      <c r="J399" t="s">
        <v>139</v>
      </c>
      <c r="K399">
        <v>500.08</v>
      </c>
      <c r="L399" t="s">
        <v>1002</v>
      </c>
      <c r="M399">
        <f>VLOOKUP(H399,'Stage Order'!$A$2:$B$8,2,FALSE)</f>
        <v>5</v>
      </c>
      <c r="N399" t="str">
        <f t="shared" si="12"/>
        <v>2. 1-24 hours</v>
      </c>
      <c r="O399" t="str">
        <f t="shared" si="13"/>
        <v>2025-10</v>
      </c>
    </row>
    <row r="400" spans="1:15" x14ac:dyDescent="0.3">
      <c r="A400" t="s">
        <v>1003</v>
      </c>
      <c r="B400" t="s">
        <v>1004</v>
      </c>
      <c r="C400" t="s">
        <v>76</v>
      </c>
      <c r="D400" t="s">
        <v>77</v>
      </c>
      <c r="E400" t="s">
        <v>45</v>
      </c>
      <c r="F400" t="s">
        <v>94</v>
      </c>
      <c r="G400">
        <v>3.36</v>
      </c>
      <c r="H400" t="s">
        <v>41</v>
      </c>
      <c r="I400" t="s">
        <v>42</v>
      </c>
      <c r="M400">
        <f>VLOOKUP(H400,'Stage Order'!$A$2:$B$8,2,FALSE)</f>
        <v>2</v>
      </c>
      <c r="N400" t="str">
        <f t="shared" si="12"/>
        <v>2. 1-24 hours</v>
      </c>
      <c r="O400" t="str">
        <f t="shared" si="13"/>
        <v>2026-01</v>
      </c>
    </row>
    <row r="401" spans="1:15" x14ac:dyDescent="0.3">
      <c r="A401" t="s">
        <v>1005</v>
      </c>
      <c r="B401" t="s">
        <v>1006</v>
      </c>
      <c r="C401" t="s">
        <v>28</v>
      </c>
      <c r="D401" t="s">
        <v>29</v>
      </c>
      <c r="E401" t="s">
        <v>59</v>
      </c>
      <c r="F401" t="s">
        <v>137</v>
      </c>
      <c r="G401">
        <v>0.71</v>
      </c>
      <c r="H401" t="s">
        <v>41</v>
      </c>
      <c r="I401" t="s">
        <v>42</v>
      </c>
      <c r="M401">
        <f>VLOOKUP(H401,'Stage Order'!$A$2:$B$8,2,FALSE)</f>
        <v>2</v>
      </c>
      <c r="N401" t="str">
        <f t="shared" si="12"/>
        <v>1. Under 1 hour</v>
      </c>
      <c r="O401" t="str">
        <f t="shared" si="13"/>
        <v>2025-03</v>
      </c>
    </row>
    <row r="402" spans="1:15" x14ac:dyDescent="0.3">
      <c r="A402" t="s">
        <v>1007</v>
      </c>
      <c r="B402" t="s">
        <v>1008</v>
      </c>
      <c r="C402" t="s">
        <v>76</v>
      </c>
      <c r="D402" t="s">
        <v>54</v>
      </c>
      <c r="E402" t="s">
        <v>90</v>
      </c>
      <c r="F402" t="s">
        <v>145</v>
      </c>
      <c r="G402">
        <v>2.5099999999999998</v>
      </c>
      <c r="H402" t="s">
        <v>41</v>
      </c>
      <c r="I402" t="s">
        <v>42</v>
      </c>
      <c r="M402">
        <f>VLOOKUP(H402,'Stage Order'!$A$2:$B$8,2,FALSE)</f>
        <v>2</v>
      </c>
      <c r="N402" t="str">
        <f t="shared" si="12"/>
        <v>2. 1-24 hours</v>
      </c>
      <c r="O402" t="str">
        <f t="shared" si="13"/>
        <v>2025-07</v>
      </c>
    </row>
    <row r="403" spans="1:15" x14ac:dyDescent="0.3">
      <c r="A403" t="s">
        <v>1009</v>
      </c>
      <c r="B403" t="s">
        <v>1010</v>
      </c>
      <c r="C403" t="s">
        <v>37</v>
      </c>
      <c r="D403" t="s">
        <v>54</v>
      </c>
      <c r="E403" t="s">
        <v>45</v>
      </c>
      <c r="F403" t="s">
        <v>46</v>
      </c>
      <c r="G403">
        <v>0.54</v>
      </c>
      <c r="H403" t="s">
        <v>32</v>
      </c>
      <c r="I403" t="s">
        <v>33</v>
      </c>
      <c r="K403">
        <v>495.39</v>
      </c>
      <c r="L403" t="s">
        <v>1011</v>
      </c>
      <c r="M403">
        <f>VLOOKUP(H403,'Stage Order'!$A$2:$B$8,2,FALSE)</f>
        <v>7</v>
      </c>
      <c r="N403" t="str">
        <f t="shared" si="12"/>
        <v>1. Under 1 hour</v>
      </c>
      <c r="O403" t="str">
        <f t="shared" si="13"/>
        <v>2025-11</v>
      </c>
    </row>
    <row r="404" spans="1:15" x14ac:dyDescent="0.3">
      <c r="A404" t="s">
        <v>1012</v>
      </c>
      <c r="B404" t="s">
        <v>1013</v>
      </c>
      <c r="C404" t="s">
        <v>81</v>
      </c>
      <c r="D404" t="s">
        <v>29</v>
      </c>
      <c r="E404" t="s">
        <v>59</v>
      </c>
      <c r="F404" t="s">
        <v>137</v>
      </c>
      <c r="G404">
        <v>5.66</v>
      </c>
      <c r="H404" t="s">
        <v>146</v>
      </c>
      <c r="I404" t="s">
        <v>48</v>
      </c>
      <c r="J404" t="s">
        <v>742</v>
      </c>
      <c r="K404">
        <v>568.94000000000005</v>
      </c>
      <c r="L404" t="s">
        <v>1014</v>
      </c>
      <c r="M404">
        <f>VLOOKUP(H404,'Stage Order'!$A$2:$B$8,2,FALSE)</f>
        <v>5</v>
      </c>
      <c r="N404" t="str">
        <f t="shared" si="12"/>
        <v>2. 1-24 hours</v>
      </c>
      <c r="O404" t="str">
        <f t="shared" si="13"/>
        <v>2025-12</v>
      </c>
    </row>
    <row r="405" spans="1:15" x14ac:dyDescent="0.3">
      <c r="A405" t="s">
        <v>1015</v>
      </c>
      <c r="B405" t="s">
        <v>1016</v>
      </c>
      <c r="C405" t="s">
        <v>81</v>
      </c>
      <c r="D405" t="s">
        <v>54</v>
      </c>
      <c r="E405" t="s">
        <v>45</v>
      </c>
      <c r="F405" t="s">
        <v>46</v>
      </c>
      <c r="G405">
        <v>1.78</v>
      </c>
      <c r="H405" t="s">
        <v>61</v>
      </c>
      <c r="I405" t="s">
        <v>42</v>
      </c>
      <c r="M405">
        <f>VLOOKUP(H405,'Stage Order'!$A$2:$B$8,2,FALSE)</f>
        <v>1</v>
      </c>
      <c r="N405" t="str">
        <f t="shared" si="12"/>
        <v>2. 1-24 hours</v>
      </c>
      <c r="O405" t="str">
        <f t="shared" si="13"/>
        <v>2025-09</v>
      </c>
    </row>
    <row r="406" spans="1:15" x14ac:dyDescent="0.3">
      <c r="A406" t="s">
        <v>1017</v>
      </c>
      <c r="B406" t="s">
        <v>1018</v>
      </c>
      <c r="C406" t="s">
        <v>28</v>
      </c>
      <c r="D406" t="s">
        <v>97</v>
      </c>
      <c r="E406" t="s">
        <v>90</v>
      </c>
      <c r="F406" t="s">
        <v>91</v>
      </c>
      <c r="G406">
        <v>0.36</v>
      </c>
      <c r="H406" t="s">
        <v>41</v>
      </c>
      <c r="I406" t="s">
        <v>42</v>
      </c>
      <c r="M406">
        <f>VLOOKUP(H406,'Stage Order'!$A$2:$B$8,2,FALSE)</f>
        <v>2</v>
      </c>
      <c r="N406" t="str">
        <f t="shared" si="12"/>
        <v>1. Under 1 hour</v>
      </c>
      <c r="O406" t="str">
        <f t="shared" si="13"/>
        <v>2025-05</v>
      </c>
    </row>
    <row r="407" spans="1:15" x14ac:dyDescent="0.3">
      <c r="A407" t="s">
        <v>1019</v>
      </c>
      <c r="B407" t="s">
        <v>1020</v>
      </c>
      <c r="C407" t="s">
        <v>125</v>
      </c>
      <c r="D407" t="s">
        <v>38</v>
      </c>
      <c r="E407" t="s">
        <v>59</v>
      </c>
      <c r="F407" t="s">
        <v>137</v>
      </c>
      <c r="G407">
        <v>2.3199999999999998</v>
      </c>
      <c r="H407" t="s">
        <v>61</v>
      </c>
      <c r="I407" t="s">
        <v>42</v>
      </c>
      <c r="M407">
        <f>VLOOKUP(H407,'Stage Order'!$A$2:$B$8,2,FALSE)</f>
        <v>1</v>
      </c>
      <c r="N407" t="str">
        <f t="shared" si="12"/>
        <v>2. 1-24 hours</v>
      </c>
      <c r="O407" t="str">
        <f t="shared" si="13"/>
        <v>2025-07</v>
      </c>
    </row>
    <row r="408" spans="1:15" x14ac:dyDescent="0.3">
      <c r="A408" t="s">
        <v>1021</v>
      </c>
      <c r="B408" t="s">
        <v>1022</v>
      </c>
      <c r="C408" t="s">
        <v>125</v>
      </c>
      <c r="D408" t="s">
        <v>77</v>
      </c>
      <c r="E408" t="s">
        <v>39</v>
      </c>
      <c r="F408" t="s">
        <v>106</v>
      </c>
      <c r="G408">
        <v>5.53</v>
      </c>
      <c r="H408" t="s">
        <v>41</v>
      </c>
      <c r="I408" t="s">
        <v>42</v>
      </c>
      <c r="M408">
        <f>VLOOKUP(H408,'Stage Order'!$A$2:$B$8,2,FALSE)</f>
        <v>2</v>
      </c>
      <c r="N408" t="str">
        <f t="shared" si="12"/>
        <v>2. 1-24 hours</v>
      </c>
      <c r="O408" t="str">
        <f t="shared" si="13"/>
        <v>2026-05</v>
      </c>
    </row>
    <row r="409" spans="1:15" x14ac:dyDescent="0.3">
      <c r="A409" t="s">
        <v>1023</v>
      </c>
      <c r="B409" t="s">
        <v>1024</v>
      </c>
      <c r="C409" t="s">
        <v>37</v>
      </c>
      <c r="D409" t="s">
        <v>29</v>
      </c>
      <c r="E409" t="s">
        <v>30</v>
      </c>
      <c r="F409" t="s">
        <v>78</v>
      </c>
      <c r="G409">
        <v>3.07</v>
      </c>
      <c r="H409" t="s">
        <v>41</v>
      </c>
      <c r="I409" t="s">
        <v>42</v>
      </c>
      <c r="M409">
        <f>VLOOKUP(H409,'Stage Order'!$A$2:$B$8,2,FALSE)</f>
        <v>2</v>
      </c>
      <c r="N409" t="str">
        <f t="shared" si="12"/>
        <v>2. 1-24 hours</v>
      </c>
      <c r="O409" t="str">
        <f t="shared" si="13"/>
        <v>2025-11</v>
      </c>
    </row>
    <row r="410" spans="1:15" x14ac:dyDescent="0.3">
      <c r="A410" t="s">
        <v>1025</v>
      </c>
      <c r="B410" t="s">
        <v>1026</v>
      </c>
      <c r="C410" t="s">
        <v>58</v>
      </c>
      <c r="D410" t="s">
        <v>77</v>
      </c>
      <c r="E410" t="s">
        <v>59</v>
      </c>
      <c r="F410" t="s">
        <v>60</v>
      </c>
      <c r="G410">
        <v>1.42</v>
      </c>
      <c r="H410" t="s">
        <v>47</v>
      </c>
      <c r="I410" t="s">
        <v>48</v>
      </c>
      <c r="J410" t="s">
        <v>49</v>
      </c>
      <c r="K410">
        <v>908.17</v>
      </c>
      <c r="L410" t="s">
        <v>1027</v>
      </c>
      <c r="M410">
        <f>VLOOKUP(H410,'Stage Order'!$A$2:$B$8,2,FALSE)</f>
        <v>4</v>
      </c>
      <c r="N410" t="str">
        <f t="shared" si="12"/>
        <v>2. 1-24 hours</v>
      </c>
      <c r="O410" t="str">
        <f t="shared" si="13"/>
        <v>2025-08</v>
      </c>
    </row>
    <row r="411" spans="1:15" x14ac:dyDescent="0.3">
      <c r="A411" t="s">
        <v>1028</v>
      </c>
      <c r="B411" t="s">
        <v>1029</v>
      </c>
      <c r="C411" t="s">
        <v>37</v>
      </c>
      <c r="D411" t="s">
        <v>29</v>
      </c>
      <c r="E411" t="s">
        <v>30</v>
      </c>
      <c r="F411" t="s">
        <v>82</v>
      </c>
      <c r="G411">
        <v>1.87</v>
      </c>
      <c r="H411" t="s">
        <v>61</v>
      </c>
      <c r="I411" t="s">
        <v>42</v>
      </c>
      <c r="M411">
        <f>VLOOKUP(H411,'Stage Order'!$A$2:$B$8,2,FALSE)</f>
        <v>1</v>
      </c>
      <c r="N411" t="str">
        <f t="shared" si="12"/>
        <v>2. 1-24 hours</v>
      </c>
      <c r="O411" t="str">
        <f t="shared" si="13"/>
        <v>2025-07</v>
      </c>
    </row>
    <row r="412" spans="1:15" x14ac:dyDescent="0.3">
      <c r="A412" t="s">
        <v>1030</v>
      </c>
      <c r="B412" t="s">
        <v>1031</v>
      </c>
      <c r="C412" t="s">
        <v>76</v>
      </c>
      <c r="D412" t="s">
        <v>97</v>
      </c>
      <c r="E412" t="s">
        <v>39</v>
      </c>
      <c r="F412" t="s">
        <v>40</v>
      </c>
      <c r="G412">
        <v>1.24</v>
      </c>
      <c r="H412" t="s">
        <v>41</v>
      </c>
      <c r="I412" t="s">
        <v>42</v>
      </c>
      <c r="M412">
        <f>VLOOKUP(H412,'Stage Order'!$A$2:$B$8,2,FALSE)</f>
        <v>2</v>
      </c>
      <c r="N412" t="str">
        <f t="shared" si="12"/>
        <v>2. 1-24 hours</v>
      </c>
      <c r="O412" t="str">
        <f t="shared" si="13"/>
        <v>2025-02</v>
      </c>
    </row>
    <row r="413" spans="1:15" x14ac:dyDescent="0.3">
      <c r="A413" t="s">
        <v>1032</v>
      </c>
      <c r="B413" t="s">
        <v>1033</v>
      </c>
      <c r="C413" t="s">
        <v>125</v>
      </c>
      <c r="D413" t="s">
        <v>29</v>
      </c>
      <c r="E413" t="s">
        <v>59</v>
      </c>
      <c r="F413" t="s">
        <v>137</v>
      </c>
      <c r="G413">
        <v>5.19</v>
      </c>
      <c r="H413" t="s">
        <v>61</v>
      </c>
      <c r="I413" t="s">
        <v>42</v>
      </c>
      <c r="M413">
        <f>VLOOKUP(H413,'Stage Order'!$A$2:$B$8,2,FALSE)</f>
        <v>1</v>
      </c>
      <c r="N413" t="str">
        <f t="shared" si="12"/>
        <v>2. 1-24 hours</v>
      </c>
      <c r="O413" t="str">
        <f t="shared" si="13"/>
        <v>2026-05</v>
      </c>
    </row>
    <row r="414" spans="1:15" x14ac:dyDescent="0.3">
      <c r="A414" t="s">
        <v>1034</v>
      </c>
      <c r="B414" t="s">
        <v>1035</v>
      </c>
      <c r="C414" t="s">
        <v>37</v>
      </c>
      <c r="D414" t="s">
        <v>29</v>
      </c>
      <c r="E414" t="s">
        <v>45</v>
      </c>
      <c r="F414" t="s">
        <v>94</v>
      </c>
      <c r="G414">
        <v>1.73</v>
      </c>
      <c r="H414" t="s">
        <v>61</v>
      </c>
      <c r="I414" t="s">
        <v>42</v>
      </c>
      <c r="M414">
        <f>VLOOKUP(H414,'Stage Order'!$A$2:$B$8,2,FALSE)</f>
        <v>1</v>
      </c>
      <c r="N414" t="str">
        <f t="shared" si="12"/>
        <v>2. 1-24 hours</v>
      </c>
      <c r="O414" t="str">
        <f t="shared" si="13"/>
        <v>2025-11</v>
      </c>
    </row>
    <row r="415" spans="1:15" x14ac:dyDescent="0.3">
      <c r="A415" t="s">
        <v>1036</v>
      </c>
      <c r="B415" t="s">
        <v>1037</v>
      </c>
      <c r="C415" t="s">
        <v>58</v>
      </c>
      <c r="D415" t="s">
        <v>29</v>
      </c>
      <c r="E415" t="s">
        <v>30</v>
      </c>
      <c r="F415" t="s">
        <v>82</v>
      </c>
      <c r="G415">
        <v>6.3</v>
      </c>
      <c r="H415" t="s">
        <v>146</v>
      </c>
      <c r="I415" t="s">
        <v>48</v>
      </c>
      <c r="J415" t="s">
        <v>113</v>
      </c>
      <c r="K415">
        <v>560.1</v>
      </c>
      <c r="L415" t="s">
        <v>1038</v>
      </c>
      <c r="M415">
        <f>VLOOKUP(H415,'Stage Order'!$A$2:$B$8,2,FALSE)</f>
        <v>5</v>
      </c>
      <c r="N415" t="str">
        <f t="shared" si="12"/>
        <v>2. 1-24 hours</v>
      </c>
      <c r="O415" t="str">
        <f t="shared" si="13"/>
        <v>2026-03</v>
      </c>
    </row>
    <row r="416" spans="1:15" x14ac:dyDescent="0.3">
      <c r="A416" t="s">
        <v>1039</v>
      </c>
      <c r="B416" t="s">
        <v>1040</v>
      </c>
      <c r="C416" t="s">
        <v>58</v>
      </c>
      <c r="D416" t="s">
        <v>54</v>
      </c>
      <c r="E416" t="s">
        <v>30</v>
      </c>
      <c r="F416" t="s">
        <v>82</v>
      </c>
      <c r="G416">
        <v>0.5</v>
      </c>
      <c r="H416" t="s">
        <v>61</v>
      </c>
      <c r="I416" t="s">
        <v>42</v>
      </c>
      <c r="M416">
        <f>VLOOKUP(H416,'Stage Order'!$A$2:$B$8,2,FALSE)</f>
        <v>1</v>
      </c>
      <c r="N416" t="str">
        <f t="shared" si="12"/>
        <v>1. Under 1 hour</v>
      </c>
      <c r="O416" t="str">
        <f t="shared" si="13"/>
        <v>2025-09</v>
      </c>
    </row>
    <row r="417" spans="1:15" x14ac:dyDescent="0.3">
      <c r="A417" t="s">
        <v>1041</v>
      </c>
      <c r="B417" t="s">
        <v>1042</v>
      </c>
      <c r="C417" t="s">
        <v>125</v>
      </c>
      <c r="D417" t="s">
        <v>97</v>
      </c>
      <c r="E417" t="s">
        <v>90</v>
      </c>
      <c r="F417" t="s">
        <v>145</v>
      </c>
      <c r="G417">
        <v>4.82</v>
      </c>
      <c r="H417" t="s">
        <v>41</v>
      </c>
      <c r="I417" t="s">
        <v>42</v>
      </c>
      <c r="M417">
        <f>VLOOKUP(H417,'Stage Order'!$A$2:$B$8,2,FALSE)</f>
        <v>2</v>
      </c>
      <c r="N417" t="str">
        <f t="shared" si="12"/>
        <v>2. 1-24 hours</v>
      </c>
      <c r="O417" t="str">
        <f t="shared" si="13"/>
        <v>2026-01</v>
      </c>
    </row>
    <row r="418" spans="1:15" x14ac:dyDescent="0.3">
      <c r="A418" t="s">
        <v>1043</v>
      </c>
      <c r="B418" t="s">
        <v>1044</v>
      </c>
      <c r="C418" t="s">
        <v>81</v>
      </c>
      <c r="D418" t="s">
        <v>38</v>
      </c>
      <c r="E418" t="s">
        <v>39</v>
      </c>
      <c r="F418" t="s">
        <v>66</v>
      </c>
      <c r="G418">
        <v>10.57</v>
      </c>
      <c r="H418" t="s">
        <v>61</v>
      </c>
      <c r="I418" t="s">
        <v>42</v>
      </c>
      <c r="M418">
        <f>VLOOKUP(H418,'Stage Order'!$A$2:$B$8,2,FALSE)</f>
        <v>1</v>
      </c>
      <c r="N418" t="str">
        <f t="shared" si="12"/>
        <v>2. 1-24 hours</v>
      </c>
      <c r="O418" t="str">
        <f t="shared" si="13"/>
        <v>2025-02</v>
      </c>
    </row>
    <row r="419" spans="1:15" x14ac:dyDescent="0.3">
      <c r="A419" t="s">
        <v>1045</v>
      </c>
      <c r="B419" t="s">
        <v>1046</v>
      </c>
      <c r="C419" t="s">
        <v>53</v>
      </c>
      <c r="D419" t="s">
        <v>54</v>
      </c>
      <c r="E419" t="s">
        <v>45</v>
      </c>
      <c r="F419" t="s">
        <v>94</v>
      </c>
      <c r="G419">
        <v>1.42</v>
      </c>
      <c r="H419" t="s">
        <v>32</v>
      </c>
      <c r="I419" t="s">
        <v>33</v>
      </c>
      <c r="K419">
        <v>471.79</v>
      </c>
      <c r="L419" t="s">
        <v>1047</v>
      </c>
      <c r="M419">
        <f>VLOOKUP(H419,'Stage Order'!$A$2:$B$8,2,FALSE)</f>
        <v>7</v>
      </c>
      <c r="N419" t="str">
        <f t="shared" si="12"/>
        <v>2. 1-24 hours</v>
      </c>
      <c r="O419" t="str">
        <f t="shared" si="13"/>
        <v>2025-04</v>
      </c>
    </row>
    <row r="420" spans="1:15" x14ac:dyDescent="0.3">
      <c r="A420" t="s">
        <v>1048</v>
      </c>
      <c r="B420" t="s">
        <v>1049</v>
      </c>
      <c r="C420" t="s">
        <v>58</v>
      </c>
      <c r="D420" t="s">
        <v>77</v>
      </c>
      <c r="E420" t="s">
        <v>45</v>
      </c>
      <c r="F420" t="s">
        <v>46</v>
      </c>
      <c r="G420">
        <v>1.71</v>
      </c>
      <c r="H420" t="s">
        <v>61</v>
      </c>
      <c r="I420" t="s">
        <v>42</v>
      </c>
      <c r="M420">
        <f>VLOOKUP(H420,'Stage Order'!$A$2:$B$8,2,FALSE)</f>
        <v>1</v>
      </c>
      <c r="N420" t="str">
        <f t="shared" si="12"/>
        <v>2. 1-24 hours</v>
      </c>
      <c r="O420" t="str">
        <f t="shared" si="13"/>
        <v>2025-07</v>
      </c>
    </row>
    <row r="421" spans="1:15" x14ac:dyDescent="0.3">
      <c r="A421" t="s">
        <v>1050</v>
      </c>
      <c r="B421" t="s">
        <v>1051</v>
      </c>
      <c r="C421" t="s">
        <v>37</v>
      </c>
      <c r="D421" t="s">
        <v>29</v>
      </c>
      <c r="E421" t="s">
        <v>39</v>
      </c>
      <c r="F421" t="s">
        <v>106</v>
      </c>
      <c r="G421">
        <v>1.08</v>
      </c>
      <c r="H421" t="s">
        <v>41</v>
      </c>
      <c r="I421" t="s">
        <v>42</v>
      </c>
      <c r="M421">
        <f>VLOOKUP(H421,'Stage Order'!$A$2:$B$8,2,FALSE)</f>
        <v>2</v>
      </c>
      <c r="N421" t="str">
        <f t="shared" si="12"/>
        <v>2. 1-24 hours</v>
      </c>
      <c r="O421" t="str">
        <f t="shared" si="13"/>
        <v>2026-05</v>
      </c>
    </row>
    <row r="422" spans="1:15" x14ac:dyDescent="0.3">
      <c r="A422" t="s">
        <v>1052</v>
      </c>
      <c r="B422" t="s">
        <v>1053</v>
      </c>
      <c r="C422" t="s">
        <v>37</v>
      </c>
      <c r="D422" t="s">
        <v>97</v>
      </c>
      <c r="E422" t="s">
        <v>45</v>
      </c>
      <c r="F422" t="s">
        <v>55</v>
      </c>
      <c r="G422">
        <v>12.25</v>
      </c>
      <c r="H422" t="s">
        <v>47</v>
      </c>
      <c r="I422" t="s">
        <v>48</v>
      </c>
      <c r="J422" t="s">
        <v>139</v>
      </c>
      <c r="K422">
        <v>1255.4100000000001</v>
      </c>
      <c r="L422" t="s">
        <v>1054</v>
      </c>
      <c r="M422">
        <f>VLOOKUP(H422,'Stage Order'!$A$2:$B$8,2,FALSE)</f>
        <v>4</v>
      </c>
      <c r="N422" t="str">
        <f t="shared" si="12"/>
        <v>2. 1-24 hours</v>
      </c>
      <c r="O422" t="str">
        <f t="shared" si="13"/>
        <v>2025-11</v>
      </c>
    </row>
    <row r="423" spans="1:15" x14ac:dyDescent="0.3">
      <c r="A423" t="s">
        <v>1055</v>
      </c>
      <c r="B423" t="s">
        <v>1056</v>
      </c>
      <c r="C423" t="s">
        <v>58</v>
      </c>
      <c r="D423" t="s">
        <v>38</v>
      </c>
      <c r="E423" t="s">
        <v>59</v>
      </c>
      <c r="F423" t="s">
        <v>137</v>
      </c>
      <c r="G423">
        <v>2.5099999999999998</v>
      </c>
      <c r="H423" t="s">
        <v>61</v>
      </c>
      <c r="I423" t="s">
        <v>42</v>
      </c>
      <c r="M423">
        <f>VLOOKUP(H423,'Stage Order'!$A$2:$B$8,2,FALSE)</f>
        <v>1</v>
      </c>
      <c r="N423" t="str">
        <f t="shared" si="12"/>
        <v>2. 1-24 hours</v>
      </c>
      <c r="O423" t="str">
        <f t="shared" si="13"/>
        <v>2026-04</v>
      </c>
    </row>
    <row r="424" spans="1:15" x14ac:dyDescent="0.3">
      <c r="A424" t="s">
        <v>1057</v>
      </c>
      <c r="B424" t="s">
        <v>1058</v>
      </c>
      <c r="C424" t="s">
        <v>81</v>
      </c>
      <c r="D424" t="s">
        <v>77</v>
      </c>
      <c r="E424" t="s">
        <v>30</v>
      </c>
      <c r="F424" t="s">
        <v>82</v>
      </c>
      <c r="G424">
        <v>1.36</v>
      </c>
      <c r="H424" t="s">
        <v>128</v>
      </c>
      <c r="I424" t="s">
        <v>42</v>
      </c>
      <c r="M424">
        <f>VLOOKUP(H424,'Stage Order'!$A$2:$B$8,2,FALSE)</f>
        <v>3</v>
      </c>
      <c r="N424" t="str">
        <f t="shared" si="12"/>
        <v>2. 1-24 hours</v>
      </c>
      <c r="O424" t="str">
        <f t="shared" si="13"/>
        <v>2025-04</v>
      </c>
    </row>
    <row r="425" spans="1:15" x14ac:dyDescent="0.3">
      <c r="A425" t="s">
        <v>1059</v>
      </c>
      <c r="B425" t="s">
        <v>1060</v>
      </c>
      <c r="C425" t="s">
        <v>58</v>
      </c>
      <c r="D425" t="s">
        <v>54</v>
      </c>
      <c r="E425" t="s">
        <v>59</v>
      </c>
      <c r="F425" t="s">
        <v>117</v>
      </c>
      <c r="G425">
        <v>4.6900000000000004</v>
      </c>
      <c r="H425" t="s">
        <v>32</v>
      </c>
      <c r="I425" t="s">
        <v>33</v>
      </c>
      <c r="K425">
        <v>449.01</v>
      </c>
      <c r="L425" t="s">
        <v>1061</v>
      </c>
      <c r="M425">
        <f>VLOOKUP(H425,'Stage Order'!$A$2:$B$8,2,FALSE)</f>
        <v>7</v>
      </c>
      <c r="N425" t="str">
        <f t="shared" si="12"/>
        <v>2. 1-24 hours</v>
      </c>
      <c r="O425" t="str">
        <f t="shared" si="13"/>
        <v>2025-12</v>
      </c>
    </row>
    <row r="426" spans="1:15" x14ac:dyDescent="0.3">
      <c r="A426" t="s">
        <v>1062</v>
      </c>
      <c r="B426" t="s">
        <v>1063</v>
      </c>
      <c r="C426" t="s">
        <v>37</v>
      </c>
      <c r="D426" t="s">
        <v>54</v>
      </c>
      <c r="E426" t="s">
        <v>45</v>
      </c>
      <c r="F426" t="s">
        <v>94</v>
      </c>
      <c r="G426">
        <v>3.8</v>
      </c>
      <c r="H426" t="s">
        <v>41</v>
      </c>
      <c r="I426" t="s">
        <v>42</v>
      </c>
      <c r="M426">
        <f>VLOOKUP(H426,'Stage Order'!$A$2:$B$8,2,FALSE)</f>
        <v>2</v>
      </c>
      <c r="N426" t="str">
        <f t="shared" si="12"/>
        <v>2. 1-24 hours</v>
      </c>
      <c r="O426" t="str">
        <f t="shared" si="13"/>
        <v>2025-12</v>
      </c>
    </row>
    <row r="427" spans="1:15" x14ac:dyDescent="0.3">
      <c r="A427" t="s">
        <v>1064</v>
      </c>
      <c r="B427" t="s">
        <v>1065</v>
      </c>
      <c r="C427" t="s">
        <v>28</v>
      </c>
      <c r="D427" t="s">
        <v>29</v>
      </c>
      <c r="E427" t="s">
        <v>90</v>
      </c>
      <c r="F427" t="s">
        <v>145</v>
      </c>
      <c r="G427">
        <v>3.14</v>
      </c>
      <c r="H427" t="s">
        <v>41</v>
      </c>
      <c r="I427" t="s">
        <v>42</v>
      </c>
      <c r="M427">
        <f>VLOOKUP(H427,'Stage Order'!$A$2:$B$8,2,FALSE)</f>
        <v>2</v>
      </c>
      <c r="N427" t="str">
        <f t="shared" si="12"/>
        <v>2. 1-24 hours</v>
      </c>
      <c r="O427" t="str">
        <f t="shared" si="13"/>
        <v>2026-01</v>
      </c>
    </row>
    <row r="428" spans="1:15" x14ac:dyDescent="0.3">
      <c r="A428" t="s">
        <v>1066</v>
      </c>
      <c r="B428" t="s">
        <v>1067</v>
      </c>
      <c r="C428" t="s">
        <v>81</v>
      </c>
      <c r="D428" t="s">
        <v>54</v>
      </c>
      <c r="E428" t="s">
        <v>45</v>
      </c>
      <c r="F428" t="s">
        <v>94</v>
      </c>
      <c r="G428">
        <v>1.37</v>
      </c>
      <c r="H428" t="s">
        <v>61</v>
      </c>
      <c r="I428" t="s">
        <v>42</v>
      </c>
      <c r="M428">
        <f>VLOOKUP(H428,'Stage Order'!$A$2:$B$8,2,FALSE)</f>
        <v>1</v>
      </c>
      <c r="N428" t="str">
        <f t="shared" si="12"/>
        <v>2. 1-24 hours</v>
      </c>
      <c r="O428" t="str">
        <f t="shared" si="13"/>
        <v>2025-06</v>
      </c>
    </row>
    <row r="429" spans="1:15" x14ac:dyDescent="0.3">
      <c r="A429" t="s">
        <v>1068</v>
      </c>
      <c r="B429" t="s">
        <v>1069</v>
      </c>
      <c r="C429" t="s">
        <v>58</v>
      </c>
      <c r="D429" t="s">
        <v>54</v>
      </c>
      <c r="E429" t="s">
        <v>45</v>
      </c>
      <c r="F429" t="s">
        <v>46</v>
      </c>
      <c r="G429">
        <v>3.52</v>
      </c>
      <c r="H429" t="s">
        <v>47</v>
      </c>
      <c r="I429" t="s">
        <v>48</v>
      </c>
      <c r="J429" t="s">
        <v>742</v>
      </c>
      <c r="K429">
        <v>446.18</v>
      </c>
      <c r="L429" t="s">
        <v>1070</v>
      </c>
      <c r="M429">
        <f>VLOOKUP(H429,'Stage Order'!$A$2:$B$8,2,FALSE)</f>
        <v>4</v>
      </c>
      <c r="N429" t="str">
        <f t="shared" si="12"/>
        <v>2. 1-24 hours</v>
      </c>
      <c r="O429" t="str">
        <f t="shared" si="13"/>
        <v>2025-01</v>
      </c>
    </row>
    <row r="430" spans="1:15" x14ac:dyDescent="0.3">
      <c r="A430" t="s">
        <v>1071</v>
      </c>
      <c r="B430" t="s">
        <v>1072</v>
      </c>
      <c r="C430" t="s">
        <v>53</v>
      </c>
      <c r="D430" t="s">
        <v>54</v>
      </c>
      <c r="E430" t="s">
        <v>39</v>
      </c>
      <c r="F430" t="s">
        <v>66</v>
      </c>
      <c r="G430">
        <v>4.3899999999999997</v>
      </c>
      <c r="H430" t="s">
        <v>32</v>
      </c>
      <c r="I430" t="s">
        <v>33</v>
      </c>
      <c r="K430">
        <v>567.20000000000005</v>
      </c>
      <c r="L430" t="s">
        <v>1073</v>
      </c>
      <c r="M430">
        <f>VLOOKUP(H430,'Stage Order'!$A$2:$B$8,2,FALSE)</f>
        <v>7</v>
      </c>
      <c r="N430" t="str">
        <f t="shared" si="12"/>
        <v>2. 1-24 hours</v>
      </c>
      <c r="O430" t="str">
        <f t="shared" si="13"/>
        <v>2025-11</v>
      </c>
    </row>
    <row r="431" spans="1:15" x14ac:dyDescent="0.3">
      <c r="A431" t="s">
        <v>1074</v>
      </c>
      <c r="B431" t="s">
        <v>1075</v>
      </c>
      <c r="C431" t="s">
        <v>53</v>
      </c>
      <c r="D431" t="s">
        <v>29</v>
      </c>
      <c r="E431" t="s">
        <v>39</v>
      </c>
      <c r="F431" t="s">
        <v>40</v>
      </c>
      <c r="G431">
        <v>12.89</v>
      </c>
      <c r="H431" t="s">
        <v>41</v>
      </c>
      <c r="I431" t="s">
        <v>42</v>
      </c>
      <c r="M431">
        <f>VLOOKUP(H431,'Stage Order'!$A$2:$B$8,2,FALSE)</f>
        <v>2</v>
      </c>
      <c r="N431" t="str">
        <f t="shared" si="12"/>
        <v>2. 1-24 hours</v>
      </c>
      <c r="O431" t="str">
        <f t="shared" si="13"/>
        <v>2026-04</v>
      </c>
    </row>
    <row r="432" spans="1:15" x14ac:dyDescent="0.3">
      <c r="A432" t="s">
        <v>1076</v>
      </c>
      <c r="B432" t="s">
        <v>1077</v>
      </c>
      <c r="C432" t="s">
        <v>53</v>
      </c>
      <c r="D432" t="s">
        <v>54</v>
      </c>
      <c r="E432" t="s">
        <v>45</v>
      </c>
      <c r="F432" t="s">
        <v>46</v>
      </c>
      <c r="G432">
        <v>1.95</v>
      </c>
      <c r="H432" t="s">
        <v>32</v>
      </c>
      <c r="I432" t="s">
        <v>33</v>
      </c>
      <c r="K432">
        <v>433.18</v>
      </c>
      <c r="L432" t="s">
        <v>1078</v>
      </c>
      <c r="M432">
        <f>VLOOKUP(H432,'Stage Order'!$A$2:$B$8,2,FALSE)</f>
        <v>7</v>
      </c>
      <c r="N432" t="str">
        <f t="shared" si="12"/>
        <v>2. 1-24 hours</v>
      </c>
      <c r="O432" t="str">
        <f t="shared" si="13"/>
        <v>2025-01</v>
      </c>
    </row>
    <row r="433" spans="1:15" x14ac:dyDescent="0.3">
      <c r="A433" t="s">
        <v>1079</v>
      </c>
      <c r="B433" t="s">
        <v>1080</v>
      </c>
      <c r="C433" t="s">
        <v>37</v>
      </c>
      <c r="D433" t="s">
        <v>29</v>
      </c>
      <c r="E433" t="s">
        <v>39</v>
      </c>
      <c r="F433" t="s">
        <v>106</v>
      </c>
      <c r="G433">
        <v>0.99</v>
      </c>
      <c r="H433" t="s">
        <v>41</v>
      </c>
      <c r="I433" t="s">
        <v>42</v>
      </c>
      <c r="M433">
        <f>VLOOKUP(H433,'Stage Order'!$A$2:$B$8,2,FALSE)</f>
        <v>2</v>
      </c>
      <c r="N433" t="str">
        <f t="shared" si="12"/>
        <v>1. Under 1 hour</v>
      </c>
      <c r="O433" t="str">
        <f t="shared" si="13"/>
        <v>2025-11</v>
      </c>
    </row>
    <row r="434" spans="1:15" x14ac:dyDescent="0.3">
      <c r="A434" t="s">
        <v>1081</v>
      </c>
      <c r="B434" t="s">
        <v>1082</v>
      </c>
      <c r="C434" t="s">
        <v>37</v>
      </c>
      <c r="D434" t="s">
        <v>54</v>
      </c>
      <c r="E434" t="s">
        <v>90</v>
      </c>
      <c r="F434" t="s">
        <v>91</v>
      </c>
      <c r="G434">
        <v>4.33</v>
      </c>
      <c r="H434" t="s">
        <v>61</v>
      </c>
      <c r="I434" t="s">
        <v>42</v>
      </c>
      <c r="M434">
        <f>VLOOKUP(H434,'Stage Order'!$A$2:$B$8,2,FALSE)</f>
        <v>1</v>
      </c>
      <c r="N434" t="str">
        <f t="shared" si="12"/>
        <v>2. 1-24 hours</v>
      </c>
      <c r="O434" t="str">
        <f t="shared" si="13"/>
        <v>2025-02</v>
      </c>
    </row>
    <row r="435" spans="1:15" x14ac:dyDescent="0.3">
      <c r="A435" t="s">
        <v>1083</v>
      </c>
      <c r="B435" t="s">
        <v>1084</v>
      </c>
      <c r="C435" t="s">
        <v>37</v>
      </c>
      <c r="D435" t="s">
        <v>54</v>
      </c>
      <c r="E435" t="s">
        <v>30</v>
      </c>
      <c r="F435" t="s">
        <v>82</v>
      </c>
      <c r="G435">
        <v>1.36</v>
      </c>
      <c r="H435" t="s">
        <v>41</v>
      </c>
      <c r="I435" t="s">
        <v>42</v>
      </c>
      <c r="M435">
        <f>VLOOKUP(H435,'Stage Order'!$A$2:$B$8,2,FALSE)</f>
        <v>2</v>
      </c>
      <c r="N435" t="str">
        <f t="shared" si="12"/>
        <v>2. 1-24 hours</v>
      </c>
      <c r="O435" t="str">
        <f t="shared" si="13"/>
        <v>2025-03</v>
      </c>
    </row>
    <row r="436" spans="1:15" x14ac:dyDescent="0.3">
      <c r="A436" t="s">
        <v>1085</v>
      </c>
      <c r="B436" t="s">
        <v>1086</v>
      </c>
      <c r="C436" t="s">
        <v>28</v>
      </c>
      <c r="D436" t="s">
        <v>97</v>
      </c>
      <c r="E436" t="s">
        <v>30</v>
      </c>
      <c r="F436" t="s">
        <v>78</v>
      </c>
      <c r="G436">
        <v>1.28</v>
      </c>
      <c r="H436" t="s">
        <v>138</v>
      </c>
      <c r="I436" t="s">
        <v>48</v>
      </c>
      <c r="J436" t="s">
        <v>98</v>
      </c>
      <c r="K436">
        <v>1239.07</v>
      </c>
      <c r="L436" t="s">
        <v>1087</v>
      </c>
      <c r="M436">
        <f>VLOOKUP(H436,'Stage Order'!$A$2:$B$8,2,FALSE)</f>
        <v>6</v>
      </c>
      <c r="N436" t="str">
        <f t="shared" si="12"/>
        <v>2. 1-24 hours</v>
      </c>
      <c r="O436" t="str">
        <f t="shared" si="13"/>
        <v>2025-04</v>
      </c>
    </row>
    <row r="437" spans="1:15" x14ac:dyDescent="0.3">
      <c r="A437" t="s">
        <v>1088</v>
      </c>
      <c r="B437" t="s">
        <v>1089</v>
      </c>
      <c r="C437" t="s">
        <v>81</v>
      </c>
      <c r="D437" t="s">
        <v>29</v>
      </c>
      <c r="E437" t="s">
        <v>59</v>
      </c>
      <c r="F437" t="s">
        <v>60</v>
      </c>
      <c r="G437">
        <v>6.46</v>
      </c>
      <c r="H437" t="s">
        <v>61</v>
      </c>
      <c r="I437" t="s">
        <v>42</v>
      </c>
      <c r="M437">
        <f>VLOOKUP(H437,'Stage Order'!$A$2:$B$8,2,FALSE)</f>
        <v>1</v>
      </c>
      <c r="N437" t="str">
        <f t="shared" si="12"/>
        <v>2. 1-24 hours</v>
      </c>
      <c r="O437" t="str">
        <f t="shared" si="13"/>
        <v>2026-01</v>
      </c>
    </row>
    <row r="438" spans="1:15" x14ac:dyDescent="0.3">
      <c r="A438" t="s">
        <v>1090</v>
      </c>
      <c r="B438" t="s">
        <v>1091</v>
      </c>
      <c r="C438" t="s">
        <v>81</v>
      </c>
      <c r="D438" t="s">
        <v>54</v>
      </c>
      <c r="E438" t="s">
        <v>59</v>
      </c>
      <c r="F438" t="s">
        <v>117</v>
      </c>
      <c r="G438">
        <v>7.08</v>
      </c>
      <c r="H438" t="s">
        <v>61</v>
      </c>
      <c r="I438" t="s">
        <v>42</v>
      </c>
      <c r="M438">
        <f>VLOOKUP(H438,'Stage Order'!$A$2:$B$8,2,FALSE)</f>
        <v>1</v>
      </c>
      <c r="N438" t="str">
        <f t="shared" si="12"/>
        <v>2. 1-24 hours</v>
      </c>
      <c r="O438" t="str">
        <f t="shared" si="13"/>
        <v>2025-06</v>
      </c>
    </row>
    <row r="439" spans="1:15" x14ac:dyDescent="0.3">
      <c r="A439" t="s">
        <v>1092</v>
      </c>
      <c r="B439" t="s">
        <v>1093</v>
      </c>
      <c r="C439" t="s">
        <v>53</v>
      </c>
      <c r="D439" t="s">
        <v>54</v>
      </c>
      <c r="E439" t="s">
        <v>30</v>
      </c>
      <c r="F439" t="s">
        <v>31</v>
      </c>
      <c r="G439">
        <v>0.74</v>
      </c>
      <c r="H439" t="s">
        <v>32</v>
      </c>
      <c r="I439" t="s">
        <v>33</v>
      </c>
      <c r="K439">
        <v>544.9</v>
      </c>
      <c r="L439" t="s">
        <v>1094</v>
      </c>
      <c r="M439">
        <f>VLOOKUP(H439,'Stage Order'!$A$2:$B$8,2,FALSE)</f>
        <v>7</v>
      </c>
      <c r="N439" t="str">
        <f t="shared" si="12"/>
        <v>1. Under 1 hour</v>
      </c>
      <c r="O439" t="str">
        <f t="shared" si="13"/>
        <v>2026-05</v>
      </c>
    </row>
    <row r="440" spans="1:15" x14ac:dyDescent="0.3">
      <c r="A440" t="s">
        <v>1095</v>
      </c>
      <c r="B440" t="s">
        <v>1096</v>
      </c>
      <c r="C440" t="s">
        <v>58</v>
      </c>
      <c r="D440" t="s">
        <v>97</v>
      </c>
      <c r="E440" t="s">
        <v>59</v>
      </c>
      <c r="F440" t="s">
        <v>137</v>
      </c>
      <c r="G440">
        <v>14.87</v>
      </c>
      <c r="H440" t="s">
        <v>61</v>
      </c>
      <c r="I440" t="s">
        <v>42</v>
      </c>
      <c r="M440">
        <f>VLOOKUP(H440,'Stage Order'!$A$2:$B$8,2,FALSE)</f>
        <v>1</v>
      </c>
      <c r="N440" t="str">
        <f t="shared" si="12"/>
        <v>2. 1-24 hours</v>
      </c>
      <c r="O440" t="str">
        <f t="shared" si="13"/>
        <v>2025-04</v>
      </c>
    </row>
    <row r="441" spans="1:15" x14ac:dyDescent="0.3">
      <c r="A441" t="s">
        <v>1097</v>
      </c>
      <c r="B441" t="s">
        <v>1098</v>
      </c>
      <c r="C441" t="s">
        <v>58</v>
      </c>
      <c r="D441" t="s">
        <v>54</v>
      </c>
      <c r="E441" t="s">
        <v>45</v>
      </c>
      <c r="F441" t="s">
        <v>94</v>
      </c>
      <c r="G441">
        <v>1.08</v>
      </c>
      <c r="H441" t="s">
        <v>41</v>
      </c>
      <c r="I441" t="s">
        <v>42</v>
      </c>
      <c r="M441">
        <f>VLOOKUP(H441,'Stage Order'!$A$2:$B$8,2,FALSE)</f>
        <v>2</v>
      </c>
      <c r="N441" t="str">
        <f t="shared" si="12"/>
        <v>2. 1-24 hours</v>
      </c>
      <c r="O441" t="str">
        <f t="shared" si="13"/>
        <v>2026-02</v>
      </c>
    </row>
    <row r="442" spans="1:15" x14ac:dyDescent="0.3">
      <c r="A442" t="s">
        <v>1099</v>
      </c>
      <c r="B442" t="s">
        <v>1100</v>
      </c>
      <c r="C442" t="s">
        <v>76</v>
      </c>
      <c r="D442" t="s">
        <v>38</v>
      </c>
      <c r="E442" t="s">
        <v>59</v>
      </c>
      <c r="F442" t="s">
        <v>60</v>
      </c>
      <c r="G442">
        <v>1.41</v>
      </c>
      <c r="H442" t="s">
        <v>41</v>
      </c>
      <c r="I442" t="s">
        <v>42</v>
      </c>
      <c r="M442">
        <f>VLOOKUP(H442,'Stage Order'!$A$2:$B$8,2,FALSE)</f>
        <v>2</v>
      </c>
      <c r="N442" t="str">
        <f t="shared" si="12"/>
        <v>2. 1-24 hours</v>
      </c>
      <c r="O442" t="str">
        <f t="shared" si="13"/>
        <v>2026-01</v>
      </c>
    </row>
    <row r="443" spans="1:15" x14ac:dyDescent="0.3">
      <c r="A443" t="s">
        <v>1101</v>
      </c>
      <c r="B443" t="s">
        <v>1102</v>
      </c>
      <c r="C443" t="s">
        <v>76</v>
      </c>
      <c r="D443" t="s">
        <v>97</v>
      </c>
      <c r="E443" t="s">
        <v>45</v>
      </c>
      <c r="F443" t="s">
        <v>55</v>
      </c>
      <c r="G443">
        <v>4.04</v>
      </c>
      <c r="H443" t="s">
        <v>41</v>
      </c>
      <c r="I443" t="s">
        <v>42</v>
      </c>
      <c r="M443">
        <f>VLOOKUP(H443,'Stage Order'!$A$2:$B$8,2,FALSE)</f>
        <v>2</v>
      </c>
      <c r="N443" t="str">
        <f t="shared" si="12"/>
        <v>2. 1-24 hours</v>
      </c>
      <c r="O443" t="str">
        <f t="shared" si="13"/>
        <v>2026-06</v>
      </c>
    </row>
    <row r="444" spans="1:15" x14ac:dyDescent="0.3">
      <c r="A444" t="s">
        <v>1103</v>
      </c>
      <c r="B444" t="s">
        <v>1104</v>
      </c>
      <c r="C444" t="s">
        <v>28</v>
      </c>
      <c r="D444" t="s">
        <v>97</v>
      </c>
      <c r="E444" t="s">
        <v>90</v>
      </c>
      <c r="F444" t="s">
        <v>112</v>
      </c>
      <c r="G444">
        <v>9.59</v>
      </c>
      <c r="H444" t="s">
        <v>41</v>
      </c>
      <c r="I444" t="s">
        <v>42</v>
      </c>
      <c r="M444">
        <f>VLOOKUP(H444,'Stage Order'!$A$2:$B$8,2,FALSE)</f>
        <v>2</v>
      </c>
      <c r="N444" t="str">
        <f t="shared" si="12"/>
        <v>2. 1-24 hours</v>
      </c>
      <c r="O444" t="str">
        <f t="shared" si="13"/>
        <v>2026-03</v>
      </c>
    </row>
    <row r="445" spans="1:15" x14ac:dyDescent="0.3">
      <c r="A445" t="s">
        <v>1105</v>
      </c>
      <c r="B445" t="s">
        <v>1106</v>
      </c>
      <c r="C445" t="s">
        <v>81</v>
      </c>
      <c r="D445" t="s">
        <v>54</v>
      </c>
      <c r="E445" t="s">
        <v>39</v>
      </c>
      <c r="F445" t="s">
        <v>66</v>
      </c>
      <c r="G445">
        <v>5.46</v>
      </c>
      <c r="H445" t="s">
        <v>61</v>
      </c>
      <c r="I445" t="s">
        <v>42</v>
      </c>
      <c r="M445">
        <f>VLOOKUP(H445,'Stage Order'!$A$2:$B$8,2,FALSE)</f>
        <v>1</v>
      </c>
      <c r="N445" t="str">
        <f t="shared" si="12"/>
        <v>2. 1-24 hours</v>
      </c>
      <c r="O445" t="str">
        <f t="shared" si="13"/>
        <v>2026-02</v>
      </c>
    </row>
    <row r="446" spans="1:15" x14ac:dyDescent="0.3">
      <c r="A446" t="s">
        <v>1107</v>
      </c>
      <c r="B446" t="s">
        <v>1108</v>
      </c>
      <c r="C446" t="s">
        <v>76</v>
      </c>
      <c r="D446" t="s">
        <v>54</v>
      </c>
      <c r="E446" t="s">
        <v>90</v>
      </c>
      <c r="F446" t="s">
        <v>145</v>
      </c>
      <c r="G446">
        <v>3.58</v>
      </c>
      <c r="H446" t="s">
        <v>61</v>
      </c>
      <c r="I446" t="s">
        <v>42</v>
      </c>
      <c r="M446">
        <f>VLOOKUP(H446,'Stage Order'!$A$2:$B$8,2,FALSE)</f>
        <v>1</v>
      </c>
      <c r="N446" t="str">
        <f t="shared" si="12"/>
        <v>2. 1-24 hours</v>
      </c>
      <c r="O446" t="str">
        <f t="shared" si="13"/>
        <v>2025-01</v>
      </c>
    </row>
    <row r="447" spans="1:15" x14ac:dyDescent="0.3">
      <c r="A447" t="s">
        <v>1109</v>
      </c>
      <c r="B447" t="s">
        <v>1110</v>
      </c>
      <c r="C447" t="s">
        <v>125</v>
      </c>
      <c r="D447" t="s">
        <v>77</v>
      </c>
      <c r="E447" t="s">
        <v>45</v>
      </c>
      <c r="F447" t="s">
        <v>46</v>
      </c>
      <c r="G447">
        <v>1.84</v>
      </c>
      <c r="H447" t="s">
        <v>41</v>
      </c>
      <c r="I447" t="s">
        <v>42</v>
      </c>
      <c r="M447">
        <f>VLOOKUP(H447,'Stage Order'!$A$2:$B$8,2,FALSE)</f>
        <v>2</v>
      </c>
      <c r="N447" t="str">
        <f t="shared" si="12"/>
        <v>2. 1-24 hours</v>
      </c>
      <c r="O447" t="str">
        <f t="shared" si="13"/>
        <v>2025-10</v>
      </c>
    </row>
    <row r="448" spans="1:15" x14ac:dyDescent="0.3">
      <c r="A448" t="s">
        <v>1111</v>
      </c>
      <c r="B448" t="s">
        <v>1112</v>
      </c>
      <c r="C448" t="s">
        <v>76</v>
      </c>
      <c r="D448" t="s">
        <v>29</v>
      </c>
      <c r="E448" t="s">
        <v>45</v>
      </c>
      <c r="F448" t="s">
        <v>46</v>
      </c>
      <c r="G448">
        <v>1.1299999999999999</v>
      </c>
      <c r="H448" t="s">
        <v>138</v>
      </c>
      <c r="I448" t="s">
        <v>48</v>
      </c>
      <c r="J448" t="s">
        <v>113</v>
      </c>
      <c r="K448">
        <v>670.26</v>
      </c>
      <c r="L448" t="s">
        <v>1113</v>
      </c>
      <c r="M448">
        <f>VLOOKUP(H448,'Stage Order'!$A$2:$B$8,2,FALSE)</f>
        <v>6</v>
      </c>
      <c r="N448" t="str">
        <f t="shared" si="12"/>
        <v>2. 1-24 hours</v>
      </c>
      <c r="O448" t="str">
        <f t="shared" si="13"/>
        <v>2025-07</v>
      </c>
    </row>
    <row r="449" spans="1:15" x14ac:dyDescent="0.3">
      <c r="A449" t="s">
        <v>1114</v>
      </c>
      <c r="B449" t="s">
        <v>1115</v>
      </c>
      <c r="C449" t="s">
        <v>58</v>
      </c>
      <c r="D449" t="s">
        <v>54</v>
      </c>
      <c r="E449" t="s">
        <v>59</v>
      </c>
      <c r="F449" t="s">
        <v>137</v>
      </c>
      <c r="G449">
        <v>7.77</v>
      </c>
      <c r="H449" t="s">
        <v>47</v>
      </c>
      <c r="I449" t="s">
        <v>48</v>
      </c>
      <c r="J449" t="s">
        <v>98</v>
      </c>
      <c r="K449">
        <v>410.1</v>
      </c>
      <c r="L449" t="s">
        <v>1116</v>
      </c>
      <c r="M449">
        <f>VLOOKUP(H449,'Stage Order'!$A$2:$B$8,2,FALSE)</f>
        <v>4</v>
      </c>
      <c r="N449" t="str">
        <f t="shared" si="12"/>
        <v>2. 1-24 hours</v>
      </c>
      <c r="O449" t="str">
        <f t="shared" si="13"/>
        <v>2025-02</v>
      </c>
    </row>
    <row r="450" spans="1:15" x14ac:dyDescent="0.3">
      <c r="A450" t="s">
        <v>1117</v>
      </c>
      <c r="B450" t="s">
        <v>1118</v>
      </c>
      <c r="C450" t="s">
        <v>125</v>
      </c>
      <c r="D450" t="s">
        <v>54</v>
      </c>
      <c r="E450" t="s">
        <v>39</v>
      </c>
      <c r="F450" t="s">
        <v>40</v>
      </c>
      <c r="G450">
        <v>2.09</v>
      </c>
      <c r="H450" t="s">
        <v>61</v>
      </c>
      <c r="I450" t="s">
        <v>42</v>
      </c>
      <c r="M450">
        <f>VLOOKUP(H450,'Stage Order'!$A$2:$B$8,2,FALSE)</f>
        <v>1</v>
      </c>
      <c r="N450" t="str">
        <f t="shared" ref="N450:N513" si="14">IF(G450&lt;=1,"1. Under 1 hour",IF(G450&lt;=24,"2. 1-24 hours",IF(G450&lt;=72,"3. 1-3 days","4. Over 3 days")))</f>
        <v>2. 1-24 hours</v>
      </c>
      <c r="O450" t="str">
        <f t="shared" ref="O450:O513" si="15">TEXT(B450,"YYYY-MM")</f>
        <v>2025-10</v>
      </c>
    </row>
    <row r="451" spans="1:15" x14ac:dyDescent="0.3">
      <c r="A451" t="s">
        <v>1119</v>
      </c>
      <c r="B451" t="s">
        <v>1120</v>
      </c>
      <c r="C451" t="s">
        <v>58</v>
      </c>
      <c r="D451" t="s">
        <v>97</v>
      </c>
      <c r="E451" t="s">
        <v>30</v>
      </c>
      <c r="F451" t="s">
        <v>31</v>
      </c>
      <c r="G451">
        <v>11.83</v>
      </c>
      <c r="H451" t="s">
        <v>41</v>
      </c>
      <c r="I451" t="s">
        <v>42</v>
      </c>
      <c r="M451">
        <f>VLOOKUP(H451,'Stage Order'!$A$2:$B$8,2,FALSE)</f>
        <v>2</v>
      </c>
      <c r="N451" t="str">
        <f t="shared" si="14"/>
        <v>2. 1-24 hours</v>
      </c>
      <c r="O451" t="str">
        <f t="shared" si="15"/>
        <v>2025-01</v>
      </c>
    </row>
    <row r="452" spans="1:15" x14ac:dyDescent="0.3">
      <c r="A452" t="s">
        <v>1121</v>
      </c>
      <c r="B452" t="s">
        <v>1122</v>
      </c>
      <c r="C452" t="s">
        <v>53</v>
      </c>
      <c r="D452" t="s">
        <v>29</v>
      </c>
      <c r="E452" t="s">
        <v>30</v>
      </c>
      <c r="F452" t="s">
        <v>78</v>
      </c>
      <c r="G452">
        <v>2.06</v>
      </c>
      <c r="H452" t="s">
        <v>41</v>
      </c>
      <c r="I452" t="s">
        <v>42</v>
      </c>
      <c r="M452">
        <f>VLOOKUP(H452,'Stage Order'!$A$2:$B$8,2,FALSE)</f>
        <v>2</v>
      </c>
      <c r="N452" t="str">
        <f t="shared" si="14"/>
        <v>2. 1-24 hours</v>
      </c>
      <c r="O452" t="str">
        <f t="shared" si="15"/>
        <v>2026-01</v>
      </c>
    </row>
    <row r="453" spans="1:15" x14ac:dyDescent="0.3">
      <c r="A453" t="s">
        <v>1123</v>
      </c>
      <c r="B453" t="s">
        <v>1124</v>
      </c>
      <c r="C453" t="s">
        <v>58</v>
      </c>
      <c r="D453" t="s">
        <v>38</v>
      </c>
      <c r="E453" t="s">
        <v>39</v>
      </c>
      <c r="F453" t="s">
        <v>40</v>
      </c>
      <c r="G453">
        <v>0.68</v>
      </c>
      <c r="H453" t="s">
        <v>32</v>
      </c>
      <c r="I453" t="s">
        <v>33</v>
      </c>
      <c r="K453">
        <v>395.94</v>
      </c>
      <c r="L453" t="s">
        <v>1125</v>
      </c>
      <c r="M453">
        <f>VLOOKUP(H453,'Stage Order'!$A$2:$B$8,2,FALSE)</f>
        <v>7</v>
      </c>
      <c r="N453" t="str">
        <f t="shared" si="14"/>
        <v>1. Under 1 hour</v>
      </c>
      <c r="O453" t="str">
        <f t="shared" si="15"/>
        <v>2026-04</v>
      </c>
    </row>
    <row r="454" spans="1:15" x14ac:dyDescent="0.3">
      <c r="A454" t="s">
        <v>1126</v>
      </c>
      <c r="B454" t="s">
        <v>1127</v>
      </c>
      <c r="C454" t="s">
        <v>125</v>
      </c>
      <c r="D454" t="s">
        <v>38</v>
      </c>
      <c r="E454" t="s">
        <v>39</v>
      </c>
      <c r="F454" t="s">
        <v>106</v>
      </c>
      <c r="G454">
        <v>0.62</v>
      </c>
      <c r="H454" t="s">
        <v>41</v>
      </c>
      <c r="I454" t="s">
        <v>42</v>
      </c>
      <c r="M454">
        <f>VLOOKUP(H454,'Stage Order'!$A$2:$B$8,2,FALSE)</f>
        <v>2</v>
      </c>
      <c r="N454" t="str">
        <f t="shared" si="14"/>
        <v>1. Under 1 hour</v>
      </c>
      <c r="O454" t="str">
        <f t="shared" si="15"/>
        <v>2026-01</v>
      </c>
    </row>
    <row r="455" spans="1:15" x14ac:dyDescent="0.3">
      <c r="A455" t="s">
        <v>1128</v>
      </c>
      <c r="B455" t="s">
        <v>1129</v>
      </c>
      <c r="C455" t="s">
        <v>76</v>
      </c>
      <c r="D455" t="s">
        <v>54</v>
      </c>
      <c r="E455" t="s">
        <v>59</v>
      </c>
      <c r="F455" t="s">
        <v>60</v>
      </c>
      <c r="G455">
        <v>2.85</v>
      </c>
      <c r="H455" t="s">
        <v>41</v>
      </c>
      <c r="I455" t="s">
        <v>42</v>
      </c>
      <c r="M455">
        <f>VLOOKUP(H455,'Stage Order'!$A$2:$B$8,2,FALSE)</f>
        <v>2</v>
      </c>
      <c r="N455" t="str">
        <f t="shared" si="14"/>
        <v>2. 1-24 hours</v>
      </c>
      <c r="O455" t="str">
        <f t="shared" si="15"/>
        <v>2025-06</v>
      </c>
    </row>
    <row r="456" spans="1:15" x14ac:dyDescent="0.3">
      <c r="A456" t="s">
        <v>1130</v>
      </c>
      <c r="B456" t="s">
        <v>1131</v>
      </c>
      <c r="C456" t="s">
        <v>81</v>
      </c>
      <c r="D456" t="s">
        <v>77</v>
      </c>
      <c r="E456" t="s">
        <v>30</v>
      </c>
      <c r="F456" t="s">
        <v>82</v>
      </c>
      <c r="G456">
        <v>0.77</v>
      </c>
      <c r="H456" t="s">
        <v>128</v>
      </c>
      <c r="I456" t="s">
        <v>42</v>
      </c>
      <c r="M456">
        <f>VLOOKUP(H456,'Stage Order'!$A$2:$B$8,2,FALSE)</f>
        <v>3</v>
      </c>
      <c r="N456" t="str">
        <f t="shared" si="14"/>
        <v>1. Under 1 hour</v>
      </c>
      <c r="O456" t="str">
        <f t="shared" si="15"/>
        <v>2025-08</v>
      </c>
    </row>
    <row r="457" spans="1:15" x14ac:dyDescent="0.3">
      <c r="A457" t="s">
        <v>1132</v>
      </c>
      <c r="B457" t="s">
        <v>1133</v>
      </c>
      <c r="C457" t="s">
        <v>37</v>
      </c>
      <c r="D457" t="s">
        <v>77</v>
      </c>
      <c r="E457" t="s">
        <v>45</v>
      </c>
      <c r="F457" t="s">
        <v>55</v>
      </c>
      <c r="G457">
        <v>13.31</v>
      </c>
      <c r="H457" t="s">
        <v>138</v>
      </c>
      <c r="I457" t="s">
        <v>48</v>
      </c>
      <c r="J457" t="s">
        <v>113</v>
      </c>
      <c r="K457">
        <v>1029.8800000000001</v>
      </c>
      <c r="L457" t="s">
        <v>1134</v>
      </c>
      <c r="M457">
        <f>VLOOKUP(H457,'Stage Order'!$A$2:$B$8,2,FALSE)</f>
        <v>6</v>
      </c>
      <c r="N457" t="str">
        <f t="shared" si="14"/>
        <v>2. 1-24 hours</v>
      </c>
      <c r="O457" t="str">
        <f t="shared" si="15"/>
        <v>2025-05</v>
      </c>
    </row>
    <row r="458" spans="1:15" x14ac:dyDescent="0.3">
      <c r="A458" t="s">
        <v>1135</v>
      </c>
      <c r="B458" t="s">
        <v>1136</v>
      </c>
      <c r="C458" t="s">
        <v>58</v>
      </c>
      <c r="D458" t="s">
        <v>77</v>
      </c>
      <c r="E458" t="s">
        <v>39</v>
      </c>
      <c r="F458" t="s">
        <v>106</v>
      </c>
      <c r="G458">
        <v>0.6</v>
      </c>
      <c r="H458" t="s">
        <v>32</v>
      </c>
      <c r="I458" t="s">
        <v>33</v>
      </c>
      <c r="K458">
        <v>885</v>
      </c>
      <c r="L458" t="s">
        <v>1137</v>
      </c>
      <c r="M458">
        <f>VLOOKUP(H458,'Stage Order'!$A$2:$B$8,2,FALSE)</f>
        <v>7</v>
      </c>
      <c r="N458" t="str">
        <f t="shared" si="14"/>
        <v>1. Under 1 hour</v>
      </c>
      <c r="O458" t="str">
        <f t="shared" si="15"/>
        <v>2026-01</v>
      </c>
    </row>
    <row r="459" spans="1:15" x14ac:dyDescent="0.3">
      <c r="A459" t="s">
        <v>1138</v>
      </c>
      <c r="B459" t="s">
        <v>1139</v>
      </c>
      <c r="C459" t="s">
        <v>58</v>
      </c>
      <c r="D459" t="s">
        <v>38</v>
      </c>
      <c r="E459" t="s">
        <v>59</v>
      </c>
      <c r="F459" t="s">
        <v>137</v>
      </c>
      <c r="G459">
        <v>12.26</v>
      </c>
      <c r="H459" t="s">
        <v>128</v>
      </c>
      <c r="I459" t="s">
        <v>42</v>
      </c>
      <c r="M459">
        <f>VLOOKUP(H459,'Stage Order'!$A$2:$B$8,2,FALSE)</f>
        <v>3</v>
      </c>
      <c r="N459" t="str">
        <f t="shared" si="14"/>
        <v>2. 1-24 hours</v>
      </c>
      <c r="O459" t="str">
        <f t="shared" si="15"/>
        <v>2025-10</v>
      </c>
    </row>
    <row r="460" spans="1:15" x14ac:dyDescent="0.3">
      <c r="A460" t="s">
        <v>1140</v>
      </c>
      <c r="B460" t="s">
        <v>1141</v>
      </c>
      <c r="C460" t="s">
        <v>53</v>
      </c>
      <c r="D460" t="s">
        <v>38</v>
      </c>
      <c r="E460" t="s">
        <v>90</v>
      </c>
      <c r="F460" t="s">
        <v>112</v>
      </c>
      <c r="G460">
        <v>8.16</v>
      </c>
      <c r="H460" t="s">
        <v>47</v>
      </c>
      <c r="I460" t="s">
        <v>48</v>
      </c>
      <c r="J460" t="s">
        <v>98</v>
      </c>
      <c r="K460">
        <v>305.29000000000002</v>
      </c>
      <c r="L460" t="s">
        <v>1142</v>
      </c>
      <c r="M460">
        <f>VLOOKUP(H460,'Stage Order'!$A$2:$B$8,2,FALSE)</f>
        <v>4</v>
      </c>
      <c r="N460" t="str">
        <f t="shared" si="14"/>
        <v>2. 1-24 hours</v>
      </c>
      <c r="O460" t="str">
        <f t="shared" si="15"/>
        <v>2025-04</v>
      </c>
    </row>
    <row r="461" spans="1:15" x14ac:dyDescent="0.3">
      <c r="A461" t="s">
        <v>1143</v>
      </c>
      <c r="B461" t="s">
        <v>1144</v>
      </c>
      <c r="C461" t="s">
        <v>37</v>
      </c>
      <c r="D461" t="s">
        <v>38</v>
      </c>
      <c r="E461" t="s">
        <v>45</v>
      </c>
      <c r="F461" t="s">
        <v>94</v>
      </c>
      <c r="G461">
        <v>0.87</v>
      </c>
      <c r="H461" t="s">
        <v>41</v>
      </c>
      <c r="I461" t="s">
        <v>42</v>
      </c>
      <c r="M461">
        <f>VLOOKUP(H461,'Stage Order'!$A$2:$B$8,2,FALSE)</f>
        <v>2</v>
      </c>
      <c r="N461" t="str">
        <f t="shared" si="14"/>
        <v>1. Under 1 hour</v>
      </c>
      <c r="O461" t="str">
        <f t="shared" si="15"/>
        <v>2025-11</v>
      </c>
    </row>
    <row r="462" spans="1:15" x14ac:dyDescent="0.3">
      <c r="A462" t="s">
        <v>1145</v>
      </c>
      <c r="B462" t="s">
        <v>1146</v>
      </c>
      <c r="C462" t="s">
        <v>58</v>
      </c>
      <c r="D462" t="s">
        <v>77</v>
      </c>
      <c r="E462" t="s">
        <v>45</v>
      </c>
      <c r="F462" t="s">
        <v>46</v>
      </c>
      <c r="G462">
        <v>0.78</v>
      </c>
      <c r="H462" t="s">
        <v>138</v>
      </c>
      <c r="I462" t="s">
        <v>48</v>
      </c>
      <c r="J462" t="s">
        <v>113</v>
      </c>
      <c r="K462">
        <v>1064.5999999999999</v>
      </c>
      <c r="L462" t="s">
        <v>1147</v>
      </c>
      <c r="M462">
        <f>VLOOKUP(H462,'Stage Order'!$A$2:$B$8,2,FALSE)</f>
        <v>6</v>
      </c>
      <c r="N462" t="str">
        <f t="shared" si="14"/>
        <v>1. Under 1 hour</v>
      </c>
      <c r="O462" t="str">
        <f t="shared" si="15"/>
        <v>2026-01</v>
      </c>
    </row>
    <row r="463" spans="1:15" x14ac:dyDescent="0.3">
      <c r="A463" t="s">
        <v>1148</v>
      </c>
      <c r="B463" t="s">
        <v>1149</v>
      </c>
      <c r="C463" t="s">
        <v>58</v>
      </c>
      <c r="D463" t="s">
        <v>29</v>
      </c>
      <c r="E463" t="s">
        <v>45</v>
      </c>
      <c r="F463" t="s">
        <v>94</v>
      </c>
      <c r="G463">
        <v>4.87</v>
      </c>
      <c r="H463" t="s">
        <v>47</v>
      </c>
      <c r="I463" t="s">
        <v>48</v>
      </c>
      <c r="J463" t="s">
        <v>98</v>
      </c>
      <c r="K463">
        <v>555.86</v>
      </c>
      <c r="L463" t="s">
        <v>1150</v>
      </c>
      <c r="M463">
        <f>VLOOKUP(H463,'Stage Order'!$A$2:$B$8,2,FALSE)</f>
        <v>4</v>
      </c>
      <c r="N463" t="str">
        <f t="shared" si="14"/>
        <v>2. 1-24 hours</v>
      </c>
      <c r="O463" t="str">
        <f t="shared" si="15"/>
        <v>2026-03</v>
      </c>
    </row>
    <row r="464" spans="1:15" x14ac:dyDescent="0.3">
      <c r="A464" t="s">
        <v>1151</v>
      </c>
      <c r="B464" t="s">
        <v>1152</v>
      </c>
      <c r="C464" t="s">
        <v>58</v>
      </c>
      <c r="D464" t="s">
        <v>97</v>
      </c>
      <c r="E464" t="s">
        <v>59</v>
      </c>
      <c r="F464" t="s">
        <v>137</v>
      </c>
      <c r="G464">
        <v>2.1800000000000002</v>
      </c>
      <c r="H464" t="s">
        <v>41</v>
      </c>
      <c r="I464" t="s">
        <v>42</v>
      </c>
      <c r="M464">
        <f>VLOOKUP(H464,'Stage Order'!$A$2:$B$8,2,FALSE)</f>
        <v>2</v>
      </c>
      <c r="N464" t="str">
        <f t="shared" si="14"/>
        <v>2. 1-24 hours</v>
      </c>
      <c r="O464" t="str">
        <f t="shared" si="15"/>
        <v>2025-11</v>
      </c>
    </row>
    <row r="465" spans="1:15" x14ac:dyDescent="0.3">
      <c r="A465" t="s">
        <v>1153</v>
      </c>
      <c r="B465" t="s">
        <v>1154</v>
      </c>
      <c r="C465" t="s">
        <v>58</v>
      </c>
      <c r="D465" t="s">
        <v>54</v>
      </c>
      <c r="E465" t="s">
        <v>30</v>
      </c>
      <c r="F465" t="s">
        <v>82</v>
      </c>
      <c r="G465">
        <v>1.36</v>
      </c>
      <c r="H465" t="s">
        <v>41</v>
      </c>
      <c r="I465" t="s">
        <v>42</v>
      </c>
      <c r="M465">
        <f>VLOOKUP(H465,'Stage Order'!$A$2:$B$8,2,FALSE)</f>
        <v>2</v>
      </c>
      <c r="N465" t="str">
        <f t="shared" si="14"/>
        <v>2. 1-24 hours</v>
      </c>
      <c r="O465" t="str">
        <f t="shared" si="15"/>
        <v>2026-02</v>
      </c>
    </row>
    <row r="466" spans="1:15" x14ac:dyDescent="0.3">
      <c r="A466" t="s">
        <v>1155</v>
      </c>
      <c r="B466" t="s">
        <v>1156</v>
      </c>
      <c r="C466" t="s">
        <v>81</v>
      </c>
      <c r="D466" t="s">
        <v>54</v>
      </c>
      <c r="E466" t="s">
        <v>39</v>
      </c>
      <c r="F466" t="s">
        <v>106</v>
      </c>
      <c r="G466">
        <v>1.78</v>
      </c>
      <c r="H466" t="s">
        <v>41</v>
      </c>
      <c r="I466" t="s">
        <v>42</v>
      </c>
      <c r="M466">
        <f>VLOOKUP(H466,'Stage Order'!$A$2:$B$8,2,FALSE)</f>
        <v>2</v>
      </c>
      <c r="N466" t="str">
        <f t="shared" si="14"/>
        <v>2. 1-24 hours</v>
      </c>
      <c r="O466" t="str">
        <f t="shared" si="15"/>
        <v>2025-02</v>
      </c>
    </row>
    <row r="467" spans="1:15" x14ac:dyDescent="0.3">
      <c r="A467" t="s">
        <v>1157</v>
      </c>
      <c r="B467" t="s">
        <v>1158</v>
      </c>
      <c r="C467" t="s">
        <v>125</v>
      </c>
      <c r="D467" t="s">
        <v>77</v>
      </c>
      <c r="E467" t="s">
        <v>39</v>
      </c>
      <c r="F467" t="s">
        <v>66</v>
      </c>
      <c r="G467">
        <v>17.87</v>
      </c>
      <c r="H467" t="s">
        <v>146</v>
      </c>
      <c r="I467" t="s">
        <v>48</v>
      </c>
      <c r="J467" t="s">
        <v>139</v>
      </c>
      <c r="K467">
        <v>1155.8699999999999</v>
      </c>
      <c r="L467" t="s">
        <v>1159</v>
      </c>
      <c r="M467">
        <f>VLOOKUP(H467,'Stage Order'!$A$2:$B$8,2,FALSE)</f>
        <v>5</v>
      </c>
      <c r="N467" t="str">
        <f t="shared" si="14"/>
        <v>2. 1-24 hours</v>
      </c>
      <c r="O467" t="str">
        <f t="shared" si="15"/>
        <v>2026-02</v>
      </c>
    </row>
    <row r="468" spans="1:15" x14ac:dyDescent="0.3">
      <c r="A468" t="s">
        <v>1160</v>
      </c>
      <c r="B468" t="s">
        <v>1161</v>
      </c>
      <c r="C468" t="s">
        <v>76</v>
      </c>
      <c r="D468" t="s">
        <v>54</v>
      </c>
      <c r="E468" t="s">
        <v>59</v>
      </c>
      <c r="F468" t="s">
        <v>137</v>
      </c>
      <c r="G468">
        <v>2.73</v>
      </c>
      <c r="H468" t="s">
        <v>32</v>
      </c>
      <c r="I468" t="s">
        <v>33</v>
      </c>
      <c r="K468">
        <v>493.37</v>
      </c>
      <c r="L468" t="s">
        <v>1162</v>
      </c>
      <c r="M468">
        <f>VLOOKUP(H468,'Stage Order'!$A$2:$B$8,2,FALSE)</f>
        <v>7</v>
      </c>
      <c r="N468" t="str">
        <f t="shared" si="14"/>
        <v>2. 1-24 hours</v>
      </c>
      <c r="O468" t="str">
        <f t="shared" si="15"/>
        <v>2025-11</v>
      </c>
    </row>
    <row r="469" spans="1:15" x14ac:dyDescent="0.3">
      <c r="A469" t="s">
        <v>1163</v>
      </c>
      <c r="B469" t="s">
        <v>1164</v>
      </c>
      <c r="C469" t="s">
        <v>58</v>
      </c>
      <c r="D469" t="s">
        <v>29</v>
      </c>
      <c r="E469" t="s">
        <v>30</v>
      </c>
      <c r="F469" t="s">
        <v>82</v>
      </c>
      <c r="G469">
        <v>0.7</v>
      </c>
      <c r="H469" t="s">
        <v>41</v>
      </c>
      <c r="I469" t="s">
        <v>42</v>
      </c>
      <c r="M469">
        <f>VLOOKUP(H469,'Stage Order'!$A$2:$B$8,2,FALSE)</f>
        <v>2</v>
      </c>
      <c r="N469" t="str">
        <f t="shared" si="14"/>
        <v>1. Under 1 hour</v>
      </c>
      <c r="O469" t="str">
        <f t="shared" si="15"/>
        <v>2025-06</v>
      </c>
    </row>
    <row r="470" spans="1:15" x14ac:dyDescent="0.3">
      <c r="A470" t="s">
        <v>1165</v>
      </c>
      <c r="B470" t="s">
        <v>1166</v>
      </c>
      <c r="C470" t="s">
        <v>76</v>
      </c>
      <c r="D470" t="s">
        <v>29</v>
      </c>
      <c r="E470" t="s">
        <v>45</v>
      </c>
      <c r="F470" t="s">
        <v>46</v>
      </c>
      <c r="G470">
        <v>3.65</v>
      </c>
      <c r="H470" t="s">
        <v>41</v>
      </c>
      <c r="I470" t="s">
        <v>42</v>
      </c>
      <c r="M470">
        <f>VLOOKUP(H470,'Stage Order'!$A$2:$B$8,2,FALSE)</f>
        <v>2</v>
      </c>
      <c r="N470" t="str">
        <f t="shared" si="14"/>
        <v>2. 1-24 hours</v>
      </c>
      <c r="O470" t="str">
        <f t="shared" si="15"/>
        <v>2025-03</v>
      </c>
    </row>
    <row r="471" spans="1:15" x14ac:dyDescent="0.3">
      <c r="A471" t="s">
        <v>1167</v>
      </c>
      <c r="B471" t="s">
        <v>1168</v>
      </c>
      <c r="C471" t="s">
        <v>53</v>
      </c>
      <c r="D471" t="s">
        <v>29</v>
      </c>
      <c r="E471" t="s">
        <v>90</v>
      </c>
      <c r="F471" t="s">
        <v>145</v>
      </c>
      <c r="G471">
        <v>1.18</v>
      </c>
      <c r="H471" t="s">
        <v>47</v>
      </c>
      <c r="I471" t="s">
        <v>48</v>
      </c>
      <c r="J471" t="s">
        <v>98</v>
      </c>
      <c r="K471">
        <v>638.6</v>
      </c>
      <c r="L471" t="s">
        <v>1169</v>
      </c>
      <c r="M471">
        <f>VLOOKUP(H471,'Stage Order'!$A$2:$B$8,2,FALSE)</f>
        <v>4</v>
      </c>
      <c r="N471" t="str">
        <f t="shared" si="14"/>
        <v>2. 1-24 hours</v>
      </c>
      <c r="O471" t="str">
        <f t="shared" si="15"/>
        <v>2025-08</v>
      </c>
    </row>
    <row r="472" spans="1:15" x14ac:dyDescent="0.3">
      <c r="A472" t="s">
        <v>1170</v>
      </c>
      <c r="B472" t="s">
        <v>1171</v>
      </c>
      <c r="C472" t="s">
        <v>28</v>
      </c>
      <c r="D472" t="s">
        <v>97</v>
      </c>
      <c r="E472" t="s">
        <v>45</v>
      </c>
      <c r="F472" t="s">
        <v>55</v>
      </c>
      <c r="G472">
        <v>1.1299999999999999</v>
      </c>
      <c r="H472" t="s">
        <v>41</v>
      </c>
      <c r="I472" t="s">
        <v>42</v>
      </c>
      <c r="M472">
        <f>VLOOKUP(H472,'Stage Order'!$A$2:$B$8,2,FALSE)</f>
        <v>2</v>
      </c>
      <c r="N472" t="str">
        <f t="shared" si="14"/>
        <v>2. 1-24 hours</v>
      </c>
      <c r="O472" t="str">
        <f t="shared" si="15"/>
        <v>2026-05</v>
      </c>
    </row>
    <row r="473" spans="1:15" x14ac:dyDescent="0.3">
      <c r="A473" t="s">
        <v>1172</v>
      </c>
      <c r="B473" t="s">
        <v>1173</v>
      </c>
      <c r="C473" t="s">
        <v>53</v>
      </c>
      <c r="D473" t="s">
        <v>77</v>
      </c>
      <c r="E473" t="s">
        <v>39</v>
      </c>
      <c r="F473" t="s">
        <v>106</v>
      </c>
      <c r="G473">
        <v>2.89</v>
      </c>
      <c r="H473" t="s">
        <v>138</v>
      </c>
      <c r="I473" t="s">
        <v>48</v>
      </c>
      <c r="J473" t="s">
        <v>139</v>
      </c>
      <c r="K473">
        <v>1156.8</v>
      </c>
      <c r="L473" t="s">
        <v>1174</v>
      </c>
      <c r="M473">
        <f>VLOOKUP(H473,'Stage Order'!$A$2:$B$8,2,FALSE)</f>
        <v>6</v>
      </c>
      <c r="N473" t="str">
        <f t="shared" si="14"/>
        <v>2. 1-24 hours</v>
      </c>
      <c r="O473" t="str">
        <f t="shared" si="15"/>
        <v>2025-10</v>
      </c>
    </row>
    <row r="474" spans="1:15" x14ac:dyDescent="0.3">
      <c r="A474" t="s">
        <v>1175</v>
      </c>
      <c r="B474" t="s">
        <v>1176</v>
      </c>
      <c r="C474" t="s">
        <v>125</v>
      </c>
      <c r="D474" t="s">
        <v>29</v>
      </c>
      <c r="E474" t="s">
        <v>30</v>
      </c>
      <c r="F474" t="s">
        <v>31</v>
      </c>
      <c r="G474">
        <v>2.27</v>
      </c>
      <c r="H474" t="s">
        <v>47</v>
      </c>
      <c r="I474" t="s">
        <v>48</v>
      </c>
      <c r="J474" t="s">
        <v>98</v>
      </c>
      <c r="K474">
        <v>566.89</v>
      </c>
      <c r="L474" t="s">
        <v>1177</v>
      </c>
      <c r="M474">
        <f>VLOOKUP(H474,'Stage Order'!$A$2:$B$8,2,FALSE)</f>
        <v>4</v>
      </c>
      <c r="N474" t="str">
        <f t="shared" si="14"/>
        <v>2. 1-24 hours</v>
      </c>
      <c r="O474" t="str">
        <f t="shared" si="15"/>
        <v>2026-01</v>
      </c>
    </row>
    <row r="475" spans="1:15" x14ac:dyDescent="0.3">
      <c r="A475" t="s">
        <v>1178</v>
      </c>
      <c r="B475" t="s">
        <v>1179</v>
      </c>
      <c r="C475" t="s">
        <v>76</v>
      </c>
      <c r="D475" t="s">
        <v>54</v>
      </c>
      <c r="E475" t="s">
        <v>59</v>
      </c>
      <c r="F475" t="s">
        <v>60</v>
      </c>
      <c r="G475">
        <v>2.75</v>
      </c>
      <c r="H475" t="s">
        <v>41</v>
      </c>
      <c r="I475" t="s">
        <v>42</v>
      </c>
      <c r="M475">
        <f>VLOOKUP(H475,'Stage Order'!$A$2:$B$8,2,FALSE)</f>
        <v>2</v>
      </c>
      <c r="N475" t="str">
        <f t="shared" si="14"/>
        <v>2. 1-24 hours</v>
      </c>
      <c r="O475" t="str">
        <f t="shared" si="15"/>
        <v>2025-02</v>
      </c>
    </row>
    <row r="476" spans="1:15" x14ac:dyDescent="0.3">
      <c r="A476" t="s">
        <v>1180</v>
      </c>
      <c r="B476" t="s">
        <v>1181</v>
      </c>
      <c r="C476" t="s">
        <v>28</v>
      </c>
      <c r="D476" t="s">
        <v>54</v>
      </c>
      <c r="E476" t="s">
        <v>90</v>
      </c>
      <c r="F476" t="s">
        <v>91</v>
      </c>
      <c r="G476">
        <v>6.5</v>
      </c>
      <c r="H476" t="s">
        <v>47</v>
      </c>
      <c r="I476" t="s">
        <v>48</v>
      </c>
      <c r="J476" t="s">
        <v>139</v>
      </c>
      <c r="K476">
        <v>508.84</v>
      </c>
      <c r="L476" t="s">
        <v>1182</v>
      </c>
      <c r="M476">
        <f>VLOOKUP(H476,'Stage Order'!$A$2:$B$8,2,FALSE)</f>
        <v>4</v>
      </c>
      <c r="N476" t="str">
        <f t="shared" si="14"/>
        <v>2. 1-24 hours</v>
      </c>
      <c r="O476" t="str">
        <f t="shared" si="15"/>
        <v>2026-03</v>
      </c>
    </row>
    <row r="477" spans="1:15" x14ac:dyDescent="0.3">
      <c r="A477" t="s">
        <v>1183</v>
      </c>
      <c r="B477" t="s">
        <v>1184</v>
      </c>
      <c r="C477" t="s">
        <v>28</v>
      </c>
      <c r="D477" t="s">
        <v>54</v>
      </c>
      <c r="E477" t="s">
        <v>45</v>
      </c>
      <c r="F477" t="s">
        <v>46</v>
      </c>
      <c r="G477">
        <v>8.2200000000000006</v>
      </c>
      <c r="H477" t="s">
        <v>41</v>
      </c>
      <c r="I477" t="s">
        <v>42</v>
      </c>
      <c r="M477">
        <f>VLOOKUP(H477,'Stage Order'!$A$2:$B$8,2,FALSE)</f>
        <v>2</v>
      </c>
      <c r="N477" t="str">
        <f t="shared" si="14"/>
        <v>2. 1-24 hours</v>
      </c>
      <c r="O477" t="str">
        <f t="shared" si="15"/>
        <v>2026-05</v>
      </c>
    </row>
    <row r="478" spans="1:15" x14ac:dyDescent="0.3">
      <c r="A478" t="s">
        <v>1185</v>
      </c>
      <c r="B478" t="s">
        <v>1186</v>
      </c>
      <c r="C478" t="s">
        <v>81</v>
      </c>
      <c r="D478" t="s">
        <v>29</v>
      </c>
      <c r="E478" t="s">
        <v>90</v>
      </c>
      <c r="F478" t="s">
        <v>91</v>
      </c>
      <c r="G478">
        <v>3.21</v>
      </c>
      <c r="H478" t="s">
        <v>41</v>
      </c>
      <c r="I478" t="s">
        <v>42</v>
      </c>
      <c r="M478">
        <f>VLOOKUP(H478,'Stage Order'!$A$2:$B$8,2,FALSE)</f>
        <v>2</v>
      </c>
      <c r="N478" t="str">
        <f t="shared" si="14"/>
        <v>2. 1-24 hours</v>
      </c>
      <c r="O478" t="str">
        <f t="shared" si="15"/>
        <v>2025-10</v>
      </c>
    </row>
    <row r="479" spans="1:15" x14ac:dyDescent="0.3">
      <c r="A479" t="s">
        <v>1187</v>
      </c>
      <c r="B479" t="s">
        <v>1188</v>
      </c>
      <c r="C479" t="s">
        <v>37</v>
      </c>
      <c r="D479" t="s">
        <v>38</v>
      </c>
      <c r="E479" t="s">
        <v>59</v>
      </c>
      <c r="F479" t="s">
        <v>117</v>
      </c>
      <c r="G479">
        <v>3.09</v>
      </c>
      <c r="H479" t="s">
        <v>32</v>
      </c>
      <c r="I479" t="s">
        <v>33</v>
      </c>
      <c r="K479">
        <v>397.04</v>
      </c>
      <c r="L479" t="s">
        <v>1189</v>
      </c>
      <c r="M479">
        <f>VLOOKUP(H479,'Stage Order'!$A$2:$B$8,2,FALSE)</f>
        <v>7</v>
      </c>
      <c r="N479" t="str">
        <f t="shared" si="14"/>
        <v>2. 1-24 hours</v>
      </c>
      <c r="O479" t="str">
        <f t="shared" si="15"/>
        <v>2025-08</v>
      </c>
    </row>
    <row r="480" spans="1:15" x14ac:dyDescent="0.3">
      <c r="A480" t="s">
        <v>1190</v>
      </c>
      <c r="B480" t="s">
        <v>1191</v>
      </c>
      <c r="C480" t="s">
        <v>58</v>
      </c>
      <c r="D480" t="s">
        <v>38</v>
      </c>
      <c r="E480" t="s">
        <v>59</v>
      </c>
      <c r="F480" t="s">
        <v>60</v>
      </c>
      <c r="G480">
        <v>1.62</v>
      </c>
      <c r="H480" t="s">
        <v>41</v>
      </c>
      <c r="I480" t="s">
        <v>42</v>
      </c>
      <c r="M480">
        <f>VLOOKUP(H480,'Stage Order'!$A$2:$B$8,2,FALSE)</f>
        <v>2</v>
      </c>
      <c r="N480" t="str">
        <f t="shared" si="14"/>
        <v>2. 1-24 hours</v>
      </c>
      <c r="O480" t="str">
        <f t="shared" si="15"/>
        <v>2026-04</v>
      </c>
    </row>
    <row r="481" spans="1:15" x14ac:dyDescent="0.3">
      <c r="A481" t="s">
        <v>1192</v>
      </c>
      <c r="B481" t="s">
        <v>1193</v>
      </c>
      <c r="C481" t="s">
        <v>53</v>
      </c>
      <c r="D481" t="s">
        <v>54</v>
      </c>
      <c r="E481" t="s">
        <v>39</v>
      </c>
      <c r="F481" t="s">
        <v>106</v>
      </c>
      <c r="G481">
        <v>0.54</v>
      </c>
      <c r="H481" t="s">
        <v>32</v>
      </c>
      <c r="I481" t="s">
        <v>33</v>
      </c>
      <c r="K481">
        <v>593.13</v>
      </c>
      <c r="L481" t="s">
        <v>1194</v>
      </c>
      <c r="M481">
        <f>VLOOKUP(H481,'Stage Order'!$A$2:$B$8,2,FALSE)</f>
        <v>7</v>
      </c>
      <c r="N481" t="str">
        <f t="shared" si="14"/>
        <v>1. Under 1 hour</v>
      </c>
      <c r="O481" t="str">
        <f t="shared" si="15"/>
        <v>2025-06</v>
      </c>
    </row>
    <row r="482" spans="1:15" x14ac:dyDescent="0.3">
      <c r="A482" t="s">
        <v>1195</v>
      </c>
      <c r="B482" t="s">
        <v>1196</v>
      </c>
      <c r="C482" t="s">
        <v>28</v>
      </c>
      <c r="D482" t="s">
        <v>54</v>
      </c>
      <c r="E482" t="s">
        <v>39</v>
      </c>
      <c r="F482" t="s">
        <v>106</v>
      </c>
      <c r="G482">
        <v>1.45</v>
      </c>
      <c r="H482" t="s">
        <v>41</v>
      </c>
      <c r="I482" t="s">
        <v>42</v>
      </c>
      <c r="M482">
        <f>VLOOKUP(H482,'Stage Order'!$A$2:$B$8,2,FALSE)</f>
        <v>2</v>
      </c>
      <c r="N482" t="str">
        <f t="shared" si="14"/>
        <v>2. 1-24 hours</v>
      </c>
      <c r="O482" t="str">
        <f t="shared" si="15"/>
        <v>2026-05</v>
      </c>
    </row>
    <row r="483" spans="1:15" x14ac:dyDescent="0.3">
      <c r="A483" t="s">
        <v>1197</v>
      </c>
      <c r="B483" t="s">
        <v>1198</v>
      </c>
      <c r="C483" t="s">
        <v>81</v>
      </c>
      <c r="D483" t="s">
        <v>77</v>
      </c>
      <c r="E483" t="s">
        <v>45</v>
      </c>
      <c r="F483" t="s">
        <v>94</v>
      </c>
      <c r="G483">
        <v>12.54</v>
      </c>
      <c r="H483" t="s">
        <v>61</v>
      </c>
      <c r="I483" t="s">
        <v>42</v>
      </c>
      <c r="M483">
        <f>VLOOKUP(H483,'Stage Order'!$A$2:$B$8,2,FALSE)</f>
        <v>1</v>
      </c>
      <c r="N483" t="str">
        <f t="shared" si="14"/>
        <v>2. 1-24 hours</v>
      </c>
      <c r="O483" t="str">
        <f t="shared" si="15"/>
        <v>2026-05</v>
      </c>
    </row>
    <row r="484" spans="1:15" x14ac:dyDescent="0.3">
      <c r="A484" t="s">
        <v>1199</v>
      </c>
      <c r="B484" t="s">
        <v>1200</v>
      </c>
      <c r="C484" t="s">
        <v>28</v>
      </c>
      <c r="D484" t="s">
        <v>77</v>
      </c>
      <c r="E484" t="s">
        <v>45</v>
      </c>
      <c r="F484" t="s">
        <v>94</v>
      </c>
      <c r="G484">
        <v>5.92</v>
      </c>
      <c r="H484" t="s">
        <v>41</v>
      </c>
      <c r="I484" t="s">
        <v>42</v>
      </c>
      <c r="M484">
        <f>VLOOKUP(H484,'Stage Order'!$A$2:$B$8,2,FALSE)</f>
        <v>2</v>
      </c>
      <c r="N484" t="str">
        <f t="shared" si="14"/>
        <v>2. 1-24 hours</v>
      </c>
      <c r="O484" t="str">
        <f t="shared" si="15"/>
        <v>2026-04</v>
      </c>
    </row>
    <row r="485" spans="1:15" x14ac:dyDescent="0.3">
      <c r="A485" t="s">
        <v>1201</v>
      </c>
      <c r="B485" t="s">
        <v>1202</v>
      </c>
      <c r="C485" t="s">
        <v>28</v>
      </c>
      <c r="D485" t="s">
        <v>77</v>
      </c>
      <c r="E485" t="s">
        <v>45</v>
      </c>
      <c r="F485" t="s">
        <v>94</v>
      </c>
      <c r="G485">
        <v>4.8099999999999996</v>
      </c>
      <c r="H485" t="s">
        <v>41</v>
      </c>
      <c r="I485" t="s">
        <v>42</v>
      </c>
      <c r="M485">
        <f>VLOOKUP(H485,'Stage Order'!$A$2:$B$8,2,FALSE)</f>
        <v>2</v>
      </c>
      <c r="N485" t="str">
        <f t="shared" si="14"/>
        <v>2. 1-24 hours</v>
      </c>
      <c r="O485" t="str">
        <f t="shared" si="15"/>
        <v>2026-03</v>
      </c>
    </row>
    <row r="486" spans="1:15" x14ac:dyDescent="0.3">
      <c r="A486" t="s">
        <v>1203</v>
      </c>
      <c r="B486" t="s">
        <v>1204</v>
      </c>
      <c r="C486" t="s">
        <v>53</v>
      </c>
      <c r="D486" t="s">
        <v>97</v>
      </c>
      <c r="E486" t="s">
        <v>45</v>
      </c>
      <c r="F486" t="s">
        <v>55</v>
      </c>
      <c r="G486">
        <v>16.41</v>
      </c>
      <c r="H486" t="s">
        <v>32</v>
      </c>
      <c r="I486" t="s">
        <v>33</v>
      </c>
      <c r="K486">
        <v>1363.78</v>
      </c>
      <c r="L486" t="s">
        <v>1205</v>
      </c>
      <c r="M486">
        <f>VLOOKUP(H486,'Stage Order'!$A$2:$B$8,2,FALSE)</f>
        <v>7</v>
      </c>
      <c r="N486" t="str">
        <f t="shared" si="14"/>
        <v>2. 1-24 hours</v>
      </c>
      <c r="O486" t="str">
        <f t="shared" si="15"/>
        <v>2025-02</v>
      </c>
    </row>
    <row r="487" spans="1:15" x14ac:dyDescent="0.3">
      <c r="A487" t="s">
        <v>1206</v>
      </c>
      <c r="B487" t="s">
        <v>1207</v>
      </c>
      <c r="C487" t="s">
        <v>28</v>
      </c>
      <c r="D487" t="s">
        <v>54</v>
      </c>
      <c r="E487" t="s">
        <v>59</v>
      </c>
      <c r="F487" t="s">
        <v>117</v>
      </c>
      <c r="G487">
        <v>0.63</v>
      </c>
      <c r="H487" t="s">
        <v>32</v>
      </c>
      <c r="I487" t="s">
        <v>33</v>
      </c>
      <c r="K487">
        <v>586.53</v>
      </c>
      <c r="L487" t="s">
        <v>1208</v>
      </c>
      <c r="M487">
        <f>VLOOKUP(H487,'Stage Order'!$A$2:$B$8,2,FALSE)</f>
        <v>7</v>
      </c>
      <c r="N487" t="str">
        <f t="shared" si="14"/>
        <v>1. Under 1 hour</v>
      </c>
      <c r="O487" t="str">
        <f t="shared" si="15"/>
        <v>2026-04</v>
      </c>
    </row>
    <row r="488" spans="1:15" x14ac:dyDescent="0.3">
      <c r="A488" t="s">
        <v>1209</v>
      </c>
      <c r="B488" t="s">
        <v>1210</v>
      </c>
      <c r="C488" t="s">
        <v>125</v>
      </c>
      <c r="D488" t="s">
        <v>29</v>
      </c>
      <c r="E488" t="s">
        <v>39</v>
      </c>
      <c r="F488" t="s">
        <v>40</v>
      </c>
      <c r="G488">
        <v>1.85</v>
      </c>
      <c r="H488" t="s">
        <v>128</v>
      </c>
      <c r="I488" t="s">
        <v>42</v>
      </c>
      <c r="M488">
        <f>VLOOKUP(H488,'Stage Order'!$A$2:$B$8,2,FALSE)</f>
        <v>3</v>
      </c>
      <c r="N488" t="str">
        <f t="shared" si="14"/>
        <v>2. 1-24 hours</v>
      </c>
      <c r="O488" t="str">
        <f t="shared" si="15"/>
        <v>2025-07</v>
      </c>
    </row>
    <row r="489" spans="1:15" x14ac:dyDescent="0.3">
      <c r="A489" t="s">
        <v>1211</v>
      </c>
      <c r="B489" t="s">
        <v>1212</v>
      </c>
      <c r="C489" t="s">
        <v>125</v>
      </c>
      <c r="D489" t="s">
        <v>77</v>
      </c>
      <c r="E489" t="s">
        <v>45</v>
      </c>
      <c r="F489" t="s">
        <v>46</v>
      </c>
      <c r="G489">
        <v>7.6</v>
      </c>
      <c r="H489" t="s">
        <v>61</v>
      </c>
      <c r="I489" t="s">
        <v>42</v>
      </c>
      <c r="M489">
        <f>VLOOKUP(H489,'Stage Order'!$A$2:$B$8,2,FALSE)</f>
        <v>1</v>
      </c>
      <c r="N489" t="str">
        <f t="shared" si="14"/>
        <v>2. 1-24 hours</v>
      </c>
      <c r="O489" t="str">
        <f t="shared" si="15"/>
        <v>2026-01</v>
      </c>
    </row>
    <row r="490" spans="1:15" x14ac:dyDescent="0.3">
      <c r="A490" t="s">
        <v>1213</v>
      </c>
      <c r="B490" t="s">
        <v>1214</v>
      </c>
      <c r="C490" t="s">
        <v>125</v>
      </c>
      <c r="D490" t="s">
        <v>97</v>
      </c>
      <c r="E490" t="s">
        <v>90</v>
      </c>
      <c r="F490" t="s">
        <v>112</v>
      </c>
      <c r="G490">
        <v>13.79</v>
      </c>
      <c r="H490" t="s">
        <v>41</v>
      </c>
      <c r="I490" t="s">
        <v>42</v>
      </c>
      <c r="M490">
        <f>VLOOKUP(H490,'Stage Order'!$A$2:$B$8,2,FALSE)</f>
        <v>2</v>
      </c>
      <c r="N490" t="str">
        <f t="shared" si="14"/>
        <v>2. 1-24 hours</v>
      </c>
      <c r="O490" t="str">
        <f t="shared" si="15"/>
        <v>2025-09</v>
      </c>
    </row>
    <row r="491" spans="1:15" x14ac:dyDescent="0.3">
      <c r="A491" t="s">
        <v>1215</v>
      </c>
      <c r="B491" t="s">
        <v>1216</v>
      </c>
      <c r="C491" t="s">
        <v>125</v>
      </c>
      <c r="D491" t="s">
        <v>38</v>
      </c>
      <c r="E491" t="s">
        <v>59</v>
      </c>
      <c r="F491" t="s">
        <v>137</v>
      </c>
      <c r="G491">
        <v>1.61</v>
      </c>
      <c r="H491" t="s">
        <v>61</v>
      </c>
      <c r="I491" t="s">
        <v>42</v>
      </c>
      <c r="M491">
        <f>VLOOKUP(H491,'Stage Order'!$A$2:$B$8,2,FALSE)</f>
        <v>1</v>
      </c>
      <c r="N491" t="str">
        <f t="shared" si="14"/>
        <v>2. 1-24 hours</v>
      </c>
      <c r="O491" t="str">
        <f t="shared" si="15"/>
        <v>2026-02</v>
      </c>
    </row>
    <row r="492" spans="1:15" x14ac:dyDescent="0.3">
      <c r="A492" t="s">
        <v>1217</v>
      </c>
      <c r="B492" t="s">
        <v>1218</v>
      </c>
      <c r="C492" t="s">
        <v>58</v>
      </c>
      <c r="D492" t="s">
        <v>77</v>
      </c>
      <c r="E492" t="s">
        <v>45</v>
      </c>
      <c r="F492" t="s">
        <v>94</v>
      </c>
      <c r="G492">
        <v>1.01</v>
      </c>
      <c r="H492" t="s">
        <v>41</v>
      </c>
      <c r="I492" t="s">
        <v>42</v>
      </c>
      <c r="M492">
        <f>VLOOKUP(H492,'Stage Order'!$A$2:$B$8,2,FALSE)</f>
        <v>2</v>
      </c>
      <c r="N492" t="str">
        <f t="shared" si="14"/>
        <v>2. 1-24 hours</v>
      </c>
      <c r="O492" t="str">
        <f t="shared" si="15"/>
        <v>2025-12</v>
      </c>
    </row>
    <row r="493" spans="1:15" x14ac:dyDescent="0.3">
      <c r="A493" t="s">
        <v>1219</v>
      </c>
      <c r="B493" t="s">
        <v>1220</v>
      </c>
      <c r="C493" t="s">
        <v>125</v>
      </c>
      <c r="D493" t="s">
        <v>97</v>
      </c>
      <c r="E493" t="s">
        <v>59</v>
      </c>
      <c r="F493" t="s">
        <v>137</v>
      </c>
      <c r="G493">
        <v>0.64</v>
      </c>
      <c r="H493" t="s">
        <v>41</v>
      </c>
      <c r="I493" t="s">
        <v>42</v>
      </c>
      <c r="M493">
        <f>VLOOKUP(H493,'Stage Order'!$A$2:$B$8,2,FALSE)</f>
        <v>2</v>
      </c>
      <c r="N493" t="str">
        <f t="shared" si="14"/>
        <v>1. Under 1 hour</v>
      </c>
      <c r="O493" t="str">
        <f t="shared" si="15"/>
        <v>2025-08</v>
      </c>
    </row>
    <row r="494" spans="1:15" x14ac:dyDescent="0.3">
      <c r="A494" t="s">
        <v>1221</v>
      </c>
      <c r="B494" t="s">
        <v>1222</v>
      </c>
      <c r="C494" t="s">
        <v>37</v>
      </c>
      <c r="D494" t="s">
        <v>54</v>
      </c>
      <c r="E494" t="s">
        <v>39</v>
      </c>
      <c r="F494" t="s">
        <v>66</v>
      </c>
      <c r="G494">
        <v>4.47</v>
      </c>
      <c r="H494" t="s">
        <v>41</v>
      </c>
      <c r="I494" t="s">
        <v>42</v>
      </c>
      <c r="M494">
        <f>VLOOKUP(H494,'Stage Order'!$A$2:$B$8,2,FALSE)</f>
        <v>2</v>
      </c>
      <c r="N494" t="str">
        <f t="shared" si="14"/>
        <v>2. 1-24 hours</v>
      </c>
      <c r="O494" t="str">
        <f t="shared" si="15"/>
        <v>2025-03</v>
      </c>
    </row>
    <row r="495" spans="1:15" x14ac:dyDescent="0.3">
      <c r="A495" t="s">
        <v>1223</v>
      </c>
      <c r="B495" t="s">
        <v>1224</v>
      </c>
      <c r="C495" t="s">
        <v>58</v>
      </c>
      <c r="D495" t="s">
        <v>38</v>
      </c>
      <c r="E495" t="s">
        <v>39</v>
      </c>
      <c r="F495" t="s">
        <v>66</v>
      </c>
      <c r="G495">
        <v>0.56999999999999995</v>
      </c>
      <c r="H495" t="s">
        <v>41</v>
      </c>
      <c r="I495" t="s">
        <v>42</v>
      </c>
      <c r="M495">
        <f>VLOOKUP(H495,'Stage Order'!$A$2:$B$8,2,FALSE)</f>
        <v>2</v>
      </c>
      <c r="N495" t="str">
        <f t="shared" si="14"/>
        <v>1. Under 1 hour</v>
      </c>
      <c r="O495" t="str">
        <f t="shared" si="15"/>
        <v>2026-05</v>
      </c>
    </row>
    <row r="496" spans="1:15" x14ac:dyDescent="0.3">
      <c r="A496" t="s">
        <v>1225</v>
      </c>
      <c r="B496" t="s">
        <v>1226</v>
      </c>
      <c r="C496" t="s">
        <v>58</v>
      </c>
      <c r="D496" t="s">
        <v>29</v>
      </c>
      <c r="E496" t="s">
        <v>90</v>
      </c>
      <c r="F496" t="s">
        <v>112</v>
      </c>
      <c r="G496">
        <v>2.4300000000000002</v>
      </c>
      <c r="H496" t="s">
        <v>61</v>
      </c>
      <c r="I496" t="s">
        <v>42</v>
      </c>
      <c r="M496">
        <f>VLOOKUP(H496,'Stage Order'!$A$2:$B$8,2,FALSE)</f>
        <v>1</v>
      </c>
      <c r="N496" t="str">
        <f t="shared" si="14"/>
        <v>2. 1-24 hours</v>
      </c>
      <c r="O496" t="str">
        <f t="shared" si="15"/>
        <v>2025-02</v>
      </c>
    </row>
    <row r="497" spans="1:15" x14ac:dyDescent="0.3">
      <c r="A497" t="s">
        <v>1227</v>
      </c>
      <c r="B497" t="s">
        <v>1228</v>
      </c>
      <c r="C497" t="s">
        <v>53</v>
      </c>
      <c r="D497" t="s">
        <v>54</v>
      </c>
      <c r="E497" t="s">
        <v>39</v>
      </c>
      <c r="F497" t="s">
        <v>66</v>
      </c>
      <c r="G497">
        <v>1.95</v>
      </c>
      <c r="H497" t="s">
        <v>41</v>
      </c>
      <c r="I497" t="s">
        <v>42</v>
      </c>
      <c r="M497">
        <f>VLOOKUP(H497,'Stage Order'!$A$2:$B$8,2,FALSE)</f>
        <v>2</v>
      </c>
      <c r="N497" t="str">
        <f t="shared" si="14"/>
        <v>2. 1-24 hours</v>
      </c>
      <c r="O497" t="str">
        <f t="shared" si="15"/>
        <v>2026-01</v>
      </c>
    </row>
    <row r="498" spans="1:15" x14ac:dyDescent="0.3">
      <c r="A498" t="s">
        <v>1229</v>
      </c>
      <c r="B498" t="s">
        <v>1230</v>
      </c>
      <c r="C498" t="s">
        <v>53</v>
      </c>
      <c r="D498" t="s">
        <v>77</v>
      </c>
      <c r="E498" t="s">
        <v>45</v>
      </c>
      <c r="F498" t="s">
        <v>55</v>
      </c>
      <c r="G498">
        <v>10.79</v>
      </c>
      <c r="H498" t="s">
        <v>41</v>
      </c>
      <c r="I498" t="s">
        <v>42</v>
      </c>
      <c r="M498">
        <f>VLOOKUP(H498,'Stage Order'!$A$2:$B$8,2,FALSE)</f>
        <v>2</v>
      </c>
      <c r="N498" t="str">
        <f t="shared" si="14"/>
        <v>2. 1-24 hours</v>
      </c>
      <c r="O498" t="str">
        <f t="shared" si="15"/>
        <v>2025-10</v>
      </c>
    </row>
    <row r="499" spans="1:15" x14ac:dyDescent="0.3">
      <c r="A499" t="s">
        <v>1231</v>
      </c>
      <c r="B499" t="s">
        <v>1232</v>
      </c>
      <c r="C499" t="s">
        <v>53</v>
      </c>
      <c r="D499" t="s">
        <v>97</v>
      </c>
      <c r="E499" t="s">
        <v>39</v>
      </c>
      <c r="F499" t="s">
        <v>40</v>
      </c>
      <c r="G499">
        <v>0.66</v>
      </c>
      <c r="H499" t="s">
        <v>41</v>
      </c>
      <c r="I499" t="s">
        <v>42</v>
      </c>
      <c r="M499">
        <f>VLOOKUP(H499,'Stage Order'!$A$2:$B$8,2,FALSE)</f>
        <v>2</v>
      </c>
      <c r="N499" t="str">
        <f t="shared" si="14"/>
        <v>1. Under 1 hour</v>
      </c>
      <c r="O499" t="str">
        <f t="shared" si="15"/>
        <v>2025-04</v>
      </c>
    </row>
    <row r="500" spans="1:15" x14ac:dyDescent="0.3">
      <c r="A500" t="s">
        <v>1233</v>
      </c>
      <c r="B500" t="s">
        <v>1234</v>
      </c>
      <c r="C500" t="s">
        <v>37</v>
      </c>
      <c r="D500" t="s">
        <v>77</v>
      </c>
      <c r="E500" t="s">
        <v>45</v>
      </c>
      <c r="F500" t="s">
        <v>46</v>
      </c>
      <c r="G500">
        <v>28.97</v>
      </c>
      <c r="H500" t="s">
        <v>47</v>
      </c>
      <c r="I500" t="s">
        <v>48</v>
      </c>
      <c r="J500" t="s">
        <v>139</v>
      </c>
      <c r="K500">
        <v>1024.75</v>
      </c>
      <c r="L500" t="s">
        <v>1235</v>
      </c>
      <c r="M500">
        <f>VLOOKUP(H500,'Stage Order'!$A$2:$B$8,2,FALSE)</f>
        <v>4</v>
      </c>
      <c r="N500" t="str">
        <f t="shared" si="14"/>
        <v>3. 1-3 days</v>
      </c>
      <c r="O500" t="str">
        <f t="shared" si="15"/>
        <v>2026-02</v>
      </c>
    </row>
    <row r="501" spans="1:15" x14ac:dyDescent="0.3">
      <c r="A501" t="s">
        <v>1236</v>
      </c>
      <c r="B501" t="s">
        <v>1237</v>
      </c>
      <c r="C501" t="s">
        <v>125</v>
      </c>
      <c r="D501" t="s">
        <v>54</v>
      </c>
      <c r="E501" t="s">
        <v>45</v>
      </c>
      <c r="F501" t="s">
        <v>46</v>
      </c>
      <c r="G501">
        <v>4.45</v>
      </c>
      <c r="H501" t="s">
        <v>41</v>
      </c>
      <c r="I501" t="s">
        <v>42</v>
      </c>
      <c r="M501">
        <f>VLOOKUP(H501,'Stage Order'!$A$2:$B$8,2,FALSE)</f>
        <v>2</v>
      </c>
      <c r="N501" t="str">
        <f t="shared" si="14"/>
        <v>2. 1-24 hours</v>
      </c>
      <c r="O501" t="str">
        <f t="shared" si="15"/>
        <v>2025-09</v>
      </c>
    </row>
    <row r="502" spans="1:15" x14ac:dyDescent="0.3">
      <c r="A502" t="s">
        <v>1238</v>
      </c>
      <c r="B502" t="s">
        <v>1239</v>
      </c>
      <c r="C502" t="s">
        <v>53</v>
      </c>
      <c r="D502" t="s">
        <v>29</v>
      </c>
      <c r="E502" t="s">
        <v>90</v>
      </c>
      <c r="F502" t="s">
        <v>145</v>
      </c>
      <c r="G502">
        <v>5.0199999999999996</v>
      </c>
      <c r="H502" t="s">
        <v>47</v>
      </c>
      <c r="I502" t="s">
        <v>48</v>
      </c>
      <c r="J502" t="s">
        <v>742</v>
      </c>
      <c r="K502">
        <v>714.89</v>
      </c>
      <c r="L502" t="s">
        <v>1240</v>
      </c>
      <c r="M502">
        <f>VLOOKUP(H502,'Stage Order'!$A$2:$B$8,2,FALSE)</f>
        <v>4</v>
      </c>
      <c r="N502" t="str">
        <f t="shared" si="14"/>
        <v>2. 1-24 hours</v>
      </c>
      <c r="O502" t="str">
        <f t="shared" si="15"/>
        <v>2026-01</v>
      </c>
    </row>
    <row r="503" spans="1:15" x14ac:dyDescent="0.3">
      <c r="A503" t="s">
        <v>1241</v>
      </c>
      <c r="B503" t="s">
        <v>1242</v>
      </c>
      <c r="C503" t="s">
        <v>53</v>
      </c>
      <c r="D503" t="s">
        <v>54</v>
      </c>
      <c r="E503" t="s">
        <v>39</v>
      </c>
      <c r="F503" t="s">
        <v>106</v>
      </c>
      <c r="G503">
        <v>3.35</v>
      </c>
      <c r="H503" t="s">
        <v>32</v>
      </c>
      <c r="I503" t="s">
        <v>33</v>
      </c>
      <c r="K503">
        <v>432.34</v>
      </c>
      <c r="L503" t="s">
        <v>1243</v>
      </c>
      <c r="M503">
        <f>VLOOKUP(H503,'Stage Order'!$A$2:$B$8,2,FALSE)</f>
        <v>7</v>
      </c>
      <c r="N503" t="str">
        <f t="shared" si="14"/>
        <v>2. 1-24 hours</v>
      </c>
      <c r="O503" t="str">
        <f t="shared" si="15"/>
        <v>2025-11</v>
      </c>
    </row>
    <row r="504" spans="1:15" x14ac:dyDescent="0.3">
      <c r="A504" t="s">
        <v>1244</v>
      </c>
      <c r="B504" t="s">
        <v>1245</v>
      </c>
      <c r="C504" t="s">
        <v>37</v>
      </c>
      <c r="D504" t="s">
        <v>38</v>
      </c>
      <c r="E504" t="s">
        <v>45</v>
      </c>
      <c r="F504" t="s">
        <v>94</v>
      </c>
      <c r="G504">
        <v>3.73</v>
      </c>
      <c r="H504" t="s">
        <v>41</v>
      </c>
      <c r="I504" t="s">
        <v>42</v>
      </c>
      <c r="M504">
        <f>VLOOKUP(H504,'Stage Order'!$A$2:$B$8,2,FALSE)</f>
        <v>2</v>
      </c>
      <c r="N504" t="str">
        <f t="shared" si="14"/>
        <v>2. 1-24 hours</v>
      </c>
      <c r="O504" t="str">
        <f t="shared" si="15"/>
        <v>2026-03</v>
      </c>
    </row>
    <row r="505" spans="1:15" x14ac:dyDescent="0.3">
      <c r="A505" t="s">
        <v>1246</v>
      </c>
      <c r="B505" t="s">
        <v>1247</v>
      </c>
      <c r="C505" t="s">
        <v>125</v>
      </c>
      <c r="D505" t="s">
        <v>29</v>
      </c>
      <c r="E505" t="s">
        <v>45</v>
      </c>
      <c r="F505" t="s">
        <v>55</v>
      </c>
      <c r="G505">
        <v>2.4500000000000002</v>
      </c>
      <c r="H505" t="s">
        <v>47</v>
      </c>
      <c r="I505" t="s">
        <v>48</v>
      </c>
      <c r="J505" t="s">
        <v>49</v>
      </c>
      <c r="K505">
        <v>542.94000000000005</v>
      </c>
      <c r="L505" t="s">
        <v>1248</v>
      </c>
      <c r="M505">
        <f>VLOOKUP(H505,'Stage Order'!$A$2:$B$8,2,FALSE)</f>
        <v>4</v>
      </c>
      <c r="N505" t="str">
        <f t="shared" si="14"/>
        <v>2. 1-24 hours</v>
      </c>
      <c r="O505" t="str">
        <f t="shared" si="15"/>
        <v>2026-02</v>
      </c>
    </row>
    <row r="506" spans="1:15" x14ac:dyDescent="0.3">
      <c r="A506" t="s">
        <v>1249</v>
      </c>
      <c r="B506" t="s">
        <v>1250</v>
      </c>
      <c r="C506" t="s">
        <v>58</v>
      </c>
      <c r="D506" t="s">
        <v>97</v>
      </c>
      <c r="E506" t="s">
        <v>39</v>
      </c>
      <c r="F506" t="s">
        <v>66</v>
      </c>
      <c r="G506">
        <v>0.81</v>
      </c>
      <c r="H506" t="s">
        <v>128</v>
      </c>
      <c r="I506" t="s">
        <v>42</v>
      </c>
      <c r="M506">
        <f>VLOOKUP(H506,'Stage Order'!$A$2:$B$8,2,FALSE)</f>
        <v>3</v>
      </c>
      <c r="N506" t="str">
        <f t="shared" si="14"/>
        <v>1. Under 1 hour</v>
      </c>
      <c r="O506" t="str">
        <f t="shared" si="15"/>
        <v>2026-02</v>
      </c>
    </row>
    <row r="507" spans="1:15" x14ac:dyDescent="0.3">
      <c r="A507" t="s">
        <v>1251</v>
      </c>
      <c r="B507" t="s">
        <v>1252</v>
      </c>
      <c r="C507" t="s">
        <v>58</v>
      </c>
      <c r="D507" t="s">
        <v>77</v>
      </c>
      <c r="E507" t="s">
        <v>59</v>
      </c>
      <c r="F507" t="s">
        <v>137</v>
      </c>
      <c r="G507">
        <v>2.93</v>
      </c>
      <c r="H507" t="s">
        <v>61</v>
      </c>
      <c r="I507" t="s">
        <v>42</v>
      </c>
      <c r="M507">
        <f>VLOOKUP(H507,'Stage Order'!$A$2:$B$8,2,FALSE)</f>
        <v>1</v>
      </c>
      <c r="N507" t="str">
        <f t="shared" si="14"/>
        <v>2. 1-24 hours</v>
      </c>
      <c r="O507" t="str">
        <f t="shared" si="15"/>
        <v>2026-03</v>
      </c>
    </row>
    <row r="508" spans="1:15" x14ac:dyDescent="0.3">
      <c r="A508" t="s">
        <v>1253</v>
      </c>
      <c r="B508" t="s">
        <v>1254</v>
      </c>
      <c r="C508" t="s">
        <v>37</v>
      </c>
      <c r="D508" t="s">
        <v>54</v>
      </c>
      <c r="E508" t="s">
        <v>90</v>
      </c>
      <c r="F508" t="s">
        <v>145</v>
      </c>
      <c r="G508">
        <v>3.87</v>
      </c>
      <c r="H508" t="s">
        <v>47</v>
      </c>
      <c r="I508" t="s">
        <v>48</v>
      </c>
      <c r="J508" t="s">
        <v>113</v>
      </c>
      <c r="K508">
        <v>483.77</v>
      </c>
      <c r="L508" t="s">
        <v>1255</v>
      </c>
      <c r="M508">
        <f>VLOOKUP(H508,'Stage Order'!$A$2:$B$8,2,FALSE)</f>
        <v>4</v>
      </c>
      <c r="N508" t="str">
        <f t="shared" si="14"/>
        <v>2. 1-24 hours</v>
      </c>
      <c r="O508" t="str">
        <f t="shared" si="15"/>
        <v>2026-03</v>
      </c>
    </row>
    <row r="509" spans="1:15" x14ac:dyDescent="0.3">
      <c r="A509" t="s">
        <v>1256</v>
      </c>
      <c r="B509" t="s">
        <v>1257</v>
      </c>
      <c r="C509" t="s">
        <v>125</v>
      </c>
      <c r="D509" t="s">
        <v>54</v>
      </c>
      <c r="E509" t="s">
        <v>45</v>
      </c>
      <c r="F509" t="s">
        <v>55</v>
      </c>
      <c r="G509">
        <v>5.77</v>
      </c>
      <c r="H509" t="s">
        <v>41</v>
      </c>
      <c r="I509" t="s">
        <v>42</v>
      </c>
      <c r="M509">
        <f>VLOOKUP(H509,'Stage Order'!$A$2:$B$8,2,FALSE)</f>
        <v>2</v>
      </c>
      <c r="N509" t="str">
        <f t="shared" si="14"/>
        <v>2. 1-24 hours</v>
      </c>
      <c r="O509" t="str">
        <f t="shared" si="15"/>
        <v>2025-03</v>
      </c>
    </row>
    <row r="510" spans="1:15" x14ac:dyDescent="0.3">
      <c r="A510" t="s">
        <v>1258</v>
      </c>
      <c r="B510" t="s">
        <v>1259</v>
      </c>
      <c r="C510" t="s">
        <v>76</v>
      </c>
      <c r="D510" t="s">
        <v>97</v>
      </c>
      <c r="E510" t="s">
        <v>39</v>
      </c>
      <c r="F510" t="s">
        <v>40</v>
      </c>
      <c r="G510">
        <v>1.71</v>
      </c>
      <c r="H510" t="s">
        <v>32</v>
      </c>
      <c r="I510" t="s">
        <v>33</v>
      </c>
      <c r="K510">
        <v>1567.84</v>
      </c>
      <c r="L510" t="s">
        <v>1260</v>
      </c>
      <c r="M510">
        <f>VLOOKUP(H510,'Stage Order'!$A$2:$B$8,2,FALSE)</f>
        <v>7</v>
      </c>
      <c r="N510" t="str">
        <f t="shared" si="14"/>
        <v>2. 1-24 hours</v>
      </c>
      <c r="O510" t="str">
        <f t="shared" si="15"/>
        <v>2025-10</v>
      </c>
    </row>
    <row r="511" spans="1:15" x14ac:dyDescent="0.3">
      <c r="A511" t="s">
        <v>1261</v>
      </c>
      <c r="B511" t="s">
        <v>1262</v>
      </c>
      <c r="C511" t="s">
        <v>81</v>
      </c>
      <c r="D511" t="s">
        <v>29</v>
      </c>
      <c r="E511" t="s">
        <v>39</v>
      </c>
      <c r="F511" t="s">
        <v>40</v>
      </c>
      <c r="G511">
        <v>10.119999999999999</v>
      </c>
      <c r="H511" t="s">
        <v>41</v>
      </c>
      <c r="I511" t="s">
        <v>42</v>
      </c>
      <c r="M511">
        <f>VLOOKUP(H511,'Stage Order'!$A$2:$B$8,2,FALSE)</f>
        <v>2</v>
      </c>
      <c r="N511" t="str">
        <f t="shared" si="14"/>
        <v>2. 1-24 hours</v>
      </c>
      <c r="O511" t="str">
        <f t="shared" si="15"/>
        <v>2026-04</v>
      </c>
    </row>
    <row r="512" spans="1:15" x14ac:dyDescent="0.3">
      <c r="A512" t="s">
        <v>1263</v>
      </c>
      <c r="B512" t="s">
        <v>1264</v>
      </c>
      <c r="C512" t="s">
        <v>76</v>
      </c>
      <c r="D512" t="s">
        <v>97</v>
      </c>
      <c r="E512" t="s">
        <v>90</v>
      </c>
      <c r="F512" t="s">
        <v>91</v>
      </c>
      <c r="G512">
        <v>9</v>
      </c>
      <c r="H512" t="s">
        <v>61</v>
      </c>
      <c r="I512" t="s">
        <v>42</v>
      </c>
      <c r="M512">
        <f>VLOOKUP(H512,'Stage Order'!$A$2:$B$8,2,FALSE)</f>
        <v>1</v>
      </c>
      <c r="N512" t="str">
        <f t="shared" si="14"/>
        <v>2. 1-24 hours</v>
      </c>
      <c r="O512" t="str">
        <f t="shared" si="15"/>
        <v>2025-02</v>
      </c>
    </row>
    <row r="513" spans="1:15" x14ac:dyDescent="0.3">
      <c r="A513" t="s">
        <v>1265</v>
      </c>
      <c r="B513" t="s">
        <v>1266</v>
      </c>
      <c r="C513" t="s">
        <v>53</v>
      </c>
      <c r="D513" t="s">
        <v>54</v>
      </c>
      <c r="E513" t="s">
        <v>90</v>
      </c>
      <c r="F513" t="s">
        <v>145</v>
      </c>
      <c r="G513">
        <v>2.35</v>
      </c>
      <c r="H513" t="s">
        <v>128</v>
      </c>
      <c r="I513" t="s">
        <v>42</v>
      </c>
      <c r="M513">
        <f>VLOOKUP(H513,'Stage Order'!$A$2:$B$8,2,FALSE)</f>
        <v>3</v>
      </c>
      <c r="N513" t="str">
        <f t="shared" si="14"/>
        <v>2. 1-24 hours</v>
      </c>
      <c r="O513" t="str">
        <f t="shared" si="15"/>
        <v>2026-05</v>
      </c>
    </row>
    <row r="514" spans="1:15" x14ac:dyDescent="0.3">
      <c r="A514" t="s">
        <v>1267</v>
      </c>
      <c r="B514" t="s">
        <v>1268</v>
      </c>
      <c r="C514" t="s">
        <v>28</v>
      </c>
      <c r="D514" t="s">
        <v>54</v>
      </c>
      <c r="E514" t="s">
        <v>39</v>
      </c>
      <c r="F514" t="s">
        <v>66</v>
      </c>
      <c r="G514">
        <v>0.37</v>
      </c>
      <c r="H514" t="s">
        <v>41</v>
      </c>
      <c r="I514" t="s">
        <v>42</v>
      </c>
      <c r="M514">
        <f>VLOOKUP(H514,'Stage Order'!$A$2:$B$8,2,FALSE)</f>
        <v>2</v>
      </c>
      <c r="N514" t="str">
        <f t="shared" ref="N514:N577" si="16">IF(G514&lt;=1,"1. Under 1 hour",IF(G514&lt;=24,"2. 1-24 hours",IF(G514&lt;=72,"3. 1-3 days","4. Over 3 days")))</f>
        <v>1. Under 1 hour</v>
      </c>
      <c r="O514" t="str">
        <f t="shared" ref="O514:O577" si="17">TEXT(B514,"YYYY-MM")</f>
        <v>2025-10</v>
      </c>
    </row>
    <row r="515" spans="1:15" x14ac:dyDescent="0.3">
      <c r="A515" t="s">
        <v>1269</v>
      </c>
      <c r="B515" t="s">
        <v>1270</v>
      </c>
      <c r="C515" t="s">
        <v>125</v>
      </c>
      <c r="D515" t="s">
        <v>97</v>
      </c>
      <c r="E515" t="s">
        <v>59</v>
      </c>
      <c r="F515" t="s">
        <v>137</v>
      </c>
      <c r="G515">
        <v>1.1200000000000001</v>
      </c>
      <c r="H515" t="s">
        <v>41</v>
      </c>
      <c r="I515" t="s">
        <v>42</v>
      </c>
      <c r="M515">
        <f>VLOOKUP(H515,'Stage Order'!$A$2:$B$8,2,FALSE)</f>
        <v>2</v>
      </c>
      <c r="N515" t="str">
        <f t="shared" si="16"/>
        <v>2. 1-24 hours</v>
      </c>
      <c r="O515" t="str">
        <f t="shared" si="17"/>
        <v>2025-12</v>
      </c>
    </row>
    <row r="516" spans="1:15" x14ac:dyDescent="0.3">
      <c r="A516" t="s">
        <v>1271</v>
      </c>
      <c r="B516" t="s">
        <v>1272</v>
      </c>
      <c r="C516" t="s">
        <v>37</v>
      </c>
      <c r="D516" t="s">
        <v>29</v>
      </c>
      <c r="E516" t="s">
        <v>59</v>
      </c>
      <c r="F516" t="s">
        <v>117</v>
      </c>
      <c r="G516">
        <v>2.36</v>
      </c>
      <c r="H516" t="s">
        <v>41</v>
      </c>
      <c r="I516" t="s">
        <v>42</v>
      </c>
      <c r="M516">
        <f>VLOOKUP(H516,'Stage Order'!$A$2:$B$8,2,FALSE)</f>
        <v>2</v>
      </c>
      <c r="N516" t="str">
        <f t="shared" si="16"/>
        <v>2. 1-24 hours</v>
      </c>
      <c r="O516" t="str">
        <f t="shared" si="17"/>
        <v>2025-08</v>
      </c>
    </row>
    <row r="517" spans="1:15" x14ac:dyDescent="0.3">
      <c r="A517" t="s">
        <v>1273</v>
      </c>
      <c r="B517" t="s">
        <v>1274</v>
      </c>
      <c r="C517" t="s">
        <v>76</v>
      </c>
      <c r="D517" t="s">
        <v>38</v>
      </c>
      <c r="E517" t="s">
        <v>45</v>
      </c>
      <c r="F517" t="s">
        <v>55</v>
      </c>
      <c r="G517">
        <v>0.88</v>
      </c>
      <c r="H517" t="s">
        <v>32</v>
      </c>
      <c r="I517" t="s">
        <v>33</v>
      </c>
      <c r="K517">
        <v>310.95999999999998</v>
      </c>
      <c r="L517" t="s">
        <v>1275</v>
      </c>
      <c r="M517">
        <f>VLOOKUP(H517,'Stage Order'!$A$2:$B$8,2,FALSE)</f>
        <v>7</v>
      </c>
      <c r="N517" t="str">
        <f t="shared" si="16"/>
        <v>1. Under 1 hour</v>
      </c>
      <c r="O517" t="str">
        <f t="shared" si="17"/>
        <v>2025-07</v>
      </c>
    </row>
    <row r="518" spans="1:15" x14ac:dyDescent="0.3">
      <c r="A518" t="s">
        <v>1276</v>
      </c>
      <c r="B518" t="s">
        <v>1277</v>
      </c>
      <c r="C518" t="s">
        <v>58</v>
      </c>
      <c r="D518" t="s">
        <v>77</v>
      </c>
      <c r="E518" t="s">
        <v>30</v>
      </c>
      <c r="F518" t="s">
        <v>31</v>
      </c>
      <c r="G518">
        <v>1.53</v>
      </c>
      <c r="H518" t="s">
        <v>41</v>
      </c>
      <c r="I518" t="s">
        <v>42</v>
      </c>
      <c r="M518">
        <f>VLOOKUP(H518,'Stage Order'!$A$2:$B$8,2,FALSE)</f>
        <v>2</v>
      </c>
      <c r="N518" t="str">
        <f t="shared" si="16"/>
        <v>2. 1-24 hours</v>
      </c>
      <c r="O518" t="str">
        <f t="shared" si="17"/>
        <v>2025-12</v>
      </c>
    </row>
    <row r="519" spans="1:15" x14ac:dyDescent="0.3">
      <c r="A519" t="s">
        <v>1278</v>
      </c>
      <c r="B519" t="s">
        <v>1279</v>
      </c>
      <c r="C519" t="s">
        <v>58</v>
      </c>
      <c r="D519" t="s">
        <v>29</v>
      </c>
      <c r="E519" t="s">
        <v>45</v>
      </c>
      <c r="F519" t="s">
        <v>55</v>
      </c>
      <c r="G519">
        <v>1.41</v>
      </c>
      <c r="H519" t="s">
        <v>41</v>
      </c>
      <c r="I519" t="s">
        <v>42</v>
      </c>
      <c r="M519">
        <f>VLOOKUP(H519,'Stage Order'!$A$2:$B$8,2,FALSE)</f>
        <v>2</v>
      </c>
      <c r="N519" t="str">
        <f t="shared" si="16"/>
        <v>2. 1-24 hours</v>
      </c>
      <c r="O519" t="str">
        <f t="shared" si="17"/>
        <v>2025-02</v>
      </c>
    </row>
    <row r="520" spans="1:15" x14ac:dyDescent="0.3">
      <c r="A520" t="s">
        <v>1280</v>
      </c>
      <c r="B520" t="s">
        <v>1281</v>
      </c>
      <c r="C520" t="s">
        <v>58</v>
      </c>
      <c r="D520" t="s">
        <v>77</v>
      </c>
      <c r="E520" t="s">
        <v>45</v>
      </c>
      <c r="F520" t="s">
        <v>55</v>
      </c>
      <c r="G520">
        <v>6.42</v>
      </c>
      <c r="H520" t="s">
        <v>41</v>
      </c>
      <c r="I520" t="s">
        <v>42</v>
      </c>
      <c r="M520">
        <f>VLOOKUP(H520,'Stage Order'!$A$2:$B$8,2,FALSE)</f>
        <v>2</v>
      </c>
      <c r="N520" t="str">
        <f t="shared" si="16"/>
        <v>2. 1-24 hours</v>
      </c>
      <c r="O520" t="str">
        <f t="shared" si="17"/>
        <v>2026-01</v>
      </c>
    </row>
    <row r="521" spans="1:15" x14ac:dyDescent="0.3">
      <c r="A521" t="s">
        <v>1282</v>
      </c>
      <c r="B521" t="s">
        <v>1283</v>
      </c>
      <c r="C521" t="s">
        <v>37</v>
      </c>
      <c r="D521" t="s">
        <v>97</v>
      </c>
      <c r="E521" t="s">
        <v>39</v>
      </c>
      <c r="F521" t="s">
        <v>40</v>
      </c>
      <c r="G521">
        <v>1.91</v>
      </c>
      <c r="H521" t="s">
        <v>47</v>
      </c>
      <c r="I521" t="s">
        <v>48</v>
      </c>
      <c r="J521" t="s">
        <v>139</v>
      </c>
      <c r="K521">
        <v>1623.03</v>
      </c>
      <c r="L521" t="s">
        <v>1284</v>
      </c>
      <c r="M521">
        <f>VLOOKUP(H521,'Stage Order'!$A$2:$B$8,2,FALSE)</f>
        <v>4</v>
      </c>
      <c r="N521" t="str">
        <f t="shared" si="16"/>
        <v>2. 1-24 hours</v>
      </c>
      <c r="O521" t="str">
        <f t="shared" si="17"/>
        <v>2025-12</v>
      </c>
    </row>
    <row r="522" spans="1:15" x14ac:dyDescent="0.3">
      <c r="A522" t="s">
        <v>1285</v>
      </c>
      <c r="B522" t="s">
        <v>1286</v>
      </c>
      <c r="C522" t="s">
        <v>125</v>
      </c>
      <c r="D522" t="s">
        <v>54</v>
      </c>
      <c r="E522" t="s">
        <v>30</v>
      </c>
      <c r="F522" t="s">
        <v>82</v>
      </c>
      <c r="G522">
        <v>4.04</v>
      </c>
      <c r="H522" t="s">
        <v>61</v>
      </c>
      <c r="I522" t="s">
        <v>42</v>
      </c>
      <c r="M522">
        <f>VLOOKUP(H522,'Stage Order'!$A$2:$B$8,2,FALSE)</f>
        <v>1</v>
      </c>
      <c r="N522" t="str">
        <f t="shared" si="16"/>
        <v>2. 1-24 hours</v>
      </c>
      <c r="O522" t="str">
        <f t="shared" si="17"/>
        <v>2026-06</v>
      </c>
    </row>
    <row r="523" spans="1:15" x14ac:dyDescent="0.3">
      <c r="A523" t="s">
        <v>1287</v>
      </c>
      <c r="B523" t="s">
        <v>1288</v>
      </c>
      <c r="C523" t="s">
        <v>58</v>
      </c>
      <c r="D523" t="s">
        <v>54</v>
      </c>
      <c r="E523" t="s">
        <v>90</v>
      </c>
      <c r="F523" t="s">
        <v>145</v>
      </c>
      <c r="G523">
        <v>3.52</v>
      </c>
      <c r="H523" t="s">
        <v>61</v>
      </c>
      <c r="I523" t="s">
        <v>42</v>
      </c>
      <c r="M523">
        <f>VLOOKUP(H523,'Stage Order'!$A$2:$B$8,2,FALSE)</f>
        <v>1</v>
      </c>
      <c r="N523" t="str">
        <f t="shared" si="16"/>
        <v>2. 1-24 hours</v>
      </c>
      <c r="O523" t="str">
        <f t="shared" si="17"/>
        <v>2026-02</v>
      </c>
    </row>
    <row r="524" spans="1:15" x14ac:dyDescent="0.3">
      <c r="A524" t="s">
        <v>1289</v>
      </c>
      <c r="B524" t="s">
        <v>1290</v>
      </c>
      <c r="C524" t="s">
        <v>81</v>
      </c>
      <c r="D524" t="s">
        <v>29</v>
      </c>
      <c r="E524" t="s">
        <v>39</v>
      </c>
      <c r="F524" t="s">
        <v>106</v>
      </c>
      <c r="G524">
        <v>1.06</v>
      </c>
      <c r="H524" t="s">
        <v>128</v>
      </c>
      <c r="I524" t="s">
        <v>42</v>
      </c>
      <c r="M524">
        <f>VLOOKUP(H524,'Stage Order'!$A$2:$B$8,2,FALSE)</f>
        <v>3</v>
      </c>
      <c r="N524" t="str">
        <f t="shared" si="16"/>
        <v>2. 1-24 hours</v>
      </c>
      <c r="O524" t="str">
        <f t="shared" si="17"/>
        <v>2025-11</v>
      </c>
    </row>
    <row r="525" spans="1:15" x14ac:dyDescent="0.3">
      <c r="A525" t="s">
        <v>1291</v>
      </c>
      <c r="B525" t="s">
        <v>1292</v>
      </c>
      <c r="C525" t="s">
        <v>125</v>
      </c>
      <c r="D525" t="s">
        <v>54</v>
      </c>
      <c r="E525" t="s">
        <v>90</v>
      </c>
      <c r="F525" t="s">
        <v>145</v>
      </c>
      <c r="G525">
        <v>0.76</v>
      </c>
      <c r="H525" t="s">
        <v>128</v>
      </c>
      <c r="I525" t="s">
        <v>42</v>
      </c>
      <c r="M525">
        <f>VLOOKUP(H525,'Stage Order'!$A$2:$B$8,2,FALSE)</f>
        <v>3</v>
      </c>
      <c r="N525" t="str">
        <f t="shared" si="16"/>
        <v>1. Under 1 hour</v>
      </c>
      <c r="O525" t="str">
        <f t="shared" si="17"/>
        <v>2025-12</v>
      </c>
    </row>
    <row r="526" spans="1:15" x14ac:dyDescent="0.3">
      <c r="A526" t="s">
        <v>1293</v>
      </c>
      <c r="B526" t="s">
        <v>1294</v>
      </c>
      <c r="C526" t="s">
        <v>37</v>
      </c>
      <c r="D526" t="s">
        <v>38</v>
      </c>
      <c r="E526" t="s">
        <v>45</v>
      </c>
      <c r="F526" t="s">
        <v>46</v>
      </c>
      <c r="G526">
        <v>5.99</v>
      </c>
      <c r="H526" t="s">
        <v>41</v>
      </c>
      <c r="I526" t="s">
        <v>42</v>
      </c>
      <c r="M526">
        <f>VLOOKUP(H526,'Stage Order'!$A$2:$B$8,2,FALSE)</f>
        <v>2</v>
      </c>
      <c r="N526" t="str">
        <f t="shared" si="16"/>
        <v>2. 1-24 hours</v>
      </c>
      <c r="O526" t="str">
        <f t="shared" si="17"/>
        <v>2025-12</v>
      </c>
    </row>
    <row r="527" spans="1:15" x14ac:dyDescent="0.3">
      <c r="A527" t="s">
        <v>1295</v>
      </c>
      <c r="B527" t="s">
        <v>1296</v>
      </c>
      <c r="C527" t="s">
        <v>81</v>
      </c>
      <c r="D527" t="s">
        <v>38</v>
      </c>
      <c r="E527" t="s">
        <v>39</v>
      </c>
      <c r="F527" t="s">
        <v>40</v>
      </c>
      <c r="G527">
        <v>0.56999999999999995</v>
      </c>
      <c r="H527" t="s">
        <v>41</v>
      </c>
      <c r="I527" t="s">
        <v>42</v>
      </c>
      <c r="M527">
        <f>VLOOKUP(H527,'Stage Order'!$A$2:$B$8,2,FALSE)</f>
        <v>2</v>
      </c>
      <c r="N527" t="str">
        <f t="shared" si="16"/>
        <v>1. Under 1 hour</v>
      </c>
      <c r="O527" t="str">
        <f t="shared" si="17"/>
        <v>2025-03</v>
      </c>
    </row>
    <row r="528" spans="1:15" x14ac:dyDescent="0.3">
      <c r="A528" t="s">
        <v>1297</v>
      </c>
      <c r="B528" t="s">
        <v>1298</v>
      </c>
      <c r="C528" t="s">
        <v>37</v>
      </c>
      <c r="D528" t="s">
        <v>29</v>
      </c>
      <c r="E528" t="s">
        <v>90</v>
      </c>
      <c r="F528" t="s">
        <v>145</v>
      </c>
      <c r="G528">
        <v>2.2799999999999998</v>
      </c>
      <c r="H528" t="s">
        <v>41</v>
      </c>
      <c r="I528" t="s">
        <v>42</v>
      </c>
      <c r="M528">
        <f>VLOOKUP(H528,'Stage Order'!$A$2:$B$8,2,FALSE)</f>
        <v>2</v>
      </c>
      <c r="N528" t="str">
        <f t="shared" si="16"/>
        <v>2. 1-24 hours</v>
      </c>
      <c r="O528" t="str">
        <f t="shared" si="17"/>
        <v>2025-04</v>
      </c>
    </row>
    <row r="529" spans="1:15" x14ac:dyDescent="0.3">
      <c r="A529" t="s">
        <v>1299</v>
      </c>
      <c r="B529" t="s">
        <v>1300</v>
      </c>
      <c r="C529" t="s">
        <v>76</v>
      </c>
      <c r="D529" t="s">
        <v>54</v>
      </c>
      <c r="E529" t="s">
        <v>90</v>
      </c>
      <c r="F529" t="s">
        <v>112</v>
      </c>
      <c r="G529">
        <v>1.3</v>
      </c>
      <c r="H529" t="s">
        <v>138</v>
      </c>
      <c r="I529" t="s">
        <v>48</v>
      </c>
      <c r="J529" t="s">
        <v>49</v>
      </c>
      <c r="K529">
        <v>583.41</v>
      </c>
      <c r="L529" t="s">
        <v>1301</v>
      </c>
      <c r="M529">
        <f>VLOOKUP(H529,'Stage Order'!$A$2:$B$8,2,FALSE)</f>
        <v>6</v>
      </c>
      <c r="N529" t="str">
        <f t="shared" si="16"/>
        <v>2. 1-24 hours</v>
      </c>
      <c r="O529" t="str">
        <f t="shared" si="17"/>
        <v>2025-06</v>
      </c>
    </row>
    <row r="530" spans="1:15" x14ac:dyDescent="0.3">
      <c r="A530" t="s">
        <v>1302</v>
      </c>
      <c r="B530" t="s">
        <v>1303</v>
      </c>
      <c r="C530" t="s">
        <v>125</v>
      </c>
      <c r="D530" t="s">
        <v>29</v>
      </c>
      <c r="E530" t="s">
        <v>45</v>
      </c>
      <c r="F530" t="s">
        <v>46</v>
      </c>
      <c r="G530">
        <v>5.28</v>
      </c>
      <c r="H530" t="s">
        <v>41</v>
      </c>
      <c r="I530" t="s">
        <v>42</v>
      </c>
      <c r="M530">
        <f>VLOOKUP(H530,'Stage Order'!$A$2:$B$8,2,FALSE)</f>
        <v>2</v>
      </c>
      <c r="N530" t="str">
        <f t="shared" si="16"/>
        <v>2. 1-24 hours</v>
      </c>
      <c r="O530" t="str">
        <f t="shared" si="17"/>
        <v>2025-09</v>
      </c>
    </row>
    <row r="531" spans="1:15" x14ac:dyDescent="0.3">
      <c r="A531" t="s">
        <v>1304</v>
      </c>
      <c r="B531" t="s">
        <v>1305</v>
      </c>
      <c r="C531" t="s">
        <v>81</v>
      </c>
      <c r="D531" t="s">
        <v>29</v>
      </c>
      <c r="E531" t="s">
        <v>59</v>
      </c>
      <c r="F531" t="s">
        <v>137</v>
      </c>
      <c r="G531">
        <v>1.56</v>
      </c>
      <c r="H531" t="s">
        <v>128</v>
      </c>
      <c r="I531" t="s">
        <v>42</v>
      </c>
      <c r="M531">
        <f>VLOOKUP(H531,'Stage Order'!$A$2:$B$8,2,FALSE)</f>
        <v>3</v>
      </c>
      <c r="N531" t="str">
        <f t="shared" si="16"/>
        <v>2. 1-24 hours</v>
      </c>
      <c r="O531" t="str">
        <f t="shared" si="17"/>
        <v>2025-12</v>
      </c>
    </row>
    <row r="532" spans="1:15" x14ac:dyDescent="0.3">
      <c r="A532" t="s">
        <v>1306</v>
      </c>
      <c r="B532" t="s">
        <v>1307</v>
      </c>
      <c r="C532" t="s">
        <v>58</v>
      </c>
      <c r="D532" t="s">
        <v>54</v>
      </c>
      <c r="E532" t="s">
        <v>45</v>
      </c>
      <c r="F532" t="s">
        <v>46</v>
      </c>
      <c r="G532">
        <v>1.86</v>
      </c>
      <c r="H532" t="s">
        <v>47</v>
      </c>
      <c r="I532" t="s">
        <v>48</v>
      </c>
      <c r="J532" t="s">
        <v>139</v>
      </c>
      <c r="K532">
        <v>555.39</v>
      </c>
      <c r="L532" t="s">
        <v>1308</v>
      </c>
      <c r="M532">
        <f>VLOOKUP(H532,'Stage Order'!$A$2:$B$8,2,FALSE)</f>
        <v>4</v>
      </c>
      <c r="N532" t="str">
        <f t="shared" si="16"/>
        <v>2. 1-24 hours</v>
      </c>
      <c r="O532" t="str">
        <f t="shared" si="17"/>
        <v>2026-01</v>
      </c>
    </row>
    <row r="533" spans="1:15" x14ac:dyDescent="0.3">
      <c r="A533" t="s">
        <v>1309</v>
      </c>
      <c r="B533" t="s">
        <v>1310</v>
      </c>
      <c r="C533" t="s">
        <v>125</v>
      </c>
      <c r="D533" t="s">
        <v>54</v>
      </c>
      <c r="E533" t="s">
        <v>39</v>
      </c>
      <c r="F533" t="s">
        <v>106</v>
      </c>
      <c r="G533">
        <v>5.07</v>
      </c>
      <c r="H533" t="s">
        <v>41</v>
      </c>
      <c r="I533" t="s">
        <v>42</v>
      </c>
      <c r="M533">
        <f>VLOOKUP(H533,'Stage Order'!$A$2:$B$8,2,FALSE)</f>
        <v>2</v>
      </c>
      <c r="N533" t="str">
        <f t="shared" si="16"/>
        <v>2. 1-24 hours</v>
      </c>
      <c r="O533" t="str">
        <f t="shared" si="17"/>
        <v>2026-03</v>
      </c>
    </row>
    <row r="534" spans="1:15" x14ac:dyDescent="0.3">
      <c r="A534" t="s">
        <v>1311</v>
      </c>
      <c r="B534" t="s">
        <v>1312</v>
      </c>
      <c r="C534" t="s">
        <v>53</v>
      </c>
      <c r="D534" t="s">
        <v>77</v>
      </c>
      <c r="E534" t="s">
        <v>39</v>
      </c>
      <c r="F534" t="s">
        <v>40</v>
      </c>
      <c r="G534">
        <v>5.84</v>
      </c>
      <c r="H534" t="s">
        <v>138</v>
      </c>
      <c r="I534" t="s">
        <v>48</v>
      </c>
      <c r="J534" t="s">
        <v>49</v>
      </c>
      <c r="K534">
        <v>963.09</v>
      </c>
      <c r="L534" t="s">
        <v>1313</v>
      </c>
      <c r="M534">
        <f>VLOOKUP(H534,'Stage Order'!$A$2:$B$8,2,FALSE)</f>
        <v>6</v>
      </c>
      <c r="N534" t="str">
        <f t="shared" si="16"/>
        <v>2. 1-24 hours</v>
      </c>
      <c r="O534" t="str">
        <f t="shared" si="17"/>
        <v>2025-01</v>
      </c>
    </row>
    <row r="535" spans="1:15" x14ac:dyDescent="0.3">
      <c r="A535" t="s">
        <v>1314</v>
      </c>
      <c r="B535" t="s">
        <v>1315</v>
      </c>
      <c r="C535" t="s">
        <v>37</v>
      </c>
      <c r="D535" t="s">
        <v>38</v>
      </c>
      <c r="E535" t="s">
        <v>30</v>
      </c>
      <c r="F535" t="s">
        <v>78</v>
      </c>
      <c r="G535">
        <v>5.34</v>
      </c>
      <c r="H535" t="s">
        <v>41</v>
      </c>
      <c r="I535" t="s">
        <v>42</v>
      </c>
      <c r="M535">
        <f>VLOOKUP(H535,'Stage Order'!$A$2:$B$8,2,FALSE)</f>
        <v>2</v>
      </c>
      <c r="N535" t="str">
        <f t="shared" si="16"/>
        <v>2. 1-24 hours</v>
      </c>
      <c r="O535" t="str">
        <f t="shared" si="17"/>
        <v>2025-02</v>
      </c>
    </row>
    <row r="536" spans="1:15" x14ac:dyDescent="0.3">
      <c r="A536" t="s">
        <v>1316</v>
      </c>
      <c r="B536" t="s">
        <v>1317</v>
      </c>
      <c r="C536" t="s">
        <v>53</v>
      </c>
      <c r="D536" t="s">
        <v>54</v>
      </c>
      <c r="E536" t="s">
        <v>45</v>
      </c>
      <c r="F536" t="s">
        <v>55</v>
      </c>
      <c r="G536">
        <v>3.1</v>
      </c>
      <c r="H536" t="s">
        <v>41</v>
      </c>
      <c r="I536" t="s">
        <v>42</v>
      </c>
      <c r="M536">
        <f>VLOOKUP(H536,'Stage Order'!$A$2:$B$8,2,FALSE)</f>
        <v>2</v>
      </c>
      <c r="N536" t="str">
        <f t="shared" si="16"/>
        <v>2. 1-24 hours</v>
      </c>
      <c r="O536" t="str">
        <f t="shared" si="17"/>
        <v>2025-02</v>
      </c>
    </row>
    <row r="537" spans="1:15" x14ac:dyDescent="0.3">
      <c r="A537" t="s">
        <v>1318</v>
      </c>
      <c r="B537" t="s">
        <v>1319</v>
      </c>
      <c r="C537" t="s">
        <v>125</v>
      </c>
      <c r="D537" t="s">
        <v>29</v>
      </c>
      <c r="E537" t="s">
        <v>45</v>
      </c>
      <c r="F537" t="s">
        <v>55</v>
      </c>
      <c r="G537">
        <v>5.57</v>
      </c>
      <c r="H537" t="s">
        <v>47</v>
      </c>
      <c r="I537" t="s">
        <v>48</v>
      </c>
      <c r="J537" t="s">
        <v>49</v>
      </c>
      <c r="K537">
        <v>655.38</v>
      </c>
      <c r="L537" t="s">
        <v>1320</v>
      </c>
      <c r="M537">
        <f>VLOOKUP(H537,'Stage Order'!$A$2:$B$8,2,FALSE)</f>
        <v>4</v>
      </c>
      <c r="N537" t="str">
        <f t="shared" si="16"/>
        <v>2. 1-24 hours</v>
      </c>
      <c r="O537" t="str">
        <f t="shared" si="17"/>
        <v>2025-02</v>
      </c>
    </row>
    <row r="538" spans="1:15" x14ac:dyDescent="0.3">
      <c r="A538" t="s">
        <v>1321</v>
      </c>
      <c r="B538" t="s">
        <v>1322</v>
      </c>
      <c r="C538" t="s">
        <v>53</v>
      </c>
      <c r="D538" t="s">
        <v>54</v>
      </c>
      <c r="E538" t="s">
        <v>39</v>
      </c>
      <c r="F538" t="s">
        <v>66</v>
      </c>
      <c r="G538">
        <v>1.95</v>
      </c>
      <c r="H538" t="s">
        <v>61</v>
      </c>
      <c r="I538" t="s">
        <v>42</v>
      </c>
      <c r="M538">
        <f>VLOOKUP(H538,'Stage Order'!$A$2:$B$8,2,FALSE)</f>
        <v>1</v>
      </c>
      <c r="N538" t="str">
        <f t="shared" si="16"/>
        <v>2. 1-24 hours</v>
      </c>
      <c r="O538" t="str">
        <f t="shared" si="17"/>
        <v>2026-04</v>
      </c>
    </row>
    <row r="539" spans="1:15" x14ac:dyDescent="0.3">
      <c r="A539" t="s">
        <v>1323</v>
      </c>
      <c r="B539" t="s">
        <v>1324</v>
      </c>
      <c r="C539" t="s">
        <v>53</v>
      </c>
      <c r="D539" t="s">
        <v>54</v>
      </c>
      <c r="E539" t="s">
        <v>59</v>
      </c>
      <c r="F539" t="s">
        <v>60</v>
      </c>
      <c r="G539">
        <v>5.53</v>
      </c>
      <c r="H539" t="s">
        <v>32</v>
      </c>
      <c r="I539" t="s">
        <v>33</v>
      </c>
      <c r="K539">
        <v>493.05</v>
      </c>
      <c r="L539" t="s">
        <v>1325</v>
      </c>
      <c r="M539">
        <f>VLOOKUP(H539,'Stage Order'!$A$2:$B$8,2,FALSE)</f>
        <v>7</v>
      </c>
      <c r="N539" t="str">
        <f t="shared" si="16"/>
        <v>2. 1-24 hours</v>
      </c>
      <c r="O539" t="str">
        <f t="shared" si="17"/>
        <v>2026-01</v>
      </c>
    </row>
    <row r="540" spans="1:15" x14ac:dyDescent="0.3">
      <c r="A540" t="s">
        <v>1326</v>
      </c>
      <c r="B540" t="s">
        <v>1327</v>
      </c>
      <c r="C540" t="s">
        <v>125</v>
      </c>
      <c r="D540" t="s">
        <v>54</v>
      </c>
      <c r="E540" t="s">
        <v>59</v>
      </c>
      <c r="F540" t="s">
        <v>117</v>
      </c>
      <c r="G540">
        <v>2.4300000000000002</v>
      </c>
      <c r="H540" t="s">
        <v>41</v>
      </c>
      <c r="I540" t="s">
        <v>42</v>
      </c>
      <c r="M540">
        <f>VLOOKUP(H540,'Stage Order'!$A$2:$B$8,2,FALSE)</f>
        <v>2</v>
      </c>
      <c r="N540" t="str">
        <f t="shared" si="16"/>
        <v>2. 1-24 hours</v>
      </c>
      <c r="O540" t="str">
        <f t="shared" si="17"/>
        <v>2025-10</v>
      </c>
    </row>
    <row r="541" spans="1:15" x14ac:dyDescent="0.3">
      <c r="A541" t="s">
        <v>1328</v>
      </c>
      <c r="B541" t="s">
        <v>1329</v>
      </c>
      <c r="C541" t="s">
        <v>81</v>
      </c>
      <c r="D541" t="s">
        <v>54</v>
      </c>
      <c r="E541" t="s">
        <v>30</v>
      </c>
      <c r="F541" t="s">
        <v>31</v>
      </c>
      <c r="G541">
        <v>3.58</v>
      </c>
      <c r="H541" t="s">
        <v>61</v>
      </c>
      <c r="I541" t="s">
        <v>42</v>
      </c>
      <c r="M541">
        <f>VLOOKUP(H541,'Stage Order'!$A$2:$B$8,2,FALSE)</f>
        <v>1</v>
      </c>
      <c r="N541" t="str">
        <f t="shared" si="16"/>
        <v>2. 1-24 hours</v>
      </c>
      <c r="O541" t="str">
        <f t="shared" si="17"/>
        <v>2026-05</v>
      </c>
    </row>
    <row r="542" spans="1:15" x14ac:dyDescent="0.3">
      <c r="A542" t="s">
        <v>1330</v>
      </c>
      <c r="B542" t="s">
        <v>1331</v>
      </c>
      <c r="C542" t="s">
        <v>125</v>
      </c>
      <c r="D542" t="s">
        <v>54</v>
      </c>
      <c r="E542" t="s">
        <v>59</v>
      </c>
      <c r="F542" t="s">
        <v>117</v>
      </c>
      <c r="G542">
        <v>0.44</v>
      </c>
      <c r="H542" t="s">
        <v>41</v>
      </c>
      <c r="I542" t="s">
        <v>42</v>
      </c>
      <c r="M542">
        <f>VLOOKUP(H542,'Stage Order'!$A$2:$B$8,2,FALSE)</f>
        <v>2</v>
      </c>
      <c r="N542" t="str">
        <f t="shared" si="16"/>
        <v>1. Under 1 hour</v>
      </c>
      <c r="O542" t="str">
        <f t="shared" si="17"/>
        <v>2026-06</v>
      </c>
    </row>
    <row r="543" spans="1:15" x14ac:dyDescent="0.3">
      <c r="A543" t="s">
        <v>1332</v>
      </c>
      <c r="B543" t="s">
        <v>1333</v>
      </c>
      <c r="C543" t="s">
        <v>58</v>
      </c>
      <c r="D543" t="s">
        <v>29</v>
      </c>
      <c r="E543" t="s">
        <v>59</v>
      </c>
      <c r="F543" t="s">
        <v>117</v>
      </c>
      <c r="G543">
        <v>2.73</v>
      </c>
      <c r="H543" t="s">
        <v>41</v>
      </c>
      <c r="I543" t="s">
        <v>42</v>
      </c>
      <c r="M543">
        <f>VLOOKUP(H543,'Stage Order'!$A$2:$B$8,2,FALSE)</f>
        <v>2</v>
      </c>
      <c r="N543" t="str">
        <f t="shared" si="16"/>
        <v>2. 1-24 hours</v>
      </c>
      <c r="O543" t="str">
        <f t="shared" si="17"/>
        <v>2025-03</v>
      </c>
    </row>
    <row r="544" spans="1:15" x14ac:dyDescent="0.3">
      <c r="A544" t="s">
        <v>1334</v>
      </c>
      <c r="B544" t="s">
        <v>1335</v>
      </c>
      <c r="C544" t="s">
        <v>28</v>
      </c>
      <c r="D544" t="s">
        <v>77</v>
      </c>
      <c r="E544" t="s">
        <v>30</v>
      </c>
      <c r="F544" t="s">
        <v>31</v>
      </c>
      <c r="G544">
        <v>4.43</v>
      </c>
      <c r="H544" t="s">
        <v>41</v>
      </c>
      <c r="I544" t="s">
        <v>42</v>
      </c>
      <c r="M544">
        <f>VLOOKUP(H544,'Stage Order'!$A$2:$B$8,2,FALSE)</f>
        <v>2</v>
      </c>
      <c r="N544" t="str">
        <f t="shared" si="16"/>
        <v>2. 1-24 hours</v>
      </c>
      <c r="O544" t="str">
        <f t="shared" si="17"/>
        <v>2025-05</v>
      </c>
    </row>
    <row r="545" spans="1:15" x14ac:dyDescent="0.3">
      <c r="A545" t="s">
        <v>1336</v>
      </c>
      <c r="B545" t="s">
        <v>1337</v>
      </c>
      <c r="C545" t="s">
        <v>37</v>
      </c>
      <c r="D545" t="s">
        <v>97</v>
      </c>
      <c r="E545" t="s">
        <v>30</v>
      </c>
      <c r="F545" t="s">
        <v>31</v>
      </c>
      <c r="G545">
        <v>3.11</v>
      </c>
      <c r="H545" t="s">
        <v>47</v>
      </c>
      <c r="I545" t="s">
        <v>48</v>
      </c>
      <c r="J545" t="s">
        <v>139</v>
      </c>
      <c r="K545">
        <v>1502.97</v>
      </c>
      <c r="L545" t="s">
        <v>1338</v>
      </c>
      <c r="M545">
        <f>VLOOKUP(H545,'Stage Order'!$A$2:$B$8,2,FALSE)</f>
        <v>4</v>
      </c>
      <c r="N545" t="str">
        <f t="shared" si="16"/>
        <v>2. 1-24 hours</v>
      </c>
      <c r="O545" t="str">
        <f t="shared" si="17"/>
        <v>2025-10</v>
      </c>
    </row>
    <row r="546" spans="1:15" x14ac:dyDescent="0.3">
      <c r="A546" t="s">
        <v>1339</v>
      </c>
      <c r="B546" t="s">
        <v>1340</v>
      </c>
      <c r="C546" t="s">
        <v>37</v>
      </c>
      <c r="D546" t="s">
        <v>77</v>
      </c>
      <c r="E546" t="s">
        <v>59</v>
      </c>
      <c r="F546" t="s">
        <v>60</v>
      </c>
      <c r="G546">
        <v>11.25</v>
      </c>
      <c r="H546" t="s">
        <v>32</v>
      </c>
      <c r="I546" t="s">
        <v>33</v>
      </c>
      <c r="K546">
        <v>916.39</v>
      </c>
      <c r="L546" t="s">
        <v>1341</v>
      </c>
      <c r="M546">
        <f>VLOOKUP(H546,'Stage Order'!$A$2:$B$8,2,FALSE)</f>
        <v>7</v>
      </c>
      <c r="N546" t="str">
        <f t="shared" si="16"/>
        <v>2. 1-24 hours</v>
      </c>
      <c r="O546" t="str">
        <f t="shared" si="17"/>
        <v>2026-05</v>
      </c>
    </row>
    <row r="547" spans="1:15" x14ac:dyDescent="0.3">
      <c r="A547" t="s">
        <v>1342</v>
      </c>
      <c r="B547" t="s">
        <v>1343</v>
      </c>
      <c r="C547" t="s">
        <v>53</v>
      </c>
      <c r="D547" t="s">
        <v>29</v>
      </c>
      <c r="E547" t="s">
        <v>59</v>
      </c>
      <c r="F547" t="s">
        <v>137</v>
      </c>
      <c r="G547">
        <v>2.1800000000000002</v>
      </c>
      <c r="H547" t="s">
        <v>138</v>
      </c>
      <c r="I547" t="s">
        <v>48</v>
      </c>
      <c r="J547" t="s">
        <v>49</v>
      </c>
      <c r="K547">
        <v>667.66</v>
      </c>
      <c r="L547" t="s">
        <v>1344</v>
      </c>
      <c r="M547">
        <f>VLOOKUP(H547,'Stage Order'!$A$2:$B$8,2,FALSE)</f>
        <v>6</v>
      </c>
      <c r="N547" t="str">
        <f t="shared" si="16"/>
        <v>2. 1-24 hours</v>
      </c>
      <c r="O547" t="str">
        <f t="shared" si="17"/>
        <v>2025-05</v>
      </c>
    </row>
    <row r="548" spans="1:15" x14ac:dyDescent="0.3">
      <c r="A548" t="s">
        <v>1345</v>
      </c>
      <c r="B548" t="s">
        <v>1346</v>
      </c>
      <c r="C548" t="s">
        <v>53</v>
      </c>
      <c r="D548" t="s">
        <v>97</v>
      </c>
      <c r="E548" t="s">
        <v>59</v>
      </c>
      <c r="F548" t="s">
        <v>117</v>
      </c>
      <c r="G548">
        <v>3.15</v>
      </c>
      <c r="H548" t="s">
        <v>32</v>
      </c>
      <c r="I548" t="s">
        <v>33</v>
      </c>
      <c r="K548">
        <v>1716.36</v>
      </c>
      <c r="L548" t="s">
        <v>1347</v>
      </c>
      <c r="M548">
        <f>VLOOKUP(H548,'Stage Order'!$A$2:$B$8,2,FALSE)</f>
        <v>7</v>
      </c>
      <c r="N548" t="str">
        <f t="shared" si="16"/>
        <v>2. 1-24 hours</v>
      </c>
      <c r="O548" t="str">
        <f t="shared" si="17"/>
        <v>2025-06</v>
      </c>
    </row>
    <row r="549" spans="1:15" x14ac:dyDescent="0.3">
      <c r="A549" t="s">
        <v>1348</v>
      </c>
      <c r="B549" t="s">
        <v>1349</v>
      </c>
      <c r="C549" t="s">
        <v>58</v>
      </c>
      <c r="D549" t="s">
        <v>97</v>
      </c>
      <c r="E549" t="s">
        <v>59</v>
      </c>
      <c r="F549" t="s">
        <v>60</v>
      </c>
      <c r="G549">
        <v>1.17</v>
      </c>
      <c r="H549" t="s">
        <v>41</v>
      </c>
      <c r="I549" t="s">
        <v>42</v>
      </c>
      <c r="M549">
        <f>VLOOKUP(H549,'Stage Order'!$A$2:$B$8,2,FALSE)</f>
        <v>2</v>
      </c>
      <c r="N549" t="str">
        <f t="shared" si="16"/>
        <v>2. 1-24 hours</v>
      </c>
      <c r="O549" t="str">
        <f t="shared" si="17"/>
        <v>2025-10</v>
      </c>
    </row>
    <row r="550" spans="1:15" x14ac:dyDescent="0.3">
      <c r="A550" t="s">
        <v>1350</v>
      </c>
      <c r="B550" t="s">
        <v>1351</v>
      </c>
      <c r="C550" t="s">
        <v>37</v>
      </c>
      <c r="D550" t="s">
        <v>29</v>
      </c>
      <c r="E550" t="s">
        <v>45</v>
      </c>
      <c r="F550" t="s">
        <v>46</v>
      </c>
      <c r="G550">
        <v>2.92</v>
      </c>
      <c r="H550" t="s">
        <v>41</v>
      </c>
      <c r="I550" t="s">
        <v>42</v>
      </c>
      <c r="M550">
        <f>VLOOKUP(H550,'Stage Order'!$A$2:$B$8,2,FALSE)</f>
        <v>2</v>
      </c>
      <c r="N550" t="str">
        <f t="shared" si="16"/>
        <v>2. 1-24 hours</v>
      </c>
      <c r="O550" t="str">
        <f t="shared" si="17"/>
        <v>2025-05</v>
      </c>
    </row>
    <row r="551" spans="1:15" x14ac:dyDescent="0.3">
      <c r="A551" t="s">
        <v>1352</v>
      </c>
      <c r="B551" t="s">
        <v>1353</v>
      </c>
      <c r="C551" t="s">
        <v>28</v>
      </c>
      <c r="D551" t="s">
        <v>38</v>
      </c>
      <c r="E551" t="s">
        <v>39</v>
      </c>
      <c r="F551" t="s">
        <v>106</v>
      </c>
      <c r="G551">
        <v>2.48</v>
      </c>
      <c r="H551" t="s">
        <v>41</v>
      </c>
      <c r="I551" t="s">
        <v>42</v>
      </c>
      <c r="M551">
        <f>VLOOKUP(H551,'Stage Order'!$A$2:$B$8,2,FALSE)</f>
        <v>2</v>
      </c>
      <c r="N551" t="str">
        <f t="shared" si="16"/>
        <v>2. 1-24 hours</v>
      </c>
      <c r="O551" t="str">
        <f t="shared" si="17"/>
        <v>2026-04</v>
      </c>
    </row>
    <row r="552" spans="1:15" x14ac:dyDescent="0.3">
      <c r="A552" t="s">
        <v>1354</v>
      </c>
      <c r="B552" t="s">
        <v>1355</v>
      </c>
      <c r="C552" t="s">
        <v>81</v>
      </c>
      <c r="D552" t="s">
        <v>97</v>
      </c>
      <c r="E552" t="s">
        <v>45</v>
      </c>
      <c r="F552" t="s">
        <v>94</v>
      </c>
      <c r="G552">
        <v>0.95</v>
      </c>
      <c r="H552" t="s">
        <v>128</v>
      </c>
      <c r="I552" t="s">
        <v>42</v>
      </c>
      <c r="M552">
        <f>VLOOKUP(H552,'Stage Order'!$A$2:$B$8,2,FALSE)</f>
        <v>3</v>
      </c>
      <c r="N552" t="str">
        <f t="shared" si="16"/>
        <v>1. Under 1 hour</v>
      </c>
      <c r="O552" t="str">
        <f t="shared" si="17"/>
        <v>2025-12</v>
      </c>
    </row>
    <row r="553" spans="1:15" x14ac:dyDescent="0.3">
      <c r="A553" t="s">
        <v>1356</v>
      </c>
      <c r="B553" t="s">
        <v>1357</v>
      </c>
      <c r="C553" t="s">
        <v>58</v>
      </c>
      <c r="D553" t="s">
        <v>77</v>
      </c>
      <c r="E553" t="s">
        <v>90</v>
      </c>
      <c r="F553" t="s">
        <v>112</v>
      </c>
      <c r="G553">
        <v>7.1</v>
      </c>
      <c r="H553" t="s">
        <v>41</v>
      </c>
      <c r="I553" t="s">
        <v>42</v>
      </c>
      <c r="M553">
        <f>VLOOKUP(H553,'Stage Order'!$A$2:$B$8,2,FALSE)</f>
        <v>2</v>
      </c>
      <c r="N553" t="str">
        <f t="shared" si="16"/>
        <v>2. 1-24 hours</v>
      </c>
      <c r="O553" t="str">
        <f t="shared" si="17"/>
        <v>2025-10</v>
      </c>
    </row>
    <row r="554" spans="1:15" x14ac:dyDescent="0.3">
      <c r="A554" t="s">
        <v>1358</v>
      </c>
      <c r="B554" t="s">
        <v>1359</v>
      </c>
      <c r="C554" t="s">
        <v>125</v>
      </c>
      <c r="D554" t="s">
        <v>97</v>
      </c>
      <c r="E554" t="s">
        <v>59</v>
      </c>
      <c r="F554" t="s">
        <v>60</v>
      </c>
      <c r="G554">
        <v>1.78</v>
      </c>
      <c r="H554" t="s">
        <v>138</v>
      </c>
      <c r="I554" t="s">
        <v>48</v>
      </c>
      <c r="J554" t="s">
        <v>49</v>
      </c>
      <c r="K554">
        <v>1484.26</v>
      </c>
      <c r="L554" t="s">
        <v>1360</v>
      </c>
      <c r="M554">
        <f>VLOOKUP(H554,'Stage Order'!$A$2:$B$8,2,FALSE)</f>
        <v>6</v>
      </c>
      <c r="N554" t="str">
        <f t="shared" si="16"/>
        <v>2. 1-24 hours</v>
      </c>
      <c r="O554" t="str">
        <f t="shared" si="17"/>
        <v>2025-01</v>
      </c>
    </row>
    <row r="555" spans="1:15" x14ac:dyDescent="0.3">
      <c r="A555" t="s">
        <v>1361</v>
      </c>
      <c r="B555" t="s">
        <v>1362</v>
      </c>
      <c r="C555" t="s">
        <v>53</v>
      </c>
      <c r="D555" t="s">
        <v>38</v>
      </c>
      <c r="E555" t="s">
        <v>45</v>
      </c>
      <c r="F555" t="s">
        <v>46</v>
      </c>
      <c r="G555">
        <v>2.5099999999999998</v>
      </c>
      <c r="H555" t="s">
        <v>138</v>
      </c>
      <c r="I555" t="s">
        <v>48</v>
      </c>
      <c r="J555" t="s">
        <v>49</v>
      </c>
      <c r="K555">
        <v>395.38</v>
      </c>
      <c r="L555" t="s">
        <v>1363</v>
      </c>
      <c r="M555">
        <f>VLOOKUP(H555,'Stage Order'!$A$2:$B$8,2,FALSE)</f>
        <v>6</v>
      </c>
      <c r="N555" t="str">
        <f t="shared" si="16"/>
        <v>2. 1-24 hours</v>
      </c>
      <c r="O555" t="str">
        <f t="shared" si="17"/>
        <v>2025-03</v>
      </c>
    </row>
    <row r="556" spans="1:15" x14ac:dyDescent="0.3">
      <c r="A556" t="s">
        <v>1364</v>
      </c>
      <c r="B556" t="s">
        <v>1365</v>
      </c>
      <c r="C556" t="s">
        <v>37</v>
      </c>
      <c r="D556" t="s">
        <v>38</v>
      </c>
      <c r="E556" t="s">
        <v>59</v>
      </c>
      <c r="F556" t="s">
        <v>137</v>
      </c>
      <c r="G556">
        <v>2.41</v>
      </c>
      <c r="H556" t="s">
        <v>47</v>
      </c>
      <c r="I556" t="s">
        <v>48</v>
      </c>
      <c r="J556" t="s">
        <v>113</v>
      </c>
      <c r="K556">
        <v>383.12</v>
      </c>
      <c r="L556" t="s">
        <v>1366</v>
      </c>
      <c r="M556">
        <f>VLOOKUP(H556,'Stage Order'!$A$2:$B$8,2,FALSE)</f>
        <v>4</v>
      </c>
      <c r="N556" t="str">
        <f t="shared" si="16"/>
        <v>2. 1-24 hours</v>
      </c>
      <c r="O556" t="str">
        <f t="shared" si="17"/>
        <v>2026-06</v>
      </c>
    </row>
    <row r="557" spans="1:15" x14ac:dyDescent="0.3">
      <c r="A557" t="s">
        <v>1367</v>
      </c>
      <c r="B557" t="s">
        <v>1368</v>
      </c>
      <c r="C557" t="s">
        <v>37</v>
      </c>
      <c r="D557" t="s">
        <v>54</v>
      </c>
      <c r="E557" t="s">
        <v>30</v>
      </c>
      <c r="F557" t="s">
        <v>82</v>
      </c>
      <c r="G557">
        <v>15.1</v>
      </c>
      <c r="H557" t="s">
        <v>41</v>
      </c>
      <c r="I557" t="s">
        <v>42</v>
      </c>
      <c r="M557">
        <f>VLOOKUP(H557,'Stage Order'!$A$2:$B$8,2,FALSE)</f>
        <v>2</v>
      </c>
      <c r="N557" t="str">
        <f t="shared" si="16"/>
        <v>2. 1-24 hours</v>
      </c>
      <c r="O557" t="str">
        <f t="shared" si="17"/>
        <v>2025-01</v>
      </c>
    </row>
    <row r="558" spans="1:15" x14ac:dyDescent="0.3">
      <c r="A558" t="s">
        <v>1369</v>
      </c>
      <c r="B558" t="s">
        <v>1370</v>
      </c>
      <c r="C558" t="s">
        <v>58</v>
      </c>
      <c r="D558" t="s">
        <v>38</v>
      </c>
      <c r="E558" t="s">
        <v>39</v>
      </c>
      <c r="F558" t="s">
        <v>66</v>
      </c>
      <c r="G558">
        <v>2.0099999999999998</v>
      </c>
      <c r="H558" t="s">
        <v>41</v>
      </c>
      <c r="I558" t="s">
        <v>42</v>
      </c>
      <c r="M558">
        <f>VLOOKUP(H558,'Stage Order'!$A$2:$B$8,2,FALSE)</f>
        <v>2</v>
      </c>
      <c r="N558" t="str">
        <f t="shared" si="16"/>
        <v>2. 1-24 hours</v>
      </c>
      <c r="O558" t="str">
        <f t="shared" si="17"/>
        <v>2025-01</v>
      </c>
    </row>
    <row r="559" spans="1:15" x14ac:dyDescent="0.3">
      <c r="A559" t="s">
        <v>1371</v>
      </c>
      <c r="B559" t="s">
        <v>1372</v>
      </c>
      <c r="C559" t="s">
        <v>81</v>
      </c>
      <c r="D559" t="s">
        <v>38</v>
      </c>
      <c r="E559" t="s">
        <v>90</v>
      </c>
      <c r="F559" t="s">
        <v>145</v>
      </c>
      <c r="G559">
        <v>3.23</v>
      </c>
      <c r="H559" t="s">
        <v>128</v>
      </c>
      <c r="I559" t="s">
        <v>42</v>
      </c>
      <c r="M559">
        <f>VLOOKUP(H559,'Stage Order'!$A$2:$B$8,2,FALSE)</f>
        <v>3</v>
      </c>
      <c r="N559" t="str">
        <f t="shared" si="16"/>
        <v>2. 1-24 hours</v>
      </c>
      <c r="O559" t="str">
        <f t="shared" si="17"/>
        <v>2025-01</v>
      </c>
    </row>
    <row r="560" spans="1:15" x14ac:dyDescent="0.3">
      <c r="A560" t="s">
        <v>1373</v>
      </c>
      <c r="B560" t="s">
        <v>1374</v>
      </c>
      <c r="C560" t="s">
        <v>81</v>
      </c>
      <c r="D560" t="s">
        <v>77</v>
      </c>
      <c r="E560" t="s">
        <v>59</v>
      </c>
      <c r="F560" t="s">
        <v>137</v>
      </c>
      <c r="G560">
        <v>4.28</v>
      </c>
      <c r="H560" t="s">
        <v>61</v>
      </c>
      <c r="I560" t="s">
        <v>42</v>
      </c>
      <c r="M560">
        <f>VLOOKUP(H560,'Stage Order'!$A$2:$B$8,2,FALSE)</f>
        <v>1</v>
      </c>
      <c r="N560" t="str">
        <f t="shared" si="16"/>
        <v>2. 1-24 hours</v>
      </c>
      <c r="O560" t="str">
        <f t="shared" si="17"/>
        <v>2026-05</v>
      </c>
    </row>
    <row r="561" spans="1:15" x14ac:dyDescent="0.3">
      <c r="A561" t="s">
        <v>1375</v>
      </c>
      <c r="B561" t="s">
        <v>1376</v>
      </c>
      <c r="C561" t="s">
        <v>53</v>
      </c>
      <c r="D561" t="s">
        <v>38</v>
      </c>
      <c r="E561" t="s">
        <v>59</v>
      </c>
      <c r="F561" t="s">
        <v>117</v>
      </c>
      <c r="G561">
        <v>4.82</v>
      </c>
      <c r="H561" t="s">
        <v>32</v>
      </c>
      <c r="I561" t="s">
        <v>33</v>
      </c>
      <c r="K561">
        <v>394.76</v>
      </c>
      <c r="L561" t="s">
        <v>1377</v>
      </c>
      <c r="M561">
        <f>VLOOKUP(H561,'Stage Order'!$A$2:$B$8,2,FALSE)</f>
        <v>7</v>
      </c>
      <c r="N561" t="str">
        <f t="shared" si="16"/>
        <v>2. 1-24 hours</v>
      </c>
      <c r="O561" t="str">
        <f t="shared" si="17"/>
        <v>2025-05</v>
      </c>
    </row>
    <row r="562" spans="1:15" x14ac:dyDescent="0.3">
      <c r="A562" t="s">
        <v>1378</v>
      </c>
      <c r="B562" t="s">
        <v>1379</v>
      </c>
      <c r="C562" t="s">
        <v>37</v>
      </c>
      <c r="D562" t="s">
        <v>38</v>
      </c>
      <c r="E562" t="s">
        <v>39</v>
      </c>
      <c r="F562" t="s">
        <v>66</v>
      </c>
      <c r="G562">
        <v>10.59</v>
      </c>
      <c r="H562" t="s">
        <v>41</v>
      </c>
      <c r="I562" t="s">
        <v>42</v>
      </c>
      <c r="M562">
        <f>VLOOKUP(H562,'Stage Order'!$A$2:$B$8,2,FALSE)</f>
        <v>2</v>
      </c>
      <c r="N562" t="str">
        <f t="shared" si="16"/>
        <v>2. 1-24 hours</v>
      </c>
      <c r="O562" t="str">
        <f t="shared" si="17"/>
        <v>2026-05</v>
      </c>
    </row>
    <row r="563" spans="1:15" x14ac:dyDescent="0.3">
      <c r="A563" t="s">
        <v>1380</v>
      </c>
      <c r="B563" t="s">
        <v>1381</v>
      </c>
      <c r="C563" t="s">
        <v>81</v>
      </c>
      <c r="D563" t="s">
        <v>38</v>
      </c>
      <c r="E563" t="s">
        <v>59</v>
      </c>
      <c r="F563" t="s">
        <v>60</v>
      </c>
      <c r="G563">
        <v>2.2200000000000002</v>
      </c>
      <c r="H563" t="s">
        <v>41</v>
      </c>
      <c r="I563" t="s">
        <v>42</v>
      </c>
      <c r="M563">
        <f>VLOOKUP(H563,'Stage Order'!$A$2:$B$8,2,FALSE)</f>
        <v>2</v>
      </c>
      <c r="N563" t="str">
        <f t="shared" si="16"/>
        <v>2. 1-24 hours</v>
      </c>
      <c r="O563" t="str">
        <f t="shared" si="17"/>
        <v>2025-12</v>
      </c>
    </row>
    <row r="564" spans="1:15" x14ac:dyDescent="0.3">
      <c r="A564" t="s">
        <v>1382</v>
      </c>
      <c r="B564" t="s">
        <v>1383</v>
      </c>
      <c r="C564" t="s">
        <v>76</v>
      </c>
      <c r="D564" t="s">
        <v>29</v>
      </c>
      <c r="E564" t="s">
        <v>45</v>
      </c>
      <c r="F564" t="s">
        <v>55</v>
      </c>
      <c r="G564">
        <v>0.9</v>
      </c>
      <c r="H564" t="s">
        <v>41</v>
      </c>
      <c r="I564" t="s">
        <v>42</v>
      </c>
      <c r="M564">
        <f>VLOOKUP(H564,'Stage Order'!$A$2:$B$8,2,FALSE)</f>
        <v>2</v>
      </c>
      <c r="N564" t="str">
        <f t="shared" si="16"/>
        <v>1. Under 1 hour</v>
      </c>
      <c r="O564" t="str">
        <f t="shared" si="17"/>
        <v>2025-09</v>
      </c>
    </row>
    <row r="565" spans="1:15" x14ac:dyDescent="0.3">
      <c r="A565" t="s">
        <v>1384</v>
      </c>
      <c r="B565" t="s">
        <v>1385</v>
      </c>
      <c r="C565" t="s">
        <v>53</v>
      </c>
      <c r="D565" t="s">
        <v>97</v>
      </c>
      <c r="E565" t="s">
        <v>59</v>
      </c>
      <c r="F565" t="s">
        <v>60</v>
      </c>
      <c r="G565">
        <v>1.17</v>
      </c>
      <c r="H565" t="s">
        <v>138</v>
      </c>
      <c r="I565" t="s">
        <v>48</v>
      </c>
      <c r="J565" t="s">
        <v>98</v>
      </c>
      <c r="K565">
        <v>1498.8</v>
      </c>
      <c r="L565" t="s">
        <v>1386</v>
      </c>
      <c r="M565">
        <f>VLOOKUP(H565,'Stage Order'!$A$2:$B$8,2,FALSE)</f>
        <v>6</v>
      </c>
      <c r="N565" t="str">
        <f t="shared" si="16"/>
        <v>2. 1-24 hours</v>
      </c>
      <c r="O565" t="str">
        <f t="shared" si="17"/>
        <v>2025-06</v>
      </c>
    </row>
    <row r="566" spans="1:15" x14ac:dyDescent="0.3">
      <c r="A566" t="s">
        <v>1387</v>
      </c>
      <c r="B566" t="s">
        <v>1388</v>
      </c>
      <c r="C566" t="s">
        <v>58</v>
      </c>
      <c r="D566" t="s">
        <v>54</v>
      </c>
      <c r="E566" t="s">
        <v>59</v>
      </c>
      <c r="F566" t="s">
        <v>60</v>
      </c>
      <c r="G566">
        <v>14.6</v>
      </c>
      <c r="H566" t="s">
        <v>61</v>
      </c>
      <c r="I566" t="s">
        <v>42</v>
      </c>
      <c r="M566">
        <f>VLOOKUP(H566,'Stage Order'!$A$2:$B$8,2,FALSE)</f>
        <v>1</v>
      </c>
      <c r="N566" t="str">
        <f t="shared" si="16"/>
        <v>2. 1-24 hours</v>
      </c>
      <c r="O566" t="str">
        <f t="shared" si="17"/>
        <v>2025-01</v>
      </c>
    </row>
    <row r="567" spans="1:15" x14ac:dyDescent="0.3">
      <c r="A567" t="s">
        <v>1389</v>
      </c>
      <c r="B567" t="s">
        <v>1390</v>
      </c>
      <c r="C567" t="s">
        <v>37</v>
      </c>
      <c r="D567" t="s">
        <v>54</v>
      </c>
      <c r="E567" t="s">
        <v>39</v>
      </c>
      <c r="F567" t="s">
        <v>66</v>
      </c>
      <c r="G567">
        <v>5.08</v>
      </c>
      <c r="H567" t="s">
        <v>61</v>
      </c>
      <c r="I567" t="s">
        <v>42</v>
      </c>
      <c r="M567">
        <f>VLOOKUP(H567,'Stage Order'!$A$2:$B$8,2,FALSE)</f>
        <v>1</v>
      </c>
      <c r="N567" t="str">
        <f t="shared" si="16"/>
        <v>2. 1-24 hours</v>
      </c>
      <c r="O567" t="str">
        <f t="shared" si="17"/>
        <v>2025-07</v>
      </c>
    </row>
    <row r="568" spans="1:15" x14ac:dyDescent="0.3">
      <c r="A568" t="s">
        <v>1391</v>
      </c>
      <c r="B568" t="s">
        <v>1392</v>
      </c>
      <c r="C568" t="s">
        <v>58</v>
      </c>
      <c r="D568" t="s">
        <v>54</v>
      </c>
      <c r="E568" t="s">
        <v>90</v>
      </c>
      <c r="F568" t="s">
        <v>91</v>
      </c>
      <c r="G568">
        <v>2.81</v>
      </c>
      <c r="H568" t="s">
        <v>41</v>
      </c>
      <c r="I568" t="s">
        <v>42</v>
      </c>
      <c r="M568">
        <f>VLOOKUP(H568,'Stage Order'!$A$2:$B$8,2,FALSE)</f>
        <v>2</v>
      </c>
      <c r="N568" t="str">
        <f t="shared" si="16"/>
        <v>2. 1-24 hours</v>
      </c>
      <c r="O568" t="str">
        <f t="shared" si="17"/>
        <v>2025-06</v>
      </c>
    </row>
    <row r="569" spans="1:15" x14ac:dyDescent="0.3">
      <c r="A569" t="s">
        <v>1393</v>
      </c>
      <c r="B569" t="s">
        <v>1394</v>
      </c>
      <c r="C569" t="s">
        <v>37</v>
      </c>
      <c r="D569" t="s">
        <v>54</v>
      </c>
      <c r="E569" t="s">
        <v>59</v>
      </c>
      <c r="F569" t="s">
        <v>117</v>
      </c>
      <c r="G569">
        <v>1.46</v>
      </c>
      <c r="H569" t="s">
        <v>32</v>
      </c>
      <c r="I569" t="s">
        <v>33</v>
      </c>
      <c r="K569">
        <v>533.08000000000004</v>
      </c>
      <c r="L569" t="s">
        <v>1395</v>
      </c>
      <c r="M569">
        <f>VLOOKUP(H569,'Stage Order'!$A$2:$B$8,2,FALSE)</f>
        <v>7</v>
      </c>
      <c r="N569" t="str">
        <f t="shared" si="16"/>
        <v>2. 1-24 hours</v>
      </c>
      <c r="O569" t="str">
        <f t="shared" si="17"/>
        <v>2025-01</v>
      </c>
    </row>
    <row r="570" spans="1:15" x14ac:dyDescent="0.3">
      <c r="A570" t="s">
        <v>1396</v>
      </c>
      <c r="B570" t="s">
        <v>1397</v>
      </c>
      <c r="C570" t="s">
        <v>76</v>
      </c>
      <c r="D570" t="s">
        <v>29</v>
      </c>
      <c r="E570" t="s">
        <v>45</v>
      </c>
      <c r="F570" t="s">
        <v>94</v>
      </c>
      <c r="G570">
        <v>2.86</v>
      </c>
      <c r="H570" t="s">
        <v>32</v>
      </c>
      <c r="I570" t="s">
        <v>33</v>
      </c>
      <c r="K570">
        <v>565.02</v>
      </c>
      <c r="L570" t="s">
        <v>1398</v>
      </c>
      <c r="M570">
        <f>VLOOKUP(H570,'Stage Order'!$A$2:$B$8,2,FALSE)</f>
        <v>7</v>
      </c>
      <c r="N570" t="str">
        <f t="shared" si="16"/>
        <v>2. 1-24 hours</v>
      </c>
      <c r="O570" t="str">
        <f t="shared" si="17"/>
        <v>2026-03</v>
      </c>
    </row>
    <row r="571" spans="1:15" x14ac:dyDescent="0.3">
      <c r="A571" t="s">
        <v>1399</v>
      </c>
      <c r="B571" t="s">
        <v>1400</v>
      </c>
      <c r="C571" t="s">
        <v>53</v>
      </c>
      <c r="D571" t="s">
        <v>54</v>
      </c>
      <c r="E571" t="s">
        <v>39</v>
      </c>
      <c r="F571" t="s">
        <v>106</v>
      </c>
      <c r="G571">
        <v>3.37</v>
      </c>
      <c r="H571" t="s">
        <v>41</v>
      </c>
      <c r="I571" t="s">
        <v>42</v>
      </c>
      <c r="M571">
        <f>VLOOKUP(H571,'Stage Order'!$A$2:$B$8,2,FALSE)</f>
        <v>2</v>
      </c>
      <c r="N571" t="str">
        <f t="shared" si="16"/>
        <v>2. 1-24 hours</v>
      </c>
      <c r="O571" t="str">
        <f t="shared" si="17"/>
        <v>2026-06</v>
      </c>
    </row>
    <row r="572" spans="1:15" x14ac:dyDescent="0.3">
      <c r="A572" t="s">
        <v>1401</v>
      </c>
      <c r="B572" t="s">
        <v>1402</v>
      </c>
      <c r="C572" t="s">
        <v>125</v>
      </c>
      <c r="D572" t="s">
        <v>54</v>
      </c>
      <c r="E572" t="s">
        <v>59</v>
      </c>
      <c r="F572" t="s">
        <v>137</v>
      </c>
      <c r="G572">
        <v>1.98</v>
      </c>
      <c r="H572" t="s">
        <v>61</v>
      </c>
      <c r="I572" t="s">
        <v>42</v>
      </c>
      <c r="M572">
        <f>VLOOKUP(H572,'Stage Order'!$A$2:$B$8,2,FALSE)</f>
        <v>1</v>
      </c>
      <c r="N572" t="str">
        <f t="shared" si="16"/>
        <v>2. 1-24 hours</v>
      </c>
      <c r="O572" t="str">
        <f t="shared" si="17"/>
        <v>2025-01</v>
      </c>
    </row>
    <row r="573" spans="1:15" x14ac:dyDescent="0.3">
      <c r="A573" t="s">
        <v>1403</v>
      </c>
      <c r="B573" t="s">
        <v>1404</v>
      </c>
      <c r="C573" t="s">
        <v>58</v>
      </c>
      <c r="D573" t="s">
        <v>77</v>
      </c>
      <c r="E573" t="s">
        <v>45</v>
      </c>
      <c r="F573" t="s">
        <v>94</v>
      </c>
      <c r="G573">
        <v>1.55</v>
      </c>
      <c r="H573" t="s">
        <v>138</v>
      </c>
      <c r="I573" t="s">
        <v>48</v>
      </c>
      <c r="J573" t="s">
        <v>139</v>
      </c>
      <c r="K573">
        <v>1183.1500000000001</v>
      </c>
      <c r="L573" t="s">
        <v>1405</v>
      </c>
      <c r="M573">
        <f>VLOOKUP(H573,'Stage Order'!$A$2:$B$8,2,FALSE)</f>
        <v>6</v>
      </c>
      <c r="N573" t="str">
        <f t="shared" si="16"/>
        <v>2. 1-24 hours</v>
      </c>
      <c r="O573" t="str">
        <f t="shared" si="17"/>
        <v>2025-07</v>
      </c>
    </row>
    <row r="574" spans="1:15" x14ac:dyDescent="0.3">
      <c r="A574" t="s">
        <v>1406</v>
      </c>
      <c r="B574" t="s">
        <v>1407</v>
      </c>
      <c r="C574" t="s">
        <v>125</v>
      </c>
      <c r="D574" t="s">
        <v>29</v>
      </c>
      <c r="E574" t="s">
        <v>45</v>
      </c>
      <c r="F574" t="s">
        <v>94</v>
      </c>
      <c r="G574">
        <v>1.1299999999999999</v>
      </c>
      <c r="H574" t="s">
        <v>128</v>
      </c>
      <c r="I574" t="s">
        <v>42</v>
      </c>
      <c r="M574">
        <f>VLOOKUP(H574,'Stage Order'!$A$2:$B$8,2,FALSE)</f>
        <v>3</v>
      </c>
      <c r="N574" t="str">
        <f t="shared" si="16"/>
        <v>2. 1-24 hours</v>
      </c>
      <c r="O574" t="str">
        <f t="shared" si="17"/>
        <v>2025-03</v>
      </c>
    </row>
    <row r="575" spans="1:15" x14ac:dyDescent="0.3">
      <c r="A575" t="s">
        <v>1408</v>
      </c>
      <c r="B575" t="s">
        <v>1409</v>
      </c>
      <c r="C575" t="s">
        <v>125</v>
      </c>
      <c r="D575" t="s">
        <v>54</v>
      </c>
      <c r="E575" t="s">
        <v>30</v>
      </c>
      <c r="F575" t="s">
        <v>82</v>
      </c>
      <c r="G575">
        <v>2.13</v>
      </c>
      <c r="H575" t="s">
        <v>61</v>
      </c>
      <c r="I575" t="s">
        <v>42</v>
      </c>
      <c r="M575">
        <f>VLOOKUP(H575,'Stage Order'!$A$2:$B$8,2,FALSE)</f>
        <v>1</v>
      </c>
      <c r="N575" t="str">
        <f t="shared" si="16"/>
        <v>2. 1-24 hours</v>
      </c>
      <c r="O575" t="str">
        <f t="shared" si="17"/>
        <v>2025-04</v>
      </c>
    </row>
    <row r="576" spans="1:15" x14ac:dyDescent="0.3">
      <c r="A576" t="s">
        <v>1410</v>
      </c>
      <c r="B576" t="s">
        <v>1411</v>
      </c>
      <c r="C576" t="s">
        <v>125</v>
      </c>
      <c r="D576" t="s">
        <v>54</v>
      </c>
      <c r="E576" t="s">
        <v>90</v>
      </c>
      <c r="F576" t="s">
        <v>145</v>
      </c>
      <c r="G576">
        <v>1.23</v>
      </c>
      <c r="H576" t="s">
        <v>41</v>
      </c>
      <c r="I576" t="s">
        <v>42</v>
      </c>
      <c r="M576">
        <f>VLOOKUP(H576,'Stage Order'!$A$2:$B$8,2,FALSE)</f>
        <v>2</v>
      </c>
      <c r="N576" t="str">
        <f t="shared" si="16"/>
        <v>2. 1-24 hours</v>
      </c>
      <c r="O576" t="str">
        <f t="shared" si="17"/>
        <v>2026-05</v>
      </c>
    </row>
    <row r="577" spans="1:15" x14ac:dyDescent="0.3">
      <c r="A577" t="s">
        <v>1412</v>
      </c>
      <c r="B577" t="s">
        <v>1413</v>
      </c>
      <c r="C577" t="s">
        <v>76</v>
      </c>
      <c r="D577" t="s">
        <v>38</v>
      </c>
      <c r="E577" t="s">
        <v>30</v>
      </c>
      <c r="F577" t="s">
        <v>78</v>
      </c>
      <c r="G577">
        <v>1.2</v>
      </c>
      <c r="H577" t="s">
        <v>41</v>
      </c>
      <c r="I577" t="s">
        <v>42</v>
      </c>
      <c r="M577">
        <f>VLOOKUP(H577,'Stage Order'!$A$2:$B$8,2,FALSE)</f>
        <v>2</v>
      </c>
      <c r="N577" t="str">
        <f t="shared" si="16"/>
        <v>2. 1-24 hours</v>
      </c>
      <c r="O577" t="str">
        <f t="shared" si="17"/>
        <v>2025-07</v>
      </c>
    </row>
    <row r="578" spans="1:15" x14ac:dyDescent="0.3">
      <c r="A578" t="s">
        <v>1414</v>
      </c>
      <c r="B578" t="s">
        <v>1415</v>
      </c>
      <c r="C578" t="s">
        <v>53</v>
      </c>
      <c r="D578" t="s">
        <v>54</v>
      </c>
      <c r="E578" t="s">
        <v>45</v>
      </c>
      <c r="F578" t="s">
        <v>94</v>
      </c>
      <c r="G578">
        <v>6.36</v>
      </c>
      <c r="H578" t="s">
        <v>32</v>
      </c>
      <c r="I578" t="s">
        <v>33</v>
      </c>
      <c r="K578">
        <v>448.04</v>
      </c>
      <c r="L578" t="s">
        <v>1416</v>
      </c>
      <c r="M578">
        <f>VLOOKUP(H578,'Stage Order'!$A$2:$B$8,2,FALSE)</f>
        <v>7</v>
      </c>
      <c r="N578" t="str">
        <f t="shared" ref="N578:N641" si="18">IF(G578&lt;=1,"1. Under 1 hour",IF(G578&lt;=24,"2. 1-24 hours",IF(G578&lt;=72,"3. 1-3 days","4. Over 3 days")))</f>
        <v>2. 1-24 hours</v>
      </c>
      <c r="O578" t="str">
        <f t="shared" ref="O578:O641" si="19">TEXT(B578,"YYYY-MM")</f>
        <v>2026-03</v>
      </c>
    </row>
    <row r="579" spans="1:15" x14ac:dyDescent="0.3">
      <c r="A579" t="s">
        <v>1417</v>
      </c>
      <c r="B579" t="s">
        <v>1418</v>
      </c>
      <c r="C579" t="s">
        <v>53</v>
      </c>
      <c r="D579" t="s">
        <v>77</v>
      </c>
      <c r="E579" t="s">
        <v>59</v>
      </c>
      <c r="F579" t="s">
        <v>60</v>
      </c>
      <c r="G579">
        <v>7.62</v>
      </c>
      <c r="H579" t="s">
        <v>41</v>
      </c>
      <c r="I579" t="s">
        <v>42</v>
      </c>
      <c r="M579">
        <f>VLOOKUP(H579,'Stage Order'!$A$2:$B$8,2,FALSE)</f>
        <v>2</v>
      </c>
      <c r="N579" t="str">
        <f t="shared" si="18"/>
        <v>2. 1-24 hours</v>
      </c>
      <c r="O579" t="str">
        <f t="shared" si="19"/>
        <v>2026-06</v>
      </c>
    </row>
    <row r="580" spans="1:15" x14ac:dyDescent="0.3">
      <c r="A580" t="s">
        <v>1419</v>
      </c>
      <c r="B580" t="s">
        <v>1420</v>
      </c>
      <c r="C580" t="s">
        <v>37</v>
      </c>
      <c r="D580" t="s">
        <v>77</v>
      </c>
      <c r="E580" t="s">
        <v>59</v>
      </c>
      <c r="F580" t="s">
        <v>137</v>
      </c>
      <c r="G580">
        <v>1.17</v>
      </c>
      <c r="H580" t="s">
        <v>41</v>
      </c>
      <c r="I580" t="s">
        <v>42</v>
      </c>
      <c r="M580">
        <f>VLOOKUP(H580,'Stage Order'!$A$2:$B$8,2,FALSE)</f>
        <v>2</v>
      </c>
      <c r="N580" t="str">
        <f t="shared" si="18"/>
        <v>2. 1-24 hours</v>
      </c>
      <c r="O580" t="str">
        <f t="shared" si="19"/>
        <v>2026-02</v>
      </c>
    </row>
    <row r="581" spans="1:15" x14ac:dyDescent="0.3">
      <c r="A581" t="s">
        <v>1421</v>
      </c>
      <c r="B581" t="s">
        <v>1422</v>
      </c>
      <c r="C581" t="s">
        <v>53</v>
      </c>
      <c r="D581" t="s">
        <v>38</v>
      </c>
      <c r="E581" t="s">
        <v>30</v>
      </c>
      <c r="F581" t="s">
        <v>82</v>
      </c>
      <c r="G581">
        <v>8.18</v>
      </c>
      <c r="H581" t="s">
        <v>138</v>
      </c>
      <c r="I581" t="s">
        <v>48</v>
      </c>
      <c r="J581" t="s">
        <v>98</v>
      </c>
      <c r="K581">
        <v>364.46</v>
      </c>
      <c r="L581" t="s">
        <v>1423</v>
      </c>
      <c r="M581">
        <f>VLOOKUP(H581,'Stage Order'!$A$2:$B$8,2,FALSE)</f>
        <v>6</v>
      </c>
      <c r="N581" t="str">
        <f t="shared" si="18"/>
        <v>2. 1-24 hours</v>
      </c>
      <c r="O581" t="str">
        <f t="shared" si="19"/>
        <v>2026-06</v>
      </c>
    </row>
    <row r="582" spans="1:15" x14ac:dyDescent="0.3">
      <c r="A582" t="s">
        <v>1424</v>
      </c>
      <c r="B582" t="s">
        <v>1425</v>
      </c>
      <c r="C582" t="s">
        <v>58</v>
      </c>
      <c r="D582" t="s">
        <v>77</v>
      </c>
      <c r="E582" t="s">
        <v>59</v>
      </c>
      <c r="F582" t="s">
        <v>60</v>
      </c>
      <c r="G582">
        <v>1.17</v>
      </c>
      <c r="H582" t="s">
        <v>32</v>
      </c>
      <c r="I582" t="s">
        <v>33</v>
      </c>
      <c r="K582">
        <v>1066.47</v>
      </c>
      <c r="L582" t="s">
        <v>1426</v>
      </c>
      <c r="M582">
        <f>VLOOKUP(H582,'Stage Order'!$A$2:$B$8,2,FALSE)</f>
        <v>7</v>
      </c>
      <c r="N582" t="str">
        <f t="shared" si="18"/>
        <v>2. 1-24 hours</v>
      </c>
      <c r="O582" t="str">
        <f t="shared" si="19"/>
        <v>2025-07</v>
      </c>
    </row>
    <row r="583" spans="1:15" x14ac:dyDescent="0.3">
      <c r="A583" t="s">
        <v>1427</v>
      </c>
      <c r="B583" t="s">
        <v>1428</v>
      </c>
      <c r="C583" t="s">
        <v>125</v>
      </c>
      <c r="D583" t="s">
        <v>54</v>
      </c>
      <c r="E583" t="s">
        <v>90</v>
      </c>
      <c r="F583" t="s">
        <v>91</v>
      </c>
      <c r="G583">
        <v>1.1200000000000001</v>
      </c>
      <c r="H583" t="s">
        <v>41</v>
      </c>
      <c r="I583" t="s">
        <v>42</v>
      </c>
      <c r="M583">
        <f>VLOOKUP(H583,'Stage Order'!$A$2:$B$8,2,FALSE)</f>
        <v>2</v>
      </c>
      <c r="N583" t="str">
        <f t="shared" si="18"/>
        <v>2. 1-24 hours</v>
      </c>
      <c r="O583" t="str">
        <f t="shared" si="19"/>
        <v>2026-02</v>
      </c>
    </row>
    <row r="584" spans="1:15" x14ac:dyDescent="0.3">
      <c r="A584" t="s">
        <v>1429</v>
      </c>
      <c r="B584" t="s">
        <v>1430</v>
      </c>
      <c r="C584" t="s">
        <v>28</v>
      </c>
      <c r="D584" t="s">
        <v>97</v>
      </c>
      <c r="E584" t="s">
        <v>39</v>
      </c>
      <c r="F584" t="s">
        <v>40</v>
      </c>
      <c r="G584">
        <v>2.3199999999999998</v>
      </c>
      <c r="H584" t="s">
        <v>41</v>
      </c>
      <c r="I584" t="s">
        <v>42</v>
      </c>
      <c r="M584">
        <f>VLOOKUP(H584,'Stage Order'!$A$2:$B$8,2,FALSE)</f>
        <v>2</v>
      </c>
      <c r="N584" t="str">
        <f t="shared" si="18"/>
        <v>2. 1-24 hours</v>
      </c>
      <c r="O584" t="str">
        <f t="shared" si="19"/>
        <v>2026-04</v>
      </c>
    </row>
    <row r="585" spans="1:15" x14ac:dyDescent="0.3">
      <c r="A585" t="s">
        <v>1431</v>
      </c>
      <c r="B585" t="s">
        <v>1432</v>
      </c>
      <c r="C585" t="s">
        <v>125</v>
      </c>
      <c r="D585" t="s">
        <v>97</v>
      </c>
      <c r="E585" t="s">
        <v>39</v>
      </c>
      <c r="F585" t="s">
        <v>106</v>
      </c>
      <c r="G585">
        <v>2.1</v>
      </c>
      <c r="H585" t="s">
        <v>41</v>
      </c>
      <c r="I585" t="s">
        <v>42</v>
      </c>
      <c r="M585">
        <f>VLOOKUP(H585,'Stage Order'!$A$2:$B$8,2,FALSE)</f>
        <v>2</v>
      </c>
      <c r="N585" t="str">
        <f t="shared" si="18"/>
        <v>2. 1-24 hours</v>
      </c>
      <c r="O585" t="str">
        <f t="shared" si="19"/>
        <v>2026-01</v>
      </c>
    </row>
    <row r="586" spans="1:15" x14ac:dyDescent="0.3">
      <c r="A586" t="s">
        <v>1433</v>
      </c>
      <c r="B586" t="s">
        <v>1434</v>
      </c>
      <c r="C586" t="s">
        <v>28</v>
      </c>
      <c r="D586" t="s">
        <v>29</v>
      </c>
      <c r="E586" t="s">
        <v>45</v>
      </c>
      <c r="F586" t="s">
        <v>55</v>
      </c>
      <c r="G586">
        <v>12.08</v>
      </c>
      <c r="H586" t="s">
        <v>41</v>
      </c>
      <c r="I586" t="s">
        <v>42</v>
      </c>
      <c r="M586">
        <f>VLOOKUP(H586,'Stage Order'!$A$2:$B$8,2,FALSE)</f>
        <v>2</v>
      </c>
      <c r="N586" t="str">
        <f t="shared" si="18"/>
        <v>2. 1-24 hours</v>
      </c>
      <c r="O586" t="str">
        <f t="shared" si="19"/>
        <v>2025-05</v>
      </c>
    </row>
    <row r="587" spans="1:15" x14ac:dyDescent="0.3">
      <c r="A587" t="s">
        <v>1435</v>
      </c>
      <c r="B587" t="s">
        <v>1436</v>
      </c>
      <c r="C587" t="s">
        <v>125</v>
      </c>
      <c r="D587" t="s">
        <v>29</v>
      </c>
      <c r="E587" t="s">
        <v>30</v>
      </c>
      <c r="F587" t="s">
        <v>78</v>
      </c>
      <c r="G587">
        <v>4</v>
      </c>
      <c r="H587" t="s">
        <v>41</v>
      </c>
      <c r="I587" t="s">
        <v>42</v>
      </c>
      <c r="M587">
        <f>VLOOKUP(H587,'Stage Order'!$A$2:$B$8,2,FALSE)</f>
        <v>2</v>
      </c>
      <c r="N587" t="str">
        <f t="shared" si="18"/>
        <v>2. 1-24 hours</v>
      </c>
      <c r="O587" t="str">
        <f t="shared" si="19"/>
        <v>2026-06</v>
      </c>
    </row>
    <row r="588" spans="1:15" x14ac:dyDescent="0.3">
      <c r="A588" t="s">
        <v>1437</v>
      </c>
      <c r="B588" t="s">
        <v>1438</v>
      </c>
      <c r="C588" t="s">
        <v>37</v>
      </c>
      <c r="D588" t="s">
        <v>29</v>
      </c>
      <c r="E588" t="s">
        <v>30</v>
      </c>
      <c r="F588" t="s">
        <v>82</v>
      </c>
      <c r="G588">
        <v>1.02</v>
      </c>
      <c r="H588" t="s">
        <v>41</v>
      </c>
      <c r="I588" t="s">
        <v>42</v>
      </c>
      <c r="M588">
        <f>VLOOKUP(H588,'Stage Order'!$A$2:$B$8,2,FALSE)</f>
        <v>2</v>
      </c>
      <c r="N588" t="str">
        <f t="shared" si="18"/>
        <v>2. 1-24 hours</v>
      </c>
      <c r="O588" t="str">
        <f t="shared" si="19"/>
        <v>2025-01</v>
      </c>
    </row>
    <row r="589" spans="1:15" x14ac:dyDescent="0.3">
      <c r="A589" t="s">
        <v>1439</v>
      </c>
      <c r="B589" t="s">
        <v>1440</v>
      </c>
      <c r="C589" t="s">
        <v>53</v>
      </c>
      <c r="D589" t="s">
        <v>54</v>
      </c>
      <c r="E589" t="s">
        <v>45</v>
      </c>
      <c r="F589" t="s">
        <v>46</v>
      </c>
      <c r="G589">
        <v>0.69</v>
      </c>
      <c r="H589" t="s">
        <v>32</v>
      </c>
      <c r="I589" t="s">
        <v>33</v>
      </c>
      <c r="K589">
        <v>438.87</v>
      </c>
      <c r="L589" t="s">
        <v>1441</v>
      </c>
      <c r="M589">
        <f>VLOOKUP(H589,'Stage Order'!$A$2:$B$8,2,FALSE)</f>
        <v>7</v>
      </c>
      <c r="N589" t="str">
        <f t="shared" si="18"/>
        <v>1. Under 1 hour</v>
      </c>
      <c r="O589" t="str">
        <f t="shared" si="19"/>
        <v>2026-01</v>
      </c>
    </row>
    <row r="590" spans="1:15" x14ac:dyDescent="0.3">
      <c r="A590" t="s">
        <v>1442</v>
      </c>
      <c r="B590" t="s">
        <v>1443</v>
      </c>
      <c r="C590" t="s">
        <v>125</v>
      </c>
      <c r="D590" t="s">
        <v>77</v>
      </c>
      <c r="E590" t="s">
        <v>59</v>
      </c>
      <c r="F590" t="s">
        <v>137</v>
      </c>
      <c r="G590">
        <v>1.65</v>
      </c>
      <c r="H590" t="s">
        <v>61</v>
      </c>
      <c r="I590" t="s">
        <v>42</v>
      </c>
      <c r="M590">
        <f>VLOOKUP(H590,'Stage Order'!$A$2:$B$8,2,FALSE)</f>
        <v>1</v>
      </c>
      <c r="N590" t="str">
        <f t="shared" si="18"/>
        <v>2. 1-24 hours</v>
      </c>
      <c r="O590" t="str">
        <f t="shared" si="19"/>
        <v>2025-08</v>
      </c>
    </row>
    <row r="591" spans="1:15" x14ac:dyDescent="0.3">
      <c r="A591" t="s">
        <v>1444</v>
      </c>
      <c r="B591" t="s">
        <v>1445</v>
      </c>
      <c r="C591" t="s">
        <v>28</v>
      </c>
      <c r="D591" t="s">
        <v>54</v>
      </c>
      <c r="E591" t="s">
        <v>90</v>
      </c>
      <c r="F591" t="s">
        <v>112</v>
      </c>
      <c r="G591">
        <v>5.47</v>
      </c>
      <c r="H591" t="s">
        <v>138</v>
      </c>
      <c r="I591" t="s">
        <v>48</v>
      </c>
      <c r="J591" t="s">
        <v>98</v>
      </c>
      <c r="K591">
        <v>499.53</v>
      </c>
      <c r="L591" t="s">
        <v>1446</v>
      </c>
      <c r="M591">
        <f>VLOOKUP(H591,'Stage Order'!$A$2:$B$8,2,FALSE)</f>
        <v>6</v>
      </c>
      <c r="N591" t="str">
        <f t="shared" si="18"/>
        <v>2. 1-24 hours</v>
      </c>
      <c r="O591" t="str">
        <f t="shared" si="19"/>
        <v>2025-01</v>
      </c>
    </row>
    <row r="592" spans="1:15" x14ac:dyDescent="0.3">
      <c r="A592" t="s">
        <v>1447</v>
      </c>
      <c r="B592" t="s">
        <v>1448</v>
      </c>
      <c r="C592" t="s">
        <v>76</v>
      </c>
      <c r="D592" t="s">
        <v>77</v>
      </c>
      <c r="E592" t="s">
        <v>45</v>
      </c>
      <c r="F592" t="s">
        <v>46</v>
      </c>
      <c r="G592">
        <v>10.84</v>
      </c>
      <c r="H592" t="s">
        <v>41</v>
      </c>
      <c r="I592" t="s">
        <v>42</v>
      </c>
      <c r="M592">
        <f>VLOOKUP(H592,'Stage Order'!$A$2:$B$8,2,FALSE)</f>
        <v>2</v>
      </c>
      <c r="N592" t="str">
        <f t="shared" si="18"/>
        <v>2. 1-24 hours</v>
      </c>
      <c r="O592" t="str">
        <f t="shared" si="19"/>
        <v>2025-08</v>
      </c>
    </row>
    <row r="593" spans="1:15" x14ac:dyDescent="0.3">
      <c r="A593" t="s">
        <v>1449</v>
      </c>
      <c r="B593" t="s">
        <v>1450</v>
      </c>
      <c r="C593" t="s">
        <v>125</v>
      </c>
      <c r="D593" t="s">
        <v>54</v>
      </c>
      <c r="E593" t="s">
        <v>39</v>
      </c>
      <c r="F593" t="s">
        <v>66</v>
      </c>
      <c r="G593">
        <v>4.5999999999999996</v>
      </c>
      <c r="H593" t="s">
        <v>41</v>
      </c>
      <c r="I593" t="s">
        <v>42</v>
      </c>
      <c r="M593">
        <f>VLOOKUP(H593,'Stage Order'!$A$2:$B$8,2,FALSE)</f>
        <v>2</v>
      </c>
      <c r="N593" t="str">
        <f t="shared" si="18"/>
        <v>2. 1-24 hours</v>
      </c>
      <c r="O593" t="str">
        <f t="shared" si="19"/>
        <v>2025-12</v>
      </c>
    </row>
    <row r="594" spans="1:15" x14ac:dyDescent="0.3">
      <c r="A594" t="s">
        <v>1451</v>
      </c>
      <c r="B594" t="s">
        <v>1452</v>
      </c>
      <c r="C594" t="s">
        <v>37</v>
      </c>
      <c r="D594" t="s">
        <v>77</v>
      </c>
      <c r="E594" t="s">
        <v>90</v>
      </c>
      <c r="F594" t="s">
        <v>112</v>
      </c>
      <c r="G594">
        <v>1.34</v>
      </c>
      <c r="H594" t="s">
        <v>41</v>
      </c>
      <c r="I594" t="s">
        <v>42</v>
      </c>
      <c r="M594">
        <f>VLOOKUP(H594,'Stage Order'!$A$2:$B$8,2,FALSE)</f>
        <v>2</v>
      </c>
      <c r="N594" t="str">
        <f t="shared" si="18"/>
        <v>2. 1-24 hours</v>
      </c>
      <c r="O594" t="str">
        <f t="shared" si="19"/>
        <v>2025-08</v>
      </c>
    </row>
    <row r="595" spans="1:15" x14ac:dyDescent="0.3">
      <c r="A595" t="s">
        <v>1453</v>
      </c>
      <c r="B595" t="s">
        <v>1454</v>
      </c>
      <c r="C595" t="s">
        <v>81</v>
      </c>
      <c r="D595" t="s">
        <v>54</v>
      </c>
      <c r="E595" t="s">
        <v>39</v>
      </c>
      <c r="F595" t="s">
        <v>40</v>
      </c>
      <c r="G595">
        <v>0.3</v>
      </c>
      <c r="H595" t="s">
        <v>61</v>
      </c>
      <c r="I595" t="s">
        <v>42</v>
      </c>
      <c r="M595">
        <f>VLOOKUP(H595,'Stage Order'!$A$2:$B$8,2,FALSE)</f>
        <v>1</v>
      </c>
      <c r="N595" t="str">
        <f t="shared" si="18"/>
        <v>1. Under 1 hour</v>
      </c>
      <c r="O595" t="str">
        <f t="shared" si="19"/>
        <v>2025-06</v>
      </c>
    </row>
    <row r="596" spans="1:15" x14ac:dyDescent="0.3">
      <c r="A596" t="s">
        <v>1455</v>
      </c>
      <c r="B596" t="s">
        <v>1456</v>
      </c>
      <c r="C596" t="s">
        <v>76</v>
      </c>
      <c r="D596" t="s">
        <v>54</v>
      </c>
      <c r="E596" t="s">
        <v>39</v>
      </c>
      <c r="F596" t="s">
        <v>40</v>
      </c>
      <c r="G596">
        <v>2.85</v>
      </c>
      <c r="H596" t="s">
        <v>146</v>
      </c>
      <c r="I596" t="s">
        <v>48</v>
      </c>
      <c r="J596" t="s">
        <v>139</v>
      </c>
      <c r="K596">
        <v>478.25</v>
      </c>
      <c r="L596" t="s">
        <v>1457</v>
      </c>
      <c r="M596">
        <f>VLOOKUP(H596,'Stage Order'!$A$2:$B$8,2,FALSE)</f>
        <v>5</v>
      </c>
      <c r="N596" t="str">
        <f t="shared" si="18"/>
        <v>2. 1-24 hours</v>
      </c>
      <c r="O596" t="str">
        <f t="shared" si="19"/>
        <v>2026-03</v>
      </c>
    </row>
    <row r="597" spans="1:15" x14ac:dyDescent="0.3">
      <c r="A597" t="s">
        <v>1458</v>
      </c>
      <c r="B597" t="s">
        <v>1459</v>
      </c>
      <c r="C597" t="s">
        <v>76</v>
      </c>
      <c r="D597" t="s">
        <v>54</v>
      </c>
      <c r="E597" t="s">
        <v>90</v>
      </c>
      <c r="F597" t="s">
        <v>91</v>
      </c>
      <c r="G597">
        <v>2.4900000000000002</v>
      </c>
      <c r="H597" t="s">
        <v>41</v>
      </c>
      <c r="I597" t="s">
        <v>42</v>
      </c>
      <c r="M597">
        <f>VLOOKUP(H597,'Stage Order'!$A$2:$B$8,2,FALSE)</f>
        <v>2</v>
      </c>
      <c r="N597" t="str">
        <f t="shared" si="18"/>
        <v>2. 1-24 hours</v>
      </c>
      <c r="O597" t="str">
        <f t="shared" si="19"/>
        <v>2026-03</v>
      </c>
    </row>
    <row r="598" spans="1:15" x14ac:dyDescent="0.3">
      <c r="A598" t="s">
        <v>1460</v>
      </c>
      <c r="B598" t="s">
        <v>1461</v>
      </c>
      <c r="C598" t="s">
        <v>58</v>
      </c>
      <c r="D598" t="s">
        <v>97</v>
      </c>
      <c r="E598" t="s">
        <v>59</v>
      </c>
      <c r="F598" t="s">
        <v>137</v>
      </c>
      <c r="G598">
        <v>3.63</v>
      </c>
      <c r="H598" t="s">
        <v>61</v>
      </c>
      <c r="I598" t="s">
        <v>42</v>
      </c>
      <c r="M598">
        <f>VLOOKUP(H598,'Stage Order'!$A$2:$B$8,2,FALSE)</f>
        <v>1</v>
      </c>
      <c r="N598" t="str">
        <f t="shared" si="18"/>
        <v>2. 1-24 hours</v>
      </c>
      <c r="O598" t="str">
        <f t="shared" si="19"/>
        <v>2025-12</v>
      </c>
    </row>
    <row r="599" spans="1:15" x14ac:dyDescent="0.3">
      <c r="A599" t="s">
        <v>1462</v>
      </c>
      <c r="B599" t="s">
        <v>1463</v>
      </c>
      <c r="C599" t="s">
        <v>81</v>
      </c>
      <c r="D599" t="s">
        <v>77</v>
      </c>
      <c r="E599" t="s">
        <v>45</v>
      </c>
      <c r="F599" t="s">
        <v>94</v>
      </c>
      <c r="G599">
        <v>8.02</v>
      </c>
      <c r="H599" t="s">
        <v>61</v>
      </c>
      <c r="I599" t="s">
        <v>42</v>
      </c>
      <c r="M599">
        <f>VLOOKUP(H599,'Stage Order'!$A$2:$B$8,2,FALSE)</f>
        <v>1</v>
      </c>
      <c r="N599" t="str">
        <f t="shared" si="18"/>
        <v>2. 1-24 hours</v>
      </c>
      <c r="O599" t="str">
        <f t="shared" si="19"/>
        <v>2025-02</v>
      </c>
    </row>
    <row r="600" spans="1:15" x14ac:dyDescent="0.3">
      <c r="A600" t="s">
        <v>1464</v>
      </c>
      <c r="B600" t="s">
        <v>1465</v>
      </c>
      <c r="C600" t="s">
        <v>53</v>
      </c>
      <c r="D600" t="s">
        <v>54</v>
      </c>
      <c r="E600" t="s">
        <v>45</v>
      </c>
      <c r="F600" t="s">
        <v>46</v>
      </c>
      <c r="G600">
        <v>1.51</v>
      </c>
      <c r="H600" t="s">
        <v>41</v>
      </c>
      <c r="I600" t="s">
        <v>42</v>
      </c>
      <c r="M600">
        <f>VLOOKUP(H600,'Stage Order'!$A$2:$B$8,2,FALSE)</f>
        <v>2</v>
      </c>
      <c r="N600" t="str">
        <f t="shared" si="18"/>
        <v>2. 1-24 hours</v>
      </c>
      <c r="O600" t="str">
        <f t="shared" si="19"/>
        <v>2025-05</v>
      </c>
    </row>
    <row r="601" spans="1:15" x14ac:dyDescent="0.3">
      <c r="A601" t="s">
        <v>1466</v>
      </c>
      <c r="B601" t="s">
        <v>1467</v>
      </c>
      <c r="C601" t="s">
        <v>81</v>
      </c>
      <c r="D601" t="s">
        <v>77</v>
      </c>
      <c r="E601" t="s">
        <v>45</v>
      </c>
      <c r="F601" t="s">
        <v>55</v>
      </c>
      <c r="G601">
        <v>6.97</v>
      </c>
      <c r="H601" t="s">
        <v>41</v>
      </c>
      <c r="I601" t="s">
        <v>42</v>
      </c>
      <c r="M601">
        <f>VLOOKUP(H601,'Stage Order'!$A$2:$B$8,2,FALSE)</f>
        <v>2</v>
      </c>
      <c r="N601" t="str">
        <f t="shared" si="18"/>
        <v>2. 1-24 hours</v>
      </c>
      <c r="O601" t="str">
        <f t="shared" si="19"/>
        <v>2025-03</v>
      </c>
    </row>
    <row r="602" spans="1:15" x14ac:dyDescent="0.3">
      <c r="A602" t="s">
        <v>1468</v>
      </c>
      <c r="B602" t="s">
        <v>1469</v>
      </c>
      <c r="C602" t="s">
        <v>76</v>
      </c>
      <c r="D602" t="s">
        <v>38</v>
      </c>
      <c r="E602" t="s">
        <v>59</v>
      </c>
      <c r="F602" t="s">
        <v>117</v>
      </c>
      <c r="G602">
        <v>8.4</v>
      </c>
      <c r="H602" t="s">
        <v>32</v>
      </c>
      <c r="I602" t="s">
        <v>33</v>
      </c>
      <c r="K602">
        <v>358.06</v>
      </c>
      <c r="L602" t="s">
        <v>1470</v>
      </c>
      <c r="M602">
        <f>VLOOKUP(H602,'Stage Order'!$A$2:$B$8,2,FALSE)</f>
        <v>7</v>
      </c>
      <c r="N602" t="str">
        <f t="shared" si="18"/>
        <v>2. 1-24 hours</v>
      </c>
      <c r="O602" t="str">
        <f t="shared" si="19"/>
        <v>2026-03</v>
      </c>
    </row>
    <row r="603" spans="1:15" x14ac:dyDescent="0.3">
      <c r="A603" t="s">
        <v>1471</v>
      </c>
      <c r="B603" t="s">
        <v>1472</v>
      </c>
      <c r="C603" t="s">
        <v>81</v>
      </c>
      <c r="D603" t="s">
        <v>54</v>
      </c>
      <c r="E603" t="s">
        <v>59</v>
      </c>
      <c r="F603" t="s">
        <v>137</v>
      </c>
      <c r="G603">
        <v>10.47</v>
      </c>
      <c r="H603" t="s">
        <v>41</v>
      </c>
      <c r="I603" t="s">
        <v>42</v>
      </c>
      <c r="M603">
        <f>VLOOKUP(H603,'Stage Order'!$A$2:$B$8,2,FALSE)</f>
        <v>2</v>
      </c>
      <c r="N603" t="str">
        <f t="shared" si="18"/>
        <v>2. 1-24 hours</v>
      </c>
      <c r="O603" t="str">
        <f t="shared" si="19"/>
        <v>2025-05</v>
      </c>
    </row>
    <row r="604" spans="1:15" x14ac:dyDescent="0.3">
      <c r="A604" t="s">
        <v>1473</v>
      </c>
      <c r="B604" t="s">
        <v>1474</v>
      </c>
      <c r="C604" t="s">
        <v>125</v>
      </c>
      <c r="D604" t="s">
        <v>54</v>
      </c>
      <c r="E604" t="s">
        <v>90</v>
      </c>
      <c r="F604" t="s">
        <v>112</v>
      </c>
      <c r="G604">
        <v>6.31</v>
      </c>
      <c r="H604" t="s">
        <v>61</v>
      </c>
      <c r="I604" t="s">
        <v>42</v>
      </c>
      <c r="M604">
        <f>VLOOKUP(H604,'Stage Order'!$A$2:$B$8,2,FALSE)</f>
        <v>1</v>
      </c>
      <c r="N604" t="str">
        <f t="shared" si="18"/>
        <v>2. 1-24 hours</v>
      </c>
      <c r="O604" t="str">
        <f t="shared" si="19"/>
        <v>2026-02</v>
      </c>
    </row>
    <row r="605" spans="1:15" x14ac:dyDescent="0.3">
      <c r="A605" t="s">
        <v>1475</v>
      </c>
      <c r="B605" t="s">
        <v>1476</v>
      </c>
      <c r="C605" t="s">
        <v>81</v>
      </c>
      <c r="D605" t="s">
        <v>29</v>
      </c>
      <c r="E605" t="s">
        <v>45</v>
      </c>
      <c r="F605" t="s">
        <v>46</v>
      </c>
      <c r="G605">
        <v>5.51</v>
      </c>
      <c r="H605" t="s">
        <v>61</v>
      </c>
      <c r="I605" t="s">
        <v>42</v>
      </c>
      <c r="M605">
        <f>VLOOKUP(H605,'Stage Order'!$A$2:$B$8,2,FALSE)</f>
        <v>1</v>
      </c>
      <c r="N605" t="str">
        <f t="shared" si="18"/>
        <v>2. 1-24 hours</v>
      </c>
      <c r="O605" t="str">
        <f t="shared" si="19"/>
        <v>2025-07</v>
      </c>
    </row>
    <row r="606" spans="1:15" x14ac:dyDescent="0.3">
      <c r="A606" t="s">
        <v>1477</v>
      </c>
      <c r="B606" t="s">
        <v>1478</v>
      </c>
      <c r="C606" t="s">
        <v>125</v>
      </c>
      <c r="D606" t="s">
        <v>54</v>
      </c>
      <c r="E606" t="s">
        <v>45</v>
      </c>
      <c r="F606" t="s">
        <v>46</v>
      </c>
      <c r="G606">
        <v>2.85</v>
      </c>
      <c r="H606" t="s">
        <v>41</v>
      </c>
      <c r="I606" t="s">
        <v>42</v>
      </c>
      <c r="M606">
        <f>VLOOKUP(H606,'Stage Order'!$A$2:$B$8,2,FALSE)</f>
        <v>2</v>
      </c>
      <c r="N606" t="str">
        <f t="shared" si="18"/>
        <v>2. 1-24 hours</v>
      </c>
      <c r="O606" t="str">
        <f t="shared" si="19"/>
        <v>2025-05</v>
      </c>
    </row>
    <row r="607" spans="1:15" x14ac:dyDescent="0.3">
      <c r="A607" t="s">
        <v>1479</v>
      </c>
      <c r="B607" t="s">
        <v>1480</v>
      </c>
      <c r="C607" t="s">
        <v>53</v>
      </c>
      <c r="D607" t="s">
        <v>54</v>
      </c>
      <c r="E607" t="s">
        <v>59</v>
      </c>
      <c r="F607" t="s">
        <v>60</v>
      </c>
      <c r="G607">
        <v>3.12</v>
      </c>
      <c r="H607" t="s">
        <v>32</v>
      </c>
      <c r="I607" t="s">
        <v>33</v>
      </c>
      <c r="K607">
        <v>466.69</v>
      </c>
      <c r="L607" t="s">
        <v>1481</v>
      </c>
      <c r="M607">
        <f>VLOOKUP(H607,'Stage Order'!$A$2:$B$8,2,FALSE)</f>
        <v>7</v>
      </c>
      <c r="N607" t="str">
        <f t="shared" si="18"/>
        <v>2. 1-24 hours</v>
      </c>
      <c r="O607" t="str">
        <f t="shared" si="19"/>
        <v>2026-03</v>
      </c>
    </row>
    <row r="608" spans="1:15" x14ac:dyDescent="0.3">
      <c r="A608" t="s">
        <v>1482</v>
      </c>
      <c r="B608" t="s">
        <v>1483</v>
      </c>
      <c r="C608" t="s">
        <v>125</v>
      </c>
      <c r="D608" t="s">
        <v>54</v>
      </c>
      <c r="E608" t="s">
        <v>30</v>
      </c>
      <c r="F608" t="s">
        <v>78</v>
      </c>
      <c r="G608">
        <v>3.71</v>
      </c>
      <c r="H608" t="s">
        <v>41</v>
      </c>
      <c r="I608" t="s">
        <v>42</v>
      </c>
      <c r="M608">
        <f>VLOOKUP(H608,'Stage Order'!$A$2:$B$8,2,FALSE)</f>
        <v>2</v>
      </c>
      <c r="N608" t="str">
        <f t="shared" si="18"/>
        <v>2. 1-24 hours</v>
      </c>
      <c r="O608" t="str">
        <f t="shared" si="19"/>
        <v>2026-04</v>
      </c>
    </row>
    <row r="609" spans="1:15" x14ac:dyDescent="0.3">
      <c r="A609" t="s">
        <v>1484</v>
      </c>
      <c r="B609" t="s">
        <v>1485</v>
      </c>
      <c r="C609" t="s">
        <v>37</v>
      </c>
      <c r="D609" t="s">
        <v>38</v>
      </c>
      <c r="E609" t="s">
        <v>90</v>
      </c>
      <c r="F609" t="s">
        <v>91</v>
      </c>
      <c r="G609">
        <v>3.4</v>
      </c>
      <c r="H609" t="s">
        <v>41</v>
      </c>
      <c r="I609" t="s">
        <v>42</v>
      </c>
      <c r="M609">
        <f>VLOOKUP(H609,'Stage Order'!$A$2:$B$8,2,FALSE)</f>
        <v>2</v>
      </c>
      <c r="N609" t="str">
        <f t="shared" si="18"/>
        <v>2. 1-24 hours</v>
      </c>
      <c r="O609" t="str">
        <f t="shared" si="19"/>
        <v>2025-04</v>
      </c>
    </row>
    <row r="610" spans="1:15" x14ac:dyDescent="0.3">
      <c r="A610" t="s">
        <v>1486</v>
      </c>
      <c r="B610" t="s">
        <v>1487</v>
      </c>
      <c r="C610" t="s">
        <v>28</v>
      </c>
      <c r="D610" t="s">
        <v>29</v>
      </c>
      <c r="E610" t="s">
        <v>39</v>
      </c>
      <c r="F610" t="s">
        <v>106</v>
      </c>
      <c r="G610">
        <v>0.98</v>
      </c>
      <c r="H610" t="s">
        <v>61</v>
      </c>
      <c r="I610" t="s">
        <v>42</v>
      </c>
      <c r="M610">
        <f>VLOOKUP(H610,'Stage Order'!$A$2:$B$8,2,FALSE)</f>
        <v>1</v>
      </c>
      <c r="N610" t="str">
        <f t="shared" si="18"/>
        <v>1. Under 1 hour</v>
      </c>
      <c r="O610" t="str">
        <f t="shared" si="19"/>
        <v>2025-04</v>
      </c>
    </row>
    <row r="611" spans="1:15" x14ac:dyDescent="0.3">
      <c r="A611" t="s">
        <v>1488</v>
      </c>
      <c r="B611" t="s">
        <v>1489</v>
      </c>
      <c r="C611" t="s">
        <v>28</v>
      </c>
      <c r="D611" t="s">
        <v>77</v>
      </c>
      <c r="E611" t="s">
        <v>90</v>
      </c>
      <c r="F611" t="s">
        <v>145</v>
      </c>
      <c r="G611">
        <v>2.0499999999999998</v>
      </c>
      <c r="H611" t="s">
        <v>146</v>
      </c>
      <c r="I611" t="s">
        <v>48</v>
      </c>
      <c r="J611" t="s">
        <v>139</v>
      </c>
      <c r="K611">
        <v>978.18</v>
      </c>
      <c r="L611" t="s">
        <v>1490</v>
      </c>
      <c r="M611">
        <f>VLOOKUP(H611,'Stage Order'!$A$2:$B$8,2,FALSE)</f>
        <v>5</v>
      </c>
      <c r="N611" t="str">
        <f t="shared" si="18"/>
        <v>2. 1-24 hours</v>
      </c>
      <c r="O611" t="str">
        <f t="shared" si="19"/>
        <v>2026-04</v>
      </c>
    </row>
    <row r="612" spans="1:15" x14ac:dyDescent="0.3">
      <c r="A612" t="s">
        <v>1491</v>
      </c>
      <c r="B612" t="s">
        <v>1492</v>
      </c>
      <c r="C612" t="s">
        <v>53</v>
      </c>
      <c r="D612" t="s">
        <v>54</v>
      </c>
      <c r="E612" t="s">
        <v>59</v>
      </c>
      <c r="F612" t="s">
        <v>137</v>
      </c>
      <c r="G612">
        <v>1.31</v>
      </c>
      <c r="H612" t="s">
        <v>32</v>
      </c>
      <c r="I612" t="s">
        <v>33</v>
      </c>
      <c r="K612">
        <v>513.79</v>
      </c>
      <c r="L612" t="s">
        <v>1493</v>
      </c>
      <c r="M612">
        <f>VLOOKUP(H612,'Stage Order'!$A$2:$B$8,2,FALSE)</f>
        <v>7</v>
      </c>
      <c r="N612" t="str">
        <f t="shared" si="18"/>
        <v>2. 1-24 hours</v>
      </c>
      <c r="O612" t="str">
        <f t="shared" si="19"/>
        <v>2026-03</v>
      </c>
    </row>
    <row r="613" spans="1:15" x14ac:dyDescent="0.3">
      <c r="A613" t="s">
        <v>1494</v>
      </c>
      <c r="B613" t="s">
        <v>1495</v>
      </c>
      <c r="C613" t="s">
        <v>58</v>
      </c>
      <c r="D613" t="s">
        <v>54</v>
      </c>
      <c r="E613" t="s">
        <v>39</v>
      </c>
      <c r="F613" t="s">
        <v>106</v>
      </c>
      <c r="G613">
        <v>0.72</v>
      </c>
      <c r="H613" t="s">
        <v>32</v>
      </c>
      <c r="I613" t="s">
        <v>33</v>
      </c>
      <c r="K613">
        <v>596.88</v>
      </c>
      <c r="L613" t="s">
        <v>1496</v>
      </c>
      <c r="M613">
        <f>VLOOKUP(H613,'Stage Order'!$A$2:$B$8,2,FALSE)</f>
        <v>7</v>
      </c>
      <c r="N613" t="str">
        <f t="shared" si="18"/>
        <v>1. Under 1 hour</v>
      </c>
      <c r="O613" t="str">
        <f t="shared" si="19"/>
        <v>2025-03</v>
      </c>
    </row>
    <row r="614" spans="1:15" x14ac:dyDescent="0.3">
      <c r="A614" t="s">
        <v>1497</v>
      </c>
      <c r="B614" t="s">
        <v>1498</v>
      </c>
      <c r="C614" t="s">
        <v>81</v>
      </c>
      <c r="D614" t="s">
        <v>77</v>
      </c>
      <c r="E614" t="s">
        <v>30</v>
      </c>
      <c r="F614" t="s">
        <v>78</v>
      </c>
      <c r="G614">
        <v>0.99</v>
      </c>
      <c r="H614" t="s">
        <v>41</v>
      </c>
      <c r="I614" t="s">
        <v>42</v>
      </c>
      <c r="M614">
        <f>VLOOKUP(H614,'Stage Order'!$A$2:$B$8,2,FALSE)</f>
        <v>2</v>
      </c>
      <c r="N614" t="str">
        <f t="shared" si="18"/>
        <v>1. Under 1 hour</v>
      </c>
      <c r="O614" t="str">
        <f t="shared" si="19"/>
        <v>2025-07</v>
      </c>
    </row>
    <row r="615" spans="1:15" x14ac:dyDescent="0.3">
      <c r="A615" t="s">
        <v>1499</v>
      </c>
      <c r="B615" t="s">
        <v>1500</v>
      </c>
      <c r="C615" t="s">
        <v>53</v>
      </c>
      <c r="D615" t="s">
        <v>77</v>
      </c>
      <c r="E615" t="s">
        <v>90</v>
      </c>
      <c r="F615" t="s">
        <v>112</v>
      </c>
      <c r="G615">
        <v>0.84</v>
      </c>
      <c r="H615" t="s">
        <v>138</v>
      </c>
      <c r="I615" t="s">
        <v>48</v>
      </c>
      <c r="J615" t="s">
        <v>139</v>
      </c>
      <c r="K615">
        <v>841.83</v>
      </c>
      <c r="L615" t="s">
        <v>1501</v>
      </c>
      <c r="M615">
        <f>VLOOKUP(H615,'Stage Order'!$A$2:$B$8,2,FALSE)</f>
        <v>6</v>
      </c>
      <c r="N615" t="str">
        <f t="shared" si="18"/>
        <v>1. Under 1 hour</v>
      </c>
      <c r="O615" t="str">
        <f t="shared" si="19"/>
        <v>2025-01</v>
      </c>
    </row>
    <row r="616" spans="1:15" x14ac:dyDescent="0.3">
      <c r="A616" t="s">
        <v>1502</v>
      </c>
      <c r="B616" t="s">
        <v>1503</v>
      </c>
      <c r="C616" t="s">
        <v>37</v>
      </c>
      <c r="D616" t="s">
        <v>29</v>
      </c>
      <c r="E616" t="s">
        <v>45</v>
      </c>
      <c r="F616" t="s">
        <v>55</v>
      </c>
      <c r="G616">
        <v>3.95</v>
      </c>
      <c r="H616" t="s">
        <v>146</v>
      </c>
      <c r="I616" t="s">
        <v>48</v>
      </c>
      <c r="J616" t="s">
        <v>742</v>
      </c>
      <c r="K616">
        <v>595.59</v>
      </c>
      <c r="L616" t="s">
        <v>1504</v>
      </c>
      <c r="M616">
        <f>VLOOKUP(H616,'Stage Order'!$A$2:$B$8,2,FALSE)</f>
        <v>5</v>
      </c>
      <c r="N616" t="str">
        <f t="shared" si="18"/>
        <v>2. 1-24 hours</v>
      </c>
      <c r="O616" t="str">
        <f t="shared" si="19"/>
        <v>2026-02</v>
      </c>
    </row>
    <row r="617" spans="1:15" x14ac:dyDescent="0.3">
      <c r="A617" t="s">
        <v>1505</v>
      </c>
      <c r="B617" t="s">
        <v>1506</v>
      </c>
      <c r="C617" t="s">
        <v>125</v>
      </c>
      <c r="D617" t="s">
        <v>54</v>
      </c>
      <c r="E617" t="s">
        <v>90</v>
      </c>
      <c r="F617" t="s">
        <v>145</v>
      </c>
      <c r="G617">
        <v>2.91</v>
      </c>
      <c r="H617" t="s">
        <v>41</v>
      </c>
      <c r="I617" t="s">
        <v>42</v>
      </c>
      <c r="M617">
        <f>VLOOKUP(H617,'Stage Order'!$A$2:$B$8,2,FALSE)</f>
        <v>2</v>
      </c>
      <c r="N617" t="str">
        <f t="shared" si="18"/>
        <v>2. 1-24 hours</v>
      </c>
      <c r="O617" t="str">
        <f t="shared" si="19"/>
        <v>2026-03</v>
      </c>
    </row>
    <row r="618" spans="1:15" x14ac:dyDescent="0.3">
      <c r="A618" t="s">
        <v>1507</v>
      </c>
      <c r="B618" t="s">
        <v>1139</v>
      </c>
      <c r="C618" t="s">
        <v>125</v>
      </c>
      <c r="D618" t="s">
        <v>54</v>
      </c>
      <c r="E618" t="s">
        <v>30</v>
      </c>
      <c r="F618" t="s">
        <v>31</v>
      </c>
      <c r="G618">
        <v>1.9</v>
      </c>
      <c r="H618" t="s">
        <v>146</v>
      </c>
      <c r="I618" t="s">
        <v>48</v>
      </c>
      <c r="J618" t="s">
        <v>113</v>
      </c>
      <c r="K618">
        <v>561.44000000000005</v>
      </c>
      <c r="L618" t="s">
        <v>1508</v>
      </c>
      <c r="M618">
        <f>VLOOKUP(H618,'Stage Order'!$A$2:$B$8,2,FALSE)</f>
        <v>5</v>
      </c>
      <c r="N618" t="str">
        <f t="shared" si="18"/>
        <v>2. 1-24 hours</v>
      </c>
      <c r="O618" t="str">
        <f t="shared" si="19"/>
        <v>2025-10</v>
      </c>
    </row>
    <row r="619" spans="1:15" x14ac:dyDescent="0.3">
      <c r="A619" t="s">
        <v>1509</v>
      </c>
      <c r="B619" t="s">
        <v>1510</v>
      </c>
      <c r="C619" t="s">
        <v>58</v>
      </c>
      <c r="D619" t="s">
        <v>54</v>
      </c>
      <c r="E619" t="s">
        <v>90</v>
      </c>
      <c r="F619" t="s">
        <v>145</v>
      </c>
      <c r="G619">
        <v>2.72</v>
      </c>
      <c r="H619" t="s">
        <v>41</v>
      </c>
      <c r="I619" t="s">
        <v>42</v>
      </c>
      <c r="M619">
        <f>VLOOKUP(H619,'Stage Order'!$A$2:$B$8,2,FALSE)</f>
        <v>2</v>
      </c>
      <c r="N619" t="str">
        <f t="shared" si="18"/>
        <v>2. 1-24 hours</v>
      </c>
      <c r="O619" t="str">
        <f t="shared" si="19"/>
        <v>2025-12</v>
      </c>
    </row>
    <row r="620" spans="1:15" x14ac:dyDescent="0.3">
      <c r="A620" t="s">
        <v>1511</v>
      </c>
      <c r="B620" t="s">
        <v>1512</v>
      </c>
      <c r="C620" t="s">
        <v>125</v>
      </c>
      <c r="D620" t="s">
        <v>29</v>
      </c>
      <c r="E620" t="s">
        <v>59</v>
      </c>
      <c r="F620" t="s">
        <v>60</v>
      </c>
      <c r="G620">
        <v>7.88</v>
      </c>
      <c r="H620" t="s">
        <v>41</v>
      </c>
      <c r="I620" t="s">
        <v>42</v>
      </c>
      <c r="M620">
        <f>VLOOKUP(H620,'Stage Order'!$A$2:$B$8,2,FALSE)</f>
        <v>2</v>
      </c>
      <c r="N620" t="str">
        <f t="shared" si="18"/>
        <v>2. 1-24 hours</v>
      </c>
      <c r="O620" t="str">
        <f t="shared" si="19"/>
        <v>2026-05</v>
      </c>
    </row>
    <row r="621" spans="1:15" x14ac:dyDescent="0.3">
      <c r="A621" t="s">
        <v>1513</v>
      </c>
      <c r="B621" t="s">
        <v>1514</v>
      </c>
      <c r="C621" t="s">
        <v>28</v>
      </c>
      <c r="D621" t="s">
        <v>77</v>
      </c>
      <c r="E621" t="s">
        <v>45</v>
      </c>
      <c r="F621" t="s">
        <v>46</v>
      </c>
      <c r="G621">
        <v>1.26</v>
      </c>
      <c r="H621" t="s">
        <v>41</v>
      </c>
      <c r="I621" t="s">
        <v>42</v>
      </c>
      <c r="M621">
        <f>VLOOKUP(H621,'Stage Order'!$A$2:$B$8,2,FALSE)</f>
        <v>2</v>
      </c>
      <c r="N621" t="str">
        <f t="shared" si="18"/>
        <v>2. 1-24 hours</v>
      </c>
      <c r="O621" t="str">
        <f t="shared" si="19"/>
        <v>2026-06</v>
      </c>
    </row>
    <row r="622" spans="1:15" x14ac:dyDescent="0.3">
      <c r="A622" t="s">
        <v>1515</v>
      </c>
      <c r="B622" t="s">
        <v>1516</v>
      </c>
      <c r="C622" t="s">
        <v>58</v>
      </c>
      <c r="D622" t="s">
        <v>97</v>
      </c>
      <c r="E622" t="s">
        <v>59</v>
      </c>
      <c r="F622" t="s">
        <v>60</v>
      </c>
      <c r="G622">
        <v>0.81</v>
      </c>
      <c r="H622" t="s">
        <v>41</v>
      </c>
      <c r="I622" t="s">
        <v>42</v>
      </c>
      <c r="M622">
        <f>VLOOKUP(H622,'Stage Order'!$A$2:$B$8,2,FALSE)</f>
        <v>2</v>
      </c>
      <c r="N622" t="str">
        <f t="shared" si="18"/>
        <v>1. Under 1 hour</v>
      </c>
      <c r="O622" t="str">
        <f t="shared" si="19"/>
        <v>2025-06</v>
      </c>
    </row>
    <row r="623" spans="1:15" x14ac:dyDescent="0.3">
      <c r="A623" t="s">
        <v>1517</v>
      </c>
      <c r="B623" t="s">
        <v>1518</v>
      </c>
      <c r="C623" t="s">
        <v>37</v>
      </c>
      <c r="D623" t="s">
        <v>54</v>
      </c>
      <c r="E623" t="s">
        <v>59</v>
      </c>
      <c r="F623" t="s">
        <v>137</v>
      </c>
      <c r="G623">
        <v>3.23</v>
      </c>
      <c r="H623" t="s">
        <v>41</v>
      </c>
      <c r="I623" t="s">
        <v>42</v>
      </c>
      <c r="M623">
        <f>VLOOKUP(H623,'Stage Order'!$A$2:$B$8,2,FALSE)</f>
        <v>2</v>
      </c>
      <c r="N623" t="str">
        <f t="shared" si="18"/>
        <v>2. 1-24 hours</v>
      </c>
      <c r="O623" t="str">
        <f t="shared" si="19"/>
        <v>2025-08</v>
      </c>
    </row>
    <row r="624" spans="1:15" x14ac:dyDescent="0.3">
      <c r="A624" t="s">
        <v>1519</v>
      </c>
      <c r="B624" t="s">
        <v>1520</v>
      </c>
      <c r="C624" t="s">
        <v>53</v>
      </c>
      <c r="D624" t="s">
        <v>77</v>
      </c>
      <c r="E624" t="s">
        <v>30</v>
      </c>
      <c r="F624" t="s">
        <v>78</v>
      </c>
      <c r="G624">
        <v>1.99</v>
      </c>
      <c r="H624" t="s">
        <v>41</v>
      </c>
      <c r="I624" t="s">
        <v>42</v>
      </c>
      <c r="M624">
        <f>VLOOKUP(H624,'Stage Order'!$A$2:$B$8,2,FALSE)</f>
        <v>2</v>
      </c>
      <c r="N624" t="str">
        <f t="shared" si="18"/>
        <v>2. 1-24 hours</v>
      </c>
      <c r="O624" t="str">
        <f t="shared" si="19"/>
        <v>2025-08</v>
      </c>
    </row>
    <row r="625" spans="1:15" x14ac:dyDescent="0.3">
      <c r="A625" t="s">
        <v>1521</v>
      </c>
      <c r="B625" t="s">
        <v>1522</v>
      </c>
      <c r="C625" t="s">
        <v>125</v>
      </c>
      <c r="D625" t="s">
        <v>54</v>
      </c>
      <c r="E625" t="s">
        <v>45</v>
      </c>
      <c r="F625" t="s">
        <v>55</v>
      </c>
      <c r="G625">
        <v>3.93</v>
      </c>
      <c r="H625" t="s">
        <v>61</v>
      </c>
      <c r="I625" t="s">
        <v>42</v>
      </c>
      <c r="M625">
        <f>VLOOKUP(H625,'Stage Order'!$A$2:$B$8,2,FALSE)</f>
        <v>1</v>
      </c>
      <c r="N625" t="str">
        <f t="shared" si="18"/>
        <v>2. 1-24 hours</v>
      </c>
      <c r="O625" t="str">
        <f t="shared" si="19"/>
        <v>2025-09</v>
      </c>
    </row>
    <row r="626" spans="1:15" x14ac:dyDescent="0.3">
      <c r="A626" t="s">
        <v>1523</v>
      </c>
      <c r="B626" t="s">
        <v>1524</v>
      </c>
      <c r="C626" t="s">
        <v>58</v>
      </c>
      <c r="D626" t="s">
        <v>29</v>
      </c>
      <c r="E626" t="s">
        <v>39</v>
      </c>
      <c r="F626" t="s">
        <v>40</v>
      </c>
      <c r="G626">
        <v>2.17</v>
      </c>
      <c r="H626" t="s">
        <v>41</v>
      </c>
      <c r="I626" t="s">
        <v>42</v>
      </c>
      <c r="M626">
        <f>VLOOKUP(H626,'Stage Order'!$A$2:$B$8,2,FALSE)</f>
        <v>2</v>
      </c>
      <c r="N626" t="str">
        <f t="shared" si="18"/>
        <v>2. 1-24 hours</v>
      </c>
      <c r="O626" t="str">
        <f t="shared" si="19"/>
        <v>2025-12</v>
      </c>
    </row>
    <row r="627" spans="1:15" x14ac:dyDescent="0.3">
      <c r="A627" t="s">
        <v>1525</v>
      </c>
      <c r="B627" t="s">
        <v>1526</v>
      </c>
      <c r="C627" t="s">
        <v>125</v>
      </c>
      <c r="D627" t="s">
        <v>54</v>
      </c>
      <c r="E627" t="s">
        <v>45</v>
      </c>
      <c r="F627" t="s">
        <v>55</v>
      </c>
      <c r="G627">
        <v>6.87</v>
      </c>
      <c r="H627" t="s">
        <v>41</v>
      </c>
      <c r="I627" t="s">
        <v>42</v>
      </c>
      <c r="M627">
        <f>VLOOKUP(H627,'Stage Order'!$A$2:$B$8,2,FALSE)</f>
        <v>2</v>
      </c>
      <c r="N627" t="str">
        <f t="shared" si="18"/>
        <v>2. 1-24 hours</v>
      </c>
      <c r="O627" t="str">
        <f t="shared" si="19"/>
        <v>2025-06</v>
      </c>
    </row>
    <row r="628" spans="1:15" x14ac:dyDescent="0.3">
      <c r="A628" t="s">
        <v>1527</v>
      </c>
      <c r="B628" t="s">
        <v>1528</v>
      </c>
      <c r="C628" t="s">
        <v>125</v>
      </c>
      <c r="D628" t="s">
        <v>54</v>
      </c>
      <c r="E628" t="s">
        <v>45</v>
      </c>
      <c r="F628" t="s">
        <v>55</v>
      </c>
      <c r="G628">
        <v>1.58</v>
      </c>
      <c r="H628" t="s">
        <v>41</v>
      </c>
      <c r="I628" t="s">
        <v>42</v>
      </c>
      <c r="M628">
        <f>VLOOKUP(H628,'Stage Order'!$A$2:$B$8,2,FALSE)</f>
        <v>2</v>
      </c>
      <c r="N628" t="str">
        <f t="shared" si="18"/>
        <v>2. 1-24 hours</v>
      </c>
      <c r="O628" t="str">
        <f t="shared" si="19"/>
        <v>2026-05</v>
      </c>
    </row>
    <row r="629" spans="1:15" x14ac:dyDescent="0.3">
      <c r="A629" t="s">
        <v>1529</v>
      </c>
      <c r="B629" t="s">
        <v>1530</v>
      </c>
      <c r="C629" t="s">
        <v>28</v>
      </c>
      <c r="D629" t="s">
        <v>97</v>
      </c>
      <c r="E629" t="s">
        <v>59</v>
      </c>
      <c r="F629" t="s">
        <v>117</v>
      </c>
      <c r="G629">
        <v>0.92</v>
      </c>
      <c r="H629" t="s">
        <v>41</v>
      </c>
      <c r="I629" t="s">
        <v>42</v>
      </c>
      <c r="M629">
        <f>VLOOKUP(H629,'Stage Order'!$A$2:$B$8,2,FALSE)</f>
        <v>2</v>
      </c>
      <c r="N629" t="str">
        <f t="shared" si="18"/>
        <v>1. Under 1 hour</v>
      </c>
      <c r="O629" t="str">
        <f t="shared" si="19"/>
        <v>2025-01</v>
      </c>
    </row>
    <row r="630" spans="1:15" x14ac:dyDescent="0.3">
      <c r="A630" t="s">
        <v>1531</v>
      </c>
      <c r="B630" t="s">
        <v>1532</v>
      </c>
      <c r="C630" t="s">
        <v>81</v>
      </c>
      <c r="D630" t="s">
        <v>29</v>
      </c>
      <c r="E630" t="s">
        <v>39</v>
      </c>
      <c r="F630" t="s">
        <v>106</v>
      </c>
      <c r="G630">
        <v>1.5</v>
      </c>
      <c r="H630" t="s">
        <v>146</v>
      </c>
      <c r="I630" t="s">
        <v>48</v>
      </c>
      <c r="J630" t="s">
        <v>113</v>
      </c>
      <c r="K630">
        <v>629.80999999999995</v>
      </c>
      <c r="L630" t="s">
        <v>1533</v>
      </c>
      <c r="M630">
        <f>VLOOKUP(H630,'Stage Order'!$A$2:$B$8,2,FALSE)</f>
        <v>5</v>
      </c>
      <c r="N630" t="str">
        <f t="shared" si="18"/>
        <v>2. 1-24 hours</v>
      </c>
      <c r="O630" t="str">
        <f t="shared" si="19"/>
        <v>2026-01</v>
      </c>
    </row>
    <row r="631" spans="1:15" x14ac:dyDescent="0.3">
      <c r="A631" t="s">
        <v>1534</v>
      </c>
      <c r="B631" t="s">
        <v>1535</v>
      </c>
      <c r="C631" t="s">
        <v>37</v>
      </c>
      <c r="D631" t="s">
        <v>54</v>
      </c>
      <c r="E631" t="s">
        <v>45</v>
      </c>
      <c r="F631" t="s">
        <v>46</v>
      </c>
      <c r="G631">
        <v>7.66</v>
      </c>
      <c r="H631" t="s">
        <v>32</v>
      </c>
      <c r="I631" t="s">
        <v>33</v>
      </c>
      <c r="K631">
        <v>430.24</v>
      </c>
      <c r="L631" t="s">
        <v>1536</v>
      </c>
      <c r="M631">
        <f>VLOOKUP(H631,'Stage Order'!$A$2:$B$8,2,FALSE)</f>
        <v>7</v>
      </c>
      <c r="N631" t="str">
        <f t="shared" si="18"/>
        <v>2. 1-24 hours</v>
      </c>
      <c r="O631" t="str">
        <f t="shared" si="19"/>
        <v>2025-10</v>
      </c>
    </row>
    <row r="632" spans="1:15" x14ac:dyDescent="0.3">
      <c r="A632" t="s">
        <v>1537</v>
      </c>
      <c r="B632" t="s">
        <v>1538</v>
      </c>
      <c r="C632" t="s">
        <v>28</v>
      </c>
      <c r="D632" t="s">
        <v>97</v>
      </c>
      <c r="E632" t="s">
        <v>59</v>
      </c>
      <c r="F632" t="s">
        <v>60</v>
      </c>
      <c r="G632">
        <v>1.73</v>
      </c>
      <c r="H632" t="s">
        <v>138</v>
      </c>
      <c r="I632" t="s">
        <v>48</v>
      </c>
      <c r="J632" t="s">
        <v>113</v>
      </c>
      <c r="K632">
        <v>1481.49</v>
      </c>
      <c r="L632" t="s">
        <v>1539</v>
      </c>
      <c r="M632">
        <f>VLOOKUP(H632,'Stage Order'!$A$2:$B$8,2,FALSE)</f>
        <v>6</v>
      </c>
      <c r="N632" t="str">
        <f t="shared" si="18"/>
        <v>2. 1-24 hours</v>
      </c>
      <c r="O632" t="str">
        <f t="shared" si="19"/>
        <v>2026-05</v>
      </c>
    </row>
    <row r="633" spans="1:15" x14ac:dyDescent="0.3">
      <c r="A633" t="s">
        <v>1540</v>
      </c>
      <c r="B633" t="s">
        <v>1541</v>
      </c>
      <c r="C633" t="s">
        <v>53</v>
      </c>
      <c r="D633" t="s">
        <v>29</v>
      </c>
      <c r="E633" t="s">
        <v>45</v>
      </c>
      <c r="F633" t="s">
        <v>55</v>
      </c>
      <c r="G633">
        <v>2.02</v>
      </c>
      <c r="H633" t="s">
        <v>32</v>
      </c>
      <c r="I633" t="s">
        <v>33</v>
      </c>
      <c r="K633">
        <v>701.93</v>
      </c>
      <c r="L633" t="s">
        <v>1542</v>
      </c>
      <c r="M633">
        <f>VLOOKUP(H633,'Stage Order'!$A$2:$B$8,2,FALSE)</f>
        <v>7</v>
      </c>
      <c r="N633" t="str">
        <f t="shared" si="18"/>
        <v>2. 1-24 hours</v>
      </c>
      <c r="O633" t="str">
        <f t="shared" si="19"/>
        <v>2025-03</v>
      </c>
    </row>
    <row r="634" spans="1:15" x14ac:dyDescent="0.3">
      <c r="A634" t="s">
        <v>1543</v>
      </c>
      <c r="B634" t="s">
        <v>1544</v>
      </c>
      <c r="C634" t="s">
        <v>28</v>
      </c>
      <c r="D634" t="s">
        <v>38</v>
      </c>
      <c r="E634" t="s">
        <v>39</v>
      </c>
      <c r="F634" t="s">
        <v>106</v>
      </c>
      <c r="G634">
        <v>14.14</v>
      </c>
      <c r="H634" t="s">
        <v>32</v>
      </c>
      <c r="I634" t="s">
        <v>33</v>
      </c>
      <c r="K634">
        <v>347.48</v>
      </c>
      <c r="L634" t="s">
        <v>1545</v>
      </c>
      <c r="M634">
        <f>VLOOKUP(H634,'Stage Order'!$A$2:$B$8,2,FALSE)</f>
        <v>7</v>
      </c>
      <c r="N634" t="str">
        <f t="shared" si="18"/>
        <v>2. 1-24 hours</v>
      </c>
      <c r="O634" t="str">
        <f t="shared" si="19"/>
        <v>2025-05</v>
      </c>
    </row>
    <row r="635" spans="1:15" x14ac:dyDescent="0.3">
      <c r="A635" t="s">
        <v>1546</v>
      </c>
      <c r="B635" t="s">
        <v>1547</v>
      </c>
      <c r="C635" t="s">
        <v>53</v>
      </c>
      <c r="D635" t="s">
        <v>97</v>
      </c>
      <c r="E635" t="s">
        <v>90</v>
      </c>
      <c r="F635" t="s">
        <v>112</v>
      </c>
      <c r="G635">
        <v>7.72</v>
      </c>
      <c r="H635" t="s">
        <v>61</v>
      </c>
      <c r="I635" t="s">
        <v>42</v>
      </c>
      <c r="M635">
        <f>VLOOKUP(H635,'Stage Order'!$A$2:$B$8,2,FALSE)</f>
        <v>1</v>
      </c>
      <c r="N635" t="str">
        <f t="shared" si="18"/>
        <v>2. 1-24 hours</v>
      </c>
      <c r="O635" t="str">
        <f t="shared" si="19"/>
        <v>2025-11</v>
      </c>
    </row>
    <row r="636" spans="1:15" x14ac:dyDescent="0.3">
      <c r="A636" t="s">
        <v>1548</v>
      </c>
      <c r="B636" t="s">
        <v>1549</v>
      </c>
      <c r="C636" t="s">
        <v>37</v>
      </c>
      <c r="D636" t="s">
        <v>29</v>
      </c>
      <c r="E636" t="s">
        <v>45</v>
      </c>
      <c r="F636" t="s">
        <v>94</v>
      </c>
      <c r="G636">
        <v>1.32</v>
      </c>
      <c r="H636" t="s">
        <v>41</v>
      </c>
      <c r="I636" t="s">
        <v>42</v>
      </c>
      <c r="M636">
        <f>VLOOKUP(H636,'Stage Order'!$A$2:$B$8,2,FALSE)</f>
        <v>2</v>
      </c>
      <c r="N636" t="str">
        <f t="shared" si="18"/>
        <v>2. 1-24 hours</v>
      </c>
      <c r="O636" t="str">
        <f t="shared" si="19"/>
        <v>2025-05</v>
      </c>
    </row>
    <row r="637" spans="1:15" x14ac:dyDescent="0.3">
      <c r="A637" t="s">
        <v>1550</v>
      </c>
      <c r="B637" t="s">
        <v>1551</v>
      </c>
      <c r="C637" t="s">
        <v>37</v>
      </c>
      <c r="D637" t="s">
        <v>77</v>
      </c>
      <c r="E637" t="s">
        <v>45</v>
      </c>
      <c r="F637" t="s">
        <v>55</v>
      </c>
      <c r="G637">
        <v>2.0099999999999998</v>
      </c>
      <c r="H637" t="s">
        <v>41</v>
      </c>
      <c r="I637" t="s">
        <v>42</v>
      </c>
      <c r="M637">
        <f>VLOOKUP(H637,'Stage Order'!$A$2:$B$8,2,FALSE)</f>
        <v>2</v>
      </c>
      <c r="N637" t="str">
        <f t="shared" si="18"/>
        <v>2. 1-24 hours</v>
      </c>
      <c r="O637" t="str">
        <f t="shared" si="19"/>
        <v>2026-03</v>
      </c>
    </row>
    <row r="638" spans="1:15" x14ac:dyDescent="0.3">
      <c r="A638" t="s">
        <v>1552</v>
      </c>
      <c r="B638" t="s">
        <v>1553</v>
      </c>
      <c r="C638" t="s">
        <v>37</v>
      </c>
      <c r="D638" t="s">
        <v>38</v>
      </c>
      <c r="E638" t="s">
        <v>39</v>
      </c>
      <c r="F638" t="s">
        <v>66</v>
      </c>
      <c r="G638">
        <v>3.92</v>
      </c>
      <c r="H638" t="s">
        <v>47</v>
      </c>
      <c r="I638" t="s">
        <v>48</v>
      </c>
      <c r="J638" t="s">
        <v>139</v>
      </c>
      <c r="K638">
        <v>313.20999999999998</v>
      </c>
      <c r="L638" t="s">
        <v>1554</v>
      </c>
      <c r="M638">
        <f>VLOOKUP(H638,'Stage Order'!$A$2:$B$8,2,FALSE)</f>
        <v>4</v>
      </c>
      <c r="N638" t="str">
        <f t="shared" si="18"/>
        <v>2. 1-24 hours</v>
      </c>
      <c r="O638" t="str">
        <f t="shared" si="19"/>
        <v>2026-05</v>
      </c>
    </row>
    <row r="639" spans="1:15" x14ac:dyDescent="0.3">
      <c r="A639" t="s">
        <v>1555</v>
      </c>
      <c r="B639" t="s">
        <v>1556</v>
      </c>
      <c r="C639" t="s">
        <v>37</v>
      </c>
      <c r="D639" t="s">
        <v>77</v>
      </c>
      <c r="E639" t="s">
        <v>30</v>
      </c>
      <c r="F639" t="s">
        <v>78</v>
      </c>
      <c r="G639">
        <v>5.86</v>
      </c>
      <c r="H639" t="s">
        <v>128</v>
      </c>
      <c r="I639" t="s">
        <v>42</v>
      </c>
      <c r="M639">
        <f>VLOOKUP(H639,'Stage Order'!$A$2:$B$8,2,FALSE)</f>
        <v>3</v>
      </c>
      <c r="N639" t="str">
        <f t="shared" si="18"/>
        <v>2. 1-24 hours</v>
      </c>
      <c r="O639" t="str">
        <f t="shared" si="19"/>
        <v>2026-03</v>
      </c>
    </row>
    <row r="640" spans="1:15" x14ac:dyDescent="0.3">
      <c r="A640" t="s">
        <v>1557</v>
      </c>
      <c r="B640" t="s">
        <v>1558</v>
      </c>
      <c r="C640" t="s">
        <v>76</v>
      </c>
      <c r="D640" t="s">
        <v>54</v>
      </c>
      <c r="E640" t="s">
        <v>90</v>
      </c>
      <c r="F640" t="s">
        <v>145</v>
      </c>
      <c r="G640">
        <v>4.66</v>
      </c>
      <c r="H640" t="s">
        <v>138</v>
      </c>
      <c r="I640" t="s">
        <v>48</v>
      </c>
      <c r="J640" t="s">
        <v>98</v>
      </c>
      <c r="K640">
        <v>579.66999999999996</v>
      </c>
      <c r="L640" t="s">
        <v>1559</v>
      </c>
      <c r="M640">
        <f>VLOOKUP(H640,'Stage Order'!$A$2:$B$8,2,FALSE)</f>
        <v>6</v>
      </c>
      <c r="N640" t="str">
        <f t="shared" si="18"/>
        <v>2. 1-24 hours</v>
      </c>
      <c r="O640" t="str">
        <f t="shared" si="19"/>
        <v>2026-06</v>
      </c>
    </row>
    <row r="641" spans="1:15" x14ac:dyDescent="0.3">
      <c r="A641" t="s">
        <v>1560</v>
      </c>
      <c r="B641" t="s">
        <v>1561</v>
      </c>
      <c r="C641" t="s">
        <v>37</v>
      </c>
      <c r="D641" t="s">
        <v>38</v>
      </c>
      <c r="E641" t="s">
        <v>59</v>
      </c>
      <c r="F641" t="s">
        <v>137</v>
      </c>
      <c r="G641">
        <v>2.0699999999999998</v>
      </c>
      <c r="H641" t="s">
        <v>41</v>
      </c>
      <c r="I641" t="s">
        <v>42</v>
      </c>
      <c r="M641">
        <f>VLOOKUP(H641,'Stage Order'!$A$2:$B$8,2,FALSE)</f>
        <v>2</v>
      </c>
      <c r="N641" t="str">
        <f t="shared" si="18"/>
        <v>2. 1-24 hours</v>
      </c>
      <c r="O641" t="str">
        <f t="shared" si="19"/>
        <v>2025-03</v>
      </c>
    </row>
    <row r="642" spans="1:15" x14ac:dyDescent="0.3">
      <c r="A642" t="s">
        <v>1562</v>
      </c>
      <c r="B642" t="s">
        <v>1563</v>
      </c>
      <c r="C642" t="s">
        <v>58</v>
      </c>
      <c r="D642" t="s">
        <v>54</v>
      </c>
      <c r="E642" t="s">
        <v>39</v>
      </c>
      <c r="F642" t="s">
        <v>106</v>
      </c>
      <c r="G642">
        <v>5.35</v>
      </c>
      <c r="H642" t="s">
        <v>146</v>
      </c>
      <c r="I642" t="s">
        <v>48</v>
      </c>
      <c r="J642" t="s">
        <v>113</v>
      </c>
      <c r="K642">
        <v>562.66</v>
      </c>
      <c r="L642" t="s">
        <v>1564</v>
      </c>
      <c r="M642">
        <f>VLOOKUP(H642,'Stage Order'!$A$2:$B$8,2,FALSE)</f>
        <v>5</v>
      </c>
      <c r="N642" t="str">
        <f t="shared" ref="N642:N705" si="20">IF(G642&lt;=1,"1. Under 1 hour",IF(G642&lt;=24,"2. 1-24 hours",IF(G642&lt;=72,"3. 1-3 days","4. Over 3 days")))</f>
        <v>2. 1-24 hours</v>
      </c>
      <c r="O642" t="str">
        <f t="shared" ref="O642:O705" si="21">TEXT(B642,"YYYY-MM")</f>
        <v>2025-02</v>
      </c>
    </row>
    <row r="643" spans="1:15" x14ac:dyDescent="0.3">
      <c r="A643" t="s">
        <v>1565</v>
      </c>
      <c r="B643" t="s">
        <v>1566</v>
      </c>
      <c r="C643" t="s">
        <v>58</v>
      </c>
      <c r="D643" t="s">
        <v>54</v>
      </c>
      <c r="E643" t="s">
        <v>39</v>
      </c>
      <c r="F643" t="s">
        <v>66</v>
      </c>
      <c r="G643">
        <v>3.29</v>
      </c>
      <c r="H643" t="s">
        <v>41</v>
      </c>
      <c r="I643" t="s">
        <v>42</v>
      </c>
      <c r="M643">
        <f>VLOOKUP(H643,'Stage Order'!$A$2:$B$8,2,FALSE)</f>
        <v>2</v>
      </c>
      <c r="N643" t="str">
        <f t="shared" si="20"/>
        <v>2. 1-24 hours</v>
      </c>
      <c r="O643" t="str">
        <f t="shared" si="21"/>
        <v>2026-02</v>
      </c>
    </row>
    <row r="644" spans="1:15" x14ac:dyDescent="0.3">
      <c r="A644" t="s">
        <v>1567</v>
      </c>
      <c r="B644" t="s">
        <v>1568</v>
      </c>
      <c r="C644" t="s">
        <v>37</v>
      </c>
      <c r="D644" t="s">
        <v>97</v>
      </c>
      <c r="E644" t="s">
        <v>45</v>
      </c>
      <c r="F644" t="s">
        <v>55</v>
      </c>
      <c r="G644">
        <v>1.1100000000000001</v>
      </c>
      <c r="H644" t="s">
        <v>41</v>
      </c>
      <c r="I644" t="s">
        <v>42</v>
      </c>
      <c r="M644">
        <f>VLOOKUP(H644,'Stage Order'!$A$2:$B$8,2,FALSE)</f>
        <v>2</v>
      </c>
      <c r="N644" t="str">
        <f t="shared" si="20"/>
        <v>2. 1-24 hours</v>
      </c>
      <c r="O644" t="str">
        <f t="shared" si="21"/>
        <v>2026-03</v>
      </c>
    </row>
    <row r="645" spans="1:15" x14ac:dyDescent="0.3">
      <c r="A645" t="s">
        <v>1569</v>
      </c>
      <c r="B645" t="s">
        <v>1570</v>
      </c>
      <c r="C645" t="s">
        <v>125</v>
      </c>
      <c r="D645" t="s">
        <v>38</v>
      </c>
      <c r="E645" t="s">
        <v>45</v>
      </c>
      <c r="F645" t="s">
        <v>94</v>
      </c>
      <c r="G645">
        <v>1.02</v>
      </c>
      <c r="H645" t="s">
        <v>47</v>
      </c>
      <c r="I645" t="s">
        <v>48</v>
      </c>
      <c r="J645" t="s">
        <v>139</v>
      </c>
      <c r="K645">
        <v>330.68</v>
      </c>
      <c r="L645" t="s">
        <v>1571</v>
      </c>
      <c r="M645">
        <f>VLOOKUP(H645,'Stage Order'!$A$2:$B$8,2,FALSE)</f>
        <v>4</v>
      </c>
      <c r="N645" t="str">
        <f t="shared" si="20"/>
        <v>2. 1-24 hours</v>
      </c>
      <c r="O645" t="str">
        <f t="shared" si="21"/>
        <v>2025-11</v>
      </c>
    </row>
    <row r="646" spans="1:15" x14ac:dyDescent="0.3">
      <c r="A646" t="s">
        <v>1572</v>
      </c>
      <c r="B646" t="s">
        <v>1573</v>
      </c>
      <c r="C646" t="s">
        <v>37</v>
      </c>
      <c r="D646" t="s">
        <v>54</v>
      </c>
      <c r="E646" t="s">
        <v>39</v>
      </c>
      <c r="F646" t="s">
        <v>106</v>
      </c>
      <c r="G646">
        <v>1.74</v>
      </c>
      <c r="H646" t="s">
        <v>138</v>
      </c>
      <c r="I646" t="s">
        <v>48</v>
      </c>
      <c r="J646" t="s">
        <v>139</v>
      </c>
      <c r="K646">
        <v>449.19</v>
      </c>
      <c r="L646" t="s">
        <v>1574</v>
      </c>
      <c r="M646">
        <f>VLOOKUP(H646,'Stage Order'!$A$2:$B$8,2,FALSE)</f>
        <v>6</v>
      </c>
      <c r="N646" t="str">
        <f t="shared" si="20"/>
        <v>2. 1-24 hours</v>
      </c>
      <c r="O646" t="str">
        <f t="shared" si="21"/>
        <v>2025-04</v>
      </c>
    </row>
    <row r="647" spans="1:15" x14ac:dyDescent="0.3">
      <c r="A647" t="s">
        <v>1575</v>
      </c>
      <c r="B647" t="s">
        <v>1576</v>
      </c>
      <c r="C647" t="s">
        <v>76</v>
      </c>
      <c r="D647" t="s">
        <v>77</v>
      </c>
      <c r="E647" t="s">
        <v>90</v>
      </c>
      <c r="F647" t="s">
        <v>112</v>
      </c>
      <c r="G647">
        <v>3.62</v>
      </c>
      <c r="H647" t="s">
        <v>61</v>
      </c>
      <c r="I647" t="s">
        <v>42</v>
      </c>
      <c r="M647">
        <f>VLOOKUP(H647,'Stage Order'!$A$2:$B$8,2,FALSE)</f>
        <v>1</v>
      </c>
      <c r="N647" t="str">
        <f t="shared" si="20"/>
        <v>2. 1-24 hours</v>
      </c>
      <c r="O647" t="str">
        <f t="shared" si="21"/>
        <v>2026-03</v>
      </c>
    </row>
    <row r="648" spans="1:15" x14ac:dyDescent="0.3">
      <c r="A648" t="s">
        <v>1577</v>
      </c>
      <c r="B648" t="s">
        <v>1578</v>
      </c>
      <c r="C648" t="s">
        <v>37</v>
      </c>
      <c r="D648" t="s">
        <v>77</v>
      </c>
      <c r="E648" t="s">
        <v>45</v>
      </c>
      <c r="F648" t="s">
        <v>55</v>
      </c>
      <c r="G648">
        <v>0.85</v>
      </c>
      <c r="H648" t="s">
        <v>32</v>
      </c>
      <c r="I648" t="s">
        <v>33</v>
      </c>
      <c r="K648">
        <v>1069.7</v>
      </c>
      <c r="L648" t="s">
        <v>1579</v>
      </c>
      <c r="M648">
        <f>VLOOKUP(H648,'Stage Order'!$A$2:$B$8,2,FALSE)</f>
        <v>7</v>
      </c>
      <c r="N648" t="str">
        <f t="shared" si="20"/>
        <v>1. Under 1 hour</v>
      </c>
      <c r="O648" t="str">
        <f t="shared" si="21"/>
        <v>2025-07</v>
      </c>
    </row>
    <row r="649" spans="1:15" x14ac:dyDescent="0.3">
      <c r="A649" t="s">
        <v>1580</v>
      </c>
      <c r="B649" t="s">
        <v>1581</v>
      </c>
      <c r="C649" t="s">
        <v>37</v>
      </c>
      <c r="D649" t="s">
        <v>97</v>
      </c>
      <c r="E649" t="s">
        <v>90</v>
      </c>
      <c r="F649" t="s">
        <v>145</v>
      </c>
      <c r="G649">
        <v>5.01</v>
      </c>
      <c r="H649" t="s">
        <v>61</v>
      </c>
      <c r="I649" t="s">
        <v>42</v>
      </c>
      <c r="M649">
        <f>VLOOKUP(H649,'Stage Order'!$A$2:$B$8,2,FALSE)</f>
        <v>1</v>
      </c>
      <c r="N649" t="str">
        <f t="shared" si="20"/>
        <v>2. 1-24 hours</v>
      </c>
      <c r="O649" t="str">
        <f t="shared" si="21"/>
        <v>2025-05</v>
      </c>
    </row>
    <row r="650" spans="1:15" x14ac:dyDescent="0.3">
      <c r="A650" t="s">
        <v>1582</v>
      </c>
      <c r="B650" t="s">
        <v>1583</v>
      </c>
      <c r="C650" t="s">
        <v>81</v>
      </c>
      <c r="D650" t="s">
        <v>38</v>
      </c>
      <c r="E650" t="s">
        <v>90</v>
      </c>
      <c r="F650" t="s">
        <v>145</v>
      </c>
      <c r="G650">
        <v>1.88</v>
      </c>
      <c r="H650" t="s">
        <v>41</v>
      </c>
      <c r="I650" t="s">
        <v>42</v>
      </c>
      <c r="M650">
        <f>VLOOKUP(H650,'Stage Order'!$A$2:$B$8,2,FALSE)</f>
        <v>2</v>
      </c>
      <c r="N650" t="str">
        <f t="shared" si="20"/>
        <v>2. 1-24 hours</v>
      </c>
      <c r="O650" t="str">
        <f t="shared" si="21"/>
        <v>2025-04</v>
      </c>
    </row>
    <row r="651" spans="1:15" x14ac:dyDescent="0.3">
      <c r="A651" t="s">
        <v>1584</v>
      </c>
      <c r="B651" t="s">
        <v>1585</v>
      </c>
      <c r="C651" t="s">
        <v>76</v>
      </c>
      <c r="D651" t="s">
        <v>97</v>
      </c>
      <c r="E651" t="s">
        <v>39</v>
      </c>
      <c r="F651" t="s">
        <v>66</v>
      </c>
      <c r="G651">
        <v>7.26</v>
      </c>
      <c r="H651" t="s">
        <v>47</v>
      </c>
      <c r="I651" t="s">
        <v>48</v>
      </c>
      <c r="J651" t="s">
        <v>139</v>
      </c>
      <c r="K651">
        <v>1721.73</v>
      </c>
      <c r="L651" t="s">
        <v>1586</v>
      </c>
      <c r="M651">
        <f>VLOOKUP(H651,'Stage Order'!$A$2:$B$8,2,FALSE)</f>
        <v>4</v>
      </c>
      <c r="N651" t="str">
        <f t="shared" si="20"/>
        <v>2. 1-24 hours</v>
      </c>
      <c r="O651" t="str">
        <f t="shared" si="21"/>
        <v>2025-01</v>
      </c>
    </row>
    <row r="652" spans="1:15" x14ac:dyDescent="0.3">
      <c r="A652" t="s">
        <v>1587</v>
      </c>
      <c r="B652" t="s">
        <v>1588</v>
      </c>
      <c r="C652" t="s">
        <v>76</v>
      </c>
      <c r="D652" t="s">
        <v>77</v>
      </c>
      <c r="E652" t="s">
        <v>90</v>
      </c>
      <c r="F652" t="s">
        <v>112</v>
      </c>
      <c r="G652">
        <v>21.43</v>
      </c>
      <c r="H652" t="s">
        <v>41</v>
      </c>
      <c r="I652" t="s">
        <v>42</v>
      </c>
      <c r="M652">
        <f>VLOOKUP(H652,'Stage Order'!$A$2:$B$8,2,FALSE)</f>
        <v>2</v>
      </c>
      <c r="N652" t="str">
        <f t="shared" si="20"/>
        <v>2. 1-24 hours</v>
      </c>
      <c r="O652" t="str">
        <f t="shared" si="21"/>
        <v>2026-03</v>
      </c>
    </row>
    <row r="653" spans="1:15" x14ac:dyDescent="0.3">
      <c r="A653" t="s">
        <v>1589</v>
      </c>
      <c r="B653" t="s">
        <v>1590</v>
      </c>
      <c r="C653" t="s">
        <v>28</v>
      </c>
      <c r="D653" t="s">
        <v>38</v>
      </c>
      <c r="E653" t="s">
        <v>59</v>
      </c>
      <c r="F653" t="s">
        <v>60</v>
      </c>
      <c r="G653">
        <v>7.31</v>
      </c>
      <c r="H653" t="s">
        <v>41</v>
      </c>
      <c r="I653" t="s">
        <v>42</v>
      </c>
      <c r="M653">
        <f>VLOOKUP(H653,'Stage Order'!$A$2:$B$8,2,FALSE)</f>
        <v>2</v>
      </c>
      <c r="N653" t="str">
        <f t="shared" si="20"/>
        <v>2. 1-24 hours</v>
      </c>
      <c r="O653" t="str">
        <f t="shared" si="21"/>
        <v>2026-02</v>
      </c>
    </row>
    <row r="654" spans="1:15" x14ac:dyDescent="0.3">
      <c r="A654" t="s">
        <v>1591</v>
      </c>
      <c r="B654" t="s">
        <v>1592</v>
      </c>
      <c r="C654" t="s">
        <v>58</v>
      </c>
      <c r="D654" t="s">
        <v>77</v>
      </c>
      <c r="E654" t="s">
        <v>45</v>
      </c>
      <c r="F654" t="s">
        <v>94</v>
      </c>
      <c r="G654">
        <v>2.73</v>
      </c>
      <c r="H654" t="s">
        <v>41</v>
      </c>
      <c r="I654" t="s">
        <v>42</v>
      </c>
      <c r="M654">
        <f>VLOOKUP(H654,'Stage Order'!$A$2:$B$8,2,FALSE)</f>
        <v>2</v>
      </c>
      <c r="N654" t="str">
        <f t="shared" si="20"/>
        <v>2. 1-24 hours</v>
      </c>
      <c r="O654" t="str">
        <f t="shared" si="21"/>
        <v>2025-04</v>
      </c>
    </row>
    <row r="655" spans="1:15" x14ac:dyDescent="0.3">
      <c r="A655" t="s">
        <v>1593</v>
      </c>
      <c r="B655" t="s">
        <v>1594</v>
      </c>
      <c r="C655" t="s">
        <v>37</v>
      </c>
      <c r="D655" t="s">
        <v>29</v>
      </c>
      <c r="E655" t="s">
        <v>59</v>
      </c>
      <c r="F655" t="s">
        <v>117</v>
      </c>
      <c r="G655">
        <v>4.32</v>
      </c>
      <c r="H655" t="s">
        <v>32</v>
      </c>
      <c r="I655" t="s">
        <v>33</v>
      </c>
      <c r="K655">
        <v>581.33000000000004</v>
      </c>
      <c r="L655" t="s">
        <v>1595</v>
      </c>
      <c r="M655">
        <f>VLOOKUP(H655,'Stage Order'!$A$2:$B$8,2,FALSE)</f>
        <v>7</v>
      </c>
      <c r="N655" t="str">
        <f t="shared" si="20"/>
        <v>2. 1-24 hours</v>
      </c>
      <c r="O655" t="str">
        <f t="shared" si="21"/>
        <v>2026-05</v>
      </c>
    </row>
    <row r="656" spans="1:15" x14ac:dyDescent="0.3">
      <c r="A656" t="s">
        <v>1596</v>
      </c>
      <c r="B656" t="s">
        <v>1597</v>
      </c>
      <c r="C656" t="s">
        <v>37</v>
      </c>
      <c r="D656" t="s">
        <v>38</v>
      </c>
      <c r="E656" t="s">
        <v>90</v>
      </c>
      <c r="F656" t="s">
        <v>145</v>
      </c>
      <c r="G656">
        <v>6.31</v>
      </c>
      <c r="H656" t="s">
        <v>61</v>
      </c>
      <c r="I656" t="s">
        <v>42</v>
      </c>
      <c r="M656">
        <f>VLOOKUP(H656,'Stage Order'!$A$2:$B$8,2,FALSE)</f>
        <v>1</v>
      </c>
      <c r="N656" t="str">
        <f t="shared" si="20"/>
        <v>2. 1-24 hours</v>
      </c>
      <c r="O656" t="str">
        <f t="shared" si="21"/>
        <v>2026-05</v>
      </c>
    </row>
    <row r="657" spans="1:15" x14ac:dyDescent="0.3">
      <c r="A657" t="s">
        <v>1598</v>
      </c>
      <c r="B657" t="s">
        <v>1599</v>
      </c>
      <c r="C657" t="s">
        <v>37</v>
      </c>
      <c r="D657" t="s">
        <v>29</v>
      </c>
      <c r="E657" t="s">
        <v>59</v>
      </c>
      <c r="F657" t="s">
        <v>117</v>
      </c>
      <c r="G657">
        <v>3.16</v>
      </c>
      <c r="H657" t="s">
        <v>32</v>
      </c>
      <c r="I657" t="s">
        <v>33</v>
      </c>
      <c r="K657">
        <v>589.26</v>
      </c>
      <c r="L657" t="s">
        <v>1600</v>
      </c>
      <c r="M657">
        <f>VLOOKUP(H657,'Stage Order'!$A$2:$B$8,2,FALSE)</f>
        <v>7</v>
      </c>
      <c r="N657" t="str">
        <f t="shared" si="20"/>
        <v>2. 1-24 hours</v>
      </c>
      <c r="O657" t="str">
        <f t="shared" si="21"/>
        <v>2025-06</v>
      </c>
    </row>
    <row r="658" spans="1:15" x14ac:dyDescent="0.3">
      <c r="A658" t="s">
        <v>1601</v>
      </c>
      <c r="B658" t="s">
        <v>1602</v>
      </c>
      <c r="C658" t="s">
        <v>125</v>
      </c>
      <c r="D658" t="s">
        <v>38</v>
      </c>
      <c r="E658" t="s">
        <v>39</v>
      </c>
      <c r="F658" t="s">
        <v>106</v>
      </c>
      <c r="G658">
        <v>4.3</v>
      </c>
      <c r="H658" t="s">
        <v>47</v>
      </c>
      <c r="I658" t="s">
        <v>48</v>
      </c>
      <c r="J658" t="s">
        <v>742</v>
      </c>
      <c r="K658">
        <v>307.98</v>
      </c>
      <c r="L658" t="s">
        <v>1603</v>
      </c>
      <c r="M658">
        <f>VLOOKUP(H658,'Stage Order'!$A$2:$B$8,2,FALSE)</f>
        <v>4</v>
      </c>
      <c r="N658" t="str">
        <f t="shared" si="20"/>
        <v>2. 1-24 hours</v>
      </c>
      <c r="O658" t="str">
        <f t="shared" si="21"/>
        <v>2026-03</v>
      </c>
    </row>
    <row r="659" spans="1:15" x14ac:dyDescent="0.3">
      <c r="A659" t="s">
        <v>1604</v>
      </c>
      <c r="B659" t="s">
        <v>1605</v>
      </c>
      <c r="C659" t="s">
        <v>53</v>
      </c>
      <c r="D659" t="s">
        <v>29</v>
      </c>
      <c r="E659" t="s">
        <v>30</v>
      </c>
      <c r="F659" t="s">
        <v>82</v>
      </c>
      <c r="G659">
        <v>2.83</v>
      </c>
      <c r="H659" t="s">
        <v>47</v>
      </c>
      <c r="I659" t="s">
        <v>48</v>
      </c>
      <c r="J659" t="s">
        <v>139</v>
      </c>
      <c r="K659">
        <v>678.66</v>
      </c>
      <c r="L659" t="s">
        <v>1606</v>
      </c>
      <c r="M659">
        <f>VLOOKUP(H659,'Stage Order'!$A$2:$B$8,2,FALSE)</f>
        <v>4</v>
      </c>
      <c r="N659" t="str">
        <f t="shared" si="20"/>
        <v>2. 1-24 hours</v>
      </c>
      <c r="O659" t="str">
        <f t="shared" si="21"/>
        <v>2025-06</v>
      </c>
    </row>
    <row r="660" spans="1:15" x14ac:dyDescent="0.3">
      <c r="A660" t="s">
        <v>1607</v>
      </c>
      <c r="B660" t="s">
        <v>1608</v>
      </c>
      <c r="C660" t="s">
        <v>81</v>
      </c>
      <c r="D660" t="s">
        <v>38</v>
      </c>
      <c r="E660" t="s">
        <v>59</v>
      </c>
      <c r="F660" t="s">
        <v>60</v>
      </c>
      <c r="G660">
        <v>10.99</v>
      </c>
      <c r="H660" t="s">
        <v>41</v>
      </c>
      <c r="I660" t="s">
        <v>42</v>
      </c>
      <c r="M660">
        <f>VLOOKUP(H660,'Stage Order'!$A$2:$B$8,2,FALSE)</f>
        <v>2</v>
      </c>
      <c r="N660" t="str">
        <f t="shared" si="20"/>
        <v>2. 1-24 hours</v>
      </c>
      <c r="O660" t="str">
        <f t="shared" si="21"/>
        <v>2025-03</v>
      </c>
    </row>
    <row r="661" spans="1:15" x14ac:dyDescent="0.3">
      <c r="A661" t="s">
        <v>1609</v>
      </c>
      <c r="B661" t="s">
        <v>1610</v>
      </c>
      <c r="C661" t="s">
        <v>58</v>
      </c>
      <c r="D661" t="s">
        <v>77</v>
      </c>
      <c r="E661" t="s">
        <v>45</v>
      </c>
      <c r="F661" t="s">
        <v>55</v>
      </c>
      <c r="G661">
        <v>4.76</v>
      </c>
      <c r="H661" t="s">
        <v>32</v>
      </c>
      <c r="I661" t="s">
        <v>33</v>
      </c>
      <c r="K661">
        <v>1019.93</v>
      </c>
      <c r="L661" t="s">
        <v>1611</v>
      </c>
      <c r="M661">
        <f>VLOOKUP(H661,'Stage Order'!$A$2:$B$8,2,FALSE)</f>
        <v>7</v>
      </c>
      <c r="N661" t="str">
        <f t="shared" si="20"/>
        <v>2. 1-24 hours</v>
      </c>
      <c r="O661" t="str">
        <f t="shared" si="21"/>
        <v>2026-05</v>
      </c>
    </row>
    <row r="662" spans="1:15" x14ac:dyDescent="0.3">
      <c r="A662" t="s">
        <v>1612</v>
      </c>
      <c r="B662" t="s">
        <v>1613</v>
      </c>
      <c r="C662" t="s">
        <v>37</v>
      </c>
      <c r="D662" t="s">
        <v>97</v>
      </c>
      <c r="E662" t="s">
        <v>59</v>
      </c>
      <c r="F662" t="s">
        <v>60</v>
      </c>
      <c r="G662">
        <v>2.25</v>
      </c>
      <c r="H662" t="s">
        <v>41</v>
      </c>
      <c r="I662" t="s">
        <v>42</v>
      </c>
      <c r="M662">
        <f>VLOOKUP(H662,'Stage Order'!$A$2:$B$8,2,FALSE)</f>
        <v>2</v>
      </c>
      <c r="N662" t="str">
        <f t="shared" si="20"/>
        <v>2. 1-24 hours</v>
      </c>
      <c r="O662" t="str">
        <f t="shared" si="21"/>
        <v>2025-12</v>
      </c>
    </row>
    <row r="663" spans="1:15" x14ac:dyDescent="0.3">
      <c r="A663" t="s">
        <v>1614</v>
      </c>
      <c r="B663" t="s">
        <v>1615</v>
      </c>
      <c r="C663" t="s">
        <v>37</v>
      </c>
      <c r="D663" t="s">
        <v>38</v>
      </c>
      <c r="E663" t="s">
        <v>30</v>
      </c>
      <c r="F663" t="s">
        <v>78</v>
      </c>
      <c r="G663">
        <v>4.68</v>
      </c>
      <c r="H663" t="s">
        <v>41</v>
      </c>
      <c r="I663" t="s">
        <v>42</v>
      </c>
      <c r="M663">
        <f>VLOOKUP(H663,'Stage Order'!$A$2:$B$8,2,FALSE)</f>
        <v>2</v>
      </c>
      <c r="N663" t="str">
        <f t="shared" si="20"/>
        <v>2. 1-24 hours</v>
      </c>
      <c r="O663" t="str">
        <f t="shared" si="21"/>
        <v>2025-01</v>
      </c>
    </row>
    <row r="664" spans="1:15" x14ac:dyDescent="0.3">
      <c r="A664" t="s">
        <v>1616</v>
      </c>
      <c r="B664" t="s">
        <v>1617</v>
      </c>
      <c r="C664" t="s">
        <v>58</v>
      </c>
      <c r="D664" t="s">
        <v>38</v>
      </c>
      <c r="E664" t="s">
        <v>45</v>
      </c>
      <c r="F664" t="s">
        <v>55</v>
      </c>
      <c r="G664">
        <v>2.73</v>
      </c>
      <c r="H664" t="s">
        <v>47</v>
      </c>
      <c r="I664" t="s">
        <v>48</v>
      </c>
      <c r="J664" t="s">
        <v>139</v>
      </c>
      <c r="K664">
        <v>334.92</v>
      </c>
      <c r="L664" t="s">
        <v>1618</v>
      </c>
      <c r="M664">
        <f>VLOOKUP(H664,'Stage Order'!$A$2:$B$8,2,FALSE)</f>
        <v>4</v>
      </c>
      <c r="N664" t="str">
        <f t="shared" si="20"/>
        <v>2. 1-24 hours</v>
      </c>
      <c r="O664" t="str">
        <f t="shared" si="21"/>
        <v>2025-02</v>
      </c>
    </row>
    <row r="665" spans="1:15" x14ac:dyDescent="0.3">
      <c r="A665" t="s">
        <v>1619</v>
      </c>
      <c r="B665" t="s">
        <v>1620</v>
      </c>
      <c r="C665" t="s">
        <v>81</v>
      </c>
      <c r="D665" t="s">
        <v>54</v>
      </c>
      <c r="E665" t="s">
        <v>59</v>
      </c>
      <c r="F665" t="s">
        <v>117</v>
      </c>
      <c r="G665">
        <v>1.93</v>
      </c>
      <c r="H665" t="s">
        <v>61</v>
      </c>
      <c r="I665" t="s">
        <v>42</v>
      </c>
      <c r="M665">
        <f>VLOOKUP(H665,'Stage Order'!$A$2:$B$8,2,FALSE)</f>
        <v>1</v>
      </c>
      <c r="N665" t="str">
        <f t="shared" si="20"/>
        <v>2. 1-24 hours</v>
      </c>
      <c r="O665" t="str">
        <f t="shared" si="21"/>
        <v>2026-01</v>
      </c>
    </row>
    <row r="666" spans="1:15" x14ac:dyDescent="0.3">
      <c r="A666" t="s">
        <v>1621</v>
      </c>
      <c r="B666" t="s">
        <v>1622</v>
      </c>
      <c r="C666" t="s">
        <v>37</v>
      </c>
      <c r="D666" t="s">
        <v>77</v>
      </c>
      <c r="E666" t="s">
        <v>45</v>
      </c>
      <c r="F666" t="s">
        <v>55</v>
      </c>
      <c r="G666">
        <v>17.53</v>
      </c>
      <c r="H666" t="s">
        <v>32</v>
      </c>
      <c r="I666" t="s">
        <v>33</v>
      </c>
      <c r="K666">
        <v>881.6</v>
      </c>
      <c r="L666" t="s">
        <v>1623</v>
      </c>
      <c r="M666">
        <f>VLOOKUP(H666,'Stage Order'!$A$2:$B$8,2,FALSE)</f>
        <v>7</v>
      </c>
      <c r="N666" t="str">
        <f t="shared" si="20"/>
        <v>2. 1-24 hours</v>
      </c>
      <c r="O666" t="str">
        <f t="shared" si="21"/>
        <v>2025-07</v>
      </c>
    </row>
    <row r="667" spans="1:15" x14ac:dyDescent="0.3">
      <c r="A667" t="s">
        <v>1624</v>
      </c>
      <c r="B667" t="s">
        <v>1625</v>
      </c>
      <c r="C667" t="s">
        <v>81</v>
      </c>
      <c r="D667" t="s">
        <v>29</v>
      </c>
      <c r="E667" t="s">
        <v>59</v>
      </c>
      <c r="F667" t="s">
        <v>137</v>
      </c>
      <c r="G667">
        <v>2.78</v>
      </c>
      <c r="H667" t="s">
        <v>138</v>
      </c>
      <c r="I667" t="s">
        <v>48</v>
      </c>
      <c r="J667" t="s">
        <v>113</v>
      </c>
      <c r="K667">
        <v>553.16</v>
      </c>
      <c r="L667" t="s">
        <v>1626</v>
      </c>
      <c r="M667">
        <f>VLOOKUP(H667,'Stage Order'!$A$2:$B$8,2,FALSE)</f>
        <v>6</v>
      </c>
      <c r="N667" t="str">
        <f t="shared" si="20"/>
        <v>2. 1-24 hours</v>
      </c>
      <c r="O667" t="str">
        <f t="shared" si="21"/>
        <v>2025-10</v>
      </c>
    </row>
    <row r="668" spans="1:15" x14ac:dyDescent="0.3">
      <c r="A668" t="s">
        <v>1627</v>
      </c>
      <c r="B668" t="s">
        <v>1628</v>
      </c>
      <c r="C668" t="s">
        <v>76</v>
      </c>
      <c r="D668" t="s">
        <v>29</v>
      </c>
      <c r="E668" t="s">
        <v>59</v>
      </c>
      <c r="F668" t="s">
        <v>60</v>
      </c>
      <c r="G668">
        <v>6.14</v>
      </c>
      <c r="H668" t="s">
        <v>41</v>
      </c>
      <c r="I668" t="s">
        <v>42</v>
      </c>
      <c r="M668">
        <f>VLOOKUP(H668,'Stage Order'!$A$2:$B$8,2,FALSE)</f>
        <v>2</v>
      </c>
      <c r="N668" t="str">
        <f t="shared" si="20"/>
        <v>2. 1-24 hours</v>
      </c>
      <c r="O668" t="str">
        <f t="shared" si="21"/>
        <v>2025-03</v>
      </c>
    </row>
    <row r="669" spans="1:15" x14ac:dyDescent="0.3">
      <c r="A669" t="s">
        <v>1629</v>
      </c>
      <c r="B669" t="s">
        <v>1630</v>
      </c>
      <c r="C669" t="s">
        <v>37</v>
      </c>
      <c r="D669" t="s">
        <v>29</v>
      </c>
      <c r="E669" t="s">
        <v>45</v>
      </c>
      <c r="F669" t="s">
        <v>55</v>
      </c>
      <c r="G669">
        <v>8.17</v>
      </c>
      <c r="H669" t="s">
        <v>41</v>
      </c>
      <c r="I669" t="s">
        <v>42</v>
      </c>
      <c r="M669">
        <f>VLOOKUP(H669,'Stage Order'!$A$2:$B$8,2,FALSE)</f>
        <v>2</v>
      </c>
      <c r="N669" t="str">
        <f t="shared" si="20"/>
        <v>2. 1-24 hours</v>
      </c>
      <c r="O669" t="str">
        <f t="shared" si="21"/>
        <v>2025-01</v>
      </c>
    </row>
    <row r="670" spans="1:15" x14ac:dyDescent="0.3">
      <c r="A670" t="s">
        <v>1631</v>
      </c>
      <c r="B670" t="s">
        <v>1632</v>
      </c>
      <c r="C670" t="s">
        <v>58</v>
      </c>
      <c r="D670" t="s">
        <v>77</v>
      </c>
      <c r="E670" t="s">
        <v>39</v>
      </c>
      <c r="F670" t="s">
        <v>40</v>
      </c>
      <c r="G670">
        <v>6.79</v>
      </c>
      <c r="H670" t="s">
        <v>61</v>
      </c>
      <c r="I670" t="s">
        <v>42</v>
      </c>
      <c r="M670">
        <f>VLOOKUP(H670,'Stage Order'!$A$2:$B$8,2,FALSE)</f>
        <v>1</v>
      </c>
      <c r="N670" t="str">
        <f t="shared" si="20"/>
        <v>2. 1-24 hours</v>
      </c>
      <c r="O670" t="str">
        <f t="shared" si="21"/>
        <v>2025-03</v>
      </c>
    </row>
    <row r="671" spans="1:15" x14ac:dyDescent="0.3">
      <c r="A671" t="s">
        <v>1633</v>
      </c>
      <c r="B671" t="s">
        <v>1634</v>
      </c>
      <c r="C671" t="s">
        <v>58</v>
      </c>
      <c r="D671" t="s">
        <v>97</v>
      </c>
      <c r="E671" t="s">
        <v>45</v>
      </c>
      <c r="F671" t="s">
        <v>55</v>
      </c>
      <c r="G671">
        <v>0.91</v>
      </c>
      <c r="H671" t="s">
        <v>47</v>
      </c>
      <c r="I671" t="s">
        <v>48</v>
      </c>
      <c r="J671" t="s">
        <v>98</v>
      </c>
      <c r="K671">
        <v>1719.14</v>
      </c>
      <c r="L671" t="s">
        <v>1635</v>
      </c>
      <c r="M671">
        <f>VLOOKUP(H671,'Stage Order'!$A$2:$B$8,2,FALSE)</f>
        <v>4</v>
      </c>
      <c r="N671" t="str">
        <f t="shared" si="20"/>
        <v>1. Under 1 hour</v>
      </c>
      <c r="O671" t="str">
        <f t="shared" si="21"/>
        <v>2026-06</v>
      </c>
    </row>
    <row r="672" spans="1:15" x14ac:dyDescent="0.3">
      <c r="A672" t="s">
        <v>1636</v>
      </c>
      <c r="B672" t="s">
        <v>1637</v>
      </c>
      <c r="C672" t="s">
        <v>28</v>
      </c>
      <c r="D672" t="s">
        <v>97</v>
      </c>
      <c r="E672" t="s">
        <v>39</v>
      </c>
      <c r="F672" t="s">
        <v>40</v>
      </c>
      <c r="G672">
        <v>2.86</v>
      </c>
      <c r="H672" t="s">
        <v>32</v>
      </c>
      <c r="I672" t="s">
        <v>33</v>
      </c>
      <c r="K672">
        <v>1280.6500000000001</v>
      </c>
      <c r="L672" t="s">
        <v>1638</v>
      </c>
      <c r="M672">
        <f>VLOOKUP(H672,'Stage Order'!$A$2:$B$8,2,FALSE)</f>
        <v>7</v>
      </c>
      <c r="N672" t="str">
        <f t="shared" si="20"/>
        <v>2. 1-24 hours</v>
      </c>
      <c r="O672" t="str">
        <f t="shared" si="21"/>
        <v>2025-03</v>
      </c>
    </row>
    <row r="673" spans="1:15" x14ac:dyDescent="0.3">
      <c r="A673" t="s">
        <v>1639</v>
      </c>
      <c r="B673" t="s">
        <v>1640</v>
      </c>
      <c r="C673" t="s">
        <v>125</v>
      </c>
      <c r="D673" t="s">
        <v>54</v>
      </c>
      <c r="E673" t="s">
        <v>45</v>
      </c>
      <c r="F673" t="s">
        <v>46</v>
      </c>
      <c r="G673">
        <v>9.65</v>
      </c>
      <c r="H673" t="s">
        <v>41</v>
      </c>
      <c r="I673" t="s">
        <v>42</v>
      </c>
      <c r="M673">
        <f>VLOOKUP(H673,'Stage Order'!$A$2:$B$8,2,FALSE)</f>
        <v>2</v>
      </c>
      <c r="N673" t="str">
        <f t="shared" si="20"/>
        <v>2. 1-24 hours</v>
      </c>
      <c r="O673" t="str">
        <f t="shared" si="21"/>
        <v>2025-08</v>
      </c>
    </row>
    <row r="674" spans="1:15" x14ac:dyDescent="0.3">
      <c r="A674" t="s">
        <v>1641</v>
      </c>
      <c r="B674" t="s">
        <v>1642</v>
      </c>
      <c r="C674" t="s">
        <v>76</v>
      </c>
      <c r="D674" t="s">
        <v>38</v>
      </c>
      <c r="E674" t="s">
        <v>45</v>
      </c>
      <c r="F674" t="s">
        <v>46</v>
      </c>
      <c r="G674">
        <v>3.25</v>
      </c>
      <c r="H674" t="s">
        <v>138</v>
      </c>
      <c r="I674" t="s">
        <v>48</v>
      </c>
      <c r="J674" t="s">
        <v>113</v>
      </c>
      <c r="K674">
        <v>305.04000000000002</v>
      </c>
      <c r="L674" t="s">
        <v>1643</v>
      </c>
      <c r="M674">
        <f>VLOOKUP(H674,'Stage Order'!$A$2:$B$8,2,FALSE)</f>
        <v>6</v>
      </c>
      <c r="N674" t="str">
        <f t="shared" si="20"/>
        <v>2. 1-24 hours</v>
      </c>
      <c r="O674" t="str">
        <f t="shared" si="21"/>
        <v>2025-06</v>
      </c>
    </row>
    <row r="675" spans="1:15" x14ac:dyDescent="0.3">
      <c r="A675" t="s">
        <v>1644</v>
      </c>
      <c r="B675" t="s">
        <v>1645</v>
      </c>
      <c r="C675" t="s">
        <v>53</v>
      </c>
      <c r="D675" t="s">
        <v>77</v>
      </c>
      <c r="E675" t="s">
        <v>59</v>
      </c>
      <c r="F675" t="s">
        <v>117</v>
      </c>
      <c r="G675">
        <v>0.6</v>
      </c>
      <c r="H675" t="s">
        <v>32</v>
      </c>
      <c r="I675" t="s">
        <v>33</v>
      </c>
      <c r="K675">
        <v>1102.3900000000001</v>
      </c>
      <c r="L675" t="s">
        <v>1646</v>
      </c>
      <c r="M675">
        <f>VLOOKUP(H675,'Stage Order'!$A$2:$B$8,2,FALSE)</f>
        <v>7</v>
      </c>
      <c r="N675" t="str">
        <f t="shared" si="20"/>
        <v>1. Under 1 hour</v>
      </c>
      <c r="O675" t="str">
        <f t="shared" si="21"/>
        <v>2025-11</v>
      </c>
    </row>
    <row r="676" spans="1:15" x14ac:dyDescent="0.3">
      <c r="A676" t="s">
        <v>1647</v>
      </c>
      <c r="B676" t="s">
        <v>1648</v>
      </c>
      <c r="C676" t="s">
        <v>58</v>
      </c>
      <c r="D676" t="s">
        <v>29</v>
      </c>
      <c r="E676" t="s">
        <v>45</v>
      </c>
      <c r="F676" t="s">
        <v>46</v>
      </c>
      <c r="G676">
        <v>2.2400000000000002</v>
      </c>
      <c r="H676" t="s">
        <v>41</v>
      </c>
      <c r="I676" t="s">
        <v>42</v>
      </c>
      <c r="M676">
        <f>VLOOKUP(H676,'Stage Order'!$A$2:$B$8,2,FALSE)</f>
        <v>2</v>
      </c>
      <c r="N676" t="str">
        <f t="shared" si="20"/>
        <v>2. 1-24 hours</v>
      </c>
      <c r="O676" t="str">
        <f t="shared" si="21"/>
        <v>2025-01</v>
      </c>
    </row>
    <row r="677" spans="1:15" x14ac:dyDescent="0.3">
      <c r="A677" t="s">
        <v>1649</v>
      </c>
      <c r="B677" t="s">
        <v>1650</v>
      </c>
      <c r="C677" t="s">
        <v>53</v>
      </c>
      <c r="D677" t="s">
        <v>29</v>
      </c>
      <c r="E677" t="s">
        <v>45</v>
      </c>
      <c r="F677" t="s">
        <v>55</v>
      </c>
      <c r="G677">
        <v>2.1800000000000002</v>
      </c>
      <c r="H677" t="s">
        <v>32</v>
      </c>
      <c r="I677" t="s">
        <v>33</v>
      </c>
      <c r="K677">
        <v>540.75</v>
      </c>
      <c r="L677" t="s">
        <v>1651</v>
      </c>
      <c r="M677">
        <f>VLOOKUP(H677,'Stage Order'!$A$2:$B$8,2,FALSE)</f>
        <v>7</v>
      </c>
      <c r="N677" t="str">
        <f t="shared" si="20"/>
        <v>2. 1-24 hours</v>
      </c>
      <c r="O677" t="str">
        <f t="shared" si="21"/>
        <v>2025-12</v>
      </c>
    </row>
    <row r="678" spans="1:15" x14ac:dyDescent="0.3">
      <c r="A678" t="s">
        <v>1652</v>
      </c>
      <c r="B678" t="s">
        <v>1653</v>
      </c>
      <c r="C678" t="s">
        <v>125</v>
      </c>
      <c r="D678" t="s">
        <v>29</v>
      </c>
      <c r="E678" t="s">
        <v>39</v>
      </c>
      <c r="F678" t="s">
        <v>106</v>
      </c>
      <c r="G678">
        <v>3.2</v>
      </c>
      <c r="H678" t="s">
        <v>61</v>
      </c>
      <c r="I678" t="s">
        <v>42</v>
      </c>
      <c r="M678">
        <f>VLOOKUP(H678,'Stage Order'!$A$2:$B$8,2,FALSE)</f>
        <v>1</v>
      </c>
      <c r="N678" t="str">
        <f t="shared" si="20"/>
        <v>2. 1-24 hours</v>
      </c>
      <c r="O678" t="str">
        <f t="shared" si="21"/>
        <v>2026-02</v>
      </c>
    </row>
    <row r="679" spans="1:15" x14ac:dyDescent="0.3">
      <c r="A679" t="s">
        <v>1654</v>
      </c>
      <c r="B679" t="s">
        <v>1655</v>
      </c>
      <c r="C679" t="s">
        <v>58</v>
      </c>
      <c r="D679" t="s">
        <v>97</v>
      </c>
      <c r="E679" t="s">
        <v>90</v>
      </c>
      <c r="F679" t="s">
        <v>145</v>
      </c>
      <c r="G679">
        <v>2.83</v>
      </c>
      <c r="H679" t="s">
        <v>61</v>
      </c>
      <c r="I679" t="s">
        <v>42</v>
      </c>
      <c r="M679">
        <f>VLOOKUP(H679,'Stage Order'!$A$2:$B$8,2,FALSE)</f>
        <v>1</v>
      </c>
      <c r="N679" t="str">
        <f t="shared" si="20"/>
        <v>2. 1-24 hours</v>
      </c>
      <c r="O679" t="str">
        <f t="shared" si="21"/>
        <v>2025-01</v>
      </c>
    </row>
    <row r="680" spans="1:15" x14ac:dyDescent="0.3">
      <c r="A680" t="s">
        <v>1656</v>
      </c>
      <c r="B680" t="s">
        <v>1657</v>
      </c>
      <c r="C680" t="s">
        <v>125</v>
      </c>
      <c r="D680" t="s">
        <v>97</v>
      </c>
      <c r="E680" t="s">
        <v>39</v>
      </c>
      <c r="F680" t="s">
        <v>66</v>
      </c>
      <c r="G680">
        <v>1.57</v>
      </c>
      <c r="H680" t="s">
        <v>41</v>
      </c>
      <c r="I680" t="s">
        <v>42</v>
      </c>
      <c r="M680">
        <f>VLOOKUP(H680,'Stage Order'!$A$2:$B$8,2,FALSE)</f>
        <v>2</v>
      </c>
      <c r="N680" t="str">
        <f t="shared" si="20"/>
        <v>2. 1-24 hours</v>
      </c>
      <c r="O680" t="str">
        <f t="shared" si="21"/>
        <v>2026-03</v>
      </c>
    </row>
    <row r="681" spans="1:15" x14ac:dyDescent="0.3">
      <c r="A681" t="s">
        <v>1658</v>
      </c>
      <c r="B681" t="s">
        <v>1659</v>
      </c>
      <c r="C681" t="s">
        <v>125</v>
      </c>
      <c r="D681" t="s">
        <v>97</v>
      </c>
      <c r="E681" t="s">
        <v>39</v>
      </c>
      <c r="F681" t="s">
        <v>106</v>
      </c>
      <c r="G681">
        <v>7.36</v>
      </c>
      <c r="H681" t="s">
        <v>41</v>
      </c>
      <c r="I681" t="s">
        <v>42</v>
      </c>
      <c r="M681">
        <f>VLOOKUP(H681,'Stage Order'!$A$2:$B$8,2,FALSE)</f>
        <v>2</v>
      </c>
      <c r="N681" t="str">
        <f t="shared" si="20"/>
        <v>2. 1-24 hours</v>
      </c>
      <c r="O681" t="str">
        <f t="shared" si="21"/>
        <v>2026-01</v>
      </c>
    </row>
    <row r="682" spans="1:15" x14ac:dyDescent="0.3">
      <c r="A682" t="s">
        <v>1660</v>
      </c>
      <c r="B682" t="s">
        <v>1661</v>
      </c>
      <c r="C682" t="s">
        <v>53</v>
      </c>
      <c r="D682" t="s">
        <v>77</v>
      </c>
      <c r="E682" t="s">
        <v>39</v>
      </c>
      <c r="F682" t="s">
        <v>40</v>
      </c>
      <c r="G682">
        <v>3.77</v>
      </c>
      <c r="H682" t="s">
        <v>32</v>
      </c>
      <c r="I682" t="s">
        <v>33</v>
      </c>
      <c r="K682">
        <v>857.04</v>
      </c>
      <c r="L682" t="s">
        <v>1662</v>
      </c>
      <c r="M682">
        <f>VLOOKUP(H682,'Stage Order'!$A$2:$B$8,2,FALSE)</f>
        <v>7</v>
      </c>
      <c r="N682" t="str">
        <f t="shared" si="20"/>
        <v>2. 1-24 hours</v>
      </c>
      <c r="O682" t="str">
        <f t="shared" si="21"/>
        <v>2025-06</v>
      </c>
    </row>
    <row r="683" spans="1:15" x14ac:dyDescent="0.3">
      <c r="A683" t="s">
        <v>1663</v>
      </c>
      <c r="B683" t="s">
        <v>1664</v>
      </c>
      <c r="C683" t="s">
        <v>37</v>
      </c>
      <c r="D683" t="s">
        <v>77</v>
      </c>
      <c r="E683" t="s">
        <v>30</v>
      </c>
      <c r="F683" t="s">
        <v>82</v>
      </c>
      <c r="G683">
        <v>5.84</v>
      </c>
      <c r="H683" t="s">
        <v>41</v>
      </c>
      <c r="I683" t="s">
        <v>42</v>
      </c>
      <c r="M683">
        <f>VLOOKUP(H683,'Stage Order'!$A$2:$B$8,2,FALSE)</f>
        <v>2</v>
      </c>
      <c r="N683" t="str">
        <f t="shared" si="20"/>
        <v>2. 1-24 hours</v>
      </c>
      <c r="O683" t="str">
        <f t="shared" si="21"/>
        <v>2026-03</v>
      </c>
    </row>
    <row r="684" spans="1:15" x14ac:dyDescent="0.3">
      <c r="A684" t="s">
        <v>1665</v>
      </c>
      <c r="B684" t="s">
        <v>1666</v>
      </c>
      <c r="C684" t="s">
        <v>58</v>
      </c>
      <c r="D684" t="s">
        <v>77</v>
      </c>
      <c r="E684" t="s">
        <v>90</v>
      </c>
      <c r="F684" t="s">
        <v>91</v>
      </c>
      <c r="G684">
        <v>1.99</v>
      </c>
      <c r="H684" t="s">
        <v>61</v>
      </c>
      <c r="I684" t="s">
        <v>42</v>
      </c>
      <c r="M684">
        <f>VLOOKUP(H684,'Stage Order'!$A$2:$B$8,2,FALSE)</f>
        <v>1</v>
      </c>
      <c r="N684" t="str">
        <f t="shared" si="20"/>
        <v>2. 1-24 hours</v>
      </c>
      <c r="O684" t="str">
        <f t="shared" si="21"/>
        <v>2026-06</v>
      </c>
    </row>
    <row r="685" spans="1:15" x14ac:dyDescent="0.3">
      <c r="A685" t="s">
        <v>1667</v>
      </c>
      <c r="B685" t="s">
        <v>1668</v>
      </c>
      <c r="C685" t="s">
        <v>58</v>
      </c>
      <c r="D685" t="s">
        <v>77</v>
      </c>
      <c r="E685" t="s">
        <v>59</v>
      </c>
      <c r="F685" t="s">
        <v>60</v>
      </c>
      <c r="G685">
        <v>4.3899999999999997</v>
      </c>
      <c r="H685" t="s">
        <v>61</v>
      </c>
      <c r="I685" t="s">
        <v>42</v>
      </c>
      <c r="M685">
        <f>VLOOKUP(H685,'Stage Order'!$A$2:$B$8,2,FALSE)</f>
        <v>1</v>
      </c>
      <c r="N685" t="str">
        <f t="shared" si="20"/>
        <v>2. 1-24 hours</v>
      </c>
      <c r="O685" t="str">
        <f t="shared" si="21"/>
        <v>2025-04</v>
      </c>
    </row>
    <row r="686" spans="1:15" x14ac:dyDescent="0.3">
      <c r="A686" t="s">
        <v>1669</v>
      </c>
      <c r="B686" t="s">
        <v>1670</v>
      </c>
      <c r="C686" t="s">
        <v>28</v>
      </c>
      <c r="D686" t="s">
        <v>77</v>
      </c>
      <c r="E686" t="s">
        <v>90</v>
      </c>
      <c r="F686" t="s">
        <v>91</v>
      </c>
      <c r="G686">
        <v>3.83</v>
      </c>
      <c r="H686" t="s">
        <v>47</v>
      </c>
      <c r="I686" t="s">
        <v>48</v>
      </c>
      <c r="J686" t="s">
        <v>742</v>
      </c>
      <c r="K686">
        <v>849.01</v>
      </c>
      <c r="L686" t="s">
        <v>1671</v>
      </c>
      <c r="M686">
        <f>VLOOKUP(H686,'Stage Order'!$A$2:$B$8,2,FALSE)</f>
        <v>4</v>
      </c>
      <c r="N686" t="str">
        <f t="shared" si="20"/>
        <v>2. 1-24 hours</v>
      </c>
      <c r="O686" t="str">
        <f t="shared" si="21"/>
        <v>2025-03</v>
      </c>
    </row>
    <row r="687" spans="1:15" x14ac:dyDescent="0.3">
      <c r="A687" t="s">
        <v>1672</v>
      </c>
      <c r="B687" t="s">
        <v>1673</v>
      </c>
      <c r="C687" t="s">
        <v>37</v>
      </c>
      <c r="D687" t="s">
        <v>29</v>
      </c>
      <c r="E687" t="s">
        <v>59</v>
      </c>
      <c r="F687" t="s">
        <v>60</v>
      </c>
      <c r="G687">
        <v>2.54</v>
      </c>
      <c r="H687" t="s">
        <v>32</v>
      </c>
      <c r="I687" t="s">
        <v>33</v>
      </c>
      <c r="K687">
        <v>578.13</v>
      </c>
      <c r="L687" t="s">
        <v>1674</v>
      </c>
      <c r="M687">
        <f>VLOOKUP(H687,'Stage Order'!$A$2:$B$8,2,FALSE)</f>
        <v>7</v>
      </c>
      <c r="N687" t="str">
        <f t="shared" si="20"/>
        <v>2. 1-24 hours</v>
      </c>
      <c r="O687" t="str">
        <f t="shared" si="21"/>
        <v>2025-10</v>
      </c>
    </row>
    <row r="688" spans="1:15" x14ac:dyDescent="0.3">
      <c r="A688" t="s">
        <v>1675</v>
      </c>
      <c r="B688" t="s">
        <v>1676</v>
      </c>
      <c r="C688" t="s">
        <v>28</v>
      </c>
      <c r="D688" t="s">
        <v>29</v>
      </c>
      <c r="E688" t="s">
        <v>39</v>
      </c>
      <c r="F688" t="s">
        <v>40</v>
      </c>
      <c r="G688">
        <v>2.93</v>
      </c>
      <c r="H688" t="s">
        <v>41</v>
      </c>
      <c r="I688" t="s">
        <v>42</v>
      </c>
      <c r="M688">
        <f>VLOOKUP(H688,'Stage Order'!$A$2:$B$8,2,FALSE)</f>
        <v>2</v>
      </c>
      <c r="N688" t="str">
        <f t="shared" si="20"/>
        <v>2. 1-24 hours</v>
      </c>
      <c r="O688" t="str">
        <f t="shared" si="21"/>
        <v>2026-03</v>
      </c>
    </row>
    <row r="689" spans="1:15" x14ac:dyDescent="0.3">
      <c r="A689" t="s">
        <v>1677</v>
      </c>
      <c r="B689" t="s">
        <v>1678</v>
      </c>
      <c r="C689" t="s">
        <v>37</v>
      </c>
      <c r="D689" t="s">
        <v>38</v>
      </c>
      <c r="E689" t="s">
        <v>45</v>
      </c>
      <c r="F689" t="s">
        <v>94</v>
      </c>
      <c r="G689">
        <v>1.91</v>
      </c>
      <c r="H689" t="s">
        <v>41</v>
      </c>
      <c r="I689" t="s">
        <v>42</v>
      </c>
      <c r="M689">
        <f>VLOOKUP(H689,'Stage Order'!$A$2:$B$8,2,FALSE)</f>
        <v>2</v>
      </c>
      <c r="N689" t="str">
        <f t="shared" si="20"/>
        <v>2. 1-24 hours</v>
      </c>
      <c r="O689" t="str">
        <f t="shared" si="21"/>
        <v>2025-12</v>
      </c>
    </row>
    <row r="690" spans="1:15" x14ac:dyDescent="0.3">
      <c r="A690" t="s">
        <v>1679</v>
      </c>
      <c r="B690" t="s">
        <v>1680</v>
      </c>
      <c r="C690" t="s">
        <v>81</v>
      </c>
      <c r="D690" t="s">
        <v>54</v>
      </c>
      <c r="E690" t="s">
        <v>39</v>
      </c>
      <c r="F690" t="s">
        <v>106</v>
      </c>
      <c r="G690">
        <v>2.2400000000000002</v>
      </c>
      <c r="H690" t="s">
        <v>41</v>
      </c>
      <c r="I690" t="s">
        <v>42</v>
      </c>
      <c r="M690">
        <f>VLOOKUP(H690,'Stage Order'!$A$2:$B$8,2,FALSE)</f>
        <v>2</v>
      </c>
      <c r="N690" t="str">
        <f t="shared" si="20"/>
        <v>2. 1-24 hours</v>
      </c>
      <c r="O690" t="str">
        <f t="shared" si="21"/>
        <v>2026-01</v>
      </c>
    </row>
    <row r="691" spans="1:15" x14ac:dyDescent="0.3">
      <c r="A691" t="s">
        <v>1681</v>
      </c>
      <c r="B691" t="s">
        <v>1682</v>
      </c>
      <c r="C691" t="s">
        <v>76</v>
      </c>
      <c r="D691" t="s">
        <v>29</v>
      </c>
      <c r="E691" t="s">
        <v>90</v>
      </c>
      <c r="F691" t="s">
        <v>145</v>
      </c>
      <c r="G691">
        <v>0.34</v>
      </c>
      <c r="H691" t="s">
        <v>41</v>
      </c>
      <c r="I691" t="s">
        <v>42</v>
      </c>
      <c r="M691">
        <f>VLOOKUP(H691,'Stage Order'!$A$2:$B$8,2,FALSE)</f>
        <v>2</v>
      </c>
      <c r="N691" t="str">
        <f t="shared" si="20"/>
        <v>1. Under 1 hour</v>
      </c>
      <c r="O691" t="str">
        <f t="shared" si="21"/>
        <v>2025-12</v>
      </c>
    </row>
    <row r="692" spans="1:15" x14ac:dyDescent="0.3">
      <c r="A692" t="s">
        <v>1683</v>
      </c>
      <c r="B692" t="s">
        <v>1684</v>
      </c>
      <c r="C692" t="s">
        <v>58</v>
      </c>
      <c r="D692" t="s">
        <v>38</v>
      </c>
      <c r="E692" t="s">
        <v>45</v>
      </c>
      <c r="F692" t="s">
        <v>94</v>
      </c>
      <c r="G692">
        <v>6.73</v>
      </c>
      <c r="H692" t="s">
        <v>61</v>
      </c>
      <c r="I692" t="s">
        <v>42</v>
      </c>
      <c r="M692">
        <f>VLOOKUP(H692,'Stage Order'!$A$2:$B$8,2,FALSE)</f>
        <v>1</v>
      </c>
      <c r="N692" t="str">
        <f t="shared" si="20"/>
        <v>2. 1-24 hours</v>
      </c>
      <c r="O692" t="str">
        <f t="shared" si="21"/>
        <v>2026-05</v>
      </c>
    </row>
    <row r="693" spans="1:15" x14ac:dyDescent="0.3">
      <c r="A693" t="s">
        <v>1685</v>
      </c>
      <c r="B693" t="s">
        <v>1686</v>
      </c>
      <c r="C693" t="s">
        <v>58</v>
      </c>
      <c r="D693" t="s">
        <v>54</v>
      </c>
      <c r="E693" t="s">
        <v>45</v>
      </c>
      <c r="F693" t="s">
        <v>46</v>
      </c>
      <c r="G693">
        <v>2.37</v>
      </c>
      <c r="H693" t="s">
        <v>61</v>
      </c>
      <c r="I693" t="s">
        <v>42</v>
      </c>
      <c r="M693">
        <f>VLOOKUP(H693,'Stage Order'!$A$2:$B$8,2,FALSE)</f>
        <v>1</v>
      </c>
      <c r="N693" t="str">
        <f t="shared" si="20"/>
        <v>2. 1-24 hours</v>
      </c>
      <c r="O693" t="str">
        <f t="shared" si="21"/>
        <v>2026-02</v>
      </c>
    </row>
    <row r="694" spans="1:15" x14ac:dyDescent="0.3">
      <c r="A694" t="s">
        <v>1687</v>
      </c>
      <c r="B694" t="s">
        <v>1688</v>
      </c>
      <c r="C694" t="s">
        <v>58</v>
      </c>
      <c r="D694" t="s">
        <v>29</v>
      </c>
      <c r="E694" t="s">
        <v>45</v>
      </c>
      <c r="F694" t="s">
        <v>55</v>
      </c>
      <c r="G694">
        <v>10.7</v>
      </c>
      <c r="H694" t="s">
        <v>146</v>
      </c>
      <c r="I694" t="s">
        <v>48</v>
      </c>
      <c r="J694" t="s">
        <v>139</v>
      </c>
      <c r="K694">
        <v>741.62</v>
      </c>
      <c r="L694" t="s">
        <v>1689</v>
      </c>
      <c r="M694">
        <f>VLOOKUP(H694,'Stage Order'!$A$2:$B$8,2,FALSE)</f>
        <v>5</v>
      </c>
      <c r="N694" t="str">
        <f t="shared" si="20"/>
        <v>2. 1-24 hours</v>
      </c>
      <c r="O694" t="str">
        <f t="shared" si="21"/>
        <v>2026-02</v>
      </c>
    </row>
    <row r="695" spans="1:15" x14ac:dyDescent="0.3">
      <c r="A695" t="s">
        <v>1690</v>
      </c>
      <c r="B695" t="s">
        <v>1691</v>
      </c>
      <c r="C695" t="s">
        <v>125</v>
      </c>
      <c r="D695" t="s">
        <v>97</v>
      </c>
      <c r="E695" t="s">
        <v>45</v>
      </c>
      <c r="F695" t="s">
        <v>46</v>
      </c>
      <c r="G695">
        <v>3.05</v>
      </c>
      <c r="H695" t="s">
        <v>128</v>
      </c>
      <c r="I695" t="s">
        <v>42</v>
      </c>
      <c r="M695">
        <f>VLOOKUP(H695,'Stage Order'!$A$2:$B$8,2,FALSE)</f>
        <v>3</v>
      </c>
      <c r="N695" t="str">
        <f t="shared" si="20"/>
        <v>2. 1-24 hours</v>
      </c>
      <c r="O695" t="str">
        <f t="shared" si="21"/>
        <v>2026-01</v>
      </c>
    </row>
    <row r="696" spans="1:15" x14ac:dyDescent="0.3">
      <c r="A696" t="s">
        <v>1692</v>
      </c>
      <c r="B696" t="s">
        <v>1693</v>
      </c>
      <c r="C696" t="s">
        <v>53</v>
      </c>
      <c r="D696" t="s">
        <v>54</v>
      </c>
      <c r="E696" t="s">
        <v>30</v>
      </c>
      <c r="F696" t="s">
        <v>82</v>
      </c>
      <c r="G696">
        <v>11.66</v>
      </c>
      <c r="H696" t="s">
        <v>41</v>
      </c>
      <c r="I696" t="s">
        <v>42</v>
      </c>
      <c r="M696">
        <f>VLOOKUP(H696,'Stage Order'!$A$2:$B$8,2,FALSE)</f>
        <v>2</v>
      </c>
      <c r="N696" t="str">
        <f t="shared" si="20"/>
        <v>2. 1-24 hours</v>
      </c>
      <c r="O696" t="str">
        <f t="shared" si="21"/>
        <v>2025-12</v>
      </c>
    </row>
    <row r="697" spans="1:15" x14ac:dyDescent="0.3">
      <c r="A697" t="s">
        <v>1694</v>
      </c>
      <c r="B697" t="s">
        <v>1695</v>
      </c>
      <c r="C697" t="s">
        <v>76</v>
      </c>
      <c r="D697" t="s">
        <v>54</v>
      </c>
      <c r="E697" t="s">
        <v>45</v>
      </c>
      <c r="F697" t="s">
        <v>94</v>
      </c>
      <c r="G697">
        <v>1.28</v>
      </c>
      <c r="H697" t="s">
        <v>41</v>
      </c>
      <c r="I697" t="s">
        <v>42</v>
      </c>
      <c r="M697">
        <f>VLOOKUP(H697,'Stage Order'!$A$2:$B$8,2,FALSE)</f>
        <v>2</v>
      </c>
      <c r="N697" t="str">
        <f t="shared" si="20"/>
        <v>2. 1-24 hours</v>
      </c>
      <c r="O697" t="str">
        <f t="shared" si="21"/>
        <v>2026-05</v>
      </c>
    </row>
    <row r="698" spans="1:15" x14ac:dyDescent="0.3">
      <c r="A698" t="s">
        <v>1696</v>
      </c>
      <c r="B698" t="s">
        <v>1697</v>
      </c>
      <c r="C698" t="s">
        <v>37</v>
      </c>
      <c r="D698" t="s">
        <v>77</v>
      </c>
      <c r="E698" t="s">
        <v>39</v>
      </c>
      <c r="F698" t="s">
        <v>66</v>
      </c>
      <c r="G698">
        <v>3.92</v>
      </c>
      <c r="H698" t="s">
        <v>32</v>
      </c>
      <c r="I698" t="s">
        <v>33</v>
      </c>
      <c r="K698">
        <v>1070.8399999999999</v>
      </c>
      <c r="L698" t="s">
        <v>1698</v>
      </c>
      <c r="M698">
        <f>VLOOKUP(H698,'Stage Order'!$A$2:$B$8,2,FALSE)</f>
        <v>7</v>
      </c>
      <c r="N698" t="str">
        <f t="shared" si="20"/>
        <v>2. 1-24 hours</v>
      </c>
      <c r="O698" t="str">
        <f t="shared" si="21"/>
        <v>2025-09</v>
      </c>
    </row>
    <row r="699" spans="1:15" x14ac:dyDescent="0.3">
      <c r="A699" t="s">
        <v>1699</v>
      </c>
      <c r="B699" t="s">
        <v>1700</v>
      </c>
      <c r="C699" t="s">
        <v>37</v>
      </c>
      <c r="D699" t="s">
        <v>77</v>
      </c>
      <c r="E699" t="s">
        <v>59</v>
      </c>
      <c r="F699" t="s">
        <v>137</v>
      </c>
      <c r="G699">
        <v>1.1399999999999999</v>
      </c>
      <c r="H699" t="s">
        <v>61</v>
      </c>
      <c r="I699" t="s">
        <v>42</v>
      </c>
      <c r="M699">
        <f>VLOOKUP(H699,'Stage Order'!$A$2:$B$8,2,FALSE)</f>
        <v>1</v>
      </c>
      <c r="N699" t="str">
        <f t="shared" si="20"/>
        <v>2. 1-24 hours</v>
      </c>
      <c r="O699" t="str">
        <f t="shared" si="21"/>
        <v>2025-08</v>
      </c>
    </row>
    <row r="700" spans="1:15" x14ac:dyDescent="0.3">
      <c r="A700" t="s">
        <v>1701</v>
      </c>
      <c r="B700" t="s">
        <v>1702</v>
      </c>
      <c r="C700" t="s">
        <v>37</v>
      </c>
      <c r="D700" t="s">
        <v>97</v>
      </c>
      <c r="E700" t="s">
        <v>39</v>
      </c>
      <c r="F700" t="s">
        <v>106</v>
      </c>
      <c r="G700">
        <v>1.3</v>
      </c>
      <c r="H700" t="s">
        <v>47</v>
      </c>
      <c r="I700" t="s">
        <v>48</v>
      </c>
      <c r="J700" t="s">
        <v>139</v>
      </c>
      <c r="K700">
        <v>1208.23</v>
      </c>
      <c r="L700" t="s">
        <v>1703</v>
      </c>
      <c r="M700">
        <f>VLOOKUP(H700,'Stage Order'!$A$2:$B$8,2,FALSE)</f>
        <v>4</v>
      </c>
      <c r="N700" t="str">
        <f t="shared" si="20"/>
        <v>2. 1-24 hours</v>
      </c>
      <c r="O700" t="str">
        <f t="shared" si="21"/>
        <v>2026-01</v>
      </c>
    </row>
    <row r="701" spans="1:15" x14ac:dyDescent="0.3">
      <c r="A701" t="s">
        <v>1704</v>
      </c>
      <c r="B701" t="s">
        <v>1705</v>
      </c>
      <c r="C701" t="s">
        <v>125</v>
      </c>
      <c r="D701" t="s">
        <v>97</v>
      </c>
      <c r="E701" t="s">
        <v>30</v>
      </c>
      <c r="F701" t="s">
        <v>82</v>
      </c>
      <c r="G701">
        <v>5.63</v>
      </c>
      <c r="H701" t="s">
        <v>61</v>
      </c>
      <c r="I701" t="s">
        <v>42</v>
      </c>
      <c r="M701">
        <f>VLOOKUP(H701,'Stage Order'!$A$2:$B$8,2,FALSE)</f>
        <v>1</v>
      </c>
      <c r="N701" t="str">
        <f t="shared" si="20"/>
        <v>2. 1-24 hours</v>
      </c>
      <c r="O701" t="str">
        <f t="shared" si="21"/>
        <v>2026-04</v>
      </c>
    </row>
    <row r="702" spans="1:15" x14ac:dyDescent="0.3">
      <c r="A702" t="s">
        <v>1706</v>
      </c>
      <c r="B702" t="s">
        <v>1707</v>
      </c>
      <c r="C702" t="s">
        <v>125</v>
      </c>
      <c r="D702" t="s">
        <v>29</v>
      </c>
      <c r="E702" t="s">
        <v>45</v>
      </c>
      <c r="F702" t="s">
        <v>46</v>
      </c>
      <c r="G702">
        <v>1.52</v>
      </c>
      <c r="H702" t="s">
        <v>61</v>
      </c>
      <c r="I702" t="s">
        <v>42</v>
      </c>
      <c r="M702">
        <f>VLOOKUP(H702,'Stage Order'!$A$2:$B$8,2,FALSE)</f>
        <v>1</v>
      </c>
      <c r="N702" t="str">
        <f t="shared" si="20"/>
        <v>2. 1-24 hours</v>
      </c>
      <c r="O702" t="str">
        <f t="shared" si="21"/>
        <v>2026-02</v>
      </c>
    </row>
    <row r="703" spans="1:15" x14ac:dyDescent="0.3">
      <c r="A703" t="s">
        <v>1708</v>
      </c>
      <c r="B703" t="s">
        <v>1709</v>
      </c>
      <c r="C703" t="s">
        <v>81</v>
      </c>
      <c r="D703" t="s">
        <v>54</v>
      </c>
      <c r="E703" t="s">
        <v>45</v>
      </c>
      <c r="F703" t="s">
        <v>55</v>
      </c>
      <c r="G703">
        <v>2.95</v>
      </c>
      <c r="H703" t="s">
        <v>41</v>
      </c>
      <c r="I703" t="s">
        <v>42</v>
      </c>
      <c r="M703">
        <f>VLOOKUP(H703,'Stage Order'!$A$2:$B$8,2,FALSE)</f>
        <v>2</v>
      </c>
      <c r="N703" t="str">
        <f t="shared" si="20"/>
        <v>2. 1-24 hours</v>
      </c>
      <c r="O703" t="str">
        <f t="shared" si="21"/>
        <v>2026-06</v>
      </c>
    </row>
    <row r="704" spans="1:15" x14ac:dyDescent="0.3">
      <c r="A704" t="s">
        <v>1710</v>
      </c>
      <c r="B704" t="s">
        <v>1711</v>
      </c>
      <c r="C704" t="s">
        <v>125</v>
      </c>
      <c r="D704" t="s">
        <v>77</v>
      </c>
      <c r="E704" t="s">
        <v>45</v>
      </c>
      <c r="F704" t="s">
        <v>55</v>
      </c>
      <c r="G704">
        <v>8.6199999999999992</v>
      </c>
      <c r="H704" t="s">
        <v>61</v>
      </c>
      <c r="I704" t="s">
        <v>42</v>
      </c>
      <c r="M704">
        <f>VLOOKUP(H704,'Stage Order'!$A$2:$B$8,2,FALSE)</f>
        <v>1</v>
      </c>
      <c r="N704" t="str">
        <f t="shared" si="20"/>
        <v>2. 1-24 hours</v>
      </c>
      <c r="O704" t="str">
        <f t="shared" si="21"/>
        <v>2025-01</v>
      </c>
    </row>
    <row r="705" spans="1:15" x14ac:dyDescent="0.3">
      <c r="A705" t="s">
        <v>1712</v>
      </c>
      <c r="B705" t="s">
        <v>1713</v>
      </c>
      <c r="C705" t="s">
        <v>81</v>
      </c>
      <c r="D705" t="s">
        <v>97</v>
      </c>
      <c r="E705" t="s">
        <v>39</v>
      </c>
      <c r="F705" t="s">
        <v>106</v>
      </c>
      <c r="G705">
        <v>1.6</v>
      </c>
      <c r="H705" t="s">
        <v>41</v>
      </c>
      <c r="I705" t="s">
        <v>42</v>
      </c>
      <c r="M705">
        <f>VLOOKUP(H705,'Stage Order'!$A$2:$B$8,2,FALSE)</f>
        <v>2</v>
      </c>
      <c r="N705" t="str">
        <f t="shared" si="20"/>
        <v>2. 1-24 hours</v>
      </c>
      <c r="O705" t="str">
        <f t="shared" si="21"/>
        <v>2026-03</v>
      </c>
    </row>
    <row r="706" spans="1:15" x14ac:dyDescent="0.3">
      <c r="A706" t="s">
        <v>1714</v>
      </c>
      <c r="B706" t="s">
        <v>1715</v>
      </c>
      <c r="C706" t="s">
        <v>37</v>
      </c>
      <c r="D706" t="s">
        <v>29</v>
      </c>
      <c r="E706" t="s">
        <v>30</v>
      </c>
      <c r="F706" t="s">
        <v>31</v>
      </c>
      <c r="G706">
        <v>3.62</v>
      </c>
      <c r="H706" t="s">
        <v>41</v>
      </c>
      <c r="I706" t="s">
        <v>42</v>
      </c>
      <c r="M706">
        <f>VLOOKUP(H706,'Stage Order'!$A$2:$B$8,2,FALSE)</f>
        <v>2</v>
      </c>
      <c r="N706" t="str">
        <f t="shared" ref="N706:N769" si="22">IF(G706&lt;=1,"1. Under 1 hour",IF(G706&lt;=24,"2. 1-24 hours",IF(G706&lt;=72,"3. 1-3 days","4. Over 3 days")))</f>
        <v>2. 1-24 hours</v>
      </c>
      <c r="O706" t="str">
        <f t="shared" ref="O706:O769" si="23">TEXT(B706,"YYYY-MM")</f>
        <v>2025-02</v>
      </c>
    </row>
    <row r="707" spans="1:15" x14ac:dyDescent="0.3">
      <c r="A707" t="s">
        <v>1716</v>
      </c>
      <c r="B707" t="s">
        <v>1717</v>
      </c>
      <c r="C707" t="s">
        <v>76</v>
      </c>
      <c r="D707" t="s">
        <v>54</v>
      </c>
      <c r="E707" t="s">
        <v>39</v>
      </c>
      <c r="F707" t="s">
        <v>106</v>
      </c>
      <c r="G707">
        <v>3.13</v>
      </c>
      <c r="H707" t="s">
        <v>41</v>
      </c>
      <c r="I707" t="s">
        <v>42</v>
      </c>
      <c r="M707">
        <f>VLOOKUP(H707,'Stage Order'!$A$2:$B$8,2,FALSE)</f>
        <v>2</v>
      </c>
      <c r="N707" t="str">
        <f t="shared" si="22"/>
        <v>2. 1-24 hours</v>
      </c>
      <c r="O707" t="str">
        <f t="shared" si="23"/>
        <v>2025-03</v>
      </c>
    </row>
    <row r="708" spans="1:15" x14ac:dyDescent="0.3">
      <c r="A708" t="s">
        <v>1718</v>
      </c>
      <c r="B708" t="s">
        <v>1719</v>
      </c>
      <c r="C708" t="s">
        <v>76</v>
      </c>
      <c r="D708" t="s">
        <v>54</v>
      </c>
      <c r="E708" t="s">
        <v>45</v>
      </c>
      <c r="F708" t="s">
        <v>55</v>
      </c>
      <c r="G708">
        <v>30.84</v>
      </c>
      <c r="H708" t="s">
        <v>41</v>
      </c>
      <c r="I708" t="s">
        <v>42</v>
      </c>
      <c r="M708">
        <f>VLOOKUP(H708,'Stage Order'!$A$2:$B$8,2,FALSE)</f>
        <v>2</v>
      </c>
      <c r="N708" t="str">
        <f t="shared" si="22"/>
        <v>3. 1-3 days</v>
      </c>
      <c r="O708" t="str">
        <f t="shared" si="23"/>
        <v>2025-01</v>
      </c>
    </row>
    <row r="709" spans="1:15" x14ac:dyDescent="0.3">
      <c r="A709" t="s">
        <v>1720</v>
      </c>
      <c r="B709" t="s">
        <v>1721</v>
      </c>
      <c r="C709" t="s">
        <v>58</v>
      </c>
      <c r="D709" t="s">
        <v>54</v>
      </c>
      <c r="E709" t="s">
        <v>59</v>
      </c>
      <c r="F709" t="s">
        <v>137</v>
      </c>
      <c r="G709">
        <v>1.53</v>
      </c>
      <c r="H709" t="s">
        <v>32</v>
      </c>
      <c r="I709" t="s">
        <v>33</v>
      </c>
      <c r="K709">
        <v>479.46</v>
      </c>
      <c r="L709" t="s">
        <v>1722</v>
      </c>
      <c r="M709">
        <f>VLOOKUP(H709,'Stage Order'!$A$2:$B$8,2,FALSE)</f>
        <v>7</v>
      </c>
      <c r="N709" t="str">
        <f t="shared" si="22"/>
        <v>2. 1-24 hours</v>
      </c>
      <c r="O709" t="str">
        <f t="shared" si="23"/>
        <v>2025-10</v>
      </c>
    </row>
    <row r="710" spans="1:15" x14ac:dyDescent="0.3">
      <c r="A710" t="s">
        <v>1723</v>
      </c>
      <c r="B710" t="s">
        <v>1724</v>
      </c>
      <c r="C710" t="s">
        <v>58</v>
      </c>
      <c r="D710" t="s">
        <v>77</v>
      </c>
      <c r="E710" t="s">
        <v>30</v>
      </c>
      <c r="F710" t="s">
        <v>78</v>
      </c>
      <c r="G710">
        <v>3.91</v>
      </c>
      <c r="H710" t="s">
        <v>61</v>
      </c>
      <c r="I710" t="s">
        <v>42</v>
      </c>
      <c r="M710">
        <f>VLOOKUP(H710,'Stage Order'!$A$2:$B$8,2,FALSE)</f>
        <v>1</v>
      </c>
      <c r="N710" t="str">
        <f t="shared" si="22"/>
        <v>2. 1-24 hours</v>
      </c>
      <c r="O710" t="str">
        <f t="shared" si="23"/>
        <v>2025-07</v>
      </c>
    </row>
    <row r="711" spans="1:15" x14ac:dyDescent="0.3">
      <c r="A711" t="s">
        <v>1725</v>
      </c>
      <c r="B711" t="s">
        <v>1726</v>
      </c>
      <c r="C711" t="s">
        <v>53</v>
      </c>
      <c r="D711" t="s">
        <v>29</v>
      </c>
      <c r="E711" t="s">
        <v>39</v>
      </c>
      <c r="F711" t="s">
        <v>40</v>
      </c>
      <c r="G711">
        <v>0.71</v>
      </c>
      <c r="H711" t="s">
        <v>41</v>
      </c>
      <c r="I711" t="s">
        <v>42</v>
      </c>
      <c r="M711">
        <f>VLOOKUP(H711,'Stage Order'!$A$2:$B$8,2,FALSE)</f>
        <v>2</v>
      </c>
      <c r="N711" t="str">
        <f t="shared" si="22"/>
        <v>1. Under 1 hour</v>
      </c>
      <c r="O711" t="str">
        <f t="shared" si="23"/>
        <v>2025-05</v>
      </c>
    </row>
    <row r="712" spans="1:15" x14ac:dyDescent="0.3">
      <c r="A712" t="s">
        <v>1727</v>
      </c>
      <c r="B712" t="s">
        <v>1728</v>
      </c>
      <c r="C712" t="s">
        <v>37</v>
      </c>
      <c r="D712" t="s">
        <v>77</v>
      </c>
      <c r="E712" t="s">
        <v>45</v>
      </c>
      <c r="F712" t="s">
        <v>46</v>
      </c>
      <c r="G712">
        <v>4.95</v>
      </c>
      <c r="H712" t="s">
        <v>138</v>
      </c>
      <c r="I712" t="s">
        <v>48</v>
      </c>
      <c r="J712" t="s">
        <v>139</v>
      </c>
      <c r="K712">
        <v>1149.79</v>
      </c>
      <c r="L712" t="s">
        <v>1729</v>
      </c>
      <c r="M712">
        <f>VLOOKUP(H712,'Stage Order'!$A$2:$B$8,2,FALSE)</f>
        <v>6</v>
      </c>
      <c r="N712" t="str">
        <f t="shared" si="22"/>
        <v>2. 1-24 hours</v>
      </c>
      <c r="O712" t="str">
        <f t="shared" si="23"/>
        <v>2025-07</v>
      </c>
    </row>
    <row r="713" spans="1:15" x14ac:dyDescent="0.3">
      <c r="A713" t="s">
        <v>1730</v>
      </c>
      <c r="B713" t="s">
        <v>1731</v>
      </c>
      <c r="C713" t="s">
        <v>53</v>
      </c>
      <c r="D713" t="s">
        <v>77</v>
      </c>
      <c r="E713" t="s">
        <v>30</v>
      </c>
      <c r="F713" t="s">
        <v>82</v>
      </c>
      <c r="G713">
        <v>7.25</v>
      </c>
      <c r="H713" t="s">
        <v>41</v>
      </c>
      <c r="I713" t="s">
        <v>42</v>
      </c>
      <c r="M713">
        <f>VLOOKUP(H713,'Stage Order'!$A$2:$B$8,2,FALSE)</f>
        <v>2</v>
      </c>
      <c r="N713" t="str">
        <f t="shared" si="22"/>
        <v>2. 1-24 hours</v>
      </c>
      <c r="O713" t="str">
        <f t="shared" si="23"/>
        <v>2026-05</v>
      </c>
    </row>
    <row r="714" spans="1:15" x14ac:dyDescent="0.3">
      <c r="A714" t="s">
        <v>1732</v>
      </c>
      <c r="B714" t="s">
        <v>1733</v>
      </c>
      <c r="C714" t="s">
        <v>125</v>
      </c>
      <c r="D714" t="s">
        <v>97</v>
      </c>
      <c r="E714" t="s">
        <v>39</v>
      </c>
      <c r="F714" t="s">
        <v>106</v>
      </c>
      <c r="G714">
        <v>7.21</v>
      </c>
      <c r="H714" t="s">
        <v>61</v>
      </c>
      <c r="I714" t="s">
        <v>42</v>
      </c>
      <c r="M714">
        <f>VLOOKUP(H714,'Stage Order'!$A$2:$B$8,2,FALSE)</f>
        <v>1</v>
      </c>
      <c r="N714" t="str">
        <f t="shared" si="22"/>
        <v>2. 1-24 hours</v>
      </c>
      <c r="O714" t="str">
        <f t="shared" si="23"/>
        <v>2025-07</v>
      </c>
    </row>
    <row r="715" spans="1:15" x14ac:dyDescent="0.3">
      <c r="A715" t="s">
        <v>1734</v>
      </c>
      <c r="B715" t="s">
        <v>1735</v>
      </c>
      <c r="C715" t="s">
        <v>28</v>
      </c>
      <c r="D715" t="s">
        <v>54</v>
      </c>
      <c r="E715" t="s">
        <v>30</v>
      </c>
      <c r="F715" t="s">
        <v>78</v>
      </c>
      <c r="G715">
        <v>0.96</v>
      </c>
      <c r="H715" t="s">
        <v>41</v>
      </c>
      <c r="I715" t="s">
        <v>42</v>
      </c>
      <c r="M715">
        <f>VLOOKUP(H715,'Stage Order'!$A$2:$B$8,2,FALSE)</f>
        <v>2</v>
      </c>
      <c r="N715" t="str">
        <f t="shared" si="22"/>
        <v>1. Under 1 hour</v>
      </c>
      <c r="O715" t="str">
        <f t="shared" si="23"/>
        <v>2026-03</v>
      </c>
    </row>
    <row r="716" spans="1:15" x14ac:dyDescent="0.3">
      <c r="A716" t="s">
        <v>1736</v>
      </c>
      <c r="B716" t="s">
        <v>1737</v>
      </c>
      <c r="C716" t="s">
        <v>125</v>
      </c>
      <c r="D716" t="s">
        <v>97</v>
      </c>
      <c r="E716" t="s">
        <v>39</v>
      </c>
      <c r="F716" t="s">
        <v>40</v>
      </c>
      <c r="G716">
        <v>2.33</v>
      </c>
      <c r="H716" t="s">
        <v>32</v>
      </c>
      <c r="I716" t="s">
        <v>33</v>
      </c>
      <c r="K716">
        <v>1549.27</v>
      </c>
      <c r="L716" t="s">
        <v>1738</v>
      </c>
      <c r="M716">
        <f>VLOOKUP(H716,'Stage Order'!$A$2:$B$8,2,FALSE)</f>
        <v>7</v>
      </c>
      <c r="N716" t="str">
        <f t="shared" si="22"/>
        <v>2. 1-24 hours</v>
      </c>
      <c r="O716" t="str">
        <f t="shared" si="23"/>
        <v>2026-01</v>
      </c>
    </row>
    <row r="717" spans="1:15" x14ac:dyDescent="0.3">
      <c r="A717" t="s">
        <v>1739</v>
      </c>
      <c r="B717" t="s">
        <v>1740</v>
      </c>
      <c r="C717" t="s">
        <v>125</v>
      </c>
      <c r="D717" t="s">
        <v>38</v>
      </c>
      <c r="E717" t="s">
        <v>90</v>
      </c>
      <c r="F717" t="s">
        <v>91</v>
      </c>
      <c r="G717">
        <v>9.11</v>
      </c>
      <c r="H717" t="s">
        <v>61</v>
      </c>
      <c r="I717" t="s">
        <v>42</v>
      </c>
      <c r="M717">
        <f>VLOOKUP(H717,'Stage Order'!$A$2:$B$8,2,FALSE)</f>
        <v>1</v>
      </c>
      <c r="N717" t="str">
        <f t="shared" si="22"/>
        <v>2. 1-24 hours</v>
      </c>
      <c r="O717" t="str">
        <f t="shared" si="23"/>
        <v>2026-01</v>
      </c>
    </row>
    <row r="718" spans="1:15" x14ac:dyDescent="0.3">
      <c r="A718" t="s">
        <v>1741</v>
      </c>
      <c r="B718" t="s">
        <v>1742</v>
      </c>
      <c r="C718" t="s">
        <v>53</v>
      </c>
      <c r="D718" t="s">
        <v>97</v>
      </c>
      <c r="E718" t="s">
        <v>39</v>
      </c>
      <c r="F718" t="s">
        <v>106</v>
      </c>
      <c r="G718">
        <v>0.87</v>
      </c>
      <c r="H718" t="s">
        <v>41</v>
      </c>
      <c r="I718" t="s">
        <v>42</v>
      </c>
      <c r="M718">
        <f>VLOOKUP(H718,'Stage Order'!$A$2:$B$8,2,FALSE)</f>
        <v>2</v>
      </c>
      <c r="N718" t="str">
        <f t="shared" si="22"/>
        <v>1. Under 1 hour</v>
      </c>
      <c r="O718" t="str">
        <f t="shared" si="23"/>
        <v>2025-12</v>
      </c>
    </row>
    <row r="719" spans="1:15" x14ac:dyDescent="0.3">
      <c r="A719" t="s">
        <v>1743</v>
      </c>
      <c r="B719" t="s">
        <v>1744</v>
      </c>
      <c r="C719" t="s">
        <v>28</v>
      </c>
      <c r="D719" t="s">
        <v>29</v>
      </c>
      <c r="E719" t="s">
        <v>39</v>
      </c>
      <c r="F719" t="s">
        <v>106</v>
      </c>
      <c r="G719">
        <v>2.57</v>
      </c>
      <c r="H719" t="s">
        <v>138</v>
      </c>
      <c r="I719" t="s">
        <v>48</v>
      </c>
      <c r="J719" t="s">
        <v>139</v>
      </c>
      <c r="K719">
        <v>619.44000000000005</v>
      </c>
      <c r="L719" t="s">
        <v>1745</v>
      </c>
      <c r="M719">
        <f>VLOOKUP(H719,'Stage Order'!$A$2:$B$8,2,FALSE)</f>
        <v>6</v>
      </c>
      <c r="N719" t="str">
        <f t="shared" si="22"/>
        <v>2. 1-24 hours</v>
      </c>
      <c r="O719" t="str">
        <f t="shared" si="23"/>
        <v>2025-06</v>
      </c>
    </row>
    <row r="720" spans="1:15" x14ac:dyDescent="0.3">
      <c r="A720" t="s">
        <v>1746</v>
      </c>
      <c r="B720" t="s">
        <v>1747</v>
      </c>
      <c r="C720" t="s">
        <v>28</v>
      </c>
      <c r="D720" t="s">
        <v>77</v>
      </c>
      <c r="E720" t="s">
        <v>45</v>
      </c>
      <c r="F720" t="s">
        <v>94</v>
      </c>
      <c r="G720">
        <v>1.2</v>
      </c>
      <c r="H720" t="s">
        <v>61</v>
      </c>
      <c r="I720" t="s">
        <v>42</v>
      </c>
      <c r="M720">
        <f>VLOOKUP(H720,'Stage Order'!$A$2:$B$8,2,FALSE)</f>
        <v>1</v>
      </c>
      <c r="N720" t="str">
        <f t="shared" si="22"/>
        <v>2. 1-24 hours</v>
      </c>
      <c r="O720" t="str">
        <f t="shared" si="23"/>
        <v>2025-06</v>
      </c>
    </row>
    <row r="721" spans="1:15" x14ac:dyDescent="0.3">
      <c r="A721" t="s">
        <v>1748</v>
      </c>
      <c r="B721" t="s">
        <v>1749</v>
      </c>
      <c r="C721" t="s">
        <v>58</v>
      </c>
      <c r="D721" t="s">
        <v>38</v>
      </c>
      <c r="E721" t="s">
        <v>45</v>
      </c>
      <c r="F721" t="s">
        <v>46</v>
      </c>
      <c r="G721">
        <v>4.58</v>
      </c>
      <c r="H721" t="s">
        <v>32</v>
      </c>
      <c r="I721" t="s">
        <v>33</v>
      </c>
      <c r="K721">
        <v>413.78</v>
      </c>
      <c r="L721" t="s">
        <v>1750</v>
      </c>
      <c r="M721">
        <f>VLOOKUP(H721,'Stage Order'!$A$2:$B$8,2,FALSE)</f>
        <v>7</v>
      </c>
      <c r="N721" t="str">
        <f t="shared" si="22"/>
        <v>2. 1-24 hours</v>
      </c>
      <c r="O721" t="str">
        <f t="shared" si="23"/>
        <v>2026-01</v>
      </c>
    </row>
    <row r="722" spans="1:15" x14ac:dyDescent="0.3">
      <c r="A722" t="s">
        <v>1751</v>
      </c>
      <c r="B722" t="s">
        <v>1752</v>
      </c>
      <c r="C722" t="s">
        <v>37</v>
      </c>
      <c r="D722" t="s">
        <v>77</v>
      </c>
      <c r="E722" t="s">
        <v>59</v>
      </c>
      <c r="F722" t="s">
        <v>137</v>
      </c>
      <c r="G722">
        <v>12.66</v>
      </c>
      <c r="H722" t="s">
        <v>32</v>
      </c>
      <c r="I722" t="s">
        <v>33</v>
      </c>
      <c r="K722">
        <v>1019.73</v>
      </c>
      <c r="L722" t="s">
        <v>1753</v>
      </c>
      <c r="M722">
        <f>VLOOKUP(H722,'Stage Order'!$A$2:$B$8,2,FALSE)</f>
        <v>7</v>
      </c>
      <c r="N722" t="str">
        <f t="shared" si="22"/>
        <v>2. 1-24 hours</v>
      </c>
      <c r="O722" t="str">
        <f t="shared" si="23"/>
        <v>2025-09</v>
      </c>
    </row>
    <row r="723" spans="1:15" x14ac:dyDescent="0.3">
      <c r="A723" t="s">
        <v>1754</v>
      </c>
      <c r="B723" t="s">
        <v>1755</v>
      </c>
      <c r="C723" t="s">
        <v>58</v>
      </c>
      <c r="D723" t="s">
        <v>54</v>
      </c>
      <c r="E723" t="s">
        <v>59</v>
      </c>
      <c r="F723" t="s">
        <v>117</v>
      </c>
      <c r="G723">
        <v>4.99</v>
      </c>
      <c r="H723" t="s">
        <v>41</v>
      </c>
      <c r="I723" t="s">
        <v>42</v>
      </c>
      <c r="M723">
        <f>VLOOKUP(H723,'Stage Order'!$A$2:$B$8,2,FALSE)</f>
        <v>2</v>
      </c>
      <c r="N723" t="str">
        <f t="shared" si="22"/>
        <v>2. 1-24 hours</v>
      </c>
      <c r="O723" t="str">
        <f t="shared" si="23"/>
        <v>2025-08</v>
      </c>
    </row>
    <row r="724" spans="1:15" x14ac:dyDescent="0.3">
      <c r="A724" t="s">
        <v>1756</v>
      </c>
      <c r="B724" t="s">
        <v>1757</v>
      </c>
      <c r="C724" t="s">
        <v>37</v>
      </c>
      <c r="D724" t="s">
        <v>38</v>
      </c>
      <c r="E724" t="s">
        <v>45</v>
      </c>
      <c r="F724" t="s">
        <v>46</v>
      </c>
      <c r="G724">
        <v>0.45</v>
      </c>
      <c r="H724" t="s">
        <v>32</v>
      </c>
      <c r="I724" t="s">
        <v>33</v>
      </c>
      <c r="K724">
        <v>385.49</v>
      </c>
      <c r="L724" t="s">
        <v>1758</v>
      </c>
      <c r="M724">
        <f>VLOOKUP(H724,'Stage Order'!$A$2:$B$8,2,FALSE)</f>
        <v>7</v>
      </c>
      <c r="N724" t="str">
        <f t="shared" si="22"/>
        <v>1. Under 1 hour</v>
      </c>
      <c r="O724" t="str">
        <f t="shared" si="23"/>
        <v>2025-11</v>
      </c>
    </row>
    <row r="725" spans="1:15" x14ac:dyDescent="0.3">
      <c r="A725" t="s">
        <v>1759</v>
      </c>
      <c r="B725" t="s">
        <v>1760</v>
      </c>
      <c r="C725" t="s">
        <v>58</v>
      </c>
      <c r="D725" t="s">
        <v>29</v>
      </c>
      <c r="E725" t="s">
        <v>59</v>
      </c>
      <c r="F725" t="s">
        <v>60</v>
      </c>
      <c r="G725">
        <v>4.51</v>
      </c>
      <c r="H725" t="s">
        <v>41</v>
      </c>
      <c r="I725" t="s">
        <v>42</v>
      </c>
      <c r="M725">
        <f>VLOOKUP(H725,'Stage Order'!$A$2:$B$8,2,FALSE)</f>
        <v>2</v>
      </c>
      <c r="N725" t="str">
        <f t="shared" si="22"/>
        <v>2. 1-24 hours</v>
      </c>
      <c r="O725" t="str">
        <f t="shared" si="23"/>
        <v>2026-05</v>
      </c>
    </row>
    <row r="726" spans="1:15" x14ac:dyDescent="0.3">
      <c r="A726" t="s">
        <v>1761</v>
      </c>
      <c r="B726" t="s">
        <v>1762</v>
      </c>
      <c r="C726" t="s">
        <v>58</v>
      </c>
      <c r="D726" t="s">
        <v>38</v>
      </c>
      <c r="E726" t="s">
        <v>39</v>
      </c>
      <c r="F726" t="s">
        <v>66</v>
      </c>
      <c r="G726">
        <v>17.940000000000001</v>
      </c>
      <c r="H726" t="s">
        <v>41</v>
      </c>
      <c r="I726" t="s">
        <v>42</v>
      </c>
      <c r="M726">
        <f>VLOOKUP(H726,'Stage Order'!$A$2:$B$8,2,FALSE)</f>
        <v>2</v>
      </c>
      <c r="N726" t="str">
        <f t="shared" si="22"/>
        <v>2. 1-24 hours</v>
      </c>
      <c r="O726" t="str">
        <f t="shared" si="23"/>
        <v>2026-01</v>
      </c>
    </row>
    <row r="727" spans="1:15" x14ac:dyDescent="0.3">
      <c r="A727" t="s">
        <v>1763</v>
      </c>
      <c r="B727" t="s">
        <v>1764</v>
      </c>
      <c r="C727" t="s">
        <v>53</v>
      </c>
      <c r="D727" t="s">
        <v>38</v>
      </c>
      <c r="E727" t="s">
        <v>30</v>
      </c>
      <c r="F727" t="s">
        <v>31</v>
      </c>
      <c r="G727">
        <v>1.25</v>
      </c>
      <c r="H727" t="s">
        <v>32</v>
      </c>
      <c r="I727" t="s">
        <v>33</v>
      </c>
      <c r="K727">
        <v>336.09</v>
      </c>
      <c r="L727" t="s">
        <v>1765</v>
      </c>
      <c r="M727">
        <f>VLOOKUP(H727,'Stage Order'!$A$2:$B$8,2,FALSE)</f>
        <v>7</v>
      </c>
      <c r="N727" t="str">
        <f t="shared" si="22"/>
        <v>2. 1-24 hours</v>
      </c>
      <c r="O727" t="str">
        <f t="shared" si="23"/>
        <v>2025-07</v>
      </c>
    </row>
    <row r="728" spans="1:15" x14ac:dyDescent="0.3">
      <c r="A728" t="s">
        <v>1766</v>
      </c>
      <c r="B728" t="s">
        <v>1767</v>
      </c>
      <c r="C728" t="s">
        <v>76</v>
      </c>
      <c r="D728" t="s">
        <v>38</v>
      </c>
      <c r="E728" t="s">
        <v>90</v>
      </c>
      <c r="F728" t="s">
        <v>91</v>
      </c>
      <c r="G728">
        <v>9.57</v>
      </c>
      <c r="H728" t="s">
        <v>61</v>
      </c>
      <c r="I728" t="s">
        <v>42</v>
      </c>
      <c r="M728">
        <f>VLOOKUP(H728,'Stage Order'!$A$2:$B$8,2,FALSE)</f>
        <v>1</v>
      </c>
      <c r="N728" t="str">
        <f t="shared" si="22"/>
        <v>2. 1-24 hours</v>
      </c>
      <c r="O728" t="str">
        <f t="shared" si="23"/>
        <v>2025-01</v>
      </c>
    </row>
    <row r="729" spans="1:15" x14ac:dyDescent="0.3">
      <c r="A729" t="s">
        <v>1768</v>
      </c>
      <c r="B729" t="s">
        <v>1769</v>
      </c>
      <c r="C729" t="s">
        <v>53</v>
      </c>
      <c r="D729" t="s">
        <v>29</v>
      </c>
      <c r="E729" t="s">
        <v>39</v>
      </c>
      <c r="F729" t="s">
        <v>106</v>
      </c>
      <c r="G729">
        <v>2.04</v>
      </c>
      <c r="H729" t="s">
        <v>41</v>
      </c>
      <c r="I729" t="s">
        <v>42</v>
      </c>
      <c r="M729">
        <f>VLOOKUP(H729,'Stage Order'!$A$2:$B$8,2,FALSE)</f>
        <v>2</v>
      </c>
      <c r="N729" t="str">
        <f t="shared" si="22"/>
        <v>2. 1-24 hours</v>
      </c>
      <c r="O729" t="str">
        <f t="shared" si="23"/>
        <v>2025-10</v>
      </c>
    </row>
    <row r="730" spans="1:15" x14ac:dyDescent="0.3">
      <c r="A730" t="s">
        <v>1770</v>
      </c>
      <c r="B730" t="s">
        <v>1771</v>
      </c>
      <c r="C730" t="s">
        <v>125</v>
      </c>
      <c r="D730" t="s">
        <v>29</v>
      </c>
      <c r="E730" t="s">
        <v>30</v>
      </c>
      <c r="F730" t="s">
        <v>82</v>
      </c>
      <c r="G730">
        <v>4.28</v>
      </c>
      <c r="H730" t="s">
        <v>61</v>
      </c>
      <c r="I730" t="s">
        <v>42</v>
      </c>
      <c r="M730">
        <f>VLOOKUP(H730,'Stage Order'!$A$2:$B$8,2,FALSE)</f>
        <v>1</v>
      </c>
      <c r="N730" t="str">
        <f t="shared" si="22"/>
        <v>2. 1-24 hours</v>
      </c>
      <c r="O730" t="str">
        <f t="shared" si="23"/>
        <v>2025-11</v>
      </c>
    </row>
    <row r="731" spans="1:15" x14ac:dyDescent="0.3">
      <c r="A731" t="s">
        <v>1772</v>
      </c>
      <c r="B731" t="s">
        <v>1773</v>
      </c>
      <c r="C731" t="s">
        <v>76</v>
      </c>
      <c r="D731" t="s">
        <v>38</v>
      </c>
      <c r="E731" t="s">
        <v>30</v>
      </c>
      <c r="F731" t="s">
        <v>78</v>
      </c>
      <c r="G731">
        <v>1.77</v>
      </c>
      <c r="H731" t="s">
        <v>41</v>
      </c>
      <c r="I731" t="s">
        <v>42</v>
      </c>
      <c r="M731">
        <f>VLOOKUP(H731,'Stage Order'!$A$2:$B$8,2,FALSE)</f>
        <v>2</v>
      </c>
      <c r="N731" t="str">
        <f t="shared" si="22"/>
        <v>2. 1-24 hours</v>
      </c>
      <c r="O731" t="str">
        <f t="shared" si="23"/>
        <v>2025-11</v>
      </c>
    </row>
    <row r="732" spans="1:15" x14ac:dyDescent="0.3">
      <c r="A732" t="s">
        <v>1774</v>
      </c>
      <c r="B732" t="s">
        <v>1775</v>
      </c>
      <c r="C732" t="s">
        <v>125</v>
      </c>
      <c r="D732" t="s">
        <v>77</v>
      </c>
      <c r="E732" t="s">
        <v>30</v>
      </c>
      <c r="F732" t="s">
        <v>82</v>
      </c>
      <c r="G732">
        <v>5.25</v>
      </c>
      <c r="H732" t="s">
        <v>138</v>
      </c>
      <c r="I732" t="s">
        <v>48</v>
      </c>
      <c r="J732" t="s">
        <v>139</v>
      </c>
      <c r="K732">
        <v>896.81</v>
      </c>
      <c r="L732" t="s">
        <v>1776</v>
      </c>
      <c r="M732">
        <f>VLOOKUP(H732,'Stage Order'!$A$2:$B$8,2,FALSE)</f>
        <v>6</v>
      </c>
      <c r="N732" t="str">
        <f t="shared" si="22"/>
        <v>2. 1-24 hours</v>
      </c>
      <c r="O732" t="str">
        <f t="shared" si="23"/>
        <v>2026-05</v>
      </c>
    </row>
    <row r="733" spans="1:15" x14ac:dyDescent="0.3">
      <c r="A733" t="s">
        <v>1777</v>
      </c>
      <c r="B733" t="s">
        <v>1778</v>
      </c>
      <c r="C733" t="s">
        <v>28</v>
      </c>
      <c r="D733" t="s">
        <v>54</v>
      </c>
      <c r="E733" t="s">
        <v>90</v>
      </c>
      <c r="F733" t="s">
        <v>145</v>
      </c>
      <c r="G733">
        <v>7.6</v>
      </c>
      <c r="H733" t="s">
        <v>146</v>
      </c>
      <c r="I733" t="s">
        <v>48</v>
      </c>
      <c r="J733" t="s">
        <v>113</v>
      </c>
      <c r="K733">
        <v>414.22</v>
      </c>
      <c r="L733" t="s">
        <v>1779</v>
      </c>
      <c r="M733">
        <f>VLOOKUP(H733,'Stage Order'!$A$2:$B$8,2,FALSE)</f>
        <v>5</v>
      </c>
      <c r="N733" t="str">
        <f t="shared" si="22"/>
        <v>2. 1-24 hours</v>
      </c>
      <c r="O733" t="str">
        <f t="shared" si="23"/>
        <v>2026-05</v>
      </c>
    </row>
    <row r="734" spans="1:15" x14ac:dyDescent="0.3">
      <c r="A734" t="s">
        <v>1780</v>
      </c>
      <c r="B734" t="s">
        <v>1781</v>
      </c>
      <c r="C734" t="s">
        <v>125</v>
      </c>
      <c r="D734" t="s">
        <v>54</v>
      </c>
      <c r="E734" t="s">
        <v>45</v>
      </c>
      <c r="F734" t="s">
        <v>46</v>
      </c>
      <c r="G734">
        <v>2.14</v>
      </c>
      <c r="H734" t="s">
        <v>41</v>
      </c>
      <c r="I734" t="s">
        <v>42</v>
      </c>
      <c r="M734">
        <f>VLOOKUP(H734,'Stage Order'!$A$2:$B$8,2,FALSE)</f>
        <v>2</v>
      </c>
      <c r="N734" t="str">
        <f t="shared" si="22"/>
        <v>2. 1-24 hours</v>
      </c>
      <c r="O734" t="str">
        <f t="shared" si="23"/>
        <v>2026-01</v>
      </c>
    </row>
    <row r="735" spans="1:15" x14ac:dyDescent="0.3">
      <c r="A735" t="s">
        <v>1782</v>
      </c>
      <c r="B735" t="s">
        <v>1783</v>
      </c>
      <c r="C735" t="s">
        <v>81</v>
      </c>
      <c r="D735" t="s">
        <v>54</v>
      </c>
      <c r="E735" t="s">
        <v>59</v>
      </c>
      <c r="F735" t="s">
        <v>137</v>
      </c>
      <c r="G735">
        <v>8.08</v>
      </c>
      <c r="H735" t="s">
        <v>61</v>
      </c>
      <c r="I735" t="s">
        <v>42</v>
      </c>
      <c r="M735">
        <f>VLOOKUP(H735,'Stage Order'!$A$2:$B$8,2,FALSE)</f>
        <v>1</v>
      </c>
      <c r="N735" t="str">
        <f t="shared" si="22"/>
        <v>2. 1-24 hours</v>
      </c>
      <c r="O735" t="str">
        <f t="shared" si="23"/>
        <v>2025-09</v>
      </c>
    </row>
    <row r="736" spans="1:15" x14ac:dyDescent="0.3">
      <c r="A736" t="s">
        <v>1784</v>
      </c>
      <c r="B736" t="s">
        <v>1785</v>
      </c>
      <c r="C736" t="s">
        <v>76</v>
      </c>
      <c r="D736" t="s">
        <v>77</v>
      </c>
      <c r="E736" t="s">
        <v>30</v>
      </c>
      <c r="F736" t="s">
        <v>78</v>
      </c>
      <c r="G736">
        <v>2.34</v>
      </c>
      <c r="H736" t="s">
        <v>41</v>
      </c>
      <c r="I736" t="s">
        <v>42</v>
      </c>
      <c r="M736">
        <f>VLOOKUP(H736,'Stage Order'!$A$2:$B$8,2,FALSE)</f>
        <v>2</v>
      </c>
      <c r="N736" t="str">
        <f t="shared" si="22"/>
        <v>2. 1-24 hours</v>
      </c>
      <c r="O736" t="str">
        <f t="shared" si="23"/>
        <v>2025-09</v>
      </c>
    </row>
    <row r="737" spans="1:15" x14ac:dyDescent="0.3">
      <c r="A737" t="s">
        <v>1786</v>
      </c>
      <c r="B737" t="s">
        <v>1787</v>
      </c>
      <c r="C737" t="s">
        <v>37</v>
      </c>
      <c r="D737" t="s">
        <v>54</v>
      </c>
      <c r="E737" t="s">
        <v>39</v>
      </c>
      <c r="F737" t="s">
        <v>40</v>
      </c>
      <c r="G737">
        <v>2.3199999999999998</v>
      </c>
      <c r="H737" t="s">
        <v>32</v>
      </c>
      <c r="I737" t="s">
        <v>33</v>
      </c>
      <c r="K737">
        <v>418.2</v>
      </c>
      <c r="L737" t="s">
        <v>1788</v>
      </c>
      <c r="M737">
        <f>VLOOKUP(H737,'Stage Order'!$A$2:$B$8,2,FALSE)</f>
        <v>7</v>
      </c>
      <c r="N737" t="str">
        <f t="shared" si="22"/>
        <v>2. 1-24 hours</v>
      </c>
      <c r="O737" t="str">
        <f t="shared" si="23"/>
        <v>2025-11</v>
      </c>
    </row>
    <row r="738" spans="1:15" x14ac:dyDescent="0.3">
      <c r="A738" t="s">
        <v>1789</v>
      </c>
      <c r="B738" t="s">
        <v>1790</v>
      </c>
      <c r="C738" t="s">
        <v>125</v>
      </c>
      <c r="D738" t="s">
        <v>38</v>
      </c>
      <c r="E738" t="s">
        <v>45</v>
      </c>
      <c r="F738" t="s">
        <v>94</v>
      </c>
      <c r="G738">
        <v>11.19</v>
      </c>
      <c r="H738" t="s">
        <v>47</v>
      </c>
      <c r="I738" t="s">
        <v>48</v>
      </c>
      <c r="J738" t="s">
        <v>113</v>
      </c>
      <c r="K738">
        <v>384.48</v>
      </c>
      <c r="L738" t="s">
        <v>1791</v>
      </c>
      <c r="M738">
        <f>VLOOKUP(H738,'Stage Order'!$A$2:$B$8,2,FALSE)</f>
        <v>4</v>
      </c>
      <c r="N738" t="str">
        <f t="shared" si="22"/>
        <v>2. 1-24 hours</v>
      </c>
      <c r="O738" t="str">
        <f t="shared" si="23"/>
        <v>2025-04</v>
      </c>
    </row>
    <row r="739" spans="1:15" x14ac:dyDescent="0.3">
      <c r="A739" t="s">
        <v>1792</v>
      </c>
      <c r="B739" t="s">
        <v>1793</v>
      </c>
      <c r="C739" t="s">
        <v>125</v>
      </c>
      <c r="D739" t="s">
        <v>97</v>
      </c>
      <c r="E739" t="s">
        <v>59</v>
      </c>
      <c r="F739" t="s">
        <v>60</v>
      </c>
      <c r="G739">
        <v>7.32</v>
      </c>
      <c r="H739" t="s">
        <v>61</v>
      </c>
      <c r="I739" t="s">
        <v>42</v>
      </c>
      <c r="M739">
        <f>VLOOKUP(H739,'Stage Order'!$A$2:$B$8,2,FALSE)</f>
        <v>1</v>
      </c>
      <c r="N739" t="str">
        <f t="shared" si="22"/>
        <v>2. 1-24 hours</v>
      </c>
      <c r="O739" t="str">
        <f t="shared" si="23"/>
        <v>2026-05</v>
      </c>
    </row>
    <row r="740" spans="1:15" x14ac:dyDescent="0.3">
      <c r="A740" t="s">
        <v>1794</v>
      </c>
      <c r="B740" t="s">
        <v>1795</v>
      </c>
      <c r="C740" t="s">
        <v>53</v>
      </c>
      <c r="D740" t="s">
        <v>77</v>
      </c>
      <c r="E740" t="s">
        <v>59</v>
      </c>
      <c r="F740" t="s">
        <v>137</v>
      </c>
      <c r="G740">
        <v>7.38</v>
      </c>
      <c r="H740" t="s">
        <v>138</v>
      </c>
      <c r="I740" t="s">
        <v>48</v>
      </c>
      <c r="J740" t="s">
        <v>98</v>
      </c>
      <c r="K740">
        <v>1132.3800000000001</v>
      </c>
      <c r="L740" t="s">
        <v>1796</v>
      </c>
      <c r="M740">
        <f>VLOOKUP(H740,'Stage Order'!$A$2:$B$8,2,FALSE)</f>
        <v>6</v>
      </c>
      <c r="N740" t="str">
        <f t="shared" si="22"/>
        <v>2. 1-24 hours</v>
      </c>
      <c r="O740" t="str">
        <f t="shared" si="23"/>
        <v>2025-01</v>
      </c>
    </row>
    <row r="741" spans="1:15" x14ac:dyDescent="0.3">
      <c r="A741" t="s">
        <v>1797</v>
      </c>
      <c r="B741" t="s">
        <v>1798</v>
      </c>
      <c r="C741" t="s">
        <v>37</v>
      </c>
      <c r="D741" t="s">
        <v>54</v>
      </c>
      <c r="E741" t="s">
        <v>90</v>
      </c>
      <c r="F741" t="s">
        <v>112</v>
      </c>
      <c r="G741">
        <v>1.94</v>
      </c>
      <c r="H741" t="s">
        <v>61</v>
      </c>
      <c r="I741" t="s">
        <v>42</v>
      </c>
      <c r="M741">
        <f>VLOOKUP(H741,'Stage Order'!$A$2:$B$8,2,FALSE)</f>
        <v>1</v>
      </c>
      <c r="N741" t="str">
        <f t="shared" si="22"/>
        <v>2. 1-24 hours</v>
      </c>
      <c r="O741" t="str">
        <f t="shared" si="23"/>
        <v>2025-07</v>
      </c>
    </row>
    <row r="742" spans="1:15" x14ac:dyDescent="0.3">
      <c r="A742" t="s">
        <v>1799</v>
      </c>
      <c r="B742" t="s">
        <v>1800</v>
      </c>
      <c r="C742" t="s">
        <v>81</v>
      </c>
      <c r="D742" t="s">
        <v>29</v>
      </c>
      <c r="E742" t="s">
        <v>30</v>
      </c>
      <c r="F742" t="s">
        <v>78</v>
      </c>
      <c r="G742">
        <v>5.69</v>
      </c>
      <c r="H742" t="s">
        <v>61</v>
      </c>
      <c r="I742" t="s">
        <v>42</v>
      </c>
      <c r="M742">
        <f>VLOOKUP(H742,'Stage Order'!$A$2:$B$8,2,FALSE)</f>
        <v>1</v>
      </c>
      <c r="N742" t="str">
        <f t="shared" si="22"/>
        <v>2. 1-24 hours</v>
      </c>
      <c r="O742" t="str">
        <f t="shared" si="23"/>
        <v>2025-02</v>
      </c>
    </row>
    <row r="743" spans="1:15" x14ac:dyDescent="0.3">
      <c r="A743" t="s">
        <v>1801</v>
      </c>
      <c r="B743" t="s">
        <v>1802</v>
      </c>
      <c r="C743" t="s">
        <v>58</v>
      </c>
      <c r="D743" t="s">
        <v>29</v>
      </c>
      <c r="E743" t="s">
        <v>90</v>
      </c>
      <c r="F743" t="s">
        <v>91</v>
      </c>
      <c r="G743">
        <v>7.91</v>
      </c>
      <c r="H743" t="s">
        <v>61</v>
      </c>
      <c r="I743" t="s">
        <v>42</v>
      </c>
      <c r="M743">
        <f>VLOOKUP(H743,'Stage Order'!$A$2:$B$8,2,FALSE)</f>
        <v>1</v>
      </c>
      <c r="N743" t="str">
        <f t="shared" si="22"/>
        <v>2. 1-24 hours</v>
      </c>
      <c r="O743" t="str">
        <f t="shared" si="23"/>
        <v>2025-08</v>
      </c>
    </row>
    <row r="744" spans="1:15" x14ac:dyDescent="0.3">
      <c r="A744" t="s">
        <v>1803</v>
      </c>
      <c r="B744" t="s">
        <v>1804</v>
      </c>
      <c r="C744" t="s">
        <v>125</v>
      </c>
      <c r="D744" t="s">
        <v>97</v>
      </c>
      <c r="E744" t="s">
        <v>45</v>
      </c>
      <c r="F744" t="s">
        <v>55</v>
      </c>
      <c r="G744">
        <v>1.54</v>
      </c>
      <c r="H744" t="s">
        <v>41</v>
      </c>
      <c r="I744" t="s">
        <v>42</v>
      </c>
      <c r="M744">
        <f>VLOOKUP(H744,'Stage Order'!$A$2:$B$8,2,FALSE)</f>
        <v>2</v>
      </c>
      <c r="N744" t="str">
        <f t="shared" si="22"/>
        <v>2. 1-24 hours</v>
      </c>
      <c r="O744" t="str">
        <f t="shared" si="23"/>
        <v>2025-09</v>
      </c>
    </row>
    <row r="745" spans="1:15" x14ac:dyDescent="0.3">
      <c r="A745" t="s">
        <v>1805</v>
      </c>
      <c r="B745" t="s">
        <v>1806</v>
      </c>
      <c r="C745" t="s">
        <v>28</v>
      </c>
      <c r="D745" t="s">
        <v>38</v>
      </c>
      <c r="E745" t="s">
        <v>90</v>
      </c>
      <c r="F745" t="s">
        <v>145</v>
      </c>
      <c r="G745">
        <v>4.26</v>
      </c>
      <c r="H745" t="s">
        <v>61</v>
      </c>
      <c r="I745" t="s">
        <v>42</v>
      </c>
      <c r="M745">
        <f>VLOOKUP(H745,'Stage Order'!$A$2:$B$8,2,FALSE)</f>
        <v>1</v>
      </c>
      <c r="N745" t="str">
        <f t="shared" si="22"/>
        <v>2. 1-24 hours</v>
      </c>
      <c r="O745" t="str">
        <f t="shared" si="23"/>
        <v>2025-09</v>
      </c>
    </row>
    <row r="746" spans="1:15" x14ac:dyDescent="0.3">
      <c r="A746" t="s">
        <v>1807</v>
      </c>
      <c r="B746" t="s">
        <v>927</v>
      </c>
      <c r="C746" t="s">
        <v>76</v>
      </c>
      <c r="D746" t="s">
        <v>29</v>
      </c>
      <c r="E746" t="s">
        <v>39</v>
      </c>
      <c r="F746" t="s">
        <v>40</v>
      </c>
      <c r="G746">
        <v>1.9</v>
      </c>
      <c r="H746" t="s">
        <v>138</v>
      </c>
      <c r="I746" t="s">
        <v>48</v>
      </c>
      <c r="J746" t="s">
        <v>742</v>
      </c>
      <c r="K746">
        <v>710.4</v>
      </c>
      <c r="L746" t="s">
        <v>1808</v>
      </c>
      <c r="M746">
        <f>VLOOKUP(H746,'Stage Order'!$A$2:$B$8,2,FALSE)</f>
        <v>6</v>
      </c>
      <c r="N746" t="str">
        <f t="shared" si="22"/>
        <v>2. 1-24 hours</v>
      </c>
      <c r="O746" t="str">
        <f t="shared" si="23"/>
        <v>2025-04</v>
      </c>
    </row>
    <row r="747" spans="1:15" x14ac:dyDescent="0.3">
      <c r="A747" t="s">
        <v>1809</v>
      </c>
      <c r="B747" t="s">
        <v>1810</v>
      </c>
      <c r="C747" t="s">
        <v>125</v>
      </c>
      <c r="D747" t="s">
        <v>29</v>
      </c>
      <c r="E747" t="s">
        <v>59</v>
      </c>
      <c r="F747" t="s">
        <v>137</v>
      </c>
      <c r="G747">
        <v>5.49</v>
      </c>
      <c r="H747" t="s">
        <v>41</v>
      </c>
      <c r="I747" t="s">
        <v>42</v>
      </c>
      <c r="M747">
        <f>VLOOKUP(H747,'Stage Order'!$A$2:$B$8,2,FALSE)</f>
        <v>2</v>
      </c>
      <c r="N747" t="str">
        <f t="shared" si="22"/>
        <v>2. 1-24 hours</v>
      </c>
      <c r="O747" t="str">
        <f t="shared" si="23"/>
        <v>2026-03</v>
      </c>
    </row>
    <row r="748" spans="1:15" x14ac:dyDescent="0.3">
      <c r="A748" t="s">
        <v>1811</v>
      </c>
      <c r="B748" t="s">
        <v>1812</v>
      </c>
      <c r="C748" t="s">
        <v>76</v>
      </c>
      <c r="D748" t="s">
        <v>29</v>
      </c>
      <c r="E748" t="s">
        <v>90</v>
      </c>
      <c r="F748" t="s">
        <v>91</v>
      </c>
      <c r="G748">
        <v>3.91</v>
      </c>
      <c r="H748" t="s">
        <v>146</v>
      </c>
      <c r="I748" t="s">
        <v>48</v>
      </c>
      <c r="J748" t="s">
        <v>98</v>
      </c>
      <c r="K748">
        <v>760.5</v>
      </c>
      <c r="L748" t="s">
        <v>1813</v>
      </c>
      <c r="M748">
        <f>VLOOKUP(H748,'Stage Order'!$A$2:$B$8,2,FALSE)</f>
        <v>5</v>
      </c>
      <c r="N748" t="str">
        <f t="shared" si="22"/>
        <v>2. 1-24 hours</v>
      </c>
      <c r="O748" t="str">
        <f t="shared" si="23"/>
        <v>2025-09</v>
      </c>
    </row>
    <row r="749" spans="1:15" x14ac:dyDescent="0.3">
      <c r="A749" t="s">
        <v>1814</v>
      </c>
      <c r="B749" t="s">
        <v>1815</v>
      </c>
      <c r="C749" t="s">
        <v>28</v>
      </c>
      <c r="D749" t="s">
        <v>97</v>
      </c>
      <c r="E749" t="s">
        <v>30</v>
      </c>
      <c r="F749" t="s">
        <v>31</v>
      </c>
      <c r="G749">
        <v>2.33</v>
      </c>
      <c r="H749" t="s">
        <v>138</v>
      </c>
      <c r="I749" t="s">
        <v>48</v>
      </c>
      <c r="J749" t="s">
        <v>742</v>
      </c>
      <c r="K749">
        <v>1608.04</v>
      </c>
      <c r="L749" t="s">
        <v>1816</v>
      </c>
      <c r="M749">
        <f>VLOOKUP(H749,'Stage Order'!$A$2:$B$8,2,FALSE)</f>
        <v>6</v>
      </c>
      <c r="N749" t="str">
        <f t="shared" si="22"/>
        <v>2. 1-24 hours</v>
      </c>
      <c r="O749" t="str">
        <f t="shared" si="23"/>
        <v>2025-05</v>
      </c>
    </row>
    <row r="750" spans="1:15" x14ac:dyDescent="0.3">
      <c r="A750" t="s">
        <v>1817</v>
      </c>
      <c r="B750" t="s">
        <v>1818</v>
      </c>
      <c r="C750" t="s">
        <v>37</v>
      </c>
      <c r="D750" t="s">
        <v>54</v>
      </c>
      <c r="E750" t="s">
        <v>39</v>
      </c>
      <c r="F750" t="s">
        <v>106</v>
      </c>
      <c r="G750">
        <v>2.2799999999999998</v>
      </c>
      <c r="H750" t="s">
        <v>32</v>
      </c>
      <c r="I750" t="s">
        <v>33</v>
      </c>
      <c r="K750">
        <v>425.19</v>
      </c>
      <c r="L750" t="s">
        <v>1819</v>
      </c>
      <c r="M750">
        <f>VLOOKUP(H750,'Stage Order'!$A$2:$B$8,2,FALSE)</f>
        <v>7</v>
      </c>
      <c r="N750" t="str">
        <f t="shared" si="22"/>
        <v>2. 1-24 hours</v>
      </c>
      <c r="O750" t="str">
        <f t="shared" si="23"/>
        <v>2026-05</v>
      </c>
    </row>
    <row r="751" spans="1:15" x14ac:dyDescent="0.3">
      <c r="A751" t="s">
        <v>1820</v>
      </c>
      <c r="B751" t="s">
        <v>1821</v>
      </c>
      <c r="C751" t="s">
        <v>37</v>
      </c>
      <c r="D751" t="s">
        <v>54</v>
      </c>
      <c r="E751" t="s">
        <v>45</v>
      </c>
      <c r="F751" t="s">
        <v>46</v>
      </c>
      <c r="G751">
        <v>1.77</v>
      </c>
      <c r="H751" t="s">
        <v>41</v>
      </c>
      <c r="I751" t="s">
        <v>42</v>
      </c>
      <c r="M751">
        <f>VLOOKUP(H751,'Stage Order'!$A$2:$B$8,2,FALSE)</f>
        <v>2</v>
      </c>
      <c r="N751" t="str">
        <f t="shared" si="22"/>
        <v>2. 1-24 hours</v>
      </c>
      <c r="O751" t="str">
        <f t="shared" si="23"/>
        <v>2025-04</v>
      </c>
    </row>
    <row r="752" spans="1:15" x14ac:dyDescent="0.3">
      <c r="A752" t="s">
        <v>1822</v>
      </c>
      <c r="B752" t="s">
        <v>1823</v>
      </c>
      <c r="C752" t="s">
        <v>37</v>
      </c>
      <c r="D752" t="s">
        <v>29</v>
      </c>
      <c r="E752" t="s">
        <v>39</v>
      </c>
      <c r="F752" t="s">
        <v>66</v>
      </c>
      <c r="G752">
        <v>20.04</v>
      </c>
      <c r="H752" t="s">
        <v>41</v>
      </c>
      <c r="I752" t="s">
        <v>42</v>
      </c>
      <c r="M752">
        <f>VLOOKUP(H752,'Stage Order'!$A$2:$B$8,2,FALSE)</f>
        <v>2</v>
      </c>
      <c r="N752" t="str">
        <f t="shared" si="22"/>
        <v>2. 1-24 hours</v>
      </c>
      <c r="O752" t="str">
        <f t="shared" si="23"/>
        <v>2026-01</v>
      </c>
    </row>
    <row r="753" spans="1:15" x14ac:dyDescent="0.3">
      <c r="A753" t="s">
        <v>1824</v>
      </c>
      <c r="B753" t="s">
        <v>1825</v>
      </c>
      <c r="C753" t="s">
        <v>58</v>
      </c>
      <c r="D753" t="s">
        <v>97</v>
      </c>
      <c r="E753" t="s">
        <v>90</v>
      </c>
      <c r="F753" t="s">
        <v>91</v>
      </c>
      <c r="G753">
        <v>2.86</v>
      </c>
      <c r="H753" t="s">
        <v>47</v>
      </c>
      <c r="I753" t="s">
        <v>48</v>
      </c>
      <c r="J753" t="s">
        <v>98</v>
      </c>
      <c r="K753">
        <v>1413.95</v>
      </c>
      <c r="L753" t="s">
        <v>1826</v>
      </c>
      <c r="M753">
        <f>VLOOKUP(H753,'Stage Order'!$A$2:$B$8,2,FALSE)</f>
        <v>4</v>
      </c>
      <c r="N753" t="str">
        <f t="shared" si="22"/>
        <v>2. 1-24 hours</v>
      </c>
      <c r="O753" t="str">
        <f t="shared" si="23"/>
        <v>2026-01</v>
      </c>
    </row>
    <row r="754" spans="1:15" x14ac:dyDescent="0.3">
      <c r="A754" t="s">
        <v>1827</v>
      </c>
      <c r="B754" t="s">
        <v>1828</v>
      </c>
      <c r="C754" t="s">
        <v>58</v>
      </c>
      <c r="D754" t="s">
        <v>38</v>
      </c>
      <c r="E754" t="s">
        <v>59</v>
      </c>
      <c r="F754" t="s">
        <v>60</v>
      </c>
      <c r="G754">
        <v>0.67</v>
      </c>
      <c r="H754" t="s">
        <v>41</v>
      </c>
      <c r="I754" t="s">
        <v>42</v>
      </c>
      <c r="M754">
        <f>VLOOKUP(H754,'Stage Order'!$A$2:$B$8,2,FALSE)</f>
        <v>2</v>
      </c>
      <c r="N754" t="str">
        <f t="shared" si="22"/>
        <v>1. Under 1 hour</v>
      </c>
      <c r="O754" t="str">
        <f t="shared" si="23"/>
        <v>2025-07</v>
      </c>
    </row>
    <row r="755" spans="1:15" x14ac:dyDescent="0.3">
      <c r="A755" t="s">
        <v>1829</v>
      </c>
      <c r="B755" t="s">
        <v>1830</v>
      </c>
      <c r="C755" t="s">
        <v>58</v>
      </c>
      <c r="D755" t="s">
        <v>54</v>
      </c>
      <c r="E755" t="s">
        <v>39</v>
      </c>
      <c r="F755" t="s">
        <v>40</v>
      </c>
      <c r="G755">
        <v>7.82</v>
      </c>
      <c r="H755" t="s">
        <v>61</v>
      </c>
      <c r="I755" t="s">
        <v>42</v>
      </c>
      <c r="M755">
        <f>VLOOKUP(H755,'Stage Order'!$A$2:$B$8,2,FALSE)</f>
        <v>1</v>
      </c>
      <c r="N755" t="str">
        <f t="shared" si="22"/>
        <v>2. 1-24 hours</v>
      </c>
      <c r="O755" t="str">
        <f t="shared" si="23"/>
        <v>2025-01</v>
      </c>
    </row>
    <row r="756" spans="1:15" x14ac:dyDescent="0.3">
      <c r="A756" t="s">
        <v>1831</v>
      </c>
      <c r="B756" t="s">
        <v>1832</v>
      </c>
      <c r="C756" t="s">
        <v>37</v>
      </c>
      <c r="D756" t="s">
        <v>54</v>
      </c>
      <c r="E756" t="s">
        <v>90</v>
      </c>
      <c r="F756" t="s">
        <v>112</v>
      </c>
      <c r="G756">
        <v>0.89</v>
      </c>
      <c r="H756" t="s">
        <v>41</v>
      </c>
      <c r="I756" t="s">
        <v>42</v>
      </c>
      <c r="M756">
        <f>VLOOKUP(H756,'Stage Order'!$A$2:$B$8,2,FALSE)</f>
        <v>2</v>
      </c>
      <c r="N756" t="str">
        <f t="shared" si="22"/>
        <v>1. Under 1 hour</v>
      </c>
      <c r="O756" t="str">
        <f t="shared" si="23"/>
        <v>2025-05</v>
      </c>
    </row>
    <row r="757" spans="1:15" x14ac:dyDescent="0.3">
      <c r="A757" t="s">
        <v>1833</v>
      </c>
      <c r="B757" t="s">
        <v>1834</v>
      </c>
      <c r="C757" t="s">
        <v>81</v>
      </c>
      <c r="D757" t="s">
        <v>38</v>
      </c>
      <c r="E757" t="s">
        <v>30</v>
      </c>
      <c r="F757" t="s">
        <v>78</v>
      </c>
      <c r="G757">
        <v>3.78</v>
      </c>
      <c r="H757" t="s">
        <v>61</v>
      </c>
      <c r="I757" t="s">
        <v>42</v>
      </c>
      <c r="M757">
        <f>VLOOKUP(H757,'Stage Order'!$A$2:$B$8,2,FALSE)</f>
        <v>1</v>
      </c>
      <c r="N757" t="str">
        <f t="shared" si="22"/>
        <v>2. 1-24 hours</v>
      </c>
      <c r="O757" t="str">
        <f t="shared" si="23"/>
        <v>2026-02</v>
      </c>
    </row>
    <row r="758" spans="1:15" x14ac:dyDescent="0.3">
      <c r="A758" t="s">
        <v>1835</v>
      </c>
      <c r="B758" t="s">
        <v>1836</v>
      </c>
      <c r="C758" t="s">
        <v>125</v>
      </c>
      <c r="D758" t="s">
        <v>97</v>
      </c>
      <c r="E758" t="s">
        <v>90</v>
      </c>
      <c r="F758" t="s">
        <v>112</v>
      </c>
      <c r="G758">
        <v>1.71</v>
      </c>
      <c r="H758" t="s">
        <v>41</v>
      </c>
      <c r="I758" t="s">
        <v>42</v>
      </c>
      <c r="M758">
        <f>VLOOKUP(H758,'Stage Order'!$A$2:$B$8,2,FALSE)</f>
        <v>2</v>
      </c>
      <c r="N758" t="str">
        <f t="shared" si="22"/>
        <v>2. 1-24 hours</v>
      </c>
      <c r="O758" t="str">
        <f t="shared" si="23"/>
        <v>2025-09</v>
      </c>
    </row>
    <row r="759" spans="1:15" x14ac:dyDescent="0.3">
      <c r="A759" t="s">
        <v>1837</v>
      </c>
      <c r="B759" t="s">
        <v>1838</v>
      </c>
      <c r="C759" t="s">
        <v>81</v>
      </c>
      <c r="D759" t="s">
        <v>77</v>
      </c>
      <c r="E759" t="s">
        <v>45</v>
      </c>
      <c r="F759" t="s">
        <v>46</v>
      </c>
      <c r="G759">
        <v>5.18</v>
      </c>
      <c r="H759" t="s">
        <v>41</v>
      </c>
      <c r="I759" t="s">
        <v>42</v>
      </c>
      <c r="M759">
        <f>VLOOKUP(H759,'Stage Order'!$A$2:$B$8,2,FALSE)</f>
        <v>2</v>
      </c>
      <c r="N759" t="str">
        <f t="shared" si="22"/>
        <v>2. 1-24 hours</v>
      </c>
      <c r="O759" t="str">
        <f t="shared" si="23"/>
        <v>2026-01</v>
      </c>
    </row>
    <row r="760" spans="1:15" x14ac:dyDescent="0.3">
      <c r="A760" t="s">
        <v>1839</v>
      </c>
      <c r="B760" t="s">
        <v>1840</v>
      </c>
      <c r="C760" t="s">
        <v>28</v>
      </c>
      <c r="D760" t="s">
        <v>77</v>
      </c>
      <c r="E760" t="s">
        <v>30</v>
      </c>
      <c r="F760" t="s">
        <v>31</v>
      </c>
      <c r="G760">
        <v>0.28000000000000003</v>
      </c>
      <c r="H760" t="s">
        <v>41</v>
      </c>
      <c r="I760" t="s">
        <v>42</v>
      </c>
      <c r="M760">
        <f>VLOOKUP(H760,'Stage Order'!$A$2:$B$8,2,FALSE)</f>
        <v>2</v>
      </c>
      <c r="N760" t="str">
        <f t="shared" si="22"/>
        <v>1. Under 1 hour</v>
      </c>
      <c r="O760" t="str">
        <f t="shared" si="23"/>
        <v>2025-09</v>
      </c>
    </row>
    <row r="761" spans="1:15" x14ac:dyDescent="0.3">
      <c r="A761" t="s">
        <v>1841</v>
      </c>
      <c r="B761" t="s">
        <v>1842</v>
      </c>
      <c r="C761" t="s">
        <v>37</v>
      </c>
      <c r="D761" t="s">
        <v>38</v>
      </c>
      <c r="E761" t="s">
        <v>90</v>
      </c>
      <c r="F761" t="s">
        <v>112</v>
      </c>
      <c r="G761">
        <v>1.52</v>
      </c>
      <c r="H761" t="s">
        <v>41</v>
      </c>
      <c r="I761" t="s">
        <v>42</v>
      </c>
      <c r="M761">
        <f>VLOOKUP(H761,'Stage Order'!$A$2:$B$8,2,FALSE)</f>
        <v>2</v>
      </c>
      <c r="N761" t="str">
        <f t="shared" si="22"/>
        <v>2. 1-24 hours</v>
      </c>
      <c r="O761" t="str">
        <f t="shared" si="23"/>
        <v>2025-03</v>
      </c>
    </row>
    <row r="762" spans="1:15" x14ac:dyDescent="0.3">
      <c r="A762" t="s">
        <v>1843</v>
      </c>
      <c r="B762" t="s">
        <v>1844</v>
      </c>
      <c r="C762" t="s">
        <v>58</v>
      </c>
      <c r="D762" t="s">
        <v>77</v>
      </c>
      <c r="E762" t="s">
        <v>59</v>
      </c>
      <c r="F762" t="s">
        <v>117</v>
      </c>
      <c r="G762">
        <v>0.56000000000000005</v>
      </c>
      <c r="H762" t="s">
        <v>41</v>
      </c>
      <c r="I762" t="s">
        <v>42</v>
      </c>
      <c r="M762">
        <f>VLOOKUP(H762,'Stage Order'!$A$2:$B$8,2,FALSE)</f>
        <v>2</v>
      </c>
      <c r="N762" t="str">
        <f t="shared" si="22"/>
        <v>1. Under 1 hour</v>
      </c>
      <c r="O762" t="str">
        <f t="shared" si="23"/>
        <v>2026-01</v>
      </c>
    </row>
    <row r="763" spans="1:15" x14ac:dyDescent="0.3">
      <c r="A763" t="s">
        <v>1845</v>
      </c>
      <c r="B763" t="s">
        <v>1846</v>
      </c>
      <c r="C763" t="s">
        <v>76</v>
      </c>
      <c r="D763" t="s">
        <v>38</v>
      </c>
      <c r="E763" t="s">
        <v>39</v>
      </c>
      <c r="F763" t="s">
        <v>40</v>
      </c>
      <c r="G763">
        <v>0.65</v>
      </c>
      <c r="H763" t="s">
        <v>41</v>
      </c>
      <c r="I763" t="s">
        <v>42</v>
      </c>
      <c r="M763">
        <f>VLOOKUP(H763,'Stage Order'!$A$2:$B$8,2,FALSE)</f>
        <v>2</v>
      </c>
      <c r="N763" t="str">
        <f t="shared" si="22"/>
        <v>1. Under 1 hour</v>
      </c>
      <c r="O763" t="str">
        <f t="shared" si="23"/>
        <v>2025-03</v>
      </c>
    </row>
    <row r="764" spans="1:15" x14ac:dyDescent="0.3">
      <c r="A764" t="s">
        <v>1847</v>
      </c>
      <c r="B764" t="s">
        <v>1848</v>
      </c>
      <c r="C764" t="s">
        <v>58</v>
      </c>
      <c r="D764" t="s">
        <v>54</v>
      </c>
      <c r="E764" t="s">
        <v>59</v>
      </c>
      <c r="F764" t="s">
        <v>117</v>
      </c>
      <c r="G764">
        <v>2.59</v>
      </c>
      <c r="H764" t="s">
        <v>41</v>
      </c>
      <c r="I764" t="s">
        <v>42</v>
      </c>
      <c r="M764">
        <f>VLOOKUP(H764,'Stage Order'!$A$2:$B$8,2,FALSE)</f>
        <v>2</v>
      </c>
      <c r="N764" t="str">
        <f t="shared" si="22"/>
        <v>2. 1-24 hours</v>
      </c>
      <c r="O764" t="str">
        <f t="shared" si="23"/>
        <v>2026-05</v>
      </c>
    </row>
    <row r="765" spans="1:15" x14ac:dyDescent="0.3">
      <c r="A765" t="s">
        <v>1849</v>
      </c>
      <c r="B765" t="s">
        <v>1850</v>
      </c>
      <c r="C765" t="s">
        <v>125</v>
      </c>
      <c r="D765" t="s">
        <v>29</v>
      </c>
      <c r="E765" t="s">
        <v>59</v>
      </c>
      <c r="F765" t="s">
        <v>137</v>
      </c>
      <c r="G765">
        <v>2.63</v>
      </c>
      <c r="H765" t="s">
        <v>61</v>
      </c>
      <c r="I765" t="s">
        <v>42</v>
      </c>
      <c r="M765">
        <f>VLOOKUP(H765,'Stage Order'!$A$2:$B$8,2,FALSE)</f>
        <v>1</v>
      </c>
      <c r="N765" t="str">
        <f t="shared" si="22"/>
        <v>2. 1-24 hours</v>
      </c>
      <c r="O765" t="str">
        <f t="shared" si="23"/>
        <v>2025-01</v>
      </c>
    </row>
    <row r="766" spans="1:15" x14ac:dyDescent="0.3">
      <c r="A766" t="s">
        <v>1851</v>
      </c>
      <c r="B766" t="s">
        <v>1852</v>
      </c>
      <c r="C766" t="s">
        <v>125</v>
      </c>
      <c r="D766" t="s">
        <v>54</v>
      </c>
      <c r="E766" t="s">
        <v>59</v>
      </c>
      <c r="F766" t="s">
        <v>60</v>
      </c>
      <c r="G766">
        <v>0.76</v>
      </c>
      <c r="H766" t="s">
        <v>41</v>
      </c>
      <c r="I766" t="s">
        <v>42</v>
      </c>
      <c r="M766">
        <f>VLOOKUP(H766,'Stage Order'!$A$2:$B$8,2,FALSE)</f>
        <v>2</v>
      </c>
      <c r="N766" t="str">
        <f t="shared" si="22"/>
        <v>1. Under 1 hour</v>
      </c>
      <c r="O766" t="str">
        <f t="shared" si="23"/>
        <v>2026-03</v>
      </c>
    </row>
    <row r="767" spans="1:15" x14ac:dyDescent="0.3">
      <c r="A767" t="s">
        <v>1853</v>
      </c>
      <c r="B767" t="s">
        <v>1854</v>
      </c>
      <c r="C767" t="s">
        <v>58</v>
      </c>
      <c r="D767" t="s">
        <v>29</v>
      </c>
      <c r="E767" t="s">
        <v>39</v>
      </c>
      <c r="F767" t="s">
        <v>106</v>
      </c>
      <c r="G767">
        <v>3.53</v>
      </c>
      <c r="H767" t="s">
        <v>146</v>
      </c>
      <c r="I767" t="s">
        <v>48</v>
      </c>
      <c r="J767" t="s">
        <v>742</v>
      </c>
      <c r="K767">
        <v>762.15</v>
      </c>
      <c r="L767" t="s">
        <v>1855</v>
      </c>
      <c r="M767">
        <f>VLOOKUP(H767,'Stage Order'!$A$2:$B$8,2,FALSE)</f>
        <v>5</v>
      </c>
      <c r="N767" t="str">
        <f t="shared" si="22"/>
        <v>2. 1-24 hours</v>
      </c>
      <c r="O767" t="str">
        <f t="shared" si="23"/>
        <v>2025-12</v>
      </c>
    </row>
    <row r="768" spans="1:15" x14ac:dyDescent="0.3">
      <c r="A768" t="s">
        <v>1856</v>
      </c>
      <c r="B768" t="s">
        <v>1857</v>
      </c>
      <c r="C768" t="s">
        <v>76</v>
      </c>
      <c r="D768" t="s">
        <v>54</v>
      </c>
      <c r="E768" t="s">
        <v>45</v>
      </c>
      <c r="F768" t="s">
        <v>46</v>
      </c>
      <c r="G768">
        <v>3.29</v>
      </c>
      <c r="H768" t="s">
        <v>41</v>
      </c>
      <c r="I768" t="s">
        <v>42</v>
      </c>
      <c r="M768">
        <f>VLOOKUP(H768,'Stage Order'!$A$2:$B$8,2,FALSE)</f>
        <v>2</v>
      </c>
      <c r="N768" t="str">
        <f t="shared" si="22"/>
        <v>2. 1-24 hours</v>
      </c>
      <c r="O768" t="str">
        <f t="shared" si="23"/>
        <v>2025-11</v>
      </c>
    </row>
    <row r="769" spans="1:15" x14ac:dyDescent="0.3">
      <c r="A769" t="s">
        <v>1858</v>
      </c>
      <c r="B769" t="s">
        <v>1859</v>
      </c>
      <c r="C769" t="s">
        <v>37</v>
      </c>
      <c r="D769" t="s">
        <v>97</v>
      </c>
      <c r="E769" t="s">
        <v>39</v>
      </c>
      <c r="F769" t="s">
        <v>66</v>
      </c>
      <c r="G769">
        <v>4.57</v>
      </c>
      <c r="H769" t="s">
        <v>128</v>
      </c>
      <c r="I769" t="s">
        <v>42</v>
      </c>
      <c r="M769">
        <f>VLOOKUP(H769,'Stage Order'!$A$2:$B$8,2,FALSE)</f>
        <v>3</v>
      </c>
      <c r="N769" t="str">
        <f t="shared" si="22"/>
        <v>2. 1-24 hours</v>
      </c>
      <c r="O769" t="str">
        <f t="shared" si="23"/>
        <v>2025-01</v>
      </c>
    </row>
    <row r="770" spans="1:15" x14ac:dyDescent="0.3">
      <c r="A770" t="s">
        <v>1860</v>
      </c>
      <c r="B770" t="s">
        <v>1861</v>
      </c>
      <c r="C770" t="s">
        <v>58</v>
      </c>
      <c r="D770" t="s">
        <v>77</v>
      </c>
      <c r="E770" t="s">
        <v>30</v>
      </c>
      <c r="F770" t="s">
        <v>82</v>
      </c>
      <c r="G770">
        <v>12.32</v>
      </c>
      <c r="H770" t="s">
        <v>41</v>
      </c>
      <c r="I770" t="s">
        <v>42</v>
      </c>
      <c r="M770">
        <f>VLOOKUP(H770,'Stage Order'!$A$2:$B$8,2,FALSE)</f>
        <v>2</v>
      </c>
      <c r="N770" t="str">
        <f t="shared" ref="N770:N833" si="24">IF(G770&lt;=1,"1. Under 1 hour",IF(G770&lt;=24,"2. 1-24 hours",IF(G770&lt;=72,"3. 1-3 days","4. Over 3 days")))</f>
        <v>2. 1-24 hours</v>
      </c>
      <c r="O770" t="str">
        <f t="shared" ref="O770:O833" si="25">TEXT(B770,"YYYY-MM")</f>
        <v>2025-06</v>
      </c>
    </row>
    <row r="771" spans="1:15" x14ac:dyDescent="0.3">
      <c r="A771" t="s">
        <v>1862</v>
      </c>
      <c r="B771" t="s">
        <v>1863</v>
      </c>
      <c r="C771" t="s">
        <v>76</v>
      </c>
      <c r="D771" t="s">
        <v>77</v>
      </c>
      <c r="E771" t="s">
        <v>45</v>
      </c>
      <c r="F771" t="s">
        <v>46</v>
      </c>
      <c r="G771">
        <v>6.91</v>
      </c>
      <c r="H771" t="s">
        <v>41</v>
      </c>
      <c r="I771" t="s">
        <v>42</v>
      </c>
      <c r="M771">
        <f>VLOOKUP(H771,'Stage Order'!$A$2:$B$8,2,FALSE)</f>
        <v>2</v>
      </c>
      <c r="N771" t="str">
        <f t="shared" si="24"/>
        <v>2. 1-24 hours</v>
      </c>
      <c r="O771" t="str">
        <f t="shared" si="25"/>
        <v>2025-01</v>
      </c>
    </row>
    <row r="772" spans="1:15" x14ac:dyDescent="0.3">
      <c r="A772" t="s">
        <v>1864</v>
      </c>
      <c r="B772" t="s">
        <v>1865</v>
      </c>
      <c r="C772" t="s">
        <v>81</v>
      </c>
      <c r="D772" t="s">
        <v>54</v>
      </c>
      <c r="E772" t="s">
        <v>45</v>
      </c>
      <c r="F772" t="s">
        <v>46</v>
      </c>
      <c r="G772">
        <v>0.73</v>
      </c>
      <c r="H772" t="s">
        <v>61</v>
      </c>
      <c r="I772" t="s">
        <v>42</v>
      </c>
      <c r="M772">
        <f>VLOOKUP(H772,'Stage Order'!$A$2:$B$8,2,FALSE)</f>
        <v>1</v>
      </c>
      <c r="N772" t="str">
        <f t="shared" si="24"/>
        <v>1. Under 1 hour</v>
      </c>
      <c r="O772" t="str">
        <f t="shared" si="25"/>
        <v>2025-12</v>
      </c>
    </row>
    <row r="773" spans="1:15" x14ac:dyDescent="0.3">
      <c r="A773" t="s">
        <v>1866</v>
      </c>
      <c r="B773" t="s">
        <v>1867</v>
      </c>
      <c r="C773" t="s">
        <v>125</v>
      </c>
      <c r="D773" t="s">
        <v>54</v>
      </c>
      <c r="E773" t="s">
        <v>39</v>
      </c>
      <c r="F773" t="s">
        <v>66</v>
      </c>
      <c r="G773">
        <v>1.44</v>
      </c>
      <c r="H773" t="s">
        <v>41</v>
      </c>
      <c r="I773" t="s">
        <v>42</v>
      </c>
      <c r="M773">
        <f>VLOOKUP(H773,'Stage Order'!$A$2:$B$8,2,FALSE)</f>
        <v>2</v>
      </c>
      <c r="N773" t="str">
        <f t="shared" si="24"/>
        <v>2. 1-24 hours</v>
      </c>
      <c r="O773" t="str">
        <f t="shared" si="25"/>
        <v>2025-04</v>
      </c>
    </row>
    <row r="774" spans="1:15" x14ac:dyDescent="0.3">
      <c r="A774" t="s">
        <v>1868</v>
      </c>
      <c r="B774" t="s">
        <v>1869</v>
      </c>
      <c r="C774" t="s">
        <v>125</v>
      </c>
      <c r="D774" t="s">
        <v>97</v>
      </c>
      <c r="E774" t="s">
        <v>39</v>
      </c>
      <c r="F774" t="s">
        <v>106</v>
      </c>
      <c r="G774">
        <v>6.29</v>
      </c>
      <c r="H774" t="s">
        <v>47</v>
      </c>
      <c r="I774" t="s">
        <v>48</v>
      </c>
      <c r="J774" t="s">
        <v>98</v>
      </c>
      <c r="K774">
        <v>1528.76</v>
      </c>
      <c r="L774" t="s">
        <v>1870</v>
      </c>
      <c r="M774">
        <f>VLOOKUP(H774,'Stage Order'!$A$2:$B$8,2,FALSE)</f>
        <v>4</v>
      </c>
      <c r="N774" t="str">
        <f t="shared" si="24"/>
        <v>2. 1-24 hours</v>
      </c>
      <c r="O774" t="str">
        <f t="shared" si="25"/>
        <v>2025-01</v>
      </c>
    </row>
    <row r="775" spans="1:15" x14ac:dyDescent="0.3">
      <c r="A775" t="s">
        <v>1871</v>
      </c>
      <c r="B775" t="s">
        <v>1872</v>
      </c>
      <c r="C775" t="s">
        <v>58</v>
      </c>
      <c r="D775" t="s">
        <v>54</v>
      </c>
      <c r="E775" t="s">
        <v>45</v>
      </c>
      <c r="F775" t="s">
        <v>46</v>
      </c>
      <c r="G775">
        <v>3.44</v>
      </c>
      <c r="H775" t="s">
        <v>61</v>
      </c>
      <c r="I775" t="s">
        <v>42</v>
      </c>
      <c r="M775">
        <f>VLOOKUP(H775,'Stage Order'!$A$2:$B$8,2,FALSE)</f>
        <v>1</v>
      </c>
      <c r="N775" t="str">
        <f t="shared" si="24"/>
        <v>2. 1-24 hours</v>
      </c>
      <c r="O775" t="str">
        <f t="shared" si="25"/>
        <v>2026-04</v>
      </c>
    </row>
    <row r="776" spans="1:15" x14ac:dyDescent="0.3">
      <c r="A776" t="s">
        <v>1873</v>
      </c>
      <c r="B776" t="s">
        <v>1874</v>
      </c>
      <c r="C776" t="s">
        <v>125</v>
      </c>
      <c r="D776" t="s">
        <v>77</v>
      </c>
      <c r="E776" t="s">
        <v>30</v>
      </c>
      <c r="F776" t="s">
        <v>31</v>
      </c>
      <c r="G776">
        <v>4.58</v>
      </c>
      <c r="H776" t="s">
        <v>138</v>
      </c>
      <c r="I776" t="s">
        <v>48</v>
      </c>
      <c r="J776" t="s">
        <v>113</v>
      </c>
      <c r="K776">
        <v>1013.04</v>
      </c>
      <c r="L776" t="s">
        <v>1875</v>
      </c>
      <c r="M776">
        <f>VLOOKUP(H776,'Stage Order'!$A$2:$B$8,2,FALSE)</f>
        <v>6</v>
      </c>
      <c r="N776" t="str">
        <f t="shared" si="24"/>
        <v>2. 1-24 hours</v>
      </c>
      <c r="O776" t="str">
        <f t="shared" si="25"/>
        <v>2025-09</v>
      </c>
    </row>
    <row r="777" spans="1:15" x14ac:dyDescent="0.3">
      <c r="A777" t="s">
        <v>1876</v>
      </c>
      <c r="B777" t="s">
        <v>1877</v>
      </c>
      <c r="C777" t="s">
        <v>125</v>
      </c>
      <c r="D777" t="s">
        <v>54</v>
      </c>
      <c r="E777" t="s">
        <v>45</v>
      </c>
      <c r="F777" t="s">
        <v>55</v>
      </c>
      <c r="G777">
        <v>1.41</v>
      </c>
      <c r="H777" t="s">
        <v>61</v>
      </c>
      <c r="I777" t="s">
        <v>42</v>
      </c>
      <c r="M777">
        <f>VLOOKUP(H777,'Stage Order'!$A$2:$B$8,2,FALSE)</f>
        <v>1</v>
      </c>
      <c r="N777" t="str">
        <f t="shared" si="24"/>
        <v>2. 1-24 hours</v>
      </c>
      <c r="O777" t="str">
        <f t="shared" si="25"/>
        <v>2025-12</v>
      </c>
    </row>
    <row r="778" spans="1:15" x14ac:dyDescent="0.3">
      <c r="A778" t="s">
        <v>1878</v>
      </c>
      <c r="B778" t="s">
        <v>1879</v>
      </c>
      <c r="C778" t="s">
        <v>37</v>
      </c>
      <c r="D778" t="s">
        <v>29</v>
      </c>
      <c r="E778" t="s">
        <v>59</v>
      </c>
      <c r="F778" t="s">
        <v>60</v>
      </c>
      <c r="G778">
        <v>3.91</v>
      </c>
      <c r="H778" t="s">
        <v>41</v>
      </c>
      <c r="I778" t="s">
        <v>42</v>
      </c>
      <c r="M778">
        <f>VLOOKUP(H778,'Stage Order'!$A$2:$B$8,2,FALSE)</f>
        <v>2</v>
      </c>
      <c r="N778" t="str">
        <f t="shared" si="24"/>
        <v>2. 1-24 hours</v>
      </c>
      <c r="O778" t="str">
        <f t="shared" si="25"/>
        <v>2025-11</v>
      </c>
    </row>
    <row r="779" spans="1:15" x14ac:dyDescent="0.3">
      <c r="A779" t="s">
        <v>1880</v>
      </c>
      <c r="B779" t="s">
        <v>1881</v>
      </c>
      <c r="C779" t="s">
        <v>81</v>
      </c>
      <c r="D779" t="s">
        <v>29</v>
      </c>
      <c r="E779" t="s">
        <v>30</v>
      </c>
      <c r="F779" t="s">
        <v>78</v>
      </c>
      <c r="G779">
        <v>10.38</v>
      </c>
      <c r="H779" t="s">
        <v>128</v>
      </c>
      <c r="I779" t="s">
        <v>42</v>
      </c>
      <c r="M779">
        <f>VLOOKUP(H779,'Stage Order'!$A$2:$B$8,2,FALSE)</f>
        <v>3</v>
      </c>
      <c r="N779" t="str">
        <f t="shared" si="24"/>
        <v>2. 1-24 hours</v>
      </c>
      <c r="O779" t="str">
        <f t="shared" si="25"/>
        <v>2025-08</v>
      </c>
    </row>
    <row r="780" spans="1:15" x14ac:dyDescent="0.3">
      <c r="A780" t="s">
        <v>1882</v>
      </c>
      <c r="B780" t="s">
        <v>1883</v>
      </c>
      <c r="C780" t="s">
        <v>125</v>
      </c>
      <c r="D780" t="s">
        <v>38</v>
      </c>
      <c r="E780" t="s">
        <v>59</v>
      </c>
      <c r="F780" t="s">
        <v>137</v>
      </c>
      <c r="G780">
        <v>5.28</v>
      </c>
      <c r="H780" t="s">
        <v>61</v>
      </c>
      <c r="I780" t="s">
        <v>42</v>
      </c>
      <c r="M780">
        <f>VLOOKUP(H780,'Stage Order'!$A$2:$B$8,2,FALSE)</f>
        <v>1</v>
      </c>
      <c r="N780" t="str">
        <f t="shared" si="24"/>
        <v>2. 1-24 hours</v>
      </c>
      <c r="O780" t="str">
        <f t="shared" si="25"/>
        <v>2025-08</v>
      </c>
    </row>
    <row r="781" spans="1:15" x14ac:dyDescent="0.3">
      <c r="A781" t="s">
        <v>1884</v>
      </c>
      <c r="B781" t="s">
        <v>1885</v>
      </c>
      <c r="C781" t="s">
        <v>125</v>
      </c>
      <c r="D781" t="s">
        <v>77</v>
      </c>
      <c r="E781" t="s">
        <v>45</v>
      </c>
      <c r="F781" t="s">
        <v>94</v>
      </c>
      <c r="G781">
        <v>1.1000000000000001</v>
      </c>
      <c r="H781" t="s">
        <v>41</v>
      </c>
      <c r="I781" t="s">
        <v>42</v>
      </c>
      <c r="M781">
        <f>VLOOKUP(H781,'Stage Order'!$A$2:$B$8,2,FALSE)</f>
        <v>2</v>
      </c>
      <c r="N781" t="str">
        <f t="shared" si="24"/>
        <v>2. 1-24 hours</v>
      </c>
      <c r="O781" t="str">
        <f t="shared" si="25"/>
        <v>2025-04</v>
      </c>
    </row>
    <row r="782" spans="1:15" x14ac:dyDescent="0.3">
      <c r="A782" t="s">
        <v>1886</v>
      </c>
      <c r="B782" t="s">
        <v>1887</v>
      </c>
      <c r="C782" t="s">
        <v>37</v>
      </c>
      <c r="D782" t="s">
        <v>29</v>
      </c>
      <c r="E782" t="s">
        <v>45</v>
      </c>
      <c r="F782" t="s">
        <v>94</v>
      </c>
      <c r="G782">
        <v>1.49</v>
      </c>
      <c r="H782" t="s">
        <v>32</v>
      </c>
      <c r="I782" t="s">
        <v>33</v>
      </c>
      <c r="K782">
        <v>639.64</v>
      </c>
      <c r="L782" t="s">
        <v>1888</v>
      </c>
      <c r="M782">
        <f>VLOOKUP(H782,'Stage Order'!$A$2:$B$8,2,FALSE)</f>
        <v>7</v>
      </c>
      <c r="N782" t="str">
        <f t="shared" si="24"/>
        <v>2. 1-24 hours</v>
      </c>
      <c r="O782" t="str">
        <f t="shared" si="25"/>
        <v>2025-09</v>
      </c>
    </row>
    <row r="783" spans="1:15" x14ac:dyDescent="0.3">
      <c r="A783" t="s">
        <v>1889</v>
      </c>
      <c r="B783" t="s">
        <v>1890</v>
      </c>
      <c r="C783" t="s">
        <v>37</v>
      </c>
      <c r="D783" t="s">
        <v>29</v>
      </c>
      <c r="E783" t="s">
        <v>39</v>
      </c>
      <c r="F783" t="s">
        <v>66</v>
      </c>
      <c r="G783">
        <v>12.54</v>
      </c>
      <c r="H783" t="s">
        <v>47</v>
      </c>
      <c r="I783" t="s">
        <v>48</v>
      </c>
      <c r="J783" t="s">
        <v>113</v>
      </c>
      <c r="K783">
        <v>623.49</v>
      </c>
      <c r="L783" t="s">
        <v>1891</v>
      </c>
      <c r="M783">
        <f>VLOOKUP(H783,'Stage Order'!$A$2:$B$8,2,FALSE)</f>
        <v>4</v>
      </c>
      <c r="N783" t="str">
        <f t="shared" si="24"/>
        <v>2. 1-24 hours</v>
      </c>
      <c r="O783" t="str">
        <f t="shared" si="25"/>
        <v>2025-04</v>
      </c>
    </row>
    <row r="784" spans="1:15" x14ac:dyDescent="0.3">
      <c r="A784" t="s">
        <v>1892</v>
      </c>
      <c r="B784" t="s">
        <v>1893</v>
      </c>
      <c r="C784" t="s">
        <v>58</v>
      </c>
      <c r="D784" t="s">
        <v>54</v>
      </c>
      <c r="E784" t="s">
        <v>45</v>
      </c>
      <c r="F784" t="s">
        <v>94</v>
      </c>
      <c r="G784">
        <v>5.08</v>
      </c>
      <c r="H784" t="s">
        <v>61</v>
      </c>
      <c r="I784" t="s">
        <v>42</v>
      </c>
      <c r="M784">
        <f>VLOOKUP(H784,'Stage Order'!$A$2:$B$8,2,FALSE)</f>
        <v>1</v>
      </c>
      <c r="N784" t="str">
        <f t="shared" si="24"/>
        <v>2. 1-24 hours</v>
      </c>
      <c r="O784" t="str">
        <f t="shared" si="25"/>
        <v>2026-05</v>
      </c>
    </row>
    <row r="785" spans="1:15" x14ac:dyDescent="0.3">
      <c r="A785" t="s">
        <v>1894</v>
      </c>
      <c r="B785" t="s">
        <v>1895</v>
      </c>
      <c r="C785" t="s">
        <v>58</v>
      </c>
      <c r="D785" t="s">
        <v>54</v>
      </c>
      <c r="E785" t="s">
        <v>39</v>
      </c>
      <c r="F785" t="s">
        <v>40</v>
      </c>
      <c r="G785">
        <v>2.1</v>
      </c>
      <c r="H785" t="s">
        <v>41</v>
      </c>
      <c r="I785" t="s">
        <v>42</v>
      </c>
      <c r="M785">
        <f>VLOOKUP(H785,'Stage Order'!$A$2:$B$8,2,FALSE)</f>
        <v>2</v>
      </c>
      <c r="N785" t="str">
        <f t="shared" si="24"/>
        <v>2. 1-24 hours</v>
      </c>
      <c r="O785" t="str">
        <f t="shared" si="25"/>
        <v>2025-03</v>
      </c>
    </row>
    <row r="786" spans="1:15" x14ac:dyDescent="0.3">
      <c r="A786" t="s">
        <v>1896</v>
      </c>
      <c r="B786" t="s">
        <v>1897</v>
      </c>
      <c r="C786" t="s">
        <v>28</v>
      </c>
      <c r="D786" t="s">
        <v>29</v>
      </c>
      <c r="E786" t="s">
        <v>30</v>
      </c>
      <c r="F786" t="s">
        <v>31</v>
      </c>
      <c r="G786">
        <v>3.34</v>
      </c>
      <c r="H786" t="s">
        <v>138</v>
      </c>
      <c r="I786" t="s">
        <v>48</v>
      </c>
      <c r="J786" t="s">
        <v>139</v>
      </c>
      <c r="K786">
        <v>627.74</v>
      </c>
      <c r="L786" t="s">
        <v>1898</v>
      </c>
      <c r="M786">
        <f>VLOOKUP(H786,'Stage Order'!$A$2:$B$8,2,FALSE)</f>
        <v>6</v>
      </c>
      <c r="N786" t="str">
        <f t="shared" si="24"/>
        <v>2. 1-24 hours</v>
      </c>
      <c r="O786" t="str">
        <f t="shared" si="25"/>
        <v>2025-08</v>
      </c>
    </row>
    <row r="787" spans="1:15" x14ac:dyDescent="0.3">
      <c r="A787" t="s">
        <v>1899</v>
      </c>
      <c r="B787" t="s">
        <v>1900</v>
      </c>
      <c r="C787" t="s">
        <v>28</v>
      </c>
      <c r="D787" t="s">
        <v>54</v>
      </c>
      <c r="E787" t="s">
        <v>45</v>
      </c>
      <c r="F787" t="s">
        <v>55</v>
      </c>
      <c r="G787">
        <v>0.38</v>
      </c>
      <c r="H787" t="s">
        <v>32</v>
      </c>
      <c r="I787" t="s">
        <v>33</v>
      </c>
      <c r="K787">
        <v>560.49</v>
      </c>
      <c r="L787" t="s">
        <v>1901</v>
      </c>
      <c r="M787">
        <f>VLOOKUP(H787,'Stage Order'!$A$2:$B$8,2,FALSE)</f>
        <v>7</v>
      </c>
      <c r="N787" t="str">
        <f t="shared" si="24"/>
        <v>1. Under 1 hour</v>
      </c>
      <c r="O787" t="str">
        <f t="shared" si="25"/>
        <v>2026-01</v>
      </c>
    </row>
    <row r="788" spans="1:15" x14ac:dyDescent="0.3">
      <c r="A788" t="s">
        <v>1902</v>
      </c>
      <c r="B788" t="s">
        <v>1903</v>
      </c>
      <c r="C788" t="s">
        <v>28</v>
      </c>
      <c r="D788" t="s">
        <v>54</v>
      </c>
      <c r="E788" t="s">
        <v>39</v>
      </c>
      <c r="F788" t="s">
        <v>106</v>
      </c>
      <c r="G788">
        <v>3.19</v>
      </c>
      <c r="H788" t="s">
        <v>32</v>
      </c>
      <c r="I788" t="s">
        <v>33</v>
      </c>
      <c r="K788">
        <v>550.6</v>
      </c>
      <c r="L788" t="s">
        <v>1904</v>
      </c>
      <c r="M788">
        <f>VLOOKUP(H788,'Stage Order'!$A$2:$B$8,2,FALSE)</f>
        <v>7</v>
      </c>
      <c r="N788" t="str">
        <f t="shared" si="24"/>
        <v>2. 1-24 hours</v>
      </c>
      <c r="O788" t="str">
        <f t="shared" si="25"/>
        <v>2025-04</v>
      </c>
    </row>
    <row r="789" spans="1:15" x14ac:dyDescent="0.3">
      <c r="A789" t="s">
        <v>1905</v>
      </c>
      <c r="B789" t="s">
        <v>1906</v>
      </c>
      <c r="C789" t="s">
        <v>81</v>
      </c>
      <c r="D789" t="s">
        <v>77</v>
      </c>
      <c r="E789" t="s">
        <v>45</v>
      </c>
      <c r="F789" t="s">
        <v>94</v>
      </c>
      <c r="G789">
        <v>1.55</v>
      </c>
      <c r="H789" t="s">
        <v>41</v>
      </c>
      <c r="I789" t="s">
        <v>42</v>
      </c>
      <c r="M789">
        <f>VLOOKUP(H789,'Stage Order'!$A$2:$B$8,2,FALSE)</f>
        <v>2</v>
      </c>
      <c r="N789" t="str">
        <f t="shared" si="24"/>
        <v>2. 1-24 hours</v>
      </c>
      <c r="O789" t="str">
        <f t="shared" si="25"/>
        <v>2025-03</v>
      </c>
    </row>
    <row r="790" spans="1:15" x14ac:dyDescent="0.3">
      <c r="A790" t="s">
        <v>1907</v>
      </c>
      <c r="B790" t="s">
        <v>1908</v>
      </c>
      <c r="C790" t="s">
        <v>125</v>
      </c>
      <c r="D790" t="s">
        <v>54</v>
      </c>
      <c r="E790" t="s">
        <v>45</v>
      </c>
      <c r="F790" t="s">
        <v>46</v>
      </c>
      <c r="G790">
        <v>3.7</v>
      </c>
      <c r="H790" t="s">
        <v>41</v>
      </c>
      <c r="I790" t="s">
        <v>42</v>
      </c>
      <c r="M790">
        <f>VLOOKUP(H790,'Stage Order'!$A$2:$B$8,2,FALSE)</f>
        <v>2</v>
      </c>
      <c r="N790" t="str">
        <f t="shared" si="24"/>
        <v>2. 1-24 hours</v>
      </c>
      <c r="O790" t="str">
        <f t="shared" si="25"/>
        <v>2025-07</v>
      </c>
    </row>
    <row r="791" spans="1:15" x14ac:dyDescent="0.3">
      <c r="A791" t="s">
        <v>1909</v>
      </c>
      <c r="B791" t="s">
        <v>1910</v>
      </c>
      <c r="C791" t="s">
        <v>37</v>
      </c>
      <c r="D791" t="s">
        <v>38</v>
      </c>
      <c r="E791" t="s">
        <v>45</v>
      </c>
      <c r="F791" t="s">
        <v>55</v>
      </c>
      <c r="G791">
        <v>34.69</v>
      </c>
      <c r="H791" t="s">
        <v>41</v>
      </c>
      <c r="I791" t="s">
        <v>42</v>
      </c>
      <c r="M791">
        <f>VLOOKUP(H791,'Stage Order'!$A$2:$B$8,2,FALSE)</f>
        <v>2</v>
      </c>
      <c r="N791" t="str">
        <f t="shared" si="24"/>
        <v>3. 1-3 days</v>
      </c>
      <c r="O791" t="str">
        <f t="shared" si="25"/>
        <v>2026-01</v>
      </c>
    </row>
    <row r="792" spans="1:15" x14ac:dyDescent="0.3">
      <c r="A792" t="s">
        <v>1911</v>
      </c>
      <c r="B792" t="s">
        <v>1912</v>
      </c>
      <c r="C792" t="s">
        <v>37</v>
      </c>
      <c r="D792" t="s">
        <v>54</v>
      </c>
      <c r="E792" t="s">
        <v>45</v>
      </c>
      <c r="F792" t="s">
        <v>55</v>
      </c>
      <c r="G792">
        <v>4.8600000000000003</v>
      </c>
      <c r="H792" t="s">
        <v>41</v>
      </c>
      <c r="I792" t="s">
        <v>42</v>
      </c>
      <c r="M792">
        <f>VLOOKUP(H792,'Stage Order'!$A$2:$B$8,2,FALSE)</f>
        <v>2</v>
      </c>
      <c r="N792" t="str">
        <f t="shared" si="24"/>
        <v>2. 1-24 hours</v>
      </c>
      <c r="O792" t="str">
        <f t="shared" si="25"/>
        <v>2026-01</v>
      </c>
    </row>
    <row r="793" spans="1:15" x14ac:dyDescent="0.3">
      <c r="A793" t="s">
        <v>1913</v>
      </c>
      <c r="B793" t="s">
        <v>1914</v>
      </c>
      <c r="C793" t="s">
        <v>28</v>
      </c>
      <c r="D793" t="s">
        <v>77</v>
      </c>
      <c r="E793" t="s">
        <v>59</v>
      </c>
      <c r="F793" t="s">
        <v>60</v>
      </c>
      <c r="G793">
        <v>1.1000000000000001</v>
      </c>
      <c r="H793" t="s">
        <v>138</v>
      </c>
      <c r="I793" t="s">
        <v>48</v>
      </c>
      <c r="J793" t="s">
        <v>49</v>
      </c>
      <c r="K793">
        <v>977.54</v>
      </c>
      <c r="L793" t="s">
        <v>1915</v>
      </c>
      <c r="M793">
        <f>VLOOKUP(H793,'Stage Order'!$A$2:$B$8,2,FALSE)</f>
        <v>6</v>
      </c>
      <c r="N793" t="str">
        <f t="shared" si="24"/>
        <v>2. 1-24 hours</v>
      </c>
      <c r="O793" t="str">
        <f t="shared" si="25"/>
        <v>2025-10</v>
      </c>
    </row>
    <row r="794" spans="1:15" x14ac:dyDescent="0.3">
      <c r="A794" t="s">
        <v>1916</v>
      </c>
      <c r="B794" t="s">
        <v>1917</v>
      </c>
      <c r="C794" t="s">
        <v>81</v>
      </c>
      <c r="D794" t="s">
        <v>54</v>
      </c>
      <c r="E794" t="s">
        <v>90</v>
      </c>
      <c r="F794" t="s">
        <v>91</v>
      </c>
      <c r="G794">
        <v>11.75</v>
      </c>
      <c r="H794" t="s">
        <v>61</v>
      </c>
      <c r="I794" t="s">
        <v>42</v>
      </c>
      <c r="M794">
        <f>VLOOKUP(H794,'Stage Order'!$A$2:$B$8,2,FALSE)</f>
        <v>1</v>
      </c>
      <c r="N794" t="str">
        <f t="shared" si="24"/>
        <v>2. 1-24 hours</v>
      </c>
      <c r="O794" t="str">
        <f t="shared" si="25"/>
        <v>2026-04</v>
      </c>
    </row>
    <row r="795" spans="1:15" x14ac:dyDescent="0.3">
      <c r="A795" t="s">
        <v>1918</v>
      </c>
      <c r="B795" t="s">
        <v>1919</v>
      </c>
      <c r="C795" t="s">
        <v>58</v>
      </c>
      <c r="D795" t="s">
        <v>54</v>
      </c>
      <c r="E795" t="s">
        <v>90</v>
      </c>
      <c r="F795" t="s">
        <v>145</v>
      </c>
      <c r="G795">
        <v>7.03</v>
      </c>
      <c r="H795" t="s">
        <v>61</v>
      </c>
      <c r="I795" t="s">
        <v>42</v>
      </c>
      <c r="M795">
        <f>VLOOKUP(H795,'Stage Order'!$A$2:$B$8,2,FALSE)</f>
        <v>1</v>
      </c>
      <c r="N795" t="str">
        <f t="shared" si="24"/>
        <v>2. 1-24 hours</v>
      </c>
      <c r="O795" t="str">
        <f t="shared" si="25"/>
        <v>2025-06</v>
      </c>
    </row>
    <row r="796" spans="1:15" x14ac:dyDescent="0.3">
      <c r="A796" t="s">
        <v>1920</v>
      </c>
      <c r="B796" t="s">
        <v>1921</v>
      </c>
      <c r="C796" t="s">
        <v>37</v>
      </c>
      <c r="D796" t="s">
        <v>29</v>
      </c>
      <c r="E796" t="s">
        <v>90</v>
      </c>
      <c r="F796" t="s">
        <v>91</v>
      </c>
      <c r="G796">
        <v>1.79</v>
      </c>
      <c r="H796" t="s">
        <v>61</v>
      </c>
      <c r="I796" t="s">
        <v>42</v>
      </c>
      <c r="M796">
        <f>VLOOKUP(H796,'Stage Order'!$A$2:$B$8,2,FALSE)</f>
        <v>1</v>
      </c>
      <c r="N796" t="str">
        <f t="shared" si="24"/>
        <v>2. 1-24 hours</v>
      </c>
      <c r="O796" t="str">
        <f t="shared" si="25"/>
        <v>2025-10</v>
      </c>
    </row>
    <row r="797" spans="1:15" x14ac:dyDescent="0.3">
      <c r="A797" t="s">
        <v>1922</v>
      </c>
      <c r="B797" t="s">
        <v>1923</v>
      </c>
      <c r="C797" t="s">
        <v>58</v>
      </c>
      <c r="D797" t="s">
        <v>77</v>
      </c>
      <c r="E797" t="s">
        <v>45</v>
      </c>
      <c r="F797" t="s">
        <v>46</v>
      </c>
      <c r="G797">
        <v>4.75</v>
      </c>
      <c r="H797" t="s">
        <v>146</v>
      </c>
      <c r="I797" t="s">
        <v>48</v>
      </c>
      <c r="J797" t="s">
        <v>139</v>
      </c>
      <c r="K797">
        <v>811.21</v>
      </c>
      <c r="L797" t="s">
        <v>1924</v>
      </c>
      <c r="M797">
        <f>VLOOKUP(H797,'Stage Order'!$A$2:$B$8,2,FALSE)</f>
        <v>5</v>
      </c>
      <c r="N797" t="str">
        <f t="shared" si="24"/>
        <v>2. 1-24 hours</v>
      </c>
      <c r="O797" t="str">
        <f t="shared" si="25"/>
        <v>2025-10</v>
      </c>
    </row>
    <row r="798" spans="1:15" x14ac:dyDescent="0.3">
      <c r="A798" t="s">
        <v>1925</v>
      </c>
      <c r="B798" t="s">
        <v>1926</v>
      </c>
      <c r="C798" t="s">
        <v>28</v>
      </c>
      <c r="D798" t="s">
        <v>38</v>
      </c>
      <c r="E798" t="s">
        <v>45</v>
      </c>
      <c r="F798" t="s">
        <v>46</v>
      </c>
      <c r="G798">
        <v>9.3000000000000007</v>
      </c>
      <c r="H798" t="s">
        <v>32</v>
      </c>
      <c r="I798" t="s">
        <v>33</v>
      </c>
      <c r="K798">
        <v>343.31</v>
      </c>
      <c r="L798" t="s">
        <v>1927</v>
      </c>
      <c r="M798">
        <f>VLOOKUP(H798,'Stage Order'!$A$2:$B$8,2,FALSE)</f>
        <v>7</v>
      </c>
      <c r="N798" t="str">
        <f t="shared" si="24"/>
        <v>2. 1-24 hours</v>
      </c>
      <c r="O798" t="str">
        <f t="shared" si="25"/>
        <v>2025-11</v>
      </c>
    </row>
    <row r="799" spans="1:15" x14ac:dyDescent="0.3">
      <c r="A799" t="s">
        <v>1928</v>
      </c>
      <c r="B799" t="s">
        <v>1929</v>
      </c>
      <c r="C799" t="s">
        <v>53</v>
      </c>
      <c r="D799" t="s">
        <v>54</v>
      </c>
      <c r="E799" t="s">
        <v>45</v>
      </c>
      <c r="F799" t="s">
        <v>46</v>
      </c>
      <c r="G799">
        <v>5.9</v>
      </c>
      <c r="H799" t="s">
        <v>41</v>
      </c>
      <c r="I799" t="s">
        <v>42</v>
      </c>
      <c r="M799">
        <f>VLOOKUP(H799,'Stage Order'!$A$2:$B$8,2,FALSE)</f>
        <v>2</v>
      </c>
      <c r="N799" t="str">
        <f t="shared" si="24"/>
        <v>2. 1-24 hours</v>
      </c>
      <c r="O799" t="str">
        <f t="shared" si="25"/>
        <v>2025-07</v>
      </c>
    </row>
    <row r="800" spans="1:15" x14ac:dyDescent="0.3">
      <c r="A800" t="s">
        <v>1930</v>
      </c>
      <c r="B800" t="s">
        <v>1931</v>
      </c>
      <c r="C800" t="s">
        <v>28</v>
      </c>
      <c r="D800" t="s">
        <v>97</v>
      </c>
      <c r="E800" t="s">
        <v>45</v>
      </c>
      <c r="F800" t="s">
        <v>94</v>
      </c>
      <c r="G800">
        <v>2.15</v>
      </c>
      <c r="H800" t="s">
        <v>41</v>
      </c>
      <c r="I800" t="s">
        <v>42</v>
      </c>
      <c r="M800">
        <f>VLOOKUP(H800,'Stage Order'!$A$2:$B$8,2,FALSE)</f>
        <v>2</v>
      </c>
      <c r="N800" t="str">
        <f t="shared" si="24"/>
        <v>2. 1-24 hours</v>
      </c>
      <c r="O800" t="str">
        <f t="shared" si="25"/>
        <v>2025-08</v>
      </c>
    </row>
    <row r="801" spans="1:15" x14ac:dyDescent="0.3">
      <c r="A801" t="s">
        <v>1932</v>
      </c>
      <c r="B801" t="s">
        <v>1933</v>
      </c>
      <c r="C801" t="s">
        <v>37</v>
      </c>
      <c r="D801" t="s">
        <v>29</v>
      </c>
      <c r="E801" t="s">
        <v>59</v>
      </c>
      <c r="F801" t="s">
        <v>60</v>
      </c>
      <c r="G801">
        <v>4.18</v>
      </c>
      <c r="H801" t="s">
        <v>47</v>
      </c>
      <c r="I801" t="s">
        <v>48</v>
      </c>
      <c r="J801" t="s">
        <v>98</v>
      </c>
      <c r="K801">
        <v>604.44000000000005</v>
      </c>
      <c r="L801" t="s">
        <v>1934</v>
      </c>
      <c r="M801">
        <f>VLOOKUP(H801,'Stage Order'!$A$2:$B$8,2,FALSE)</f>
        <v>4</v>
      </c>
      <c r="N801" t="str">
        <f t="shared" si="24"/>
        <v>2. 1-24 hours</v>
      </c>
      <c r="O801" t="str">
        <f t="shared" si="25"/>
        <v>2025-03</v>
      </c>
    </row>
    <row r="802" spans="1:15" x14ac:dyDescent="0.3">
      <c r="A802" t="s">
        <v>1935</v>
      </c>
      <c r="B802" t="s">
        <v>1936</v>
      </c>
      <c r="C802" t="s">
        <v>76</v>
      </c>
      <c r="D802" t="s">
        <v>54</v>
      </c>
      <c r="E802" t="s">
        <v>90</v>
      </c>
      <c r="F802" t="s">
        <v>91</v>
      </c>
      <c r="G802">
        <v>12.05</v>
      </c>
      <c r="H802" t="s">
        <v>128</v>
      </c>
      <c r="I802" t="s">
        <v>42</v>
      </c>
      <c r="M802">
        <f>VLOOKUP(H802,'Stage Order'!$A$2:$B$8,2,FALSE)</f>
        <v>3</v>
      </c>
      <c r="N802" t="str">
        <f t="shared" si="24"/>
        <v>2. 1-24 hours</v>
      </c>
      <c r="O802" t="str">
        <f t="shared" si="25"/>
        <v>2026-06</v>
      </c>
    </row>
    <row r="803" spans="1:15" x14ac:dyDescent="0.3">
      <c r="A803" t="s">
        <v>1937</v>
      </c>
      <c r="B803" t="s">
        <v>1938</v>
      </c>
      <c r="C803" t="s">
        <v>37</v>
      </c>
      <c r="D803" t="s">
        <v>77</v>
      </c>
      <c r="E803" t="s">
        <v>59</v>
      </c>
      <c r="F803" t="s">
        <v>137</v>
      </c>
      <c r="G803">
        <v>1.8</v>
      </c>
      <c r="H803" t="s">
        <v>128</v>
      </c>
      <c r="I803" t="s">
        <v>42</v>
      </c>
      <c r="M803">
        <f>VLOOKUP(H803,'Stage Order'!$A$2:$B$8,2,FALSE)</f>
        <v>3</v>
      </c>
      <c r="N803" t="str">
        <f t="shared" si="24"/>
        <v>2. 1-24 hours</v>
      </c>
      <c r="O803" t="str">
        <f t="shared" si="25"/>
        <v>2025-08</v>
      </c>
    </row>
    <row r="804" spans="1:15" x14ac:dyDescent="0.3">
      <c r="A804" t="s">
        <v>1939</v>
      </c>
      <c r="B804" t="s">
        <v>1940</v>
      </c>
      <c r="C804" t="s">
        <v>125</v>
      </c>
      <c r="D804" t="s">
        <v>77</v>
      </c>
      <c r="E804" t="s">
        <v>39</v>
      </c>
      <c r="F804" t="s">
        <v>106</v>
      </c>
      <c r="G804">
        <v>1.04</v>
      </c>
      <c r="H804" t="s">
        <v>41</v>
      </c>
      <c r="I804" t="s">
        <v>42</v>
      </c>
      <c r="M804">
        <f>VLOOKUP(H804,'Stage Order'!$A$2:$B$8,2,FALSE)</f>
        <v>2</v>
      </c>
      <c r="N804" t="str">
        <f t="shared" si="24"/>
        <v>2. 1-24 hours</v>
      </c>
      <c r="O804" t="str">
        <f t="shared" si="25"/>
        <v>2025-11</v>
      </c>
    </row>
    <row r="805" spans="1:15" x14ac:dyDescent="0.3">
      <c r="A805" t="s">
        <v>1941</v>
      </c>
      <c r="B805" t="s">
        <v>1942</v>
      </c>
      <c r="C805" t="s">
        <v>125</v>
      </c>
      <c r="D805" t="s">
        <v>54</v>
      </c>
      <c r="E805" t="s">
        <v>39</v>
      </c>
      <c r="F805" t="s">
        <v>40</v>
      </c>
      <c r="G805">
        <v>0.73</v>
      </c>
      <c r="H805" t="s">
        <v>41</v>
      </c>
      <c r="I805" t="s">
        <v>42</v>
      </c>
      <c r="M805">
        <f>VLOOKUP(H805,'Stage Order'!$A$2:$B$8,2,FALSE)</f>
        <v>2</v>
      </c>
      <c r="N805" t="str">
        <f t="shared" si="24"/>
        <v>1. Under 1 hour</v>
      </c>
      <c r="O805" t="str">
        <f t="shared" si="25"/>
        <v>2025-04</v>
      </c>
    </row>
    <row r="806" spans="1:15" x14ac:dyDescent="0.3">
      <c r="A806" t="s">
        <v>1943</v>
      </c>
      <c r="B806" t="s">
        <v>1944</v>
      </c>
      <c r="C806" t="s">
        <v>37</v>
      </c>
      <c r="D806" t="s">
        <v>77</v>
      </c>
      <c r="E806" t="s">
        <v>45</v>
      </c>
      <c r="F806" t="s">
        <v>55</v>
      </c>
      <c r="G806">
        <v>9.75</v>
      </c>
      <c r="H806" t="s">
        <v>138</v>
      </c>
      <c r="I806" t="s">
        <v>48</v>
      </c>
      <c r="J806" t="s">
        <v>113</v>
      </c>
      <c r="K806">
        <v>979.17</v>
      </c>
      <c r="L806" t="s">
        <v>1945</v>
      </c>
      <c r="M806">
        <f>VLOOKUP(H806,'Stage Order'!$A$2:$B$8,2,FALSE)</f>
        <v>6</v>
      </c>
      <c r="N806" t="str">
        <f t="shared" si="24"/>
        <v>2. 1-24 hours</v>
      </c>
      <c r="O806" t="str">
        <f t="shared" si="25"/>
        <v>2025-09</v>
      </c>
    </row>
    <row r="807" spans="1:15" x14ac:dyDescent="0.3">
      <c r="A807" t="s">
        <v>1946</v>
      </c>
      <c r="B807" t="s">
        <v>1947</v>
      </c>
      <c r="C807" t="s">
        <v>125</v>
      </c>
      <c r="D807" t="s">
        <v>77</v>
      </c>
      <c r="E807" t="s">
        <v>39</v>
      </c>
      <c r="F807" t="s">
        <v>106</v>
      </c>
      <c r="G807">
        <v>1.21</v>
      </c>
      <c r="H807" t="s">
        <v>128</v>
      </c>
      <c r="I807" t="s">
        <v>42</v>
      </c>
      <c r="M807">
        <f>VLOOKUP(H807,'Stage Order'!$A$2:$B$8,2,FALSE)</f>
        <v>3</v>
      </c>
      <c r="N807" t="str">
        <f t="shared" si="24"/>
        <v>2. 1-24 hours</v>
      </c>
      <c r="O807" t="str">
        <f t="shared" si="25"/>
        <v>2025-05</v>
      </c>
    </row>
    <row r="808" spans="1:15" x14ac:dyDescent="0.3">
      <c r="A808" t="s">
        <v>1948</v>
      </c>
      <c r="B808" t="s">
        <v>1949</v>
      </c>
      <c r="C808" t="s">
        <v>53</v>
      </c>
      <c r="D808" t="s">
        <v>77</v>
      </c>
      <c r="E808" t="s">
        <v>90</v>
      </c>
      <c r="F808" t="s">
        <v>112</v>
      </c>
      <c r="G808">
        <v>1.5</v>
      </c>
      <c r="H808" t="s">
        <v>41</v>
      </c>
      <c r="I808" t="s">
        <v>42</v>
      </c>
      <c r="M808">
        <f>VLOOKUP(H808,'Stage Order'!$A$2:$B$8,2,FALSE)</f>
        <v>2</v>
      </c>
      <c r="N808" t="str">
        <f t="shared" si="24"/>
        <v>2. 1-24 hours</v>
      </c>
      <c r="O808" t="str">
        <f t="shared" si="25"/>
        <v>2025-03</v>
      </c>
    </row>
    <row r="809" spans="1:15" x14ac:dyDescent="0.3">
      <c r="A809" t="s">
        <v>1950</v>
      </c>
      <c r="B809" t="s">
        <v>1951</v>
      </c>
      <c r="C809" t="s">
        <v>28</v>
      </c>
      <c r="D809" t="s">
        <v>29</v>
      </c>
      <c r="E809" t="s">
        <v>45</v>
      </c>
      <c r="F809" t="s">
        <v>46</v>
      </c>
      <c r="G809">
        <v>3.21</v>
      </c>
      <c r="H809" t="s">
        <v>32</v>
      </c>
      <c r="I809" t="s">
        <v>33</v>
      </c>
      <c r="K809">
        <v>686.53</v>
      </c>
      <c r="L809" t="s">
        <v>1952</v>
      </c>
      <c r="M809">
        <f>VLOOKUP(H809,'Stage Order'!$A$2:$B$8,2,FALSE)</f>
        <v>7</v>
      </c>
      <c r="N809" t="str">
        <f t="shared" si="24"/>
        <v>2. 1-24 hours</v>
      </c>
      <c r="O809" t="str">
        <f t="shared" si="25"/>
        <v>2026-03</v>
      </c>
    </row>
    <row r="810" spans="1:15" x14ac:dyDescent="0.3">
      <c r="A810" t="s">
        <v>1953</v>
      </c>
      <c r="B810" t="s">
        <v>1954</v>
      </c>
      <c r="C810" t="s">
        <v>81</v>
      </c>
      <c r="D810" t="s">
        <v>38</v>
      </c>
      <c r="E810" t="s">
        <v>90</v>
      </c>
      <c r="F810" t="s">
        <v>91</v>
      </c>
      <c r="G810">
        <v>3.47</v>
      </c>
      <c r="H810" t="s">
        <v>41</v>
      </c>
      <c r="I810" t="s">
        <v>42</v>
      </c>
      <c r="M810">
        <f>VLOOKUP(H810,'Stage Order'!$A$2:$B$8,2,FALSE)</f>
        <v>2</v>
      </c>
      <c r="N810" t="str">
        <f t="shared" si="24"/>
        <v>2. 1-24 hours</v>
      </c>
      <c r="O810" t="str">
        <f t="shared" si="25"/>
        <v>2025-01</v>
      </c>
    </row>
    <row r="811" spans="1:15" x14ac:dyDescent="0.3">
      <c r="A811" t="s">
        <v>1955</v>
      </c>
      <c r="B811" t="s">
        <v>1956</v>
      </c>
      <c r="C811" t="s">
        <v>37</v>
      </c>
      <c r="D811" t="s">
        <v>38</v>
      </c>
      <c r="E811" t="s">
        <v>90</v>
      </c>
      <c r="F811" t="s">
        <v>91</v>
      </c>
      <c r="G811">
        <v>12.48</v>
      </c>
      <c r="H811" t="s">
        <v>61</v>
      </c>
      <c r="I811" t="s">
        <v>42</v>
      </c>
      <c r="M811">
        <f>VLOOKUP(H811,'Stage Order'!$A$2:$B$8,2,FALSE)</f>
        <v>1</v>
      </c>
      <c r="N811" t="str">
        <f t="shared" si="24"/>
        <v>2. 1-24 hours</v>
      </c>
      <c r="O811" t="str">
        <f t="shared" si="25"/>
        <v>2025-05</v>
      </c>
    </row>
    <row r="812" spans="1:15" x14ac:dyDescent="0.3">
      <c r="A812" t="s">
        <v>1957</v>
      </c>
      <c r="B812" t="s">
        <v>1958</v>
      </c>
      <c r="C812" t="s">
        <v>58</v>
      </c>
      <c r="D812" t="s">
        <v>29</v>
      </c>
      <c r="E812" t="s">
        <v>39</v>
      </c>
      <c r="F812" t="s">
        <v>66</v>
      </c>
      <c r="G812">
        <v>3.74</v>
      </c>
      <c r="H812" t="s">
        <v>138</v>
      </c>
      <c r="I812" t="s">
        <v>48</v>
      </c>
      <c r="J812" t="s">
        <v>113</v>
      </c>
      <c r="K812">
        <v>629.30999999999995</v>
      </c>
      <c r="L812" t="s">
        <v>1959</v>
      </c>
      <c r="M812">
        <f>VLOOKUP(H812,'Stage Order'!$A$2:$B$8,2,FALSE)</f>
        <v>6</v>
      </c>
      <c r="N812" t="str">
        <f t="shared" si="24"/>
        <v>2. 1-24 hours</v>
      </c>
      <c r="O812" t="str">
        <f t="shared" si="25"/>
        <v>2025-03</v>
      </c>
    </row>
    <row r="813" spans="1:15" x14ac:dyDescent="0.3">
      <c r="A813" t="s">
        <v>1960</v>
      </c>
      <c r="B813" t="s">
        <v>1961</v>
      </c>
      <c r="C813" t="s">
        <v>81</v>
      </c>
      <c r="D813" t="s">
        <v>29</v>
      </c>
      <c r="E813" t="s">
        <v>45</v>
      </c>
      <c r="F813" t="s">
        <v>46</v>
      </c>
      <c r="G813">
        <v>0.79</v>
      </c>
      <c r="H813" t="s">
        <v>61</v>
      </c>
      <c r="I813" t="s">
        <v>42</v>
      </c>
      <c r="M813">
        <f>VLOOKUP(H813,'Stage Order'!$A$2:$B$8,2,FALSE)</f>
        <v>1</v>
      </c>
      <c r="N813" t="str">
        <f t="shared" si="24"/>
        <v>1. Under 1 hour</v>
      </c>
      <c r="O813" t="str">
        <f t="shared" si="25"/>
        <v>2025-02</v>
      </c>
    </row>
    <row r="814" spans="1:15" x14ac:dyDescent="0.3">
      <c r="A814" t="s">
        <v>1962</v>
      </c>
      <c r="B814" t="s">
        <v>1963</v>
      </c>
      <c r="C814" t="s">
        <v>28</v>
      </c>
      <c r="D814" t="s">
        <v>77</v>
      </c>
      <c r="E814" t="s">
        <v>90</v>
      </c>
      <c r="F814" t="s">
        <v>112</v>
      </c>
      <c r="G814">
        <v>1.2</v>
      </c>
      <c r="H814" t="s">
        <v>41</v>
      </c>
      <c r="I814" t="s">
        <v>42</v>
      </c>
      <c r="M814">
        <f>VLOOKUP(H814,'Stage Order'!$A$2:$B$8,2,FALSE)</f>
        <v>2</v>
      </c>
      <c r="N814" t="str">
        <f t="shared" si="24"/>
        <v>2. 1-24 hours</v>
      </c>
      <c r="O814" t="str">
        <f t="shared" si="25"/>
        <v>2026-02</v>
      </c>
    </row>
    <row r="815" spans="1:15" x14ac:dyDescent="0.3">
      <c r="A815" t="s">
        <v>1964</v>
      </c>
      <c r="B815" t="s">
        <v>1965</v>
      </c>
      <c r="C815" t="s">
        <v>76</v>
      </c>
      <c r="D815" t="s">
        <v>54</v>
      </c>
      <c r="E815" t="s">
        <v>90</v>
      </c>
      <c r="F815" t="s">
        <v>91</v>
      </c>
      <c r="G815">
        <v>1.2</v>
      </c>
      <c r="H815" t="s">
        <v>41</v>
      </c>
      <c r="I815" t="s">
        <v>42</v>
      </c>
      <c r="M815">
        <f>VLOOKUP(H815,'Stage Order'!$A$2:$B$8,2,FALSE)</f>
        <v>2</v>
      </c>
      <c r="N815" t="str">
        <f t="shared" si="24"/>
        <v>2. 1-24 hours</v>
      </c>
      <c r="O815" t="str">
        <f t="shared" si="25"/>
        <v>2025-08</v>
      </c>
    </row>
    <row r="816" spans="1:15" x14ac:dyDescent="0.3">
      <c r="A816" t="s">
        <v>1966</v>
      </c>
      <c r="B816" t="s">
        <v>1967</v>
      </c>
      <c r="C816" t="s">
        <v>37</v>
      </c>
      <c r="D816" t="s">
        <v>97</v>
      </c>
      <c r="E816" t="s">
        <v>45</v>
      </c>
      <c r="F816" t="s">
        <v>55</v>
      </c>
      <c r="G816">
        <v>1.45</v>
      </c>
      <c r="H816" t="s">
        <v>32</v>
      </c>
      <c r="I816" t="s">
        <v>33</v>
      </c>
      <c r="K816">
        <v>1585.21</v>
      </c>
      <c r="L816" t="s">
        <v>1968</v>
      </c>
      <c r="M816">
        <f>VLOOKUP(H816,'Stage Order'!$A$2:$B$8,2,FALSE)</f>
        <v>7</v>
      </c>
      <c r="N816" t="str">
        <f t="shared" si="24"/>
        <v>2. 1-24 hours</v>
      </c>
      <c r="O816" t="str">
        <f t="shared" si="25"/>
        <v>2025-01</v>
      </c>
    </row>
    <row r="817" spans="1:15" x14ac:dyDescent="0.3">
      <c r="A817" t="s">
        <v>1969</v>
      </c>
      <c r="B817" t="s">
        <v>1970</v>
      </c>
      <c r="C817" t="s">
        <v>58</v>
      </c>
      <c r="D817" t="s">
        <v>29</v>
      </c>
      <c r="E817" t="s">
        <v>30</v>
      </c>
      <c r="F817" t="s">
        <v>31</v>
      </c>
      <c r="G817">
        <v>2.79</v>
      </c>
      <c r="H817" t="s">
        <v>32</v>
      </c>
      <c r="I817" t="s">
        <v>33</v>
      </c>
      <c r="K817">
        <v>647.99</v>
      </c>
      <c r="L817" t="s">
        <v>1971</v>
      </c>
      <c r="M817">
        <f>VLOOKUP(H817,'Stage Order'!$A$2:$B$8,2,FALSE)</f>
        <v>7</v>
      </c>
      <c r="N817" t="str">
        <f t="shared" si="24"/>
        <v>2. 1-24 hours</v>
      </c>
      <c r="O817" t="str">
        <f t="shared" si="25"/>
        <v>2025-08</v>
      </c>
    </row>
    <row r="818" spans="1:15" x14ac:dyDescent="0.3">
      <c r="A818" t="s">
        <v>1972</v>
      </c>
      <c r="B818" t="s">
        <v>1973</v>
      </c>
      <c r="C818" t="s">
        <v>53</v>
      </c>
      <c r="D818" t="s">
        <v>77</v>
      </c>
      <c r="E818" t="s">
        <v>45</v>
      </c>
      <c r="F818" t="s">
        <v>55</v>
      </c>
      <c r="G818">
        <v>11.95</v>
      </c>
      <c r="H818" t="s">
        <v>32</v>
      </c>
      <c r="I818" t="s">
        <v>33</v>
      </c>
      <c r="K818">
        <v>1006.54</v>
      </c>
      <c r="L818" t="s">
        <v>1974</v>
      </c>
      <c r="M818">
        <f>VLOOKUP(H818,'Stage Order'!$A$2:$B$8,2,FALSE)</f>
        <v>7</v>
      </c>
      <c r="N818" t="str">
        <f t="shared" si="24"/>
        <v>2. 1-24 hours</v>
      </c>
      <c r="O818" t="str">
        <f t="shared" si="25"/>
        <v>2025-07</v>
      </c>
    </row>
    <row r="819" spans="1:15" x14ac:dyDescent="0.3">
      <c r="A819" t="s">
        <v>1975</v>
      </c>
      <c r="B819" t="s">
        <v>1976</v>
      </c>
      <c r="C819" t="s">
        <v>37</v>
      </c>
      <c r="D819" t="s">
        <v>54</v>
      </c>
      <c r="E819" t="s">
        <v>45</v>
      </c>
      <c r="F819" t="s">
        <v>94</v>
      </c>
      <c r="G819">
        <v>2.2400000000000002</v>
      </c>
      <c r="H819" t="s">
        <v>41</v>
      </c>
      <c r="I819" t="s">
        <v>42</v>
      </c>
      <c r="M819">
        <f>VLOOKUP(H819,'Stage Order'!$A$2:$B$8,2,FALSE)</f>
        <v>2</v>
      </c>
      <c r="N819" t="str">
        <f t="shared" si="24"/>
        <v>2. 1-24 hours</v>
      </c>
      <c r="O819" t="str">
        <f t="shared" si="25"/>
        <v>2026-05</v>
      </c>
    </row>
    <row r="820" spans="1:15" x14ac:dyDescent="0.3">
      <c r="A820" t="s">
        <v>1977</v>
      </c>
      <c r="B820" t="s">
        <v>1978</v>
      </c>
      <c r="C820" t="s">
        <v>37</v>
      </c>
      <c r="D820" t="s">
        <v>38</v>
      </c>
      <c r="E820" t="s">
        <v>59</v>
      </c>
      <c r="F820" t="s">
        <v>60</v>
      </c>
      <c r="G820">
        <v>0.46</v>
      </c>
      <c r="H820" t="s">
        <v>41</v>
      </c>
      <c r="I820" t="s">
        <v>42</v>
      </c>
      <c r="M820">
        <f>VLOOKUP(H820,'Stage Order'!$A$2:$B$8,2,FALSE)</f>
        <v>2</v>
      </c>
      <c r="N820" t="str">
        <f t="shared" si="24"/>
        <v>1. Under 1 hour</v>
      </c>
      <c r="O820" t="str">
        <f t="shared" si="25"/>
        <v>2025-11</v>
      </c>
    </row>
    <row r="821" spans="1:15" x14ac:dyDescent="0.3">
      <c r="A821" t="s">
        <v>1979</v>
      </c>
      <c r="B821" t="s">
        <v>1980</v>
      </c>
      <c r="C821" t="s">
        <v>37</v>
      </c>
      <c r="D821" t="s">
        <v>29</v>
      </c>
      <c r="E821" t="s">
        <v>39</v>
      </c>
      <c r="F821" t="s">
        <v>66</v>
      </c>
      <c r="G821">
        <v>6.51</v>
      </c>
      <c r="H821" t="s">
        <v>146</v>
      </c>
      <c r="I821" t="s">
        <v>48</v>
      </c>
      <c r="J821" t="s">
        <v>742</v>
      </c>
      <c r="K821">
        <v>708.08</v>
      </c>
      <c r="L821" t="s">
        <v>1981</v>
      </c>
      <c r="M821">
        <f>VLOOKUP(H821,'Stage Order'!$A$2:$B$8,2,FALSE)</f>
        <v>5</v>
      </c>
      <c r="N821" t="str">
        <f t="shared" si="24"/>
        <v>2. 1-24 hours</v>
      </c>
      <c r="O821" t="str">
        <f t="shared" si="25"/>
        <v>2025-03</v>
      </c>
    </row>
    <row r="822" spans="1:15" x14ac:dyDescent="0.3">
      <c r="A822" t="s">
        <v>1982</v>
      </c>
      <c r="B822" t="s">
        <v>1983</v>
      </c>
      <c r="C822" t="s">
        <v>81</v>
      </c>
      <c r="D822" t="s">
        <v>54</v>
      </c>
      <c r="E822" t="s">
        <v>90</v>
      </c>
      <c r="F822" t="s">
        <v>145</v>
      </c>
      <c r="G822">
        <v>8.93</v>
      </c>
      <c r="H822" t="s">
        <v>61</v>
      </c>
      <c r="I822" t="s">
        <v>42</v>
      </c>
      <c r="M822">
        <f>VLOOKUP(H822,'Stage Order'!$A$2:$B$8,2,FALSE)</f>
        <v>1</v>
      </c>
      <c r="N822" t="str">
        <f t="shared" si="24"/>
        <v>2. 1-24 hours</v>
      </c>
      <c r="O822" t="str">
        <f t="shared" si="25"/>
        <v>2025-08</v>
      </c>
    </row>
    <row r="823" spans="1:15" x14ac:dyDescent="0.3">
      <c r="A823" t="s">
        <v>1984</v>
      </c>
      <c r="B823" t="s">
        <v>1985</v>
      </c>
      <c r="C823" t="s">
        <v>37</v>
      </c>
      <c r="D823" t="s">
        <v>38</v>
      </c>
      <c r="E823" t="s">
        <v>59</v>
      </c>
      <c r="F823" t="s">
        <v>117</v>
      </c>
      <c r="G823">
        <v>3.56</v>
      </c>
      <c r="H823" t="s">
        <v>138</v>
      </c>
      <c r="I823" t="s">
        <v>48</v>
      </c>
      <c r="J823" t="s">
        <v>742</v>
      </c>
      <c r="K823">
        <v>368.78</v>
      </c>
      <c r="L823" t="s">
        <v>1986</v>
      </c>
      <c r="M823">
        <f>VLOOKUP(H823,'Stage Order'!$A$2:$B$8,2,FALSE)</f>
        <v>6</v>
      </c>
      <c r="N823" t="str">
        <f t="shared" si="24"/>
        <v>2. 1-24 hours</v>
      </c>
      <c r="O823" t="str">
        <f t="shared" si="25"/>
        <v>2025-08</v>
      </c>
    </row>
    <row r="824" spans="1:15" x14ac:dyDescent="0.3">
      <c r="A824" t="s">
        <v>1987</v>
      </c>
      <c r="B824" t="s">
        <v>1988</v>
      </c>
      <c r="C824" t="s">
        <v>53</v>
      </c>
      <c r="D824" t="s">
        <v>77</v>
      </c>
      <c r="E824" t="s">
        <v>39</v>
      </c>
      <c r="F824" t="s">
        <v>106</v>
      </c>
      <c r="G824">
        <v>2.2200000000000002</v>
      </c>
      <c r="H824" t="s">
        <v>138</v>
      </c>
      <c r="I824" t="s">
        <v>48</v>
      </c>
      <c r="J824" t="s">
        <v>49</v>
      </c>
      <c r="K824">
        <v>1105.31</v>
      </c>
      <c r="L824" t="s">
        <v>1989</v>
      </c>
      <c r="M824">
        <f>VLOOKUP(H824,'Stage Order'!$A$2:$B$8,2,FALSE)</f>
        <v>6</v>
      </c>
      <c r="N824" t="str">
        <f t="shared" si="24"/>
        <v>2. 1-24 hours</v>
      </c>
      <c r="O824" t="str">
        <f t="shared" si="25"/>
        <v>2025-04</v>
      </c>
    </row>
    <row r="825" spans="1:15" x14ac:dyDescent="0.3">
      <c r="A825" t="s">
        <v>1990</v>
      </c>
      <c r="B825" t="s">
        <v>1991</v>
      </c>
      <c r="C825" t="s">
        <v>125</v>
      </c>
      <c r="D825" t="s">
        <v>97</v>
      </c>
      <c r="E825" t="s">
        <v>39</v>
      </c>
      <c r="F825" t="s">
        <v>106</v>
      </c>
      <c r="G825">
        <v>4.16</v>
      </c>
      <c r="H825" t="s">
        <v>41</v>
      </c>
      <c r="I825" t="s">
        <v>42</v>
      </c>
      <c r="M825">
        <f>VLOOKUP(H825,'Stage Order'!$A$2:$B$8,2,FALSE)</f>
        <v>2</v>
      </c>
      <c r="N825" t="str">
        <f t="shared" si="24"/>
        <v>2. 1-24 hours</v>
      </c>
      <c r="O825" t="str">
        <f t="shared" si="25"/>
        <v>2026-05</v>
      </c>
    </row>
    <row r="826" spans="1:15" x14ac:dyDescent="0.3">
      <c r="A826" t="s">
        <v>1992</v>
      </c>
      <c r="B826" t="s">
        <v>1993</v>
      </c>
      <c r="C826" t="s">
        <v>76</v>
      </c>
      <c r="D826" t="s">
        <v>38</v>
      </c>
      <c r="E826" t="s">
        <v>45</v>
      </c>
      <c r="F826" t="s">
        <v>55</v>
      </c>
      <c r="G826">
        <v>1.02</v>
      </c>
      <c r="H826" t="s">
        <v>138</v>
      </c>
      <c r="I826" t="s">
        <v>48</v>
      </c>
      <c r="J826" t="s">
        <v>742</v>
      </c>
      <c r="K826">
        <v>298.23</v>
      </c>
      <c r="L826" t="s">
        <v>1994</v>
      </c>
      <c r="M826">
        <f>VLOOKUP(H826,'Stage Order'!$A$2:$B$8,2,FALSE)</f>
        <v>6</v>
      </c>
      <c r="N826" t="str">
        <f t="shared" si="24"/>
        <v>2. 1-24 hours</v>
      </c>
      <c r="O826" t="str">
        <f t="shared" si="25"/>
        <v>2026-01</v>
      </c>
    </row>
    <row r="827" spans="1:15" x14ac:dyDescent="0.3">
      <c r="A827" t="s">
        <v>1995</v>
      </c>
      <c r="B827" t="s">
        <v>1996</v>
      </c>
      <c r="C827" t="s">
        <v>37</v>
      </c>
      <c r="D827" t="s">
        <v>29</v>
      </c>
      <c r="E827" t="s">
        <v>45</v>
      </c>
      <c r="F827" t="s">
        <v>94</v>
      </c>
      <c r="G827">
        <v>1.02</v>
      </c>
      <c r="H827" t="s">
        <v>41</v>
      </c>
      <c r="I827" t="s">
        <v>42</v>
      </c>
      <c r="M827">
        <f>VLOOKUP(H827,'Stage Order'!$A$2:$B$8,2,FALSE)</f>
        <v>2</v>
      </c>
      <c r="N827" t="str">
        <f t="shared" si="24"/>
        <v>2. 1-24 hours</v>
      </c>
      <c r="O827" t="str">
        <f t="shared" si="25"/>
        <v>2026-03</v>
      </c>
    </row>
    <row r="828" spans="1:15" x14ac:dyDescent="0.3">
      <c r="A828" t="s">
        <v>1997</v>
      </c>
      <c r="B828" t="s">
        <v>1998</v>
      </c>
      <c r="C828" t="s">
        <v>53</v>
      </c>
      <c r="D828" t="s">
        <v>77</v>
      </c>
      <c r="E828" t="s">
        <v>45</v>
      </c>
      <c r="F828" t="s">
        <v>55</v>
      </c>
      <c r="G828">
        <v>1.28</v>
      </c>
      <c r="H828" t="s">
        <v>41</v>
      </c>
      <c r="I828" t="s">
        <v>42</v>
      </c>
      <c r="M828">
        <f>VLOOKUP(H828,'Stage Order'!$A$2:$B$8,2,FALSE)</f>
        <v>2</v>
      </c>
      <c r="N828" t="str">
        <f t="shared" si="24"/>
        <v>2. 1-24 hours</v>
      </c>
      <c r="O828" t="str">
        <f t="shared" si="25"/>
        <v>2025-09</v>
      </c>
    </row>
    <row r="829" spans="1:15" x14ac:dyDescent="0.3">
      <c r="A829" t="s">
        <v>1999</v>
      </c>
      <c r="B829" t="s">
        <v>2000</v>
      </c>
      <c r="C829" t="s">
        <v>28</v>
      </c>
      <c r="D829" t="s">
        <v>77</v>
      </c>
      <c r="E829" t="s">
        <v>30</v>
      </c>
      <c r="F829" t="s">
        <v>78</v>
      </c>
      <c r="G829">
        <v>2.77</v>
      </c>
      <c r="H829" t="s">
        <v>41</v>
      </c>
      <c r="I829" t="s">
        <v>42</v>
      </c>
      <c r="M829">
        <f>VLOOKUP(H829,'Stage Order'!$A$2:$B$8,2,FALSE)</f>
        <v>2</v>
      </c>
      <c r="N829" t="str">
        <f t="shared" si="24"/>
        <v>2. 1-24 hours</v>
      </c>
      <c r="O829" t="str">
        <f t="shared" si="25"/>
        <v>2025-08</v>
      </c>
    </row>
    <row r="830" spans="1:15" x14ac:dyDescent="0.3">
      <c r="A830" t="s">
        <v>2001</v>
      </c>
      <c r="B830" t="s">
        <v>2002</v>
      </c>
      <c r="C830" t="s">
        <v>53</v>
      </c>
      <c r="D830" t="s">
        <v>97</v>
      </c>
      <c r="E830" t="s">
        <v>45</v>
      </c>
      <c r="F830" t="s">
        <v>46</v>
      </c>
      <c r="G830">
        <v>0.55000000000000004</v>
      </c>
      <c r="H830" t="s">
        <v>41</v>
      </c>
      <c r="I830" t="s">
        <v>42</v>
      </c>
      <c r="M830">
        <f>VLOOKUP(H830,'Stage Order'!$A$2:$B$8,2,FALSE)</f>
        <v>2</v>
      </c>
      <c r="N830" t="str">
        <f t="shared" si="24"/>
        <v>1. Under 1 hour</v>
      </c>
      <c r="O830" t="str">
        <f t="shared" si="25"/>
        <v>2025-04</v>
      </c>
    </row>
    <row r="831" spans="1:15" x14ac:dyDescent="0.3">
      <c r="A831" t="s">
        <v>2003</v>
      </c>
      <c r="B831" t="s">
        <v>2004</v>
      </c>
      <c r="C831" t="s">
        <v>28</v>
      </c>
      <c r="D831" t="s">
        <v>54</v>
      </c>
      <c r="E831" t="s">
        <v>59</v>
      </c>
      <c r="F831" t="s">
        <v>137</v>
      </c>
      <c r="G831">
        <v>5.23</v>
      </c>
      <c r="H831" t="s">
        <v>32</v>
      </c>
      <c r="I831" t="s">
        <v>33</v>
      </c>
      <c r="K831">
        <v>565.11</v>
      </c>
      <c r="L831" t="s">
        <v>2005</v>
      </c>
      <c r="M831">
        <f>VLOOKUP(H831,'Stage Order'!$A$2:$B$8,2,FALSE)</f>
        <v>7</v>
      </c>
      <c r="N831" t="str">
        <f t="shared" si="24"/>
        <v>2. 1-24 hours</v>
      </c>
      <c r="O831" t="str">
        <f t="shared" si="25"/>
        <v>2025-08</v>
      </c>
    </row>
    <row r="832" spans="1:15" x14ac:dyDescent="0.3">
      <c r="A832" t="s">
        <v>2006</v>
      </c>
      <c r="B832" t="s">
        <v>2007</v>
      </c>
      <c r="C832" t="s">
        <v>81</v>
      </c>
      <c r="D832" t="s">
        <v>29</v>
      </c>
      <c r="E832" t="s">
        <v>59</v>
      </c>
      <c r="F832" t="s">
        <v>117</v>
      </c>
      <c r="G832">
        <v>2.0699999999999998</v>
      </c>
      <c r="H832" t="s">
        <v>41</v>
      </c>
      <c r="I832" t="s">
        <v>42</v>
      </c>
      <c r="M832">
        <f>VLOOKUP(H832,'Stage Order'!$A$2:$B$8,2,FALSE)</f>
        <v>2</v>
      </c>
      <c r="N832" t="str">
        <f t="shared" si="24"/>
        <v>2. 1-24 hours</v>
      </c>
      <c r="O832" t="str">
        <f t="shared" si="25"/>
        <v>2025-02</v>
      </c>
    </row>
    <row r="833" spans="1:15" x14ac:dyDescent="0.3">
      <c r="A833" t="s">
        <v>2008</v>
      </c>
      <c r="B833" t="s">
        <v>2009</v>
      </c>
      <c r="C833" t="s">
        <v>125</v>
      </c>
      <c r="D833" t="s">
        <v>38</v>
      </c>
      <c r="E833" t="s">
        <v>30</v>
      </c>
      <c r="F833" t="s">
        <v>31</v>
      </c>
      <c r="G833">
        <v>2.63</v>
      </c>
      <c r="H833" t="s">
        <v>138</v>
      </c>
      <c r="I833" t="s">
        <v>48</v>
      </c>
      <c r="J833" t="s">
        <v>98</v>
      </c>
      <c r="K833">
        <v>323.04000000000002</v>
      </c>
      <c r="L833" t="s">
        <v>2010</v>
      </c>
      <c r="M833">
        <f>VLOOKUP(H833,'Stage Order'!$A$2:$B$8,2,FALSE)</f>
        <v>6</v>
      </c>
      <c r="N833" t="str">
        <f t="shared" si="24"/>
        <v>2. 1-24 hours</v>
      </c>
      <c r="O833" t="str">
        <f t="shared" si="25"/>
        <v>2025-10</v>
      </c>
    </row>
    <row r="834" spans="1:15" x14ac:dyDescent="0.3">
      <c r="A834" t="s">
        <v>2011</v>
      </c>
      <c r="B834" t="s">
        <v>2012</v>
      </c>
      <c r="C834" t="s">
        <v>28</v>
      </c>
      <c r="D834" t="s">
        <v>77</v>
      </c>
      <c r="E834" t="s">
        <v>39</v>
      </c>
      <c r="F834" t="s">
        <v>66</v>
      </c>
      <c r="G834">
        <v>0.48</v>
      </c>
      <c r="H834" t="s">
        <v>32</v>
      </c>
      <c r="I834" t="s">
        <v>33</v>
      </c>
      <c r="K834">
        <v>870</v>
      </c>
      <c r="L834" t="s">
        <v>2013</v>
      </c>
      <c r="M834">
        <f>VLOOKUP(H834,'Stage Order'!$A$2:$B$8,2,FALSE)</f>
        <v>7</v>
      </c>
      <c r="N834" t="str">
        <f t="shared" ref="N834:N897" si="26">IF(G834&lt;=1,"1. Under 1 hour",IF(G834&lt;=24,"2. 1-24 hours",IF(G834&lt;=72,"3. 1-3 days","4. Over 3 days")))</f>
        <v>1. Under 1 hour</v>
      </c>
      <c r="O834" t="str">
        <f t="shared" ref="O834:O897" si="27">TEXT(B834,"YYYY-MM")</f>
        <v>2025-03</v>
      </c>
    </row>
    <row r="835" spans="1:15" x14ac:dyDescent="0.3">
      <c r="A835" t="s">
        <v>2014</v>
      </c>
      <c r="B835" t="s">
        <v>2015</v>
      </c>
      <c r="C835" t="s">
        <v>37</v>
      </c>
      <c r="D835" t="s">
        <v>97</v>
      </c>
      <c r="E835" t="s">
        <v>39</v>
      </c>
      <c r="F835" t="s">
        <v>106</v>
      </c>
      <c r="G835">
        <v>3.41</v>
      </c>
      <c r="H835" t="s">
        <v>47</v>
      </c>
      <c r="I835" t="s">
        <v>48</v>
      </c>
      <c r="J835" t="s">
        <v>98</v>
      </c>
      <c r="K835">
        <v>1648.45</v>
      </c>
      <c r="L835" t="s">
        <v>2016</v>
      </c>
      <c r="M835">
        <f>VLOOKUP(H835,'Stage Order'!$A$2:$B$8,2,FALSE)</f>
        <v>4</v>
      </c>
      <c r="N835" t="str">
        <f t="shared" si="26"/>
        <v>2. 1-24 hours</v>
      </c>
      <c r="O835" t="str">
        <f t="shared" si="27"/>
        <v>2025-07</v>
      </c>
    </row>
    <row r="836" spans="1:15" x14ac:dyDescent="0.3">
      <c r="A836" t="s">
        <v>2017</v>
      </c>
      <c r="B836" t="s">
        <v>2018</v>
      </c>
      <c r="C836" t="s">
        <v>28</v>
      </c>
      <c r="D836" t="s">
        <v>77</v>
      </c>
      <c r="E836" t="s">
        <v>45</v>
      </c>
      <c r="F836" t="s">
        <v>94</v>
      </c>
      <c r="G836">
        <v>0.64</v>
      </c>
      <c r="H836" t="s">
        <v>41</v>
      </c>
      <c r="I836" t="s">
        <v>42</v>
      </c>
      <c r="M836">
        <f>VLOOKUP(H836,'Stage Order'!$A$2:$B$8,2,FALSE)</f>
        <v>2</v>
      </c>
      <c r="N836" t="str">
        <f t="shared" si="26"/>
        <v>1. Under 1 hour</v>
      </c>
      <c r="O836" t="str">
        <f t="shared" si="27"/>
        <v>2025-01</v>
      </c>
    </row>
    <row r="837" spans="1:15" x14ac:dyDescent="0.3">
      <c r="A837" t="s">
        <v>2019</v>
      </c>
      <c r="B837" t="s">
        <v>2020</v>
      </c>
      <c r="C837" t="s">
        <v>125</v>
      </c>
      <c r="D837" t="s">
        <v>77</v>
      </c>
      <c r="E837" t="s">
        <v>39</v>
      </c>
      <c r="F837" t="s">
        <v>40</v>
      </c>
      <c r="G837">
        <v>1.75</v>
      </c>
      <c r="H837" t="s">
        <v>32</v>
      </c>
      <c r="I837" t="s">
        <v>33</v>
      </c>
      <c r="K837">
        <v>1124.73</v>
      </c>
      <c r="L837" t="s">
        <v>2021</v>
      </c>
      <c r="M837">
        <f>VLOOKUP(H837,'Stage Order'!$A$2:$B$8,2,FALSE)</f>
        <v>7</v>
      </c>
      <c r="N837" t="str">
        <f t="shared" si="26"/>
        <v>2. 1-24 hours</v>
      </c>
      <c r="O837" t="str">
        <f t="shared" si="27"/>
        <v>2025-08</v>
      </c>
    </row>
    <row r="838" spans="1:15" x14ac:dyDescent="0.3">
      <c r="A838" t="s">
        <v>2022</v>
      </c>
      <c r="B838" t="s">
        <v>2023</v>
      </c>
      <c r="C838" t="s">
        <v>53</v>
      </c>
      <c r="D838" t="s">
        <v>54</v>
      </c>
      <c r="E838" t="s">
        <v>45</v>
      </c>
      <c r="F838" t="s">
        <v>55</v>
      </c>
      <c r="G838">
        <v>2.98</v>
      </c>
      <c r="H838" t="s">
        <v>32</v>
      </c>
      <c r="I838" t="s">
        <v>33</v>
      </c>
      <c r="K838">
        <v>515.63</v>
      </c>
      <c r="L838" t="s">
        <v>2024</v>
      </c>
      <c r="M838">
        <f>VLOOKUP(H838,'Stage Order'!$A$2:$B$8,2,FALSE)</f>
        <v>7</v>
      </c>
      <c r="N838" t="str">
        <f t="shared" si="26"/>
        <v>2. 1-24 hours</v>
      </c>
      <c r="O838" t="str">
        <f t="shared" si="27"/>
        <v>2026-05</v>
      </c>
    </row>
    <row r="839" spans="1:15" x14ac:dyDescent="0.3">
      <c r="A839" t="s">
        <v>2025</v>
      </c>
      <c r="B839" t="s">
        <v>2026</v>
      </c>
      <c r="C839" t="s">
        <v>37</v>
      </c>
      <c r="D839" t="s">
        <v>29</v>
      </c>
      <c r="E839" t="s">
        <v>39</v>
      </c>
      <c r="F839" t="s">
        <v>106</v>
      </c>
      <c r="G839">
        <v>0.35</v>
      </c>
      <c r="H839" t="s">
        <v>138</v>
      </c>
      <c r="I839" t="s">
        <v>48</v>
      </c>
      <c r="J839" t="s">
        <v>49</v>
      </c>
      <c r="K839">
        <v>714.55</v>
      </c>
      <c r="L839" t="s">
        <v>2027</v>
      </c>
      <c r="M839">
        <f>VLOOKUP(H839,'Stage Order'!$A$2:$B$8,2,FALSE)</f>
        <v>6</v>
      </c>
      <c r="N839" t="str">
        <f t="shared" si="26"/>
        <v>1. Under 1 hour</v>
      </c>
      <c r="O839" t="str">
        <f t="shared" si="27"/>
        <v>2026-04</v>
      </c>
    </row>
    <row r="840" spans="1:15" x14ac:dyDescent="0.3">
      <c r="A840" t="s">
        <v>2028</v>
      </c>
      <c r="B840" t="s">
        <v>2029</v>
      </c>
      <c r="C840" t="s">
        <v>28</v>
      </c>
      <c r="D840" t="s">
        <v>97</v>
      </c>
      <c r="E840" t="s">
        <v>39</v>
      </c>
      <c r="F840" t="s">
        <v>66</v>
      </c>
      <c r="G840">
        <v>0.66</v>
      </c>
      <c r="H840" t="s">
        <v>138</v>
      </c>
      <c r="I840" t="s">
        <v>48</v>
      </c>
      <c r="J840" t="s">
        <v>113</v>
      </c>
      <c r="K840">
        <v>1291.9000000000001</v>
      </c>
      <c r="L840" t="s">
        <v>2030</v>
      </c>
      <c r="M840">
        <f>VLOOKUP(H840,'Stage Order'!$A$2:$B$8,2,FALSE)</f>
        <v>6</v>
      </c>
      <c r="N840" t="str">
        <f t="shared" si="26"/>
        <v>1. Under 1 hour</v>
      </c>
      <c r="O840" t="str">
        <f t="shared" si="27"/>
        <v>2025-08</v>
      </c>
    </row>
    <row r="841" spans="1:15" x14ac:dyDescent="0.3">
      <c r="A841" t="s">
        <v>2031</v>
      </c>
      <c r="B841" t="s">
        <v>2032</v>
      </c>
      <c r="C841" t="s">
        <v>58</v>
      </c>
      <c r="D841" t="s">
        <v>77</v>
      </c>
      <c r="E841" t="s">
        <v>39</v>
      </c>
      <c r="F841" t="s">
        <v>40</v>
      </c>
      <c r="G841">
        <v>9.57</v>
      </c>
      <c r="H841" t="s">
        <v>138</v>
      </c>
      <c r="I841" t="s">
        <v>48</v>
      </c>
      <c r="J841" t="s">
        <v>98</v>
      </c>
      <c r="K841">
        <v>891.49</v>
      </c>
      <c r="L841" t="s">
        <v>2033</v>
      </c>
      <c r="M841">
        <f>VLOOKUP(H841,'Stage Order'!$A$2:$B$8,2,FALSE)</f>
        <v>6</v>
      </c>
      <c r="N841" t="str">
        <f t="shared" si="26"/>
        <v>2. 1-24 hours</v>
      </c>
      <c r="O841" t="str">
        <f t="shared" si="27"/>
        <v>2025-06</v>
      </c>
    </row>
    <row r="842" spans="1:15" x14ac:dyDescent="0.3">
      <c r="A842" t="s">
        <v>2034</v>
      </c>
      <c r="B842" t="s">
        <v>2035</v>
      </c>
      <c r="C842" t="s">
        <v>58</v>
      </c>
      <c r="D842" t="s">
        <v>38</v>
      </c>
      <c r="E842" t="s">
        <v>59</v>
      </c>
      <c r="F842" t="s">
        <v>117</v>
      </c>
      <c r="G842">
        <v>23.69</v>
      </c>
      <c r="H842" t="s">
        <v>41</v>
      </c>
      <c r="I842" t="s">
        <v>42</v>
      </c>
      <c r="M842">
        <f>VLOOKUP(H842,'Stage Order'!$A$2:$B$8,2,FALSE)</f>
        <v>2</v>
      </c>
      <c r="N842" t="str">
        <f t="shared" si="26"/>
        <v>2. 1-24 hours</v>
      </c>
      <c r="O842" t="str">
        <f t="shared" si="27"/>
        <v>2025-03</v>
      </c>
    </row>
    <row r="843" spans="1:15" x14ac:dyDescent="0.3">
      <c r="A843" t="s">
        <v>2036</v>
      </c>
      <c r="B843" t="s">
        <v>2037</v>
      </c>
      <c r="C843" t="s">
        <v>81</v>
      </c>
      <c r="D843" t="s">
        <v>54</v>
      </c>
      <c r="E843" t="s">
        <v>45</v>
      </c>
      <c r="F843" t="s">
        <v>46</v>
      </c>
      <c r="G843">
        <v>0.39</v>
      </c>
      <c r="H843" t="s">
        <v>61</v>
      </c>
      <c r="I843" t="s">
        <v>42</v>
      </c>
      <c r="M843">
        <f>VLOOKUP(H843,'Stage Order'!$A$2:$B$8,2,FALSE)</f>
        <v>1</v>
      </c>
      <c r="N843" t="str">
        <f t="shared" si="26"/>
        <v>1. Under 1 hour</v>
      </c>
      <c r="O843" t="str">
        <f t="shared" si="27"/>
        <v>2026-03</v>
      </c>
    </row>
    <row r="844" spans="1:15" x14ac:dyDescent="0.3">
      <c r="A844" t="s">
        <v>2038</v>
      </c>
      <c r="B844" t="s">
        <v>2039</v>
      </c>
      <c r="C844" t="s">
        <v>76</v>
      </c>
      <c r="D844" t="s">
        <v>77</v>
      </c>
      <c r="E844" t="s">
        <v>90</v>
      </c>
      <c r="F844" t="s">
        <v>91</v>
      </c>
      <c r="G844">
        <v>1.87</v>
      </c>
      <c r="H844" t="s">
        <v>41</v>
      </c>
      <c r="I844" t="s">
        <v>42</v>
      </c>
      <c r="M844">
        <f>VLOOKUP(H844,'Stage Order'!$A$2:$B$8,2,FALSE)</f>
        <v>2</v>
      </c>
      <c r="N844" t="str">
        <f t="shared" si="26"/>
        <v>2. 1-24 hours</v>
      </c>
      <c r="O844" t="str">
        <f t="shared" si="27"/>
        <v>2025-01</v>
      </c>
    </row>
    <row r="845" spans="1:15" x14ac:dyDescent="0.3">
      <c r="A845" t="s">
        <v>2040</v>
      </c>
      <c r="B845" t="s">
        <v>2041</v>
      </c>
      <c r="C845" t="s">
        <v>53</v>
      </c>
      <c r="D845" t="s">
        <v>54</v>
      </c>
      <c r="E845" t="s">
        <v>59</v>
      </c>
      <c r="F845" t="s">
        <v>137</v>
      </c>
      <c r="G845">
        <v>7.14</v>
      </c>
      <c r="H845" t="s">
        <v>128</v>
      </c>
      <c r="I845" t="s">
        <v>42</v>
      </c>
      <c r="M845">
        <f>VLOOKUP(H845,'Stage Order'!$A$2:$B$8,2,FALSE)</f>
        <v>3</v>
      </c>
      <c r="N845" t="str">
        <f t="shared" si="26"/>
        <v>2. 1-24 hours</v>
      </c>
      <c r="O845" t="str">
        <f t="shared" si="27"/>
        <v>2025-07</v>
      </c>
    </row>
    <row r="846" spans="1:15" x14ac:dyDescent="0.3">
      <c r="A846" t="s">
        <v>2042</v>
      </c>
      <c r="B846" t="s">
        <v>2043</v>
      </c>
      <c r="C846" t="s">
        <v>37</v>
      </c>
      <c r="D846" t="s">
        <v>77</v>
      </c>
      <c r="E846" t="s">
        <v>90</v>
      </c>
      <c r="F846" t="s">
        <v>145</v>
      </c>
      <c r="G846">
        <v>6.03</v>
      </c>
      <c r="H846" t="s">
        <v>128</v>
      </c>
      <c r="I846" t="s">
        <v>42</v>
      </c>
      <c r="M846">
        <f>VLOOKUP(H846,'Stage Order'!$A$2:$B$8,2,FALSE)</f>
        <v>3</v>
      </c>
      <c r="N846" t="str">
        <f t="shared" si="26"/>
        <v>2. 1-24 hours</v>
      </c>
      <c r="O846" t="str">
        <f t="shared" si="27"/>
        <v>2025-07</v>
      </c>
    </row>
    <row r="847" spans="1:15" x14ac:dyDescent="0.3">
      <c r="A847" t="s">
        <v>2044</v>
      </c>
      <c r="B847" t="s">
        <v>2045</v>
      </c>
      <c r="C847" t="s">
        <v>28</v>
      </c>
      <c r="D847" t="s">
        <v>97</v>
      </c>
      <c r="E847" t="s">
        <v>45</v>
      </c>
      <c r="F847" t="s">
        <v>46</v>
      </c>
      <c r="G847">
        <v>1.65</v>
      </c>
      <c r="H847" t="s">
        <v>61</v>
      </c>
      <c r="I847" t="s">
        <v>42</v>
      </c>
      <c r="M847">
        <f>VLOOKUP(H847,'Stage Order'!$A$2:$B$8,2,FALSE)</f>
        <v>1</v>
      </c>
      <c r="N847" t="str">
        <f t="shared" si="26"/>
        <v>2. 1-24 hours</v>
      </c>
      <c r="O847" t="str">
        <f t="shared" si="27"/>
        <v>2025-11</v>
      </c>
    </row>
    <row r="848" spans="1:15" x14ac:dyDescent="0.3">
      <c r="A848" t="s">
        <v>2046</v>
      </c>
      <c r="B848" t="s">
        <v>2047</v>
      </c>
      <c r="C848" t="s">
        <v>53</v>
      </c>
      <c r="D848" t="s">
        <v>77</v>
      </c>
      <c r="E848" t="s">
        <v>59</v>
      </c>
      <c r="F848" t="s">
        <v>117</v>
      </c>
      <c r="G848">
        <v>0.79</v>
      </c>
      <c r="H848" t="s">
        <v>32</v>
      </c>
      <c r="I848" t="s">
        <v>33</v>
      </c>
      <c r="K848">
        <v>1061.27</v>
      </c>
      <c r="L848" t="s">
        <v>2048</v>
      </c>
      <c r="M848">
        <f>VLOOKUP(H848,'Stage Order'!$A$2:$B$8,2,FALSE)</f>
        <v>7</v>
      </c>
      <c r="N848" t="str">
        <f t="shared" si="26"/>
        <v>1. Under 1 hour</v>
      </c>
      <c r="O848" t="str">
        <f t="shared" si="27"/>
        <v>2026-03</v>
      </c>
    </row>
    <row r="849" spans="1:15" x14ac:dyDescent="0.3">
      <c r="A849" t="s">
        <v>2049</v>
      </c>
      <c r="B849" t="s">
        <v>2050</v>
      </c>
      <c r="C849" t="s">
        <v>81</v>
      </c>
      <c r="D849" t="s">
        <v>77</v>
      </c>
      <c r="E849" t="s">
        <v>45</v>
      </c>
      <c r="F849" t="s">
        <v>46</v>
      </c>
      <c r="G849">
        <v>1.17</v>
      </c>
      <c r="H849" t="s">
        <v>61</v>
      </c>
      <c r="I849" t="s">
        <v>42</v>
      </c>
      <c r="M849">
        <f>VLOOKUP(H849,'Stage Order'!$A$2:$B$8,2,FALSE)</f>
        <v>1</v>
      </c>
      <c r="N849" t="str">
        <f t="shared" si="26"/>
        <v>2. 1-24 hours</v>
      </c>
      <c r="O849" t="str">
        <f t="shared" si="27"/>
        <v>2026-04</v>
      </c>
    </row>
    <row r="850" spans="1:15" x14ac:dyDescent="0.3">
      <c r="A850" t="s">
        <v>2051</v>
      </c>
      <c r="B850" t="s">
        <v>2052</v>
      </c>
      <c r="C850" t="s">
        <v>125</v>
      </c>
      <c r="D850" t="s">
        <v>38</v>
      </c>
      <c r="E850" t="s">
        <v>59</v>
      </c>
      <c r="F850" t="s">
        <v>137</v>
      </c>
      <c r="G850">
        <v>3.45</v>
      </c>
      <c r="H850" t="s">
        <v>61</v>
      </c>
      <c r="I850" t="s">
        <v>42</v>
      </c>
      <c r="M850">
        <f>VLOOKUP(H850,'Stage Order'!$A$2:$B$8,2,FALSE)</f>
        <v>1</v>
      </c>
      <c r="N850" t="str">
        <f t="shared" si="26"/>
        <v>2. 1-24 hours</v>
      </c>
      <c r="O850" t="str">
        <f t="shared" si="27"/>
        <v>2025-03</v>
      </c>
    </row>
    <row r="851" spans="1:15" x14ac:dyDescent="0.3">
      <c r="A851" t="s">
        <v>2053</v>
      </c>
      <c r="B851" t="s">
        <v>2054</v>
      </c>
      <c r="C851" t="s">
        <v>37</v>
      </c>
      <c r="D851" t="s">
        <v>54</v>
      </c>
      <c r="E851" t="s">
        <v>90</v>
      </c>
      <c r="F851" t="s">
        <v>145</v>
      </c>
      <c r="G851">
        <v>21.82</v>
      </c>
      <c r="H851" t="s">
        <v>128</v>
      </c>
      <c r="I851" t="s">
        <v>42</v>
      </c>
      <c r="M851">
        <f>VLOOKUP(H851,'Stage Order'!$A$2:$B$8,2,FALSE)</f>
        <v>3</v>
      </c>
      <c r="N851" t="str">
        <f t="shared" si="26"/>
        <v>2. 1-24 hours</v>
      </c>
      <c r="O851" t="str">
        <f t="shared" si="27"/>
        <v>2025-07</v>
      </c>
    </row>
    <row r="852" spans="1:15" x14ac:dyDescent="0.3">
      <c r="A852" t="s">
        <v>2055</v>
      </c>
      <c r="B852" t="s">
        <v>2056</v>
      </c>
      <c r="C852" t="s">
        <v>81</v>
      </c>
      <c r="D852" t="s">
        <v>54</v>
      </c>
      <c r="E852" t="s">
        <v>39</v>
      </c>
      <c r="F852" t="s">
        <v>40</v>
      </c>
      <c r="G852">
        <v>5.01</v>
      </c>
      <c r="H852" t="s">
        <v>61</v>
      </c>
      <c r="I852" t="s">
        <v>42</v>
      </c>
      <c r="M852">
        <f>VLOOKUP(H852,'Stage Order'!$A$2:$B$8,2,FALSE)</f>
        <v>1</v>
      </c>
      <c r="N852" t="str">
        <f t="shared" si="26"/>
        <v>2. 1-24 hours</v>
      </c>
      <c r="O852" t="str">
        <f t="shared" si="27"/>
        <v>2025-03</v>
      </c>
    </row>
    <row r="853" spans="1:15" x14ac:dyDescent="0.3">
      <c r="A853" t="s">
        <v>2057</v>
      </c>
      <c r="B853" t="s">
        <v>2058</v>
      </c>
      <c r="C853" t="s">
        <v>58</v>
      </c>
      <c r="D853" t="s">
        <v>38</v>
      </c>
      <c r="E853" t="s">
        <v>39</v>
      </c>
      <c r="F853" t="s">
        <v>40</v>
      </c>
      <c r="G853">
        <v>0.69</v>
      </c>
      <c r="H853" t="s">
        <v>41</v>
      </c>
      <c r="I853" t="s">
        <v>42</v>
      </c>
      <c r="M853">
        <f>VLOOKUP(H853,'Stage Order'!$A$2:$B$8,2,FALSE)</f>
        <v>2</v>
      </c>
      <c r="N853" t="str">
        <f t="shared" si="26"/>
        <v>1. Under 1 hour</v>
      </c>
      <c r="O853" t="str">
        <f t="shared" si="27"/>
        <v>2026-02</v>
      </c>
    </row>
    <row r="854" spans="1:15" x14ac:dyDescent="0.3">
      <c r="A854" t="s">
        <v>2059</v>
      </c>
      <c r="B854" t="s">
        <v>2060</v>
      </c>
      <c r="C854" t="s">
        <v>53</v>
      </c>
      <c r="D854" t="s">
        <v>97</v>
      </c>
      <c r="E854" t="s">
        <v>45</v>
      </c>
      <c r="F854" t="s">
        <v>55</v>
      </c>
      <c r="G854">
        <v>8.26</v>
      </c>
      <c r="H854" t="s">
        <v>138</v>
      </c>
      <c r="I854" t="s">
        <v>48</v>
      </c>
      <c r="J854" t="s">
        <v>98</v>
      </c>
      <c r="K854">
        <v>1210.71</v>
      </c>
      <c r="L854" t="s">
        <v>2061</v>
      </c>
      <c r="M854">
        <f>VLOOKUP(H854,'Stage Order'!$A$2:$B$8,2,FALSE)</f>
        <v>6</v>
      </c>
      <c r="N854" t="str">
        <f t="shared" si="26"/>
        <v>2. 1-24 hours</v>
      </c>
      <c r="O854" t="str">
        <f t="shared" si="27"/>
        <v>2026-02</v>
      </c>
    </row>
    <row r="855" spans="1:15" x14ac:dyDescent="0.3">
      <c r="A855" t="s">
        <v>2062</v>
      </c>
      <c r="B855" t="s">
        <v>2063</v>
      </c>
      <c r="C855" t="s">
        <v>28</v>
      </c>
      <c r="D855" t="s">
        <v>97</v>
      </c>
      <c r="E855" t="s">
        <v>59</v>
      </c>
      <c r="F855" t="s">
        <v>137</v>
      </c>
      <c r="G855">
        <v>9.7200000000000006</v>
      </c>
      <c r="H855" t="s">
        <v>47</v>
      </c>
      <c r="I855" t="s">
        <v>48</v>
      </c>
      <c r="J855" t="s">
        <v>113</v>
      </c>
      <c r="K855">
        <v>1536.8</v>
      </c>
      <c r="L855" t="s">
        <v>2064</v>
      </c>
      <c r="M855">
        <f>VLOOKUP(H855,'Stage Order'!$A$2:$B$8,2,FALSE)</f>
        <v>4</v>
      </c>
      <c r="N855" t="str">
        <f t="shared" si="26"/>
        <v>2. 1-24 hours</v>
      </c>
      <c r="O855" t="str">
        <f t="shared" si="27"/>
        <v>2025-10</v>
      </c>
    </row>
    <row r="856" spans="1:15" x14ac:dyDescent="0.3">
      <c r="A856" t="s">
        <v>2065</v>
      </c>
      <c r="B856" t="s">
        <v>2066</v>
      </c>
      <c r="C856" t="s">
        <v>53</v>
      </c>
      <c r="D856" t="s">
        <v>77</v>
      </c>
      <c r="E856" t="s">
        <v>39</v>
      </c>
      <c r="F856" t="s">
        <v>66</v>
      </c>
      <c r="G856">
        <v>23.86</v>
      </c>
      <c r="H856" t="s">
        <v>32</v>
      </c>
      <c r="I856" t="s">
        <v>33</v>
      </c>
      <c r="K856">
        <v>853.06</v>
      </c>
      <c r="L856" t="s">
        <v>2067</v>
      </c>
      <c r="M856">
        <f>VLOOKUP(H856,'Stage Order'!$A$2:$B$8,2,FALSE)</f>
        <v>7</v>
      </c>
      <c r="N856" t="str">
        <f t="shared" si="26"/>
        <v>2. 1-24 hours</v>
      </c>
      <c r="O856" t="str">
        <f t="shared" si="27"/>
        <v>2025-02</v>
      </c>
    </row>
    <row r="857" spans="1:15" x14ac:dyDescent="0.3">
      <c r="A857" t="s">
        <v>2068</v>
      </c>
      <c r="B857" t="s">
        <v>2069</v>
      </c>
      <c r="C857" t="s">
        <v>76</v>
      </c>
      <c r="D857" t="s">
        <v>38</v>
      </c>
      <c r="E857" t="s">
        <v>45</v>
      </c>
      <c r="F857" t="s">
        <v>46</v>
      </c>
      <c r="G857">
        <v>3.69</v>
      </c>
      <c r="H857" t="s">
        <v>41</v>
      </c>
      <c r="I857" t="s">
        <v>42</v>
      </c>
      <c r="M857">
        <f>VLOOKUP(H857,'Stage Order'!$A$2:$B$8,2,FALSE)</f>
        <v>2</v>
      </c>
      <c r="N857" t="str">
        <f t="shared" si="26"/>
        <v>2. 1-24 hours</v>
      </c>
      <c r="O857" t="str">
        <f t="shared" si="27"/>
        <v>2026-02</v>
      </c>
    </row>
    <row r="858" spans="1:15" x14ac:dyDescent="0.3">
      <c r="A858" t="s">
        <v>2070</v>
      </c>
      <c r="B858" t="s">
        <v>2071</v>
      </c>
      <c r="C858" t="s">
        <v>76</v>
      </c>
      <c r="D858" t="s">
        <v>97</v>
      </c>
      <c r="E858" t="s">
        <v>59</v>
      </c>
      <c r="F858" t="s">
        <v>60</v>
      </c>
      <c r="G858">
        <v>0.61</v>
      </c>
      <c r="H858" t="s">
        <v>61</v>
      </c>
      <c r="I858" t="s">
        <v>42</v>
      </c>
      <c r="M858">
        <f>VLOOKUP(H858,'Stage Order'!$A$2:$B$8,2,FALSE)</f>
        <v>1</v>
      </c>
      <c r="N858" t="str">
        <f t="shared" si="26"/>
        <v>1. Under 1 hour</v>
      </c>
      <c r="O858" t="str">
        <f t="shared" si="27"/>
        <v>2025-09</v>
      </c>
    </row>
    <row r="859" spans="1:15" x14ac:dyDescent="0.3">
      <c r="A859" t="s">
        <v>2072</v>
      </c>
      <c r="B859" t="s">
        <v>2073</v>
      </c>
      <c r="C859" t="s">
        <v>58</v>
      </c>
      <c r="D859" t="s">
        <v>77</v>
      </c>
      <c r="E859" t="s">
        <v>59</v>
      </c>
      <c r="F859" t="s">
        <v>60</v>
      </c>
      <c r="G859">
        <v>1.73</v>
      </c>
      <c r="H859" t="s">
        <v>47</v>
      </c>
      <c r="I859" t="s">
        <v>48</v>
      </c>
      <c r="J859" t="s">
        <v>98</v>
      </c>
      <c r="K859">
        <v>1148.44</v>
      </c>
      <c r="L859" t="s">
        <v>2074</v>
      </c>
      <c r="M859">
        <f>VLOOKUP(H859,'Stage Order'!$A$2:$B$8,2,FALSE)</f>
        <v>4</v>
      </c>
      <c r="N859" t="str">
        <f t="shared" si="26"/>
        <v>2. 1-24 hours</v>
      </c>
      <c r="O859" t="str">
        <f t="shared" si="27"/>
        <v>2025-08</v>
      </c>
    </row>
    <row r="860" spans="1:15" x14ac:dyDescent="0.3">
      <c r="A860" t="s">
        <v>2075</v>
      </c>
      <c r="B860" t="s">
        <v>2076</v>
      </c>
      <c r="C860" t="s">
        <v>58</v>
      </c>
      <c r="D860" t="s">
        <v>77</v>
      </c>
      <c r="E860" t="s">
        <v>45</v>
      </c>
      <c r="F860" t="s">
        <v>55</v>
      </c>
      <c r="G860">
        <v>4.5</v>
      </c>
      <c r="H860" t="s">
        <v>146</v>
      </c>
      <c r="I860" t="s">
        <v>48</v>
      </c>
      <c r="J860" t="s">
        <v>49</v>
      </c>
      <c r="K860">
        <v>982.31</v>
      </c>
      <c r="L860" t="s">
        <v>2077</v>
      </c>
      <c r="M860">
        <f>VLOOKUP(H860,'Stage Order'!$A$2:$B$8,2,FALSE)</f>
        <v>5</v>
      </c>
      <c r="N860" t="str">
        <f t="shared" si="26"/>
        <v>2. 1-24 hours</v>
      </c>
      <c r="O860" t="str">
        <f t="shared" si="27"/>
        <v>2026-01</v>
      </c>
    </row>
    <row r="861" spans="1:15" x14ac:dyDescent="0.3">
      <c r="A861" t="s">
        <v>2078</v>
      </c>
      <c r="B861" t="s">
        <v>2079</v>
      </c>
      <c r="C861" t="s">
        <v>37</v>
      </c>
      <c r="D861" t="s">
        <v>54</v>
      </c>
      <c r="E861" t="s">
        <v>45</v>
      </c>
      <c r="F861" t="s">
        <v>94</v>
      </c>
      <c r="G861">
        <v>2.42</v>
      </c>
      <c r="H861" t="s">
        <v>61</v>
      </c>
      <c r="I861" t="s">
        <v>42</v>
      </c>
      <c r="M861">
        <f>VLOOKUP(H861,'Stage Order'!$A$2:$B$8,2,FALSE)</f>
        <v>1</v>
      </c>
      <c r="N861" t="str">
        <f t="shared" si="26"/>
        <v>2. 1-24 hours</v>
      </c>
      <c r="O861" t="str">
        <f t="shared" si="27"/>
        <v>2025-03</v>
      </c>
    </row>
    <row r="862" spans="1:15" x14ac:dyDescent="0.3">
      <c r="A862" t="s">
        <v>2080</v>
      </c>
      <c r="B862" t="s">
        <v>2081</v>
      </c>
      <c r="C862" t="s">
        <v>53</v>
      </c>
      <c r="D862" t="s">
        <v>29</v>
      </c>
      <c r="E862" t="s">
        <v>30</v>
      </c>
      <c r="F862" t="s">
        <v>78</v>
      </c>
      <c r="G862">
        <v>1.25</v>
      </c>
      <c r="H862" t="s">
        <v>41</v>
      </c>
      <c r="I862" t="s">
        <v>42</v>
      </c>
      <c r="M862">
        <f>VLOOKUP(H862,'Stage Order'!$A$2:$B$8,2,FALSE)</f>
        <v>2</v>
      </c>
      <c r="N862" t="str">
        <f t="shared" si="26"/>
        <v>2. 1-24 hours</v>
      </c>
      <c r="O862" t="str">
        <f t="shared" si="27"/>
        <v>2026-06</v>
      </c>
    </row>
    <row r="863" spans="1:15" x14ac:dyDescent="0.3">
      <c r="A863" t="s">
        <v>2082</v>
      </c>
      <c r="B863" t="s">
        <v>2083</v>
      </c>
      <c r="C863" t="s">
        <v>76</v>
      </c>
      <c r="D863" t="s">
        <v>54</v>
      </c>
      <c r="E863" t="s">
        <v>45</v>
      </c>
      <c r="F863" t="s">
        <v>46</v>
      </c>
      <c r="G863">
        <v>5.66</v>
      </c>
      <c r="H863" t="s">
        <v>41</v>
      </c>
      <c r="I863" t="s">
        <v>42</v>
      </c>
      <c r="M863">
        <f>VLOOKUP(H863,'Stage Order'!$A$2:$B$8,2,FALSE)</f>
        <v>2</v>
      </c>
      <c r="N863" t="str">
        <f t="shared" si="26"/>
        <v>2. 1-24 hours</v>
      </c>
      <c r="O863" t="str">
        <f t="shared" si="27"/>
        <v>2025-02</v>
      </c>
    </row>
    <row r="864" spans="1:15" x14ac:dyDescent="0.3">
      <c r="A864" t="s">
        <v>2084</v>
      </c>
      <c r="B864" t="s">
        <v>2085</v>
      </c>
      <c r="C864" t="s">
        <v>76</v>
      </c>
      <c r="D864" t="s">
        <v>29</v>
      </c>
      <c r="E864" t="s">
        <v>39</v>
      </c>
      <c r="F864" t="s">
        <v>66</v>
      </c>
      <c r="G864">
        <v>1.04</v>
      </c>
      <c r="H864" t="s">
        <v>41</v>
      </c>
      <c r="I864" t="s">
        <v>42</v>
      </c>
      <c r="M864">
        <f>VLOOKUP(H864,'Stage Order'!$A$2:$B$8,2,FALSE)</f>
        <v>2</v>
      </c>
      <c r="N864" t="str">
        <f t="shared" si="26"/>
        <v>2. 1-24 hours</v>
      </c>
      <c r="O864" t="str">
        <f t="shared" si="27"/>
        <v>2025-06</v>
      </c>
    </row>
    <row r="865" spans="1:15" x14ac:dyDescent="0.3">
      <c r="A865" t="s">
        <v>2086</v>
      </c>
      <c r="B865" t="s">
        <v>2087</v>
      </c>
      <c r="C865" t="s">
        <v>28</v>
      </c>
      <c r="D865" t="s">
        <v>38</v>
      </c>
      <c r="E865" t="s">
        <v>90</v>
      </c>
      <c r="F865" t="s">
        <v>112</v>
      </c>
      <c r="G865">
        <v>6.24</v>
      </c>
      <c r="H865" t="s">
        <v>41</v>
      </c>
      <c r="I865" t="s">
        <v>42</v>
      </c>
      <c r="M865">
        <f>VLOOKUP(H865,'Stage Order'!$A$2:$B$8,2,FALSE)</f>
        <v>2</v>
      </c>
      <c r="N865" t="str">
        <f t="shared" si="26"/>
        <v>2. 1-24 hours</v>
      </c>
      <c r="O865" t="str">
        <f t="shared" si="27"/>
        <v>2025-01</v>
      </c>
    </row>
    <row r="866" spans="1:15" x14ac:dyDescent="0.3">
      <c r="A866" t="s">
        <v>2088</v>
      </c>
      <c r="B866" t="s">
        <v>2089</v>
      </c>
      <c r="C866" t="s">
        <v>81</v>
      </c>
      <c r="D866" t="s">
        <v>54</v>
      </c>
      <c r="E866" t="s">
        <v>59</v>
      </c>
      <c r="F866" t="s">
        <v>117</v>
      </c>
      <c r="G866">
        <v>1.1299999999999999</v>
      </c>
      <c r="H866" t="s">
        <v>61</v>
      </c>
      <c r="I866" t="s">
        <v>42</v>
      </c>
      <c r="M866">
        <f>VLOOKUP(H866,'Stage Order'!$A$2:$B$8,2,FALSE)</f>
        <v>1</v>
      </c>
      <c r="N866" t="str">
        <f t="shared" si="26"/>
        <v>2. 1-24 hours</v>
      </c>
      <c r="O866" t="str">
        <f t="shared" si="27"/>
        <v>2026-01</v>
      </c>
    </row>
    <row r="867" spans="1:15" x14ac:dyDescent="0.3">
      <c r="A867" t="s">
        <v>2090</v>
      </c>
      <c r="B867" t="s">
        <v>2091</v>
      </c>
      <c r="C867" t="s">
        <v>53</v>
      </c>
      <c r="D867" t="s">
        <v>29</v>
      </c>
      <c r="E867" t="s">
        <v>45</v>
      </c>
      <c r="F867" t="s">
        <v>46</v>
      </c>
      <c r="G867">
        <v>2.77</v>
      </c>
      <c r="H867" t="s">
        <v>138</v>
      </c>
      <c r="I867" t="s">
        <v>48</v>
      </c>
      <c r="J867" t="s">
        <v>113</v>
      </c>
      <c r="K867">
        <v>691.5</v>
      </c>
      <c r="L867" t="s">
        <v>2092</v>
      </c>
      <c r="M867">
        <f>VLOOKUP(H867,'Stage Order'!$A$2:$B$8,2,FALSE)</f>
        <v>6</v>
      </c>
      <c r="N867" t="str">
        <f t="shared" si="26"/>
        <v>2. 1-24 hours</v>
      </c>
      <c r="O867" t="str">
        <f t="shared" si="27"/>
        <v>2026-06</v>
      </c>
    </row>
    <row r="868" spans="1:15" x14ac:dyDescent="0.3">
      <c r="A868" t="s">
        <v>2093</v>
      </c>
      <c r="B868" t="s">
        <v>2094</v>
      </c>
      <c r="C868" t="s">
        <v>53</v>
      </c>
      <c r="D868" t="s">
        <v>38</v>
      </c>
      <c r="E868" t="s">
        <v>90</v>
      </c>
      <c r="F868" t="s">
        <v>112</v>
      </c>
      <c r="G868">
        <v>1.25</v>
      </c>
      <c r="H868" t="s">
        <v>41</v>
      </c>
      <c r="I868" t="s">
        <v>42</v>
      </c>
      <c r="M868">
        <f>VLOOKUP(H868,'Stage Order'!$A$2:$B$8,2,FALSE)</f>
        <v>2</v>
      </c>
      <c r="N868" t="str">
        <f t="shared" si="26"/>
        <v>2. 1-24 hours</v>
      </c>
      <c r="O868" t="str">
        <f t="shared" si="27"/>
        <v>2025-01</v>
      </c>
    </row>
    <row r="869" spans="1:15" x14ac:dyDescent="0.3">
      <c r="A869" t="s">
        <v>2095</v>
      </c>
      <c r="B869" t="s">
        <v>2096</v>
      </c>
      <c r="C869" t="s">
        <v>58</v>
      </c>
      <c r="D869" t="s">
        <v>54</v>
      </c>
      <c r="E869" t="s">
        <v>45</v>
      </c>
      <c r="F869" t="s">
        <v>46</v>
      </c>
      <c r="G869">
        <v>0.5</v>
      </c>
      <c r="H869" t="s">
        <v>41</v>
      </c>
      <c r="I869" t="s">
        <v>42</v>
      </c>
      <c r="M869">
        <f>VLOOKUP(H869,'Stage Order'!$A$2:$B$8,2,FALSE)</f>
        <v>2</v>
      </c>
      <c r="N869" t="str">
        <f t="shared" si="26"/>
        <v>1. Under 1 hour</v>
      </c>
      <c r="O869" t="str">
        <f t="shared" si="27"/>
        <v>2025-12</v>
      </c>
    </row>
    <row r="870" spans="1:15" x14ac:dyDescent="0.3">
      <c r="A870" t="s">
        <v>2097</v>
      </c>
      <c r="B870" t="s">
        <v>2098</v>
      </c>
      <c r="C870" t="s">
        <v>125</v>
      </c>
      <c r="D870" t="s">
        <v>77</v>
      </c>
      <c r="E870" t="s">
        <v>39</v>
      </c>
      <c r="F870" t="s">
        <v>106</v>
      </c>
      <c r="G870">
        <v>1.1100000000000001</v>
      </c>
      <c r="H870" t="s">
        <v>61</v>
      </c>
      <c r="I870" t="s">
        <v>42</v>
      </c>
      <c r="M870">
        <f>VLOOKUP(H870,'Stage Order'!$A$2:$B$8,2,FALSE)</f>
        <v>1</v>
      </c>
      <c r="N870" t="str">
        <f t="shared" si="26"/>
        <v>2. 1-24 hours</v>
      </c>
      <c r="O870" t="str">
        <f t="shared" si="27"/>
        <v>2026-02</v>
      </c>
    </row>
    <row r="871" spans="1:15" x14ac:dyDescent="0.3">
      <c r="A871" t="s">
        <v>2099</v>
      </c>
      <c r="B871" t="s">
        <v>2100</v>
      </c>
      <c r="C871" t="s">
        <v>53</v>
      </c>
      <c r="D871" t="s">
        <v>77</v>
      </c>
      <c r="E871" t="s">
        <v>90</v>
      </c>
      <c r="F871" t="s">
        <v>112</v>
      </c>
      <c r="G871">
        <v>26.56</v>
      </c>
      <c r="H871" t="s">
        <v>32</v>
      </c>
      <c r="I871" t="s">
        <v>33</v>
      </c>
      <c r="K871">
        <v>1177.17</v>
      </c>
      <c r="L871" t="s">
        <v>2101</v>
      </c>
      <c r="M871">
        <f>VLOOKUP(H871,'Stage Order'!$A$2:$B$8,2,FALSE)</f>
        <v>7</v>
      </c>
      <c r="N871" t="str">
        <f t="shared" si="26"/>
        <v>3. 1-3 days</v>
      </c>
      <c r="O871" t="str">
        <f t="shared" si="27"/>
        <v>2026-05</v>
      </c>
    </row>
    <row r="872" spans="1:15" x14ac:dyDescent="0.3">
      <c r="A872" t="s">
        <v>2102</v>
      </c>
      <c r="B872" t="s">
        <v>2103</v>
      </c>
      <c r="C872" t="s">
        <v>53</v>
      </c>
      <c r="D872" t="s">
        <v>97</v>
      </c>
      <c r="E872" t="s">
        <v>39</v>
      </c>
      <c r="F872" t="s">
        <v>66</v>
      </c>
      <c r="G872">
        <v>0.94</v>
      </c>
      <c r="H872" t="s">
        <v>41</v>
      </c>
      <c r="I872" t="s">
        <v>42</v>
      </c>
      <c r="M872">
        <f>VLOOKUP(H872,'Stage Order'!$A$2:$B$8,2,FALSE)</f>
        <v>2</v>
      </c>
      <c r="N872" t="str">
        <f t="shared" si="26"/>
        <v>1. Under 1 hour</v>
      </c>
      <c r="O872" t="str">
        <f t="shared" si="27"/>
        <v>2025-11</v>
      </c>
    </row>
    <row r="873" spans="1:15" x14ac:dyDescent="0.3">
      <c r="A873" t="s">
        <v>2104</v>
      </c>
      <c r="B873" t="s">
        <v>2105</v>
      </c>
      <c r="C873" t="s">
        <v>53</v>
      </c>
      <c r="D873" t="s">
        <v>38</v>
      </c>
      <c r="E873" t="s">
        <v>39</v>
      </c>
      <c r="F873" t="s">
        <v>40</v>
      </c>
      <c r="G873">
        <v>1.1399999999999999</v>
      </c>
      <c r="H873" t="s">
        <v>138</v>
      </c>
      <c r="I873" t="s">
        <v>48</v>
      </c>
      <c r="J873" t="s">
        <v>113</v>
      </c>
      <c r="K873">
        <v>350.4</v>
      </c>
      <c r="L873" t="s">
        <v>2106</v>
      </c>
      <c r="M873">
        <f>VLOOKUP(H873,'Stage Order'!$A$2:$B$8,2,FALSE)</f>
        <v>6</v>
      </c>
      <c r="N873" t="str">
        <f t="shared" si="26"/>
        <v>2. 1-24 hours</v>
      </c>
      <c r="O873" t="str">
        <f t="shared" si="27"/>
        <v>2026-03</v>
      </c>
    </row>
    <row r="874" spans="1:15" x14ac:dyDescent="0.3">
      <c r="A874" t="s">
        <v>2107</v>
      </c>
      <c r="B874" t="s">
        <v>2108</v>
      </c>
      <c r="C874" t="s">
        <v>76</v>
      </c>
      <c r="D874" t="s">
        <v>54</v>
      </c>
      <c r="E874" t="s">
        <v>30</v>
      </c>
      <c r="F874" t="s">
        <v>78</v>
      </c>
      <c r="G874">
        <v>1.62</v>
      </c>
      <c r="H874" t="s">
        <v>41</v>
      </c>
      <c r="I874" t="s">
        <v>42</v>
      </c>
      <c r="M874">
        <f>VLOOKUP(H874,'Stage Order'!$A$2:$B$8,2,FALSE)</f>
        <v>2</v>
      </c>
      <c r="N874" t="str">
        <f t="shared" si="26"/>
        <v>2. 1-24 hours</v>
      </c>
      <c r="O874" t="str">
        <f t="shared" si="27"/>
        <v>2025-12</v>
      </c>
    </row>
    <row r="875" spans="1:15" x14ac:dyDescent="0.3">
      <c r="A875" t="s">
        <v>2109</v>
      </c>
      <c r="B875" t="s">
        <v>2110</v>
      </c>
      <c r="C875" t="s">
        <v>37</v>
      </c>
      <c r="D875" t="s">
        <v>29</v>
      </c>
      <c r="E875" t="s">
        <v>39</v>
      </c>
      <c r="F875" t="s">
        <v>106</v>
      </c>
      <c r="G875">
        <v>2.06</v>
      </c>
      <c r="H875" t="s">
        <v>47</v>
      </c>
      <c r="I875" t="s">
        <v>48</v>
      </c>
      <c r="J875" t="s">
        <v>49</v>
      </c>
      <c r="K875">
        <v>683.16</v>
      </c>
      <c r="L875" t="s">
        <v>2111</v>
      </c>
      <c r="M875">
        <f>VLOOKUP(H875,'Stage Order'!$A$2:$B$8,2,FALSE)</f>
        <v>4</v>
      </c>
      <c r="N875" t="str">
        <f t="shared" si="26"/>
        <v>2. 1-24 hours</v>
      </c>
      <c r="O875" t="str">
        <f t="shared" si="27"/>
        <v>2025-01</v>
      </c>
    </row>
    <row r="876" spans="1:15" x14ac:dyDescent="0.3">
      <c r="A876" t="s">
        <v>2112</v>
      </c>
      <c r="B876" t="s">
        <v>2113</v>
      </c>
      <c r="C876" t="s">
        <v>125</v>
      </c>
      <c r="D876" t="s">
        <v>54</v>
      </c>
      <c r="E876" t="s">
        <v>59</v>
      </c>
      <c r="F876" t="s">
        <v>60</v>
      </c>
      <c r="G876">
        <v>0.49</v>
      </c>
      <c r="H876" t="s">
        <v>41</v>
      </c>
      <c r="I876" t="s">
        <v>42</v>
      </c>
      <c r="M876">
        <f>VLOOKUP(H876,'Stage Order'!$A$2:$B$8,2,FALSE)</f>
        <v>2</v>
      </c>
      <c r="N876" t="str">
        <f t="shared" si="26"/>
        <v>1. Under 1 hour</v>
      </c>
      <c r="O876" t="str">
        <f t="shared" si="27"/>
        <v>2026-03</v>
      </c>
    </row>
    <row r="877" spans="1:15" x14ac:dyDescent="0.3">
      <c r="A877" t="s">
        <v>2114</v>
      </c>
      <c r="B877" t="s">
        <v>2115</v>
      </c>
      <c r="C877" t="s">
        <v>58</v>
      </c>
      <c r="D877" t="s">
        <v>54</v>
      </c>
      <c r="E877" t="s">
        <v>39</v>
      </c>
      <c r="F877" t="s">
        <v>66</v>
      </c>
      <c r="G877">
        <v>9.2899999999999991</v>
      </c>
      <c r="H877" t="s">
        <v>41</v>
      </c>
      <c r="I877" t="s">
        <v>42</v>
      </c>
      <c r="M877">
        <f>VLOOKUP(H877,'Stage Order'!$A$2:$B$8,2,FALSE)</f>
        <v>2</v>
      </c>
      <c r="N877" t="str">
        <f t="shared" si="26"/>
        <v>2. 1-24 hours</v>
      </c>
      <c r="O877" t="str">
        <f t="shared" si="27"/>
        <v>2025-10</v>
      </c>
    </row>
    <row r="878" spans="1:15" x14ac:dyDescent="0.3">
      <c r="A878" t="s">
        <v>2116</v>
      </c>
      <c r="B878" t="s">
        <v>2117</v>
      </c>
      <c r="C878" t="s">
        <v>125</v>
      </c>
      <c r="D878" t="s">
        <v>54</v>
      </c>
      <c r="E878" t="s">
        <v>39</v>
      </c>
      <c r="F878" t="s">
        <v>66</v>
      </c>
      <c r="G878">
        <v>4.37</v>
      </c>
      <c r="H878" t="s">
        <v>41</v>
      </c>
      <c r="I878" t="s">
        <v>42</v>
      </c>
      <c r="M878">
        <f>VLOOKUP(H878,'Stage Order'!$A$2:$B$8,2,FALSE)</f>
        <v>2</v>
      </c>
      <c r="N878" t="str">
        <f t="shared" si="26"/>
        <v>2. 1-24 hours</v>
      </c>
      <c r="O878" t="str">
        <f t="shared" si="27"/>
        <v>2026-01</v>
      </c>
    </row>
    <row r="879" spans="1:15" x14ac:dyDescent="0.3">
      <c r="A879" t="s">
        <v>2118</v>
      </c>
      <c r="B879" t="s">
        <v>2119</v>
      </c>
      <c r="C879" t="s">
        <v>81</v>
      </c>
      <c r="D879" t="s">
        <v>38</v>
      </c>
      <c r="E879" t="s">
        <v>90</v>
      </c>
      <c r="F879" t="s">
        <v>91</v>
      </c>
      <c r="G879">
        <v>3.03</v>
      </c>
      <c r="H879" t="s">
        <v>41</v>
      </c>
      <c r="I879" t="s">
        <v>42</v>
      </c>
      <c r="M879">
        <f>VLOOKUP(H879,'Stage Order'!$A$2:$B$8,2,FALSE)</f>
        <v>2</v>
      </c>
      <c r="N879" t="str">
        <f t="shared" si="26"/>
        <v>2. 1-24 hours</v>
      </c>
      <c r="O879" t="str">
        <f t="shared" si="27"/>
        <v>2025-01</v>
      </c>
    </row>
    <row r="880" spans="1:15" x14ac:dyDescent="0.3">
      <c r="A880" t="s">
        <v>2120</v>
      </c>
      <c r="B880" t="s">
        <v>2121</v>
      </c>
      <c r="C880" t="s">
        <v>76</v>
      </c>
      <c r="D880" t="s">
        <v>77</v>
      </c>
      <c r="E880" t="s">
        <v>59</v>
      </c>
      <c r="F880" t="s">
        <v>137</v>
      </c>
      <c r="G880">
        <v>7.51</v>
      </c>
      <c r="H880" t="s">
        <v>138</v>
      </c>
      <c r="I880" t="s">
        <v>48</v>
      </c>
      <c r="J880" t="s">
        <v>113</v>
      </c>
      <c r="K880">
        <v>1105.3399999999999</v>
      </c>
      <c r="L880" t="s">
        <v>2122</v>
      </c>
      <c r="M880">
        <f>VLOOKUP(H880,'Stage Order'!$A$2:$B$8,2,FALSE)</f>
        <v>6</v>
      </c>
      <c r="N880" t="str">
        <f t="shared" si="26"/>
        <v>2. 1-24 hours</v>
      </c>
      <c r="O880" t="str">
        <f t="shared" si="27"/>
        <v>2026-05</v>
      </c>
    </row>
    <row r="881" spans="1:15" x14ac:dyDescent="0.3">
      <c r="A881" t="s">
        <v>2123</v>
      </c>
      <c r="B881" t="s">
        <v>2124</v>
      </c>
      <c r="C881" t="s">
        <v>37</v>
      </c>
      <c r="D881" t="s">
        <v>29</v>
      </c>
      <c r="E881" t="s">
        <v>59</v>
      </c>
      <c r="F881" t="s">
        <v>137</v>
      </c>
      <c r="G881">
        <v>2.5</v>
      </c>
      <c r="H881" t="s">
        <v>41</v>
      </c>
      <c r="I881" t="s">
        <v>42</v>
      </c>
      <c r="M881">
        <f>VLOOKUP(H881,'Stage Order'!$A$2:$B$8,2,FALSE)</f>
        <v>2</v>
      </c>
      <c r="N881" t="str">
        <f t="shared" si="26"/>
        <v>2. 1-24 hours</v>
      </c>
      <c r="O881" t="str">
        <f t="shared" si="27"/>
        <v>2026-05</v>
      </c>
    </row>
    <row r="882" spans="1:15" x14ac:dyDescent="0.3">
      <c r="A882" t="s">
        <v>2125</v>
      </c>
      <c r="B882" t="s">
        <v>2126</v>
      </c>
      <c r="C882" t="s">
        <v>81</v>
      </c>
      <c r="D882" t="s">
        <v>77</v>
      </c>
      <c r="E882" t="s">
        <v>30</v>
      </c>
      <c r="F882" t="s">
        <v>31</v>
      </c>
      <c r="G882">
        <v>6.17</v>
      </c>
      <c r="H882" t="s">
        <v>61</v>
      </c>
      <c r="I882" t="s">
        <v>42</v>
      </c>
      <c r="M882">
        <f>VLOOKUP(H882,'Stage Order'!$A$2:$B$8,2,FALSE)</f>
        <v>1</v>
      </c>
      <c r="N882" t="str">
        <f t="shared" si="26"/>
        <v>2. 1-24 hours</v>
      </c>
      <c r="O882" t="str">
        <f t="shared" si="27"/>
        <v>2025-12</v>
      </c>
    </row>
    <row r="883" spans="1:15" x14ac:dyDescent="0.3">
      <c r="A883" t="s">
        <v>2127</v>
      </c>
      <c r="B883" t="s">
        <v>2128</v>
      </c>
      <c r="C883" t="s">
        <v>76</v>
      </c>
      <c r="D883" t="s">
        <v>38</v>
      </c>
      <c r="E883" t="s">
        <v>39</v>
      </c>
      <c r="F883" t="s">
        <v>106</v>
      </c>
      <c r="G883">
        <v>4.2699999999999996</v>
      </c>
      <c r="H883" t="s">
        <v>41</v>
      </c>
      <c r="I883" t="s">
        <v>42</v>
      </c>
      <c r="M883">
        <f>VLOOKUP(H883,'Stage Order'!$A$2:$B$8,2,FALSE)</f>
        <v>2</v>
      </c>
      <c r="N883" t="str">
        <f t="shared" si="26"/>
        <v>2. 1-24 hours</v>
      </c>
      <c r="O883" t="str">
        <f t="shared" si="27"/>
        <v>2025-11</v>
      </c>
    </row>
    <row r="884" spans="1:15" x14ac:dyDescent="0.3">
      <c r="A884" t="s">
        <v>2129</v>
      </c>
      <c r="B884" t="s">
        <v>2130</v>
      </c>
      <c r="C884" t="s">
        <v>37</v>
      </c>
      <c r="D884" t="s">
        <v>77</v>
      </c>
      <c r="E884" t="s">
        <v>30</v>
      </c>
      <c r="F884" t="s">
        <v>31</v>
      </c>
      <c r="G884">
        <v>7.86</v>
      </c>
      <c r="H884" t="s">
        <v>146</v>
      </c>
      <c r="I884" t="s">
        <v>48</v>
      </c>
      <c r="J884" t="s">
        <v>742</v>
      </c>
      <c r="K884">
        <v>870.62</v>
      </c>
      <c r="L884" t="s">
        <v>2131</v>
      </c>
      <c r="M884">
        <f>VLOOKUP(H884,'Stage Order'!$A$2:$B$8,2,FALSE)</f>
        <v>5</v>
      </c>
      <c r="N884" t="str">
        <f t="shared" si="26"/>
        <v>2. 1-24 hours</v>
      </c>
      <c r="O884" t="str">
        <f t="shared" si="27"/>
        <v>2025-05</v>
      </c>
    </row>
    <row r="885" spans="1:15" x14ac:dyDescent="0.3">
      <c r="A885" t="s">
        <v>2132</v>
      </c>
      <c r="B885" t="s">
        <v>2133</v>
      </c>
      <c r="C885" t="s">
        <v>53</v>
      </c>
      <c r="D885" t="s">
        <v>77</v>
      </c>
      <c r="E885" t="s">
        <v>30</v>
      </c>
      <c r="F885" t="s">
        <v>78</v>
      </c>
      <c r="G885">
        <v>1.38</v>
      </c>
      <c r="H885" t="s">
        <v>41</v>
      </c>
      <c r="I885" t="s">
        <v>42</v>
      </c>
      <c r="M885">
        <f>VLOOKUP(H885,'Stage Order'!$A$2:$B$8,2,FALSE)</f>
        <v>2</v>
      </c>
      <c r="N885" t="str">
        <f t="shared" si="26"/>
        <v>2. 1-24 hours</v>
      </c>
      <c r="O885" t="str">
        <f t="shared" si="27"/>
        <v>2025-09</v>
      </c>
    </row>
    <row r="886" spans="1:15" x14ac:dyDescent="0.3">
      <c r="A886" t="s">
        <v>2134</v>
      </c>
      <c r="B886" t="s">
        <v>2135</v>
      </c>
      <c r="C886" t="s">
        <v>58</v>
      </c>
      <c r="D886" t="s">
        <v>54</v>
      </c>
      <c r="E886" t="s">
        <v>39</v>
      </c>
      <c r="F886" t="s">
        <v>106</v>
      </c>
      <c r="G886">
        <v>2.63</v>
      </c>
      <c r="H886" t="s">
        <v>41</v>
      </c>
      <c r="I886" t="s">
        <v>42</v>
      </c>
      <c r="M886">
        <f>VLOOKUP(H886,'Stage Order'!$A$2:$B$8,2,FALSE)</f>
        <v>2</v>
      </c>
      <c r="N886" t="str">
        <f t="shared" si="26"/>
        <v>2. 1-24 hours</v>
      </c>
      <c r="O886" t="str">
        <f t="shared" si="27"/>
        <v>2026-03</v>
      </c>
    </row>
    <row r="887" spans="1:15" x14ac:dyDescent="0.3">
      <c r="A887" t="s">
        <v>2136</v>
      </c>
      <c r="B887" t="s">
        <v>2137</v>
      </c>
      <c r="C887" t="s">
        <v>37</v>
      </c>
      <c r="D887" t="s">
        <v>29</v>
      </c>
      <c r="E887" t="s">
        <v>39</v>
      </c>
      <c r="F887" t="s">
        <v>66</v>
      </c>
      <c r="G887">
        <v>14.43</v>
      </c>
      <c r="H887" t="s">
        <v>41</v>
      </c>
      <c r="I887" t="s">
        <v>42</v>
      </c>
      <c r="M887">
        <f>VLOOKUP(H887,'Stage Order'!$A$2:$B$8,2,FALSE)</f>
        <v>2</v>
      </c>
      <c r="N887" t="str">
        <f t="shared" si="26"/>
        <v>2. 1-24 hours</v>
      </c>
      <c r="O887" t="str">
        <f t="shared" si="27"/>
        <v>2025-06</v>
      </c>
    </row>
    <row r="888" spans="1:15" x14ac:dyDescent="0.3">
      <c r="A888" t="s">
        <v>2138</v>
      </c>
      <c r="B888" t="s">
        <v>2139</v>
      </c>
      <c r="C888" t="s">
        <v>76</v>
      </c>
      <c r="D888" t="s">
        <v>54</v>
      </c>
      <c r="E888" t="s">
        <v>45</v>
      </c>
      <c r="F888" t="s">
        <v>94</v>
      </c>
      <c r="G888">
        <v>2.95</v>
      </c>
      <c r="H888" t="s">
        <v>41</v>
      </c>
      <c r="I888" t="s">
        <v>42</v>
      </c>
      <c r="M888">
        <f>VLOOKUP(H888,'Stage Order'!$A$2:$B$8,2,FALSE)</f>
        <v>2</v>
      </c>
      <c r="N888" t="str">
        <f t="shared" si="26"/>
        <v>2. 1-24 hours</v>
      </c>
      <c r="O888" t="str">
        <f t="shared" si="27"/>
        <v>2025-02</v>
      </c>
    </row>
    <row r="889" spans="1:15" x14ac:dyDescent="0.3">
      <c r="A889" t="s">
        <v>2140</v>
      </c>
      <c r="B889" t="s">
        <v>2141</v>
      </c>
      <c r="C889" t="s">
        <v>37</v>
      </c>
      <c r="D889" t="s">
        <v>77</v>
      </c>
      <c r="E889" t="s">
        <v>90</v>
      </c>
      <c r="F889" t="s">
        <v>112</v>
      </c>
      <c r="G889">
        <v>11.36</v>
      </c>
      <c r="H889" t="s">
        <v>61</v>
      </c>
      <c r="I889" t="s">
        <v>42</v>
      </c>
      <c r="M889">
        <f>VLOOKUP(H889,'Stage Order'!$A$2:$B$8,2,FALSE)</f>
        <v>1</v>
      </c>
      <c r="N889" t="str">
        <f t="shared" si="26"/>
        <v>2. 1-24 hours</v>
      </c>
      <c r="O889" t="str">
        <f t="shared" si="27"/>
        <v>2026-04</v>
      </c>
    </row>
    <row r="890" spans="1:15" x14ac:dyDescent="0.3">
      <c r="A890" t="s">
        <v>2142</v>
      </c>
      <c r="B890" t="s">
        <v>2143</v>
      </c>
      <c r="C890" t="s">
        <v>76</v>
      </c>
      <c r="D890" t="s">
        <v>97</v>
      </c>
      <c r="E890" t="s">
        <v>39</v>
      </c>
      <c r="F890" t="s">
        <v>66</v>
      </c>
      <c r="G890">
        <v>11.81</v>
      </c>
      <c r="H890" t="s">
        <v>41</v>
      </c>
      <c r="I890" t="s">
        <v>42</v>
      </c>
      <c r="M890">
        <f>VLOOKUP(H890,'Stage Order'!$A$2:$B$8,2,FALSE)</f>
        <v>2</v>
      </c>
      <c r="N890" t="str">
        <f t="shared" si="26"/>
        <v>2. 1-24 hours</v>
      </c>
      <c r="O890" t="str">
        <f t="shared" si="27"/>
        <v>2025-09</v>
      </c>
    </row>
    <row r="891" spans="1:15" x14ac:dyDescent="0.3">
      <c r="A891" t="s">
        <v>2144</v>
      </c>
      <c r="B891" t="s">
        <v>2145</v>
      </c>
      <c r="C891" t="s">
        <v>53</v>
      </c>
      <c r="D891" t="s">
        <v>29</v>
      </c>
      <c r="E891" t="s">
        <v>59</v>
      </c>
      <c r="F891" t="s">
        <v>60</v>
      </c>
      <c r="G891">
        <v>3.47</v>
      </c>
      <c r="H891" t="s">
        <v>41</v>
      </c>
      <c r="I891" t="s">
        <v>42</v>
      </c>
      <c r="M891">
        <f>VLOOKUP(H891,'Stage Order'!$A$2:$B$8,2,FALSE)</f>
        <v>2</v>
      </c>
      <c r="N891" t="str">
        <f t="shared" si="26"/>
        <v>2. 1-24 hours</v>
      </c>
      <c r="O891" t="str">
        <f t="shared" si="27"/>
        <v>2025-04</v>
      </c>
    </row>
    <row r="892" spans="1:15" x14ac:dyDescent="0.3">
      <c r="A892" t="s">
        <v>2146</v>
      </c>
      <c r="B892" t="s">
        <v>2147</v>
      </c>
      <c r="C892" t="s">
        <v>81</v>
      </c>
      <c r="D892" t="s">
        <v>77</v>
      </c>
      <c r="E892" t="s">
        <v>30</v>
      </c>
      <c r="F892" t="s">
        <v>78</v>
      </c>
      <c r="G892">
        <v>1.63</v>
      </c>
      <c r="H892" t="s">
        <v>61</v>
      </c>
      <c r="I892" t="s">
        <v>42</v>
      </c>
      <c r="M892">
        <f>VLOOKUP(H892,'Stage Order'!$A$2:$B$8,2,FALSE)</f>
        <v>1</v>
      </c>
      <c r="N892" t="str">
        <f t="shared" si="26"/>
        <v>2. 1-24 hours</v>
      </c>
      <c r="O892" t="str">
        <f t="shared" si="27"/>
        <v>2025-04</v>
      </c>
    </row>
    <row r="893" spans="1:15" x14ac:dyDescent="0.3">
      <c r="A893" t="s">
        <v>2148</v>
      </c>
      <c r="B893" t="s">
        <v>2149</v>
      </c>
      <c r="C893" t="s">
        <v>76</v>
      </c>
      <c r="D893" t="s">
        <v>38</v>
      </c>
      <c r="E893" t="s">
        <v>90</v>
      </c>
      <c r="F893" t="s">
        <v>112</v>
      </c>
      <c r="G893">
        <v>4.21</v>
      </c>
      <c r="H893" t="s">
        <v>32</v>
      </c>
      <c r="I893" t="s">
        <v>33</v>
      </c>
      <c r="K893">
        <v>416.06</v>
      </c>
      <c r="L893" t="s">
        <v>2150</v>
      </c>
      <c r="M893">
        <f>VLOOKUP(H893,'Stage Order'!$A$2:$B$8,2,FALSE)</f>
        <v>7</v>
      </c>
      <c r="N893" t="str">
        <f t="shared" si="26"/>
        <v>2. 1-24 hours</v>
      </c>
      <c r="O893" t="str">
        <f t="shared" si="27"/>
        <v>2025-08</v>
      </c>
    </row>
    <row r="894" spans="1:15" x14ac:dyDescent="0.3">
      <c r="A894" t="s">
        <v>2151</v>
      </c>
      <c r="B894" t="s">
        <v>2152</v>
      </c>
      <c r="C894" t="s">
        <v>37</v>
      </c>
      <c r="D894" t="s">
        <v>77</v>
      </c>
      <c r="E894" t="s">
        <v>59</v>
      </c>
      <c r="F894" t="s">
        <v>60</v>
      </c>
      <c r="G894">
        <v>5.31</v>
      </c>
      <c r="H894" t="s">
        <v>41</v>
      </c>
      <c r="I894" t="s">
        <v>42</v>
      </c>
      <c r="M894">
        <f>VLOOKUP(H894,'Stage Order'!$A$2:$B$8,2,FALSE)</f>
        <v>2</v>
      </c>
      <c r="N894" t="str">
        <f t="shared" si="26"/>
        <v>2. 1-24 hours</v>
      </c>
      <c r="O894" t="str">
        <f t="shared" si="27"/>
        <v>2025-07</v>
      </c>
    </row>
    <row r="895" spans="1:15" x14ac:dyDescent="0.3">
      <c r="A895" t="s">
        <v>2153</v>
      </c>
      <c r="B895" t="s">
        <v>2154</v>
      </c>
      <c r="C895" t="s">
        <v>28</v>
      </c>
      <c r="D895" t="s">
        <v>29</v>
      </c>
      <c r="E895" t="s">
        <v>45</v>
      </c>
      <c r="F895" t="s">
        <v>94</v>
      </c>
      <c r="G895">
        <v>2.2999999999999998</v>
      </c>
      <c r="H895" t="s">
        <v>41</v>
      </c>
      <c r="I895" t="s">
        <v>42</v>
      </c>
      <c r="M895">
        <f>VLOOKUP(H895,'Stage Order'!$A$2:$B$8,2,FALSE)</f>
        <v>2</v>
      </c>
      <c r="N895" t="str">
        <f t="shared" si="26"/>
        <v>2. 1-24 hours</v>
      </c>
      <c r="O895" t="str">
        <f t="shared" si="27"/>
        <v>2025-02</v>
      </c>
    </row>
    <row r="896" spans="1:15" x14ac:dyDescent="0.3">
      <c r="A896" t="s">
        <v>2155</v>
      </c>
      <c r="B896" t="s">
        <v>2156</v>
      </c>
      <c r="C896" t="s">
        <v>58</v>
      </c>
      <c r="D896" t="s">
        <v>77</v>
      </c>
      <c r="E896" t="s">
        <v>45</v>
      </c>
      <c r="F896" t="s">
        <v>46</v>
      </c>
      <c r="G896">
        <v>1.64</v>
      </c>
      <c r="H896" t="s">
        <v>41</v>
      </c>
      <c r="I896" t="s">
        <v>42</v>
      </c>
      <c r="M896">
        <f>VLOOKUP(H896,'Stage Order'!$A$2:$B$8,2,FALSE)</f>
        <v>2</v>
      </c>
      <c r="N896" t="str">
        <f t="shared" si="26"/>
        <v>2. 1-24 hours</v>
      </c>
      <c r="O896" t="str">
        <f t="shared" si="27"/>
        <v>2025-08</v>
      </c>
    </row>
    <row r="897" spans="1:15" x14ac:dyDescent="0.3">
      <c r="A897" t="s">
        <v>2157</v>
      </c>
      <c r="B897" t="s">
        <v>2158</v>
      </c>
      <c r="C897" t="s">
        <v>58</v>
      </c>
      <c r="D897" t="s">
        <v>38</v>
      </c>
      <c r="E897" t="s">
        <v>45</v>
      </c>
      <c r="F897" t="s">
        <v>46</v>
      </c>
      <c r="G897">
        <v>20.91</v>
      </c>
      <c r="H897" t="s">
        <v>32</v>
      </c>
      <c r="I897" t="s">
        <v>33</v>
      </c>
      <c r="K897">
        <v>365.86</v>
      </c>
      <c r="L897" t="s">
        <v>2159</v>
      </c>
      <c r="M897">
        <f>VLOOKUP(H897,'Stage Order'!$A$2:$B$8,2,FALSE)</f>
        <v>7</v>
      </c>
      <c r="N897" t="str">
        <f t="shared" si="26"/>
        <v>2. 1-24 hours</v>
      </c>
      <c r="O897" t="str">
        <f t="shared" si="27"/>
        <v>2026-04</v>
      </c>
    </row>
    <row r="898" spans="1:15" x14ac:dyDescent="0.3">
      <c r="A898" t="s">
        <v>2160</v>
      </c>
      <c r="B898" t="s">
        <v>2161</v>
      </c>
      <c r="C898" t="s">
        <v>53</v>
      </c>
      <c r="D898" t="s">
        <v>54</v>
      </c>
      <c r="E898" t="s">
        <v>90</v>
      </c>
      <c r="F898" t="s">
        <v>91</v>
      </c>
      <c r="G898">
        <v>5.54</v>
      </c>
      <c r="H898" t="s">
        <v>32</v>
      </c>
      <c r="I898" t="s">
        <v>33</v>
      </c>
      <c r="K898">
        <v>517.83000000000004</v>
      </c>
      <c r="L898" t="s">
        <v>2162</v>
      </c>
      <c r="M898">
        <f>VLOOKUP(H898,'Stage Order'!$A$2:$B$8,2,FALSE)</f>
        <v>7</v>
      </c>
      <c r="N898" t="str">
        <f t="shared" ref="N898:N961" si="28">IF(G898&lt;=1,"1. Under 1 hour",IF(G898&lt;=24,"2. 1-24 hours",IF(G898&lt;=72,"3. 1-3 days","4. Over 3 days")))</f>
        <v>2. 1-24 hours</v>
      </c>
      <c r="O898" t="str">
        <f t="shared" ref="O898:O961" si="29">TEXT(B898,"YYYY-MM")</f>
        <v>2025-02</v>
      </c>
    </row>
    <row r="899" spans="1:15" x14ac:dyDescent="0.3">
      <c r="A899" t="s">
        <v>2163</v>
      </c>
      <c r="B899" t="s">
        <v>2164</v>
      </c>
      <c r="C899" t="s">
        <v>125</v>
      </c>
      <c r="D899" t="s">
        <v>77</v>
      </c>
      <c r="E899" t="s">
        <v>45</v>
      </c>
      <c r="F899" t="s">
        <v>94</v>
      </c>
      <c r="G899">
        <v>1.1599999999999999</v>
      </c>
      <c r="H899" t="s">
        <v>61</v>
      </c>
      <c r="I899" t="s">
        <v>42</v>
      </c>
      <c r="M899">
        <f>VLOOKUP(H899,'Stage Order'!$A$2:$B$8,2,FALSE)</f>
        <v>1</v>
      </c>
      <c r="N899" t="str">
        <f t="shared" si="28"/>
        <v>2. 1-24 hours</v>
      </c>
      <c r="O899" t="str">
        <f t="shared" si="29"/>
        <v>2026-05</v>
      </c>
    </row>
    <row r="900" spans="1:15" x14ac:dyDescent="0.3">
      <c r="A900" t="s">
        <v>2165</v>
      </c>
      <c r="B900" t="s">
        <v>2166</v>
      </c>
      <c r="C900" t="s">
        <v>58</v>
      </c>
      <c r="D900" t="s">
        <v>29</v>
      </c>
      <c r="E900" t="s">
        <v>90</v>
      </c>
      <c r="F900" t="s">
        <v>91</v>
      </c>
      <c r="G900">
        <v>5.55</v>
      </c>
      <c r="H900" t="s">
        <v>47</v>
      </c>
      <c r="I900" t="s">
        <v>48</v>
      </c>
      <c r="J900" t="s">
        <v>139</v>
      </c>
      <c r="K900">
        <v>703.87</v>
      </c>
      <c r="L900" t="s">
        <v>2167</v>
      </c>
      <c r="M900">
        <f>VLOOKUP(H900,'Stage Order'!$A$2:$B$8,2,FALSE)</f>
        <v>4</v>
      </c>
      <c r="N900" t="str">
        <f t="shared" si="28"/>
        <v>2. 1-24 hours</v>
      </c>
      <c r="O900" t="str">
        <f t="shared" si="29"/>
        <v>2026-02</v>
      </c>
    </row>
    <row r="901" spans="1:15" x14ac:dyDescent="0.3">
      <c r="A901" t="s">
        <v>2168</v>
      </c>
      <c r="B901" t="s">
        <v>2169</v>
      </c>
      <c r="C901" t="s">
        <v>37</v>
      </c>
      <c r="D901" t="s">
        <v>54</v>
      </c>
      <c r="E901" t="s">
        <v>30</v>
      </c>
      <c r="F901" t="s">
        <v>31</v>
      </c>
      <c r="G901">
        <v>0.28999999999999998</v>
      </c>
      <c r="H901" t="s">
        <v>146</v>
      </c>
      <c r="I901" t="s">
        <v>48</v>
      </c>
      <c r="J901" t="s">
        <v>49</v>
      </c>
      <c r="K901">
        <v>450.15</v>
      </c>
      <c r="L901" t="s">
        <v>2170</v>
      </c>
      <c r="M901">
        <f>VLOOKUP(H901,'Stage Order'!$A$2:$B$8,2,FALSE)</f>
        <v>5</v>
      </c>
      <c r="N901" t="str">
        <f t="shared" si="28"/>
        <v>1. Under 1 hour</v>
      </c>
      <c r="O901" t="str">
        <f t="shared" si="29"/>
        <v>2025-09</v>
      </c>
    </row>
    <row r="902" spans="1:15" x14ac:dyDescent="0.3">
      <c r="A902" t="s">
        <v>2171</v>
      </c>
      <c r="B902" t="s">
        <v>2172</v>
      </c>
      <c r="C902" t="s">
        <v>58</v>
      </c>
      <c r="D902" t="s">
        <v>38</v>
      </c>
      <c r="E902" t="s">
        <v>45</v>
      </c>
      <c r="F902" t="s">
        <v>55</v>
      </c>
      <c r="G902">
        <v>4.09</v>
      </c>
      <c r="H902" t="s">
        <v>41</v>
      </c>
      <c r="I902" t="s">
        <v>42</v>
      </c>
      <c r="M902">
        <f>VLOOKUP(H902,'Stage Order'!$A$2:$B$8,2,FALSE)</f>
        <v>2</v>
      </c>
      <c r="N902" t="str">
        <f t="shared" si="28"/>
        <v>2. 1-24 hours</v>
      </c>
      <c r="O902" t="str">
        <f t="shared" si="29"/>
        <v>2025-02</v>
      </c>
    </row>
    <row r="903" spans="1:15" x14ac:dyDescent="0.3">
      <c r="A903" t="s">
        <v>2173</v>
      </c>
      <c r="B903" t="s">
        <v>2174</v>
      </c>
      <c r="C903" t="s">
        <v>53</v>
      </c>
      <c r="D903" t="s">
        <v>38</v>
      </c>
      <c r="E903" t="s">
        <v>45</v>
      </c>
      <c r="F903" t="s">
        <v>55</v>
      </c>
      <c r="G903">
        <v>10.98</v>
      </c>
      <c r="H903" t="s">
        <v>41</v>
      </c>
      <c r="I903" t="s">
        <v>42</v>
      </c>
      <c r="M903">
        <f>VLOOKUP(H903,'Stage Order'!$A$2:$B$8,2,FALSE)</f>
        <v>2</v>
      </c>
      <c r="N903" t="str">
        <f t="shared" si="28"/>
        <v>2. 1-24 hours</v>
      </c>
      <c r="O903" t="str">
        <f t="shared" si="29"/>
        <v>2025-10</v>
      </c>
    </row>
    <row r="904" spans="1:15" x14ac:dyDescent="0.3">
      <c r="A904" t="s">
        <v>2175</v>
      </c>
      <c r="B904" t="s">
        <v>2176</v>
      </c>
      <c r="C904" t="s">
        <v>76</v>
      </c>
      <c r="D904" t="s">
        <v>54</v>
      </c>
      <c r="E904" t="s">
        <v>30</v>
      </c>
      <c r="F904" t="s">
        <v>82</v>
      </c>
      <c r="G904">
        <v>2.25</v>
      </c>
      <c r="H904" t="s">
        <v>41</v>
      </c>
      <c r="I904" t="s">
        <v>42</v>
      </c>
      <c r="M904">
        <f>VLOOKUP(H904,'Stage Order'!$A$2:$B$8,2,FALSE)</f>
        <v>2</v>
      </c>
      <c r="N904" t="str">
        <f t="shared" si="28"/>
        <v>2. 1-24 hours</v>
      </c>
      <c r="O904" t="str">
        <f t="shared" si="29"/>
        <v>2025-12</v>
      </c>
    </row>
    <row r="905" spans="1:15" x14ac:dyDescent="0.3">
      <c r="A905" t="s">
        <v>2177</v>
      </c>
      <c r="B905" t="s">
        <v>2178</v>
      </c>
      <c r="C905" t="s">
        <v>58</v>
      </c>
      <c r="D905" t="s">
        <v>54</v>
      </c>
      <c r="E905" t="s">
        <v>45</v>
      </c>
      <c r="F905" t="s">
        <v>46</v>
      </c>
      <c r="G905">
        <v>2.71</v>
      </c>
      <c r="H905" t="s">
        <v>41</v>
      </c>
      <c r="I905" t="s">
        <v>42</v>
      </c>
      <c r="M905">
        <f>VLOOKUP(H905,'Stage Order'!$A$2:$B$8,2,FALSE)</f>
        <v>2</v>
      </c>
      <c r="N905" t="str">
        <f t="shared" si="28"/>
        <v>2. 1-24 hours</v>
      </c>
      <c r="O905" t="str">
        <f t="shared" si="29"/>
        <v>2026-02</v>
      </c>
    </row>
    <row r="906" spans="1:15" x14ac:dyDescent="0.3">
      <c r="A906" t="s">
        <v>2179</v>
      </c>
      <c r="B906" t="s">
        <v>2180</v>
      </c>
      <c r="C906" t="s">
        <v>28</v>
      </c>
      <c r="D906" t="s">
        <v>38</v>
      </c>
      <c r="E906" t="s">
        <v>39</v>
      </c>
      <c r="F906" t="s">
        <v>40</v>
      </c>
      <c r="G906">
        <v>3.26</v>
      </c>
      <c r="H906" t="s">
        <v>41</v>
      </c>
      <c r="I906" t="s">
        <v>42</v>
      </c>
      <c r="M906">
        <f>VLOOKUP(H906,'Stage Order'!$A$2:$B$8,2,FALSE)</f>
        <v>2</v>
      </c>
      <c r="N906" t="str">
        <f t="shared" si="28"/>
        <v>2. 1-24 hours</v>
      </c>
      <c r="O906" t="str">
        <f t="shared" si="29"/>
        <v>2025-03</v>
      </c>
    </row>
    <row r="907" spans="1:15" x14ac:dyDescent="0.3">
      <c r="A907" t="s">
        <v>2181</v>
      </c>
      <c r="B907" t="s">
        <v>2182</v>
      </c>
      <c r="C907" t="s">
        <v>58</v>
      </c>
      <c r="D907" t="s">
        <v>29</v>
      </c>
      <c r="E907" t="s">
        <v>45</v>
      </c>
      <c r="F907" t="s">
        <v>46</v>
      </c>
      <c r="G907">
        <v>3.12</v>
      </c>
      <c r="H907" t="s">
        <v>146</v>
      </c>
      <c r="I907" t="s">
        <v>48</v>
      </c>
      <c r="J907" t="s">
        <v>113</v>
      </c>
      <c r="K907">
        <v>607.84</v>
      </c>
      <c r="L907" t="s">
        <v>2183</v>
      </c>
      <c r="M907">
        <f>VLOOKUP(H907,'Stage Order'!$A$2:$B$8,2,FALSE)</f>
        <v>5</v>
      </c>
      <c r="N907" t="str">
        <f t="shared" si="28"/>
        <v>2. 1-24 hours</v>
      </c>
      <c r="O907" t="str">
        <f t="shared" si="29"/>
        <v>2026-02</v>
      </c>
    </row>
    <row r="908" spans="1:15" x14ac:dyDescent="0.3">
      <c r="A908" t="s">
        <v>2184</v>
      </c>
      <c r="B908" t="s">
        <v>2185</v>
      </c>
      <c r="C908" t="s">
        <v>53</v>
      </c>
      <c r="D908" t="s">
        <v>97</v>
      </c>
      <c r="E908" t="s">
        <v>59</v>
      </c>
      <c r="F908" t="s">
        <v>137</v>
      </c>
      <c r="G908">
        <v>7.21</v>
      </c>
      <c r="H908" t="s">
        <v>32</v>
      </c>
      <c r="I908" t="s">
        <v>33</v>
      </c>
      <c r="K908">
        <v>1341.78</v>
      </c>
      <c r="L908" t="s">
        <v>2186</v>
      </c>
      <c r="M908">
        <f>VLOOKUP(H908,'Stage Order'!$A$2:$B$8,2,FALSE)</f>
        <v>7</v>
      </c>
      <c r="N908" t="str">
        <f t="shared" si="28"/>
        <v>2. 1-24 hours</v>
      </c>
      <c r="O908" t="str">
        <f t="shared" si="29"/>
        <v>2025-10</v>
      </c>
    </row>
    <row r="909" spans="1:15" x14ac:dyDescent="0.3">
      <c r="A909" t="s">
        <v>2187</v>
      </c>
      <c r="B909" t="s">
        <v>2188</v>
      </c>
      <c r="C909" t="s">
        <v>53</v>
      </c>
      <c r="D909" t="s">
        <v>29</v>
      </c>
      <c r="E909" t="s">
        <v>39</v>
      </c>
      <c r="F909" t="s">
        <v>106</v>
      </c>
      <c r="G909">
        <v>2.0299999999999998</v>
      </c>
      <c r="H909" t="s">
        <v>138</v>
      </c>
      <c r="I909" t="s">
        <v>48</v>
      </c>
      <c r="J909" t="s">
        <v>139</v>
      </c>
      <c r="K909">
        <v>650.95000000000005</v>
      </c>
      <c r="L909" t="s">
        <v>2189</v>
      </c>
      <c r="M909">
        <f>VLOOKUP(H909,'Stage Order'!$A$2:$B$8,2,FALSE)</f>
        <v>6</v>
      </c>
      <c r="N909" t="str">
        <f t="shared" si="28"/>
        <v>2. 1-24 hours</v>
      </c>
      <c r="O909" t="str">
        <f t="shared" si="29"/>
        <v>2026-01</v>
      </c>
    </row>
    <row r="910" spans="1:15" x14ac:dyDescent="0.3">
      <c r="A910" t="s">
        <v>2190</v>
      </c>
      <c r="B910" t="s">
        <v>2191</v>
      </c>
      <c r="C910" t="s">
        <v>58</v>
      </c>
      <c r="D910" t="s">
        <v>97</v>
      </c>
      <c r="E910" t="s">
        <v>59</v>
      </c>
      <c r="F910" t="s">
        <v>117</v>
      </c>
      <c r="G910">
        <v>1.81</v>
      </c>
      <c r="H910" t="s">
        <v>146</v>
      </c>
      <c r="I910" t="s">
        <v>48</v>
      </c>
      <c r="J910" t="s">
        <v>49</v>
      </c>
      <c r="K910">
        <v>1477.63</v>
      </c>
      <c r="L910" t="s">
        <v>2192</v>
      </c>
      <c r="M910">
        <f>VLOOKUP(H910,'Stage Order'!$A$2:$B$8,2,FALSE)</f>
        <v>5</v>
      </c>
      <c r="N910" t="str">
        <f t="shared" si="28"/>
        <v>2. 1-24 hours</v>
      </c>
      <c r="O910" t="str">
        <f t="shared" si="29"/>
        <v>2025-03</v>
      </c>
    </row>
    <row r="911" spans="1:15" x14ac:dyDescent="0.3">
      <c r="A911" t="s">
        <v>2193</v>
      </c>
      <c r="B911" t="s">
        <v>2194</v>
      </c>
      <c r="C911" t="s">
        <v>37</v>
      </c>
      <c r="D911" t="s">
        <v>38</v>
      </c>
      <c r="E911" t="s">
        <v>45</v>
      </c>
      <c r="F911" t="s">
        <v>94</v>
      </c>
      <c r="G911">
        <v>8.69</v>
      </c>
      <c r="H911" t="s">
        <v>32</v>
      </c>
      <c r="I911" t="s">
        <v>33</v>
      </c>
      <c r="K911">
        <v>289.77999999999997</v>
      </c>
      <c r="L911" t="s">
        <v>2195</v>
      </c>
      <c r="M911">
        <f>VLOOKUP(H911,'Stage Order'!$A$2:$B$8,2,FALSE)</f>
        <v>7</v>
      </c>
      <c r="N911" t="str">
        <f t="shared" si="28"/>
        <v>2. 1-24 hours</v>
      </c>
      <c r="O911" t="str">
        <f t="shared" si="29"/>
        <v>2025-08</v>
      </c>
    </row>
    <row r="912" spans="1:15" x14ac:dyDescent="0.3">
      <c r="A912" t="s">
        <v>2196</v>
      </c>
      <c r="B912" t="s">
        <v>2197</v>
      </c>
      <c r="C912" t="s">
        <v>76</v>
      </c>
      <c r="D912" t="s">
        <v>77</v>
      </c>
      <c r="E912" t="s">
        <v>59</v>
      </c>
      <c r="F912" t="s">
        <v>117</v>
      </c>
      <c r="G912">
        <v>3.99</v>
      </c>
      <c r="H912" t="s">
        <v>41</v>
      </c>
      <c r="I912" t="s">
        <v>42</v>
      </c>
      <c r="M912">
        <f>VLOOKUP(H912,'Stage Order'!$A$2:$B$8,2,FALSE)</f>
        <v>2</v>
      </c>
      <c r="N912" t="str">
        <f t="shared" si="28"/>
        <v>2. 1-24 hours</v>
      </c>
      <c r="O912" t="str">
        <f t="shared" si="29"/>
        <v>2025-03</v>
      </c>
    </row>
    <row r="913" spans="1:15" x14ac:dyDescent="0.3">
      <c r="A913" t="s">
        <v>2198</v>
      </c>
      <c r="B913" t="s">
        <v>2199</v>
      </c>
      <c r="C913" t="s">
        <v>81</v>
      </c>
      <c r="D913" t="s">
        <v>97</v>
      </c>
      <c r="E913" t="s">
        <v>59</v>
      </c>
      <c r="F913" t="s">
        <v>117</v>
      </c>
      <c r="G913">
        <v>1.44</v>
      </c>
      <c r="H913" t="s">
        <v>61</v>
      </c>
      <c r="I913" t="s">
        <v>42</v>
      </c>
      <c r="M913">
        <f>VLOOKUP(H913,'Stage Order'!$A$2:$B$8,2,FALSE)</f>
        <v>1</v>
      </c>
      <c r="N913" t="str">
        <f t="shared" si="28"/>
        <v>2. 1-24 hours</v>
      </c>
      <c r="O913" t="str">
        <f t="shared" si="29"/>
        <v>2026-06</v>
      </c>
    </row>
    <row r="914" spans="1:15" x14ac:dyDescent="0.3">
      <c r="A914" t="s">
        <v>2200</v>
      </c>
      <c r="B914" t="s">
        <v>2201</v>
      </c>
      <c r="C914" t="s">
        <v>81</v>
      </c>
      <c r="D914" t="s">
        <v>54</v>
      </c>
      <c r="E914" t="s">
        <v>59</v>
      </c>
      <c r="F914" t="s">
        <v>117</v>
      </c>
      <c r="G914">
        <v>3.09</v>
      </c>
      <c r="H914" t="s">
        <v>61</v>
      </c>
      <c r="I914" t="s">
        <v>42</v>
      </c>
      <c r="M914">
        <f>VLOOKUP(H914,'Stage Order'!$A$2:$B$8,2,FALSE)</f>
        <v>1</v>
      </c>
      <c r="N914" t="str">
        <f t="shared" si="28"/>
        <v>2. 1-24 hours</v>
      </c>
      <c r="O914" t="str">
        <f t="shared" si="29"/>
        <v>2026-05</v>
      </c>
    </row>
    <row r="915" spans="1:15" x14ac:dyDescent="0.3">
      <c r="A915" t="s">
        <v>2202</v>
      </c>
      <c r="B915" t="s">
        <v>2203</v>
      </c>
      <c r="C915" t="s">
        <v>58</v>
      </c>
      <c r="D915" t="s">
        <v>77</v>
      </c>
      <c r="E915" t="s">
        <v>90</v>
      </c>
      <c r="F915" t="s">
        <v>145</v>
      </c>
      <c r="G915">
        <v>3.85</v>
      </c>
      <c r="H915" t="s">
        <v>41</v>
      </c>
      <c r="I915" t="s">
        <v>42</v>
      </c>
      <c r="M915">
        <f>VLOOKUP(H915,'Stage Order'!$A$2:$B$8,2,FALSE)</f>
        <v>2</v>
      </c>
      <c r="N915" t="str">
        <f t="shared" si="28"/>
        <v>2. 1-24 hours</v>
      </c>
      <c r="O915" t="str">
        <f t="shared" si="29"/>
        <v>2025-02</v>
      </c>
    </row>
    <row r="916" spans="1:15" x14ac:dyDescent="0.3">
      <c r="A916" t="s">
        <v>2204</v>
      </c>
      <c r="B916" t="s">
        <v>2205</v>
      </c>
      <c r="C916" t="s">
        <v>58</v>
      </c>
      <c r="D916" t="s">
        <v>29</v>
      </c>
      <c r="E916" t="s">
        <v>59</v>
      </c>
      <c r="F916" t="s">
        <v>137</v>
      </c>
      <c r="G916">
        <v>14.25</v>
      </c>
      <c r="H916" t="s">
        <v>32</v>
      </c>
      <c r="I916" t="s">
        <v>33</v>
      </c>
      <c r="K916">
        <v>762.2</v>
      </c>
      <c r="L916" t="s">
        <v>2206</v>
      </c>
      <c r="M916">
        <f>VLOOKUP(H916,'Stage Order'!$A$2:$B$8,2,FALSE)</f>
        <v>7</v>
      </c>
      <c r="N916" t="str">
        <f t="shared" si="28"/>
        <v>2. 1-24 hours</v>
      </c>
      <c r="O916" t="str">
        <f t="shared" si="29"/>
        <v>2025-12</v>
      </c>
    </row>
    <row r="917" spans="1:15" x14ac:dyDescent="0.3">
      <c r="A917" t="s">
        <v>2207</v>
      </c>
      <c r="B917" t="s">
        <v>2208</v>
      </c>
      <c r="C917" t="s">
        <v>58</v>
      </c>
      <c r="D917" t="s">
        <v>38</v>
      </c>
      <c r="E917" t="s">
        <v>39</v>
      </c>
      <c r="F917" t="s">
        <v>106</v>
      </c>
      <c r="G917">
        <v>1.21</v>
      </c>
      <c r="H917" t="s">
        <v>61</v>
      </c>
      <c r="I917" t="s">
        <v>42</v>
      </c>
      <c r="M917">
        <f>VLOOKUP(H917,'Stage Order'!$A$2:$B$8,2,FALSE)</f>
        <v>1</v>
      </c>
      <c r="N917" t="str">
        <f t="shared" si="28"/>
        <v>2. 1-24 hours</v>
      </c>
      <c r="O917" t="str">
        <f t="shared" si="29"/>
        <v>2025-08</v>
      </c>
    </row>
    <row r="918" spans="1:15" x14ac:dyDescent="0.3">
      <c r="A918" t="s">
        <v>2209</v>
      </c>
      <c r="B918" t="s">
        <v>2210</v>
      </c>
      <c r="C918" t="s">
        <v>28</v>
      </c>
      <c r="D918" t="s">
        <v>38</v>
      </c>
      <c r="E918" t="s">
        <v>59</v>
      </c>
      <c r="F918" t="s">
        <v>137</v>
      </c>
      <c r="G918">
        <v>4.13</v>
      </c>
      <c r="H918" t="s">
        <v>32</v>
      </c>
      <c r="I918" t="s">
        <v>33</v>
      </c>
      <c r="K918">
        <v>300.38</v>
      </c>
      <c r="L918" t="s">
        <v>2211</v>
      </c>
      <c r="M918">
        <f>VLOOKUP(H918,'Stage Order'!$A$2:$B$8,2,FALSE)</f>
        <v>7</v>
      </c>
      <c r="N918" t="str">
        <f t="shared" si="28"/>
        <v>2. 1-24 hours</v>
      </c>
      <c r="O918" t="str">
        <f t="shared" si="29"/>
        <v>2025-10</v>
      </c>
    </row>
    <row r="919" spans="1:15" x14ac:dyDescent="0.3">
      <c r="A919" t="s">
        <v>2212</v>
      </c>
      <c r="B919" t="s">
        <v>2213</v>
      </c>
      <c r="C919" t="s">
        <v>58</v>
      </c>
      <c r="D919" t="s">
        <v>54</v>
      </c>
      <c r="E919" t="s">
        <v>39</v>
      </c>
      <c r="F919" t="s">
        <v>66</v>
      </c>
      <c r="G919">
        <v>2.97</v>
      </c>
      <c r="H919" t="s">
        <v>61</v>
      </c>
      <c r="I919" t="s">
        <v>42</v>
      </c>
      <c r="M919">
        <f>VLOOKUP(H919,'Stage Order'!$A$2:$B$8,2,FALSE)</f>
        <v>1</v>
      </c>
      <c r="N919" t="str">
        <f t="shared" si="28"/>
        <v>2. 1-24 hours</v>
      </c>
      <c r="O919" t="str">
        <f t="shared" si="29"/>
        <v>2025-07</v>
      </c>
    </row>
    <row r="920" spans="1:15" x14ac:dyDescent="0.3">
      <c r="A920" t="s">
        <v>2214</v>
      </c>
      <c r="B920" t="s">
        <v>2215</v>
      </c>
      <c r="C920" t="s">
        <v>58</v>
      </c>
      <c r="D920" t="s">
        <v>54</v>
      </c>
      <c r="E920" t="s">
        <v>59</v>
      </c>
      <c r="F920" t="s">
        <v>117</v>
      </c>
      <c r="G920">
        <v>8</v>
      </c>
      <c r="H920" t="s">
        <v>41</v>
      </c>
      <c r="I920" t="s">
        <v>42</v>
      </c>
      <c r="M920">
        <f>VLOOKUP(H920,'Stage Order'!$A$2:$B$8,2,FALSE)</f>
        <v>2</v>
      </c>
      <c r="N920" t="str">
        <f t="shared" si="28"/>
        <v>2. 1-24 hours</v>
      </c>
      <c r="O920" t="str">
        <f t="shared" si="29"/>
        <v>2025-02</v>
      </c>
    </row>
    <row r="921" spans="1:15" x14ac:dyDescent="0.3">
      <c r="A921" t="s">
        <v>2216</v>
      </c>
      <c r="B921" t="s">
        <v>2217</v>
      </c>
      <c r="C921" t="s">
        <v>81</v>
      </c>
      <c r="D921" t="s">
        <v>29</v>
      </c>
      <c r="E921" t="s">
        <v>59</v>
      </c>
      <c r="F921" t="s">
        <v>60</v>
      </c>
      <c r="G921">
        <v>2.82</v>
      </c>
      <c r="H921" t="s">
        <v>41</v>
      </c>
      <c r="I921" t="s">
        <v>42</v>
      </c>
      <c r="M921">
        <f>VLOOKUP(H921,'Stage Order'!$A$2:$B$8,2,FALSE)</f>
        <v>2</v>
      </c>
      <c r="N921" t="str">
        <f t="shared" si="28"/>
        <v>2. 1-24 hours</v>
      </c>
      <c r="O921" t="str">
        <f t="shared" si="29"/>
        <v>2026-01</v>
      </c>
    </row>
    <row r="922" spans="1:15" x14ac:dyDescent="0.3">
      <c r="A922" t="s">
        <v>2218</v>
      </c>
      <c r="B922" t="s">
        <v>2219</v>
      </c>
      <c r="C922" t="s">
        <v>58</v>
      </c>
      <c r="D922" t="s">
        <v>97</v>
      </c>
      <c r="E922" t="s">
        <v>59</v>
      </c>
      <c r="F922" t="s">
        <v>117</v>
      </c>
      <c r="G922">
        <v>1</v>
      </c>
      <c r="H922" t="s">
        <v>32</v>
      </c>
      <c r="I922" t="s">
        <v>33</v>
      </c>
      <c r="K922">
        <v>1497.71</v>
      </c>
      <c r="L922" t="s">
        <v>2220</v>
      </c>
      <c r="M922">
        <f>VLOOKUP(H922,'Stage Order'!$A$2:$B$8,2,FALSE)</f>
        <v>7</v>
      </c>
      <c r="N922" t="str">
        <f t="shared" si="28"/>
        <v>1. Under 1 hour</v>
      </c>
      <c r="O922" t="str">
        <f t="shared" si="29"/>
        <v>2025-12</v>
      </c>
    </row>
    <row r="923" spans="1:15" x14ac:dyDescent="0.3">
      <c r="A923" t="s">
        <v>2221</v>
      </c>
      <c r="B923" t="s">
        <v>2222</v>
      </c>
      <c r="C923" t="s">
        <v>81</v>
      </c>
      <c r="D923" t="s">
        <v>77</v>
      </c>
      <c r="E923" t="s">
        <v>39</v>
      </c>
      <c r="F923" t="s">
        <v>66</v>
      </c>
      <c r="G923">
        <v>13.01</v>
      </c>
      <c r="H923" t="s">
        <v>61</v>
      </c>
      <c r="I923" t="s">
        <v>42</v>
      </c>
      <c r="M923">
        <f>VLOOKUP(H923,'Stage Order'!$A$2:$B$8,2,FALSE)</f>
        <v>1</v>
      </c>
      <c r="N923" t="str">
        <f t="shared" si="28"/>
        <v>2. 1-24 hours</v>
      </c>
      <c r="O923" t="str">
        <f t="shared" si="29"/>
        <v>2026-01</v>
      </c>
    </row>
    <row r="924" spans="1:15" x14ac:dyDescent="0.3">
      <c r="A924" t="s">
        <v>2223</v>
      </c>
      <c r="B924" t="s">
        <v>2224</v>
      </c>
      <c r="C924" t="s">
        <v>37</v>
      </c>
      <c r="D924" t="s">
        <v>77</v>
      </c>
      <c r="E924" t="s">
        <v>39</v>
      </c>
      <c r="F924" t="s">
        <v>66</v>
      </c>
      <c r="G924">
        <v>12.32</v>
      </c>
      <c r="H924" t="s">
        <v>61</v>
      </c>
      <c r="I924" t="s">
        <v>42</v>
      </c>
      <c r="M924">
        <f>VLOOKUP(H924,'Stage Order'!$A$2:$B$8,2,FALSE)</f>
        <v>1</v>
      </c>
      <c r="N924" t="str">
        <f t="shared" si="28"/>
        <v>2. 1-24 hours</v>
      </c>
      <c r="O924" t="str">
        <f t="shared" si="29"/>
        <v>2025-11</v>
      </c>
    </row>
    <row r="925" spans="1:15" x14ac:dyDescent="0.3">
      <c r="A925" t="s">
        <v>2225</v>
      </c>
      <c r="B925" t="s">
        <v>2226</v>
      </c>
      <c r="C925" t="s">
        <v>58</v>
      </c>
      <c r="D925" t="s">
        <v>77</v>
      </c>
      <c r="E925" t="s">
        <v>90</v>
      </c>
      <c r="F925" t="s">
        <v>145</v>
      </c>
      <c r="G925">
        <v>0.88</v>
      </c>
      <c r="H925" t="s">
        <v>41</v>
      </c>
      <c r="I925" t="s">
        <v>42</v>
      </c>
      <c r="M925">
        <f>VLOOKUP(H925,'Stage Order'!$A$2:$B$8,2,FALSE)</f>
        <v>2</v>
      </c>
      <c r="N925" t="str">
        <f t="shared" si="28"/>
        <v>1. Under 1 hour</v>
      </c>
      <c r="O925" t="str">
        <f t="shared" si="29"/>
        <v>2026-02</v>
      </c>
    </row>
    <row r="926" spans="1:15" x14ac:dyDescent="0.3">
      <c r="A926" t="s">
        <v>2227</v>
      </c>
      <c r="B926" t="s">
        <v>2228</v>
      </c>
      <c r="C926" t="s">
        <v>58</v>
      </c>
      <c r="D926" t="s">
        <v>29</v>
      </c>
      <c r="E926" t="s">
        <v>59</v>
      </c>
      <c r="F926" t="s">
        <v>137</v>
      </c>
      <c r="G926">
        <v>16.559999999999999</v>
      </c>
      <c r="H926" t="s">
        <v>41</v>
      </c>
      <c r="I926" t="s">
        <v>42</v>
      </c>
      <c r="M926">
        <f>VLOOKUP(H926,'Stage Order'!$A$2:$B$8,2,FALSE)</f>
        <v>2</v>
      </c>
      <c r="N926" t="str">
        <f t="shared" si="28"/>
        <v>2. 1-24 hours</v>
      </c>
      <c r="O926" t="str">
        <f t="shared" si="29"/>
        <v>2026-01</v>
      </c>
    </row>
    <row r="927" spans="1:15" x14ac:dyDescent="0.3">
      <c r="A927" t="s">
        <v>2229</v>
      </c>
      <c r="B927" t="s">
        <v>2230</v>
      </c>
      <c r="C927" t="s">
        <v>53</v>
      </c>
      <c r="D927" t="s">
        <v>97</v>
      </c>
      <c r="E927" t="s">
        <v>39</v>
      </c>
      <c r="F927" t="s">
        <v>66</v>
      </c>
      <c r="G927">
        <v>5.31</v>
      </c>
      <c r="H927" t="s">
        <v>41</v>
      </c>
      <c r="I927" t="s">
        <v>42</v>
      </c>
      <c r="M927">
        <f>VLOOKUP(H927,'Stage Order'!$A$2:$B$8,2,FALSE)</f>
        <v>2</v>
      </c>
      <c r="N927" t="str">
        <f t="shared" si="28"/>
        <v>2. 1-24 hours</v>
      </c>
      <c r="O927" t="str">
        <f t="shared" si="29"/>
        <v>2025-02</v>
      </c>
    </row>
    <row r="928" spans="1:15" x14ac:dyDescent="0.3">
      <c r="A928" t="s">
        <v>2231</v>
      </c>
      <c r="B928" t="s">
        <v>2232</v>
      </c>
      <c r="C928" t="s">
        <v>53</v>
      </c>
      <c r="D928" t="s">
        <v>54</v>
      </c>
      <c r="E928" t="s">
        <v>39</v>
      </c>
      <c r="F928" t="s">
        <v>106</v>
      </c>
      <c r="G928">
        <v>5.07</v>
      </c>
      <c r="H928" t="s">
        <v>138</v>
      </c>
      <c r="I928" t="s">
        <v>48</v>
      </c>
      <c r="J928" t="s">
        <v>98</v>
      </c>
      <c r="K928">
        <v>470.31</v>
      </c>
      <c r="L928" t="s">
        <v>2233</v>
      </c>
      <c r="M928">
        <f>VLOOKUP(H928,'Stage Order'!$A$2:$B$8,2,FALSE)</f>
        <v>6</v>
      </c>
      <c r="N928" t="str">
        <f t="shared" si="28"/>
        <v>2. 1-24 hours</v>
      </c>
      <c r="O928" t="str">
        <f t="shared" si="29"/>
        <v>2025-05</v>
      </c>
    </row>
    <row r="929" spans="1:15" x14ac:dyDescent="0.3">
      <c r="A929" t="s">
        <v>2234</v>
      </c>
      <c r="B929" t="s">
        <v>2235</v>
      </c>
      <c r="C929" t="s">
        <v>58</v>
      </c>
      <c r="D929" t="s">
        <v>38</v>
      </c>
      <c r="E929" t="s">
        <v>90</v>
      </c>
      <c r="F929" t="s">
        <v>112</v>
      </c>
      <c r="G929">
        <v>1.61</v>
      </c>
      <c r="H929" t="s">
        <v>41</v>
      </c>
      <c r="I929" t="s">
        <v>42</v>
      </c>
      <c r="M929">
        <f>VLOOKUP(H929,'Stage Order'!$A$2:$B$8,2,FALSE)</f>
        <v>2</v>
      </c>
      <c r="N929" t="str">
        <f t="shared" si="28"/>
        <v>2. 1-24 hours</v>
      </c>
      <c r="O929" t="str">
        <f t="shared" si="29"/>
        <v>2025-04</v>
      </c>
    </row>
    <row r="930" spans="1:15" x14ac:dyDescent="0.3">
      <c r="A930" t="s">
        <v>2236</v>
      </c>
      <c r="B930" t="s">
        <v>2237</v>
      </c>
      <c r="C930" t="s">
        <v>53</v>
      </c>
      <c r="D930" t="s">
        <v>54</v>
      </c>
      <c r="E930" t="s">
        <v>39</v>
      </c>
      <c r="F930" t="s">
        <v>40</v>
      </c>
      <c r="G930">
        <v>6.68</v>
      </c>
      <c r="H930" t="s">
        <v>32</v>
      </c>
      <c r="I930" t="s">
        <v>33</v>
      </c>
      <c r="K930">
        <v>472.04</v>
      </c>
      <c r="L930" t="s">
        <v>2238</v>
      </c>
      <c r="M930">
        <f>VLOOKUP(H930,'Stage Order'!$A$2:$B$8,2,FALSE)</f>
        <v>7</v>
      </c>
      <c r="N930" t="str">
        <f t="shared" si="28"/>
        <v>2. 1-24 hours</v>
      </c>
      <c r="O930" t="str">
        <f t="shared" si="29"/>
        <v>2026-01</v>
      </c>
    </row>
    <row r="931" spans="1:15" x14ac:dyDescent="0.3">
      <c r="A931" t="s">
        <v>2239</v>
      </c>
      <c r="B931" t="s">
        <v>2240</v>
      </c>
      <c r="C931" t="s">
        <v>37</v>
      </c>
      <c r="D931" t="s">
        <v>38</v>
      </c>
      <c r="E931" t="s">
        <v>45</v>
      </c>
      <c r="F931" t="s">
        <v>55</v>
      </c>
      <c r="G931">
        <v>5.0599999999999996</v>
      </c>
      <c r="H931" t="s">
        <v>146</v>
      </c>
      <c r="I931" t="s">
        <v>48</v>
      </c>
      <c r="J931" t="s">
        <v>98</v>
      </c>
      <c r="K931">
        <v>359.75</v>
      </c>
      <c r="L931" t="s">
        <v>2241</v>
      </c>
      <c r="M931">
        <f>VLOOKUP(H931,'Stage Order'!$A$2:$B$8,2,FALSE)</f>
        <v>5</v>
      </c>
      <c r="N931" t="str">
        <f t="shared" si="28"/>
        <v>2. 1-24 hours</v>
      </c>
      <c r="O931" t="str">
        <f t="shared" si="29"/>
        <v>2026-02</v>
      </c>
    </row>
    <row r="932" spans="1:15" x14ac:dyDescent="0.3">
      <c r="A932" t="s">
        <v>2242</v>
      </c>
      <c r="B932" t="s">
        <v>2243</v>
      </c>
      <c r="C932" t="s">
        <v>37</v>
      </c>
      <c r="D932" t="s">
        <v>54</v>
      </c>
      <c r="E932" t="s">
        <v>90</v>
      </c>
      <c r="F932" t="s">
        <v>91</v>
      </c>
      <c r="G932">
        <v>5.47</v>
      </c>
      <c r="H932" t="s">
        <v>41</v>
      </c>
      <c r="I932" t="s">
        <v>42</v>
      </c>
      <c r="M932">
        <f>VLOOKUP(H932,'Stage Order'!$A$2:$B$8,2,FALSE)</f>
        <v>2</v>
      </c>
      <c r="N932" t="str">
        <f t="shared" si="28"/>
        <v>2. 1-24 hours</v>
      </c>
      <c r="O932" t="str">
        <f t="shared" si="29"/>
        <v>2025-02</v>
      </c>
    </row>
    <row r="933" spans="1:15" x14ac:dyDescent="0.3">
      <c r="A933" t="s">
        <v>2244</v>
      </c>
      <c r="B933" t="s">
        <v>2245</v>
      </c>
      <c r="C933" t="s">
        <v>125</v>
      </c>
      <c r="D933" t="s">
        <v>54</v>
      </c>
      <c r="E933" t="s">
        <v>30</v>
      </c>
      <c r="F933" t="s">
        <v>82</v>
      </c>
      <c r="G933">
        <v>3.23</v>
      </c>
      <c r="H933" t="s">
        <v>47</v>
      </c>
      <c r="I933" t="s">
        <v>48</v>
      </c>
      <c r="J933" t="s">
        <v>139</v>
      </c>
      <c r="K933">
        <v>475.42</v>
      </c>
      <c r="L933" t="s">
        <v>2246</v>
      </c>
      <c r="M933">
        <f>VLOOKUP(H933,'Stage Order'!$A$2:$B$8,2,FALSE)</f>
        <v>4</v>
      </c>
      <c r="N933" t="str">
        <f t="shared" si="28"/>
        <v>2. 1-24 hours</v>
      </c>
      <c r="O933" t="str">
        <f t="shared" si="29"/>
        <v>2025-08</v>
      </c>
    </row>
    <row r="934" spans="1:15" x14ac:dyDescent="0.3">
      <c r="A934" t="s">
        <v>2247</v>
      </c>
      <c r="B934" t="s">
        <v>2248</v>
      </c>
      <c r="C934" t="s">
        <v>28</v>
      </c>
      <c r="D934" t="s">
        <v>29</v>
      </c>
      <c r="E934" t="s">
        <v>39</v>
      </c>
      <c r="F934" t="s">
        <v>106</v>
      </c>
      <c r="G934">
        <v>2.97</v>
      </c>
      <c r="H934" t="s">
        <v>41</v>
      </c>
      <c r="I934" t="s">
        <v>42</v>
      </c>
      <c r="M934">
        <f>VLOOKUP(H934,'Stage Order'!$A$2:$B$8,2,FALSE)</f>
        <v>2</v>
      </c>
      <c r="N934" t="str">
        <f t="shared" si="28"/>
        <v>2. 1-24 hours</v>
      </c>
      <c r="O934" t="str">
        <f t="shared" si="29"/>
        <v>2026-03</v>
      </c>
    </row>
    <row r="935" spans="1:15" x14ac:dyDescent="0.3">
      <c r="A935" t="s">
        <v>2249</v>
      </c>
      <c r="B935" t="s">
        <v>2250</v>
      </c>
      <c r="C935" t="s">
        <v>58</v>
      </c>
      <c r="D935" t="s">
        <v>29</v>
      </c>
      <c r="E935" t="s">
        <v>45</v>
      </c>
      <c r="F935" t="s">
        <v>55</v>
      </c>
      <c r="G935">
        <v>4.51</v>
      </c>
      <c r="H935" t="s">
        <v>41</v>
      </c>
      <c r="I935" t="s">
        <v>42</v>
      </c>
      <c r="M935">
        <f>VLOOKUP(H935,'Stage Order'!$A$2:$B$8,2,FALSE)</f>
        <v>2</v>
      </c>
      <c r="N935" t="str">
        <f t="shared" si="28"/>
        <v>2. 1-24 hours</v>
      </c>
      <c r="O935" t="str">
        <f t="shared" si="29"/>
        <v>2025-04</v>
      </c>
    </row>
    <row r="936" spans="1:15" x14ac:dyDescent="0.3">
      <c r="A936" t="s">
        <v>2251</v>
      </c>
      <c r="B936" t="s">
        <v>2252</v>
      </c>
      <c r="C936" t="s">
        <v>28</v>
      </c>
      <c r="D936" t="s">
        <v>54</v>
      </c>
      <c r="E936" t="s">
        <v>59</v>
      </c>
      <c r="F936" t="s">
        <v>117</v>
      </c>
      <c r="G936">
        <v>7.79</v>
      </c>
      <c r="H936" t="s">
        <v>61</v>
      </c>
      <c r="I936" t="s">
        <v>42</v>
      </c>
      <c r="M936">
        <f>VLOOKUP(H936,'Stage Order'!$A$2:$B$8,2,FALSE)</f>
        <v>1</v>
      </c>
      <c r="N936" t="str">
        <f t="shared" si="28"/>
        <v>2. 1-24 hours</v>
      </c>
      <c r="O936" t="str">
        <f t="shared" si="29"/>
        <v>2025-05</v>
      </c>
    </row>
    <row r="937" spans="1:15" x14ac:dyDescent="0.3">
      <c r="A937" t="s">
        <v>2253</v>
      </c>
      <c r="B937" t="s">
        <v>2254</v>
      </c>
      <c r="C937" t="s">
        <v>37</v>
      </c>
      <c r="D937" t="s">
        <v>29</v>
      </c>
      <c r="E937" t="s">
        <v>30</v>
      </c>
      <c r="F937" t="s">
        <v>78</v>
      </c>
      <c r="G937">
        <v>3.47</v>
      </c>
      <c r="H937" t="s">
        <v>41</v>
      </c>
      <c r="I937" t="s">
        <v>42</v>
      </c>
      <c r="M937">
        <f>VLOOKUP(H937,'Stage Order'!$A$2:$B$8,2,FALSE)</f>
        <v>2</v>
      </c>
      <c r="N937" t="str">
        <f t="shared" si="28"/>
        <v>2. 1-24 hours</v>
      </c>
      <c r="O937" t="str">
        <f t="shared" si="29"/>
        <v>2025-08</v>
      </c>
    </row>
    <row r="938" spans="1:15" x14ac:dyDescent="0.3">
      <c r="A938" t="s">
        <v>2255</v>
      </c>
      <c r="B938" t="s">
        <v>2256</v>
      </c>
      <c r="C938" t="s">
        <v>53</v>
      </c>
      <c r="D938" t="s">
        <v>38</v>
      </c>
      <c r="E938" t="s">
        <v>90</v>
      </c>
      <c r="F938" t="s">
        <v>145</v>
      </c>
      <c r="G938">
        <v>2.7</v>
      </c>
      <c r="H938" t="s">
        <v>41</v>
      </c>
      <c r="I938" t="s">
        <v>42</v>
      </c>
      <c r="M938">
        <f>VLOOKUP(H938,'Stage Order'!$A$2:$B$8,2,FALSE)</f>
        <v>2</v>
      </c>
      <c r="N938" t="str">
        <f t="shared" si="28"/>
        <v>2. 1-24 hours</v>
      </c>
      <c r="O938" t="str">
        <f t="shared" si="29"/>
        <v>2025-07</v>
      </c>
    </row>
    <row r="939" spans="1:15" x14ac:dyDescent="0.3">
      <c r="A939" t="s">
        <v>2257</v>
      </c>
      <c r="B939" t="s">
        <v>2258</v>
      </c>
      <c r="C939" t="s">
        <v>125</v>
      </c>
      <c r="D939" t="s">
        <v>54</v>
      </c>
      <c r="E939" t="s">
        <v>39</v>
      </c>
      <c r="F939" t="s">
        <v>66</v>
      </c>
      <c r="G939">
        <v>3.76</v>
      </c>
      <c r="H939" t="s">
        <v>41</v>
      </c>
      <c r="I939" t="s">
        <v>42</v>
      </c>
      <c r="M939">
        <f>VLOOKUP(H939,'Stage Order'!$A$2:$B$8,2,FALSE)</f>
        <v>2</v>
      </c>
      <c r="N939" t="str">
        <f t="shared" si="28"/>
        <v>2. 1-24 hours</v>
      </c>
      <c r="O939" t="str">
        <f t="shared" si="29"/>
        <v>2026-03</v>
      </c>
    </row>
    <row r="940" spans="1:15" x14ac:dyDescent="0.3">
      <c r="A940" t="s">
        <v>2259</v>
      </c>
      <c r="B940" t="s">
        <v>2260</v>
      </c>
      <c r="C940" t="s">
        <v>81</v>
      </c>
      <c r="D940" t="s">
        <v>54</v>
      </c>
      <c r="E940" t="s">
        <v>59</v>
      </c>
      <c r="F940" t="s">
        <v>137</v>
      </c>
      <c r="G940">
        <v>0.28999999999999998</v>
      </c>
      <c r="H940" t="s">
        <v>61</v>
      </c>
      <c r="I940" t="s">
        <v>42</v>
      </c>
      <c r="M940">
        <f>VLOOKUP(H940,'Stage Order'!$A$2:$B$8,2,FALSE)</f>
        <v>1</v>
      </c>
      <c r="N940" t="str">
        <f t="shared" si="28"/>
        <v>1. Under 1 hour</v>
      </c>
      <c r="O940" t="str">
        <f t="shared" si="29"/>
        <v>2025-07</v>
      </c>
    </row>
    <row r="941" spans="1:15" x14ac:dyDescent="0.3">
      <c r="A941" t="s">
        <v>2261</v>
      </c>
      <c r="B941" t="s">
        <v>2262</v>
      </c>
      <c r="C941" t="s">
        <v>58</v>
      </c>
      <c r="D941" t="s">
        <v>29</v>
      </c>
      <c r="E941" t="s">
        <v>45</v>
      </c>
      <c r="F941" t="s">
        <v>55</v>
      </c>
      <c r="G941">
        <v>1.89</v>
      </c>
      <c r="H941" t="s">
        <v>41</v>
      </c>
      <c r="I941" t="s">
        <v>42</v>
      </c>
      <c r="M941">
        <f>VLOOKUP(H941,'Stage Order'!$A$2:$B$8,2,FALSE)</f>
        <v>2</v>
      </c>
      <c r="N941" t="str">
        <f t="shared" si="28"/>
        <v>2. 1-24 hours</v>
      </c>
      <c r="O941" t="str">
        <f t="shared" si="29"/>
        <v>2026-01</v>
      </c>
    </row>
    <row r="942" spans="1:15" x14ac:dyDescent="0.3">
      <c r="A942" t="s">
        <v>2263</v>
      </c>
      <c r="B942" t="s">
        <v>2264</v>
      </c>
      <c r="C942" t="s">
        <v>37</v>
      </c>
      <c r="D942" t="s">
        <v>77</v>
      </c>
      <c r="E942" t="s">
        <v>39</v>
      </c>
      <c r="F942" t="s">
        <v>66</v>
      </c>
      <c r="G942">
        <v>2.29</v>
      </c>
      <c r="H942" t="s">
        <v>41</v>
      </c>
      <c r="I942" t="s">
        <v>42</v>
      </c>
      <c r="M942">
        <f>VLOOKUP(H942,'Stage Order'!$A$2:$B$8,2,FALSE)</f>
        <v>2</v>
      </c>
      <c r="N942" t="str">
        <f t="shared" si="28"/>
        <v>2. 1-24 hours</v>
      </c>
      <c r="O942" t="str">
        <f t="shared" si="29"/>
        <v>2025-10</v>
      </c>
    </row>
    <row r="943" spans="1:15" x14ac:dyDescent="0.3">
      <c r="A943" t="s">
        <v>2265</v>
      </c>
      <c r="B943" t="s">
        <v>2266</v>
      </c>
      <c r="C943" t="s">
        <v>58</v>
      </c>
      <c r="D943" t="s">
        <v>97</v>
      </c>
      <c r="E943" t="s">
        <v>90</v>
      </c>
      <c r="F943" t="s">
        <v>91</v>
      </c>
      <c r="G943">
        <v>6.29</v>
      </c>
      <c r="H943" t="s">
        <v>146</v>
      </c>
      <c r="I943" t="s">
        <v>48</v>
      </c>
      <c r="J943" t="s">
        <v>139</v>
      </c>
      <c r="K943">
        <v>1681.41</v>
      </c>
      <c r="L943" t="s">
        <v>2267</v>
      </c>
      <c r="M943">
        <f>VLOOKUP(H943,'Stage Order'!$A$2:$B$8,2,FALSE)</f>
        <v>5</v>
      </c>
      <c r="N943" t="str">
        <f t="shared" si="28"/>
        <v>2. 1-24 hours</v>
      </c>
      <c r="O943" t="str">
        <f t="shared" si="29"/>
        <v>2026-05</v>
      </c>
    </row>
    <row r="944" spans="1:15" x14ac:dyDescent="0.3">
      <c r="A944" t="s">
        <v>2268</v>
      </c>
      <c r="B944" t="s">
        <v>2269</v>
      </c>
      <c r="C944" t="s">
        <v>28</v>
      </c>
      <c r="D944" t="s">
        <v>29</v>
      </c>
      <c r="E944" t="s">
        <v>59</v>
      </c>
      <c r="F944" t="s">
        <v>60</v>
      </c>
      <c r="G944">
        <v>6.19</v>
      </c>
      <c r="H944" t="s">
        <v>41</v>
      </c>
      <c r="I944" t="s">
        <v>42</v>
      </c>
      <c r="M944">
        <f>VLOOKUP(H944,'Stage Order'!$A$2:$B$8,2,FALSE)</f>
        <v>2</v>
      </c>
      <c r="N944" t="str">
        <f t="shared" si="28"/>
        <v>2. 1-24 hours</v>
      </c>
      <c r="O944" t="str">
        <f t="shared" si="29"/>
        <v>2025-01</v>
      </c>
    </row>
    <row r="945" spans="1:15" x14ac:dyDescent="0.3">
      <c r="A945" t="s">
        <v>2270</v>
      </c>
      <c r="B945" t="s">
        <v>2271</v>
      </c>
      <c r="C945" t="s">
        <v>58</v>
      </c>
      <c r="D945" t="s">
        <v>54</v>
      </c>
      <c r="E945" t="s">
        <v>90</v>
      </c>
      <c r="F945" t="s">
        <v>112</v>
      </c>
      <c r="G945">
        <v>1.85</v>
      </c>
      <c r="H945" t="s">
        <v>32</v>
      </c>
      <c r="I945" t="s">
        <v>33</v>
      </c>
      <c r="K945">
        <v>503.65</v>
      </c>
      <c r="L945" t="s">
        <v>2272</v>
      </c>
      <c r="M945">
        <f>VLOOKUP(H945,'Stage Order'!$A$2:$B$8,2,FALSE)</f>
        <v>7</v>
      </c>
      <c r="N945" t="str">
        <f t="shared" si="28"/>
        <v>2. 1-24 hours</v>
      </c>
      <c r="O945" t="str">
        <f t="shared" si="29"/>
        <v>2026-03</v>
      </c>
    </row>
    <row r="946" spans="1:15" x14ac:dyDescent="0.3">
      <c r="A946" t="s">
        <v>2273</v>
      </c>
      <c r="B946" t="s">
        <v>2274</v>
      </c>
      <c r="C946" t="s">
        <v>37</v>
      </c>
      <c r="D946" t="s">
        <v>38</v>
      </c>
      <c r="E946" t="s">
        <v>59</v>
      </c>
      <c r="F946" t="s">
        <v>60</v>
      </c>
      <c r="G946">
        <v>19.37</v>
      </c>
      <c r="H946" t="s">
        <v>41</v>
      </c>
      <c r="I946" t="s">
        <v>42</v>
      </c>
      <c r="M946">
        <f>VLOOKUP(H946,'Stage Order'!$A$2:$B$8,2,FALSE)</f>
        <v>2</v>
      </c>
      <c r="N946" t="str">
        <f t="shared" si="28"/>
        <v>2. 1-24 hours</v>
      </c>
      <c r="O946" t="str">
        <f t="shared" si="29"/>
        <v>2025-08</v>
      </c>
    </row>
    <row r="947" spans="1:15" x14ac:dyDescent="0.3">
      <c r="A947" t="s">
        <v>2275</v>
      </c>
      <c r="B947" t="s">
        <v>2276</v>
      </c>
      <c r="C947" t="s">
        <v>81</v>
      </c>
      <c r="D947" t="s">
        <v>54</v>
      </c>
      <c r="E947" t="s">
        <v>90</v>
      </c>
      <c r="F947" t="s">
        <v>145</v>
      </c>
      <c r="G947">
        <v>3.81</v>
      </c>
      <c r="H947" t="s">
        <v>128</v>
      </c>
      <c r="I947" t="s">
        <v>42</v>
      </c>
      <c r="M947">
        <f>VLOOKUP(H947,'Stage Order'!$A$2:$B$8,2,FALSE)</f>
        <v>3</v>
      </c>
      <c r="N947" t="str">
        <f t="shared" si="28"/>
        <v>2. 1-24 hours</v>
      </c>
      <c r="O947" t="str">
        <f t="shared" si="29"/>
        <v>2026-04</v>
      </c>
    </row>
    <row r="948" spans="1:15" x14ac:dyDescent="0.3">
      <c r="A948" t="s">
        <v>2277</v>
      </c>
      <c r="B948" t="s">
        <v>2278</v>
      </c>
      <c r="C948" t="s">
        <v>58</v>
      </c>
      <c r="D948" t="s">
        <v>54</v>
      </c>
      <c r="E948" t="s">
        <v>59</v>
      </c>
      <c r="F948" t="s">
        <v>60</v>
      </c>
      <c r="G948">
        <v>6.45</v>
      </c>
      <c r="H948" t="s">
        <v>128</v>
      </c>
      <c r="I948" t="s">
        <v>42</v>
      </c>
      <c r="M948">
        <f>VLOOKUP(H948,'Stage Order'!$A$2:$B$8,2,FALSE)</f>
        <v>3</v>
      </c>
      <c r="N948" t="str">
        <f t="shared" si="28"/>
        <v>2. 1-24 hours</v>
      </c>
      <c r="O948" t="str">
        <f t="shared" si="29"/>
        <v>2026-05</v>
      </c>
    </row>
    <row r="949" spans="1:15" x14ac:dyDescent="0.3">
      <c r="A949" t="s">
        <v>2279</v>
      </c>
      <c r="B949" t="s">
        <v>2280</v>
      </c>
      <c r="C949" t="s">
        <v>81</v>
      </c>
      <c r="D949" t="s">
        <v>54</v>
      </c>
      <c r="E949" t="s">
        <v>59</v>
      </c>
      <c r="F949" t="s">
        <v>117</v>
      </c>
      <c r="G949">
        <v>2.14</v>
      </c>
      <c r="H949" t="s">
        <v>41</v>
      </c>
      <c r="I949" t="s">
        <v>42</v>
      </c>
      <c r="M949">
        <f>VLOOKUP(H949,'Stage Order'!$A$2:$B$8,2,FALSE)</f>
        <v>2</v>
      </c>
      <c r="N949" t="str">
        <f t="shared" si="28"/>
        <v>2. 1-24 hours</v>
      </c>
      <c r="O949" t="str">
        <f t="shared" si="29"/>
        <v>2025-01</v>
      </c>
    </row>
    <row r="950" spans="1:15" x14ac:dyDescent="0.3">
      <c r="A950" t="s">
        <v>2281</v>
      </c>
      <c r="B950" t="s">
        <v>2282</v>
      </c>
      <c r="C950" t="s">
        <v>58</v>
      </c>
      <c r="D950" t="s">
        <v>54</v>
      </c>
      <c r="E950" t="s">
        <v>39</v>
      </c>
      <c r="F950" t="s">
        <v>40</v>
      </c>
      <c r="G950">
        <v>2.13</v>
      </c>
      <c r="H950" t="s">
        <v>41</v>
      </c>
      <c r="I950" t="s">
        <v>42</v>
      </c>
      <c r="M950">
        <f>VLOOKUP(H950,'Stage Order'!$A$2:$B$8,2,FALSE)</f>
        <v>2</v>
      </c>
      <c r="N950" t="str">
        <f t="shared" si="28"/>
        <v>2. 1-24 hours</v>
      </c>
      <c r="O950" t="str">
        <f t="shared" si="29"/>
        <v>2025-07</v>
      </c>
    </row>
    <row r="951" spans="1:15" x14ac:dyDescent="0.3">
      <c r="A951" t="s">
        <v>2283</v>
      </c>
      <c r="B951" t="s">
        <v>2284</v>
      </c>
      <c r="C951" t="s">
        <v>125</v>
      </c>
      <c r="D951" t="s">
        <v>54</v>
      </c>
      <c r="E951" t="s">
        <v>59</v>
      </c>
      <c r="F951" t="s">
        <v>117</v>
      </c>
      <c r="G951">
        <v>7.97</v>
      </c>
      <c r="H951" t="s">
        <v>41</v>
      </c>
      <c r="I951" t="s">
        <v>42</v>
      </c>
      <c r="M951">
        <f>VLOOKUP(H951,'Stage Order'!$A$2:$B$8,2,FALSE)</f>
        <v>2</v>
      </c>
      <c r="N951" t="str">
        <f t="shared" si="28"/>
        <v>2. 1-24 hours</v>
      </c>
      <c r="O951" t="str">
        <f t="shared" si="29"/>
        <v>2025-02</v>
      </c>
    </row>
    <row r="952" spans="1:15" x14ac:dyDescent="0.3">
      <c r="A952" t="s">
        <v>2285</v>
      </c>
      <c r="B952" t="s">
        <v>2286</v>
      </c>
      <c r="C952" t="s">
        <v>125</v>
      </c>
      <c r="D952" t="s">
        <v>77</v>
      </c>
      <c r="E952" t="s">
        <v>59</v>
      </c>
      <c r="F952" t="s">
        <v>117</v>
      </c>
      <c r="G952">
        <v>0.65</v>
      </c>
      <c r="H952" t="s">
        <v>41</v>
      </c>
      <c r="I952" t="s">
        <v>42</v>
      </c>
      <c r="M952">
        <f>VLOOKUP(H952,'Stage Order'!$A$2:$B$8,2,FALSE)</f>
        <v>2</v>
      </c>
      <c r="N952" t="str">
        <f t="shared" si="28"/>
        <v>1. Under 1 hour</v>
      </c>
      <c r="O952" t="str">
        <f t="shared" si="29"/>
        <v>2025-09</v>
      </c>
    </row>
    <row r="953" spans="1:15" x14ac:dyDescent="0.3">
      <c r="A953" t="s">
        <v>2287</v>
      </c>
      <c r="B953" t="s">
        <v>2288</v>
      </c>
      <c r="C953" t="s">
        <v>37</v>
      </c>
      <c r="D953" t="s">
        <v>54</v>
      </c>
      <c r="E953" t="s">
        <v>45</v>
      </c>
      <c r="F953" t="s">
        <v>55</v>
      </c>
      <c r="G953">
        <v>22.03</v>
      </c>
      <c r="H953" t="s">
        <v>41</v>
      </c>
      <c r="I953" t="s">
        <v>42</v>
      </c>
      <c r="M953">
        <f>VLOOKUP(H953,'Stage Order'!$A$2:$B$8,2,FALSE)</f>
        <v>2</v>
      </c>
      <c r="N953" t="str">
        <f t="shared" si="28"/>
        <v>2. 1-24 hours</v>
      </c>
      <c r="O953" t="str">
        <f t="shared" si="29"/>
        <v>2025-08</v>
      </c>
    </row>
    <row r="954" spans="1:15" x14ac:dyDescent="0.3">
      <c r="A954" t="s">
        <v>2289</v>
      </c>
      <c r="B954" t="s">
        <v>2290</v>
      </c>
      <c r="C954" t="s">
        <v>125</v>
      </c>
      <c r="D954" t="s">
        <v>38</v>
      </c>
      <c r="E954" t="s">
        <v>45</v>
      </c>
      <c r="F954" t="s">
        <v>94</v>
      </c>
      <c r="G954">
        <v>6.35</v>
      </c>
      <c r="H954" t="s">
        <v>41</v>
      </c>
      <c r="I954" t="s">
        <v>42</v>
      </c>
      <c r="M954">
        <f>VLOOKUP(H954,'Stage Order'!$A$2:$B$8,2,FALSE)</f>
        <v>2</v>
      </c>
      <c r="N954" t="str">
        <f t="shared" si="28"/>
        <v>2. 1-24 hours</v>
      </c>
      <c r="O954" t="str">
        <f t="shared" si="29"/>
        <v>2026-02</v>
      </c>
    </row>
    <row r="955" spans="1:15" x14ac:dyDescent="0.3">
      <c r="A955" t="s">
        <v>2291</v>
      </c>
      <c r="B955" t="s">
        <v>2292</v>
      </c>
      <c r="C955" t="s">
        <v>28</v>
      </c>
      <c r="D955" t="s">
        <v>29</v>
      </c>
      <c r="E955" t="s">
        <v>45</v>
      </c>
      <c r="F955" t="s">
        <v>46</v>
      </c>
      <c r="G955">
        <v>2.27</v>
      </c>
      <c r="H955" t="s">
        <v>32</v>
      </c>
      <c r="I955" t="s">
        <v>33</v>
      </c>
      <c r="K955">
        <v>615.28</v>
      </c>
      <c r="L955" t="s">
        <v>2293</v>
      </c>
      <c r="M955">
        <f>VLOOKUP(H955,'Stage Order'!$A$2:$B$8,2,FALSE)</f>
        <v>7</v>
      </c>
      <c r="N955" t="str">
        <f t="shared" si="28"/>
        <v>2. 1-24 hours</v>
      </c>
      <c r="O955" t="str">
        <f t="shared" si="29"/>
        <v>2026-01</v>
      </c>
    </row>
    <row r="956" spans="1:15" x14ac:dyDescent="0.3">
      <c r="A956" t="s">
        <v>2294</v>
      </c>
      <c r="B956" t="s">
        <v>2295</v>
      </c>
      <c r="C956" t="s">
        <v>37</v>
      </c>
      <c r="D956" t="s">
        <v>38</v>
      </c>
      <c r="E956" t="s">
        <v>59</v>
      </c>
      <c r="F956" t="s">
        <v>137</v>
      </c>
      <c r="G956">
        <v>6.24</v>
      </c>
      <c r="H956" t="s">
        <v>138</v>
      </c>
      <c r="I956" t="s">
        <v>48</v>
      </c>
      <c r="J956" t="s">
        <v>49</v>
      </c>
      <c r="K956">
        <v>404.03</v>
      </c>
      <c r="L956" t="s">
        <v>2296</v>
      </c>
      <c r="M956">
        <f>VLOOKUP(H956,'Stage Order'!$A$2:$B$8,2,FALSE)</f>
        <v>6</v>
      </c>
      <c r="N956" t="str">
        <f t="shared" si="28"/>
        <v>2. 1-24 hours</v>
      </c>
      <c r="O956" t="str">
        <f t="shared" si="29"/>
        <v>2025-10</v>
      </c>
    </row>
    <row r="957" spans="1:15" x14ac:dyDescent="0.3">
      <c r="A957" t="s">
        <v>2297</v>
      </c>
      <c r="B957" t="s">
        <v>2298</v>
      </c>
      <c r="C957" t="s">
        <v>28</v>
      </c>
      <c r="D957" t="s">
        <v>54</v>
      </c>
      <c r="E957" t="s">
        <v>90</v>
      </c>
      <c r="F957" t="s">
        <v>112</v>
      </c>
      <c r="G957">
        <v>0.69</v>
      </c>
      <c r="H957" t="s">
        <v>41</v>
      </c>
      <c r="I957" t="s">
        <v>42</v>
      </c>
      <c r="M957">
        <f>VLOOKUP(H957,'Stage Order'!$A$2:$B$8,2,FALSE)</f>
        <v>2</v>
      </c>
      <c r="N957" t="str">
        <f t="shared" si="28"/>
        <v>1. Under 1 hour</v>
      </c>
      <c r="O957" t="str">
        <f t="shared" si="29"/>
        <v>2025-05</v>
      </c>
    </row>
    <row r="958" spans="1:15" x14ac:dyDescent="0.3">
      <c r="A958" t="s">
        <v>2299</v>
      </c>
      <c r="B958" t="s">
        <v>2300</v>
      </c>
      <c r="C958" t="s">
        <v>37</v>
      </c>
      <c r="D958" t="s">
        <v>54</v>
      </c>
      <c r="E958" t="s">
        <v>45</v>
      </c>
      <c r="F958" t="s">
        <v>46</v>
      </c>
      <c r="G958">
        <v>8.0299999999999994</v>
      </c>
      <c r="H958" t="s">
        <v>41</v>
      </c>
      <c r="I958" t="s">
        <v>42</v>
      </c>
      <c r="M958">
        <f>VLOOKUP(H958,'Stage Order'!$A$2:$B$8,2,FALSE)</f>
        <v>2</v>
      </c>
      <c r="N958" t="str">
        <f t="shared" si="28"/>
        <v>2. 1-24 hours</v>
      </c>
      <c r="O958" t="str">
        <f t="shared" si="29"/>
        <v>2026-03</v>
      </c>
    </row>
    <row r="959" spans="1:15" x14ac:dyDescent="0.3">
      <c r="A959" t="s">
        <v>2301</v>
      </c>
      <c r="B959" t="s">
        <v>2302</v>
      </c>
      <c r="C959" t="s">
        <v>53</v>
      </c>
      <c r="D959" t="s">
        <v>54</v>
      </c>
      <c r="E959" t="s">
        <v>39</v>
      </c>
      <c r="F959" t="s">
        <v>40</v>
      </c>
      <c r="G959">
        <v>0.56000000000000005</v>
      </c>
      <c r="H959" t="s">
        <v>32</v>
      </c>
      <c r="I959" t="s">
        <v>33</v>
      </c>
      <c r="K959">
        <v>428.99</v>
      </c>
      <c r="L959" t="s">
        <v>2303</v>
      </c>
      <c r="M959">
        <f>VLOOKUP(H959,'Stage Order'!$A$2:$B$8,2,FALSE)</f>
        <v>7</v>
      </c>
      <c r="N959" t="str">
        <f t="shared" si="28"/>
        <v>1. Under 1 hour</v>
      </c>
      <c r="O959" t="str">
        <f t="shared" si="29"/>
        <v>2026-03</v>
      </c>
    </row>
    <row r="960" spans="1:15" x14ac:dyDescent="0.3">
      <c r="A960" t="s">
        <v>2304</v>
      </c>
      <c r="B960" t="s">
        <v>2305</v>
      </c>
      <c r="C960" t="s">
        <v>125</v>
      </c>
      <c r="D960" t="s">
        <v>54</v>
      </c>
      <c r="E960" t="s">
        <v>90</v>
      </c>
      <c r="F960" t="s">
        <v>91</v>
      </c>
      <c r="G960">
        <v>14.23</v>
      </c>
      <c r="H960" t="s">
        <v>61</v>
      </c>
      <c r="I960" t="s">
        <v>42</v>
      </c>
      <c r="M960">
        <f>VLOOKUP(H960,'Stage Order'!$A$2:$B$8,2,FALSE)</f>
        <v>1</v>
      </c>
      <c r="N960" t="str">
        <f t="shared" si="28"/>
        <v>2. 1-24 hours</v>
      </c>
      <c r="O960" t="str">
        <f t="shared" si="29"/>
        <v>2026-06</v>
      </c>
    </row>
    <row r="961" spans="1:15" x14ac:dyDescent="0.3">
      <c r="A961" t="s">
        <v>2306</v>
      </c>
      <c r="B961" t="s">
        <v>2307</v>
      </c>
      <c r="C961" t="s">
        <v>37</v>
      </c>
      <c r="D961" t="s">
        <v>54</v>
      </c>
      <c r="E961" t="s">
        <v>45</v>
      </c>
      <c r="F961" t="s">
        <v>55</v>
      </c>
      <c r="G961">
        <v>2.4500000000000002</v>
      </c>
      <c r="H961" t="s">
        <v>41</v>
      </c>
      <c r="I961" t="s">
        <v>42</v>
      </c>
      <c r="M961">
        <f>VLOOKUP(H961,'Stage Order'!$A$2:$B$8,2,FALSE)</f>
        <v>2</v>
      </c>
      <c r="N961" t="str">
        <f t="shared" si="28"/>
        <v>2. 1-24 hours</v>
      </c>
      <c r="O961" t="str">
        <f t="shared" si="29"/>
        <v>2026-05</v>
      </c>
    </row>
    <row r="962" spans="1:15" x14ac:dyDescent="0.3">
      <c r="A962" t="s">
        <v>2308</v>
      </c>
      <c r="B962" t="s">
        <v>2309</v>
      </c>
      <c r="C962" t="s">
        <v>28</v>
      </c>
      <c r="D962" t="s">
        <v>54</v>
      </c>
      <c r="E962" t="s">
        <v>45</v>
      </c>
      <c r="F962" t="s">
        <v>94</v>
      </c>
      <c r="G962">
        <v>4.04</v>
      </c>
      <c r="H962" t="s">
        <v>41</v>
      </c>
      <c r="I962" t="s">
        <v>42</v>
      </c>
      <c r="M962">
        <f>VLOOKUP(H962,'Stage Order'!$A$2:$B$8,2,FALSE)</f>
        <v>2</v>
      </c>
      <c r="N962" t="str">
        <f t="shared" ref="N962:N1025" si="30">IF(G962&lt;=1,"1. Under 1 hour",IF(G962&lt;=24,"2. 1-24 hours",IF(G962&lt;=72,"3. 1-3 days","4. Over 3 days")))</f>
        <v>2. 1-24 hours</v>
      </c>
      <c r="O962" t="str">
        <f t="shared" ref="O962:O1025" si="31">TEXT(B962,"YYYY-MM")</f>
        <v>2025-06</v>
      </c>
    </row>
    <row r="963" spans="1:15" x14ac:dyDescent="0.3">
      <c r="A963" t="s">
        <v>2310</v>
      </c>
      <c r="B963" t="s">
        <v>2311</v>
      </c>
      <c r="C963" t="s">
        <v>58</v>
      </c>
      <c r="D963" t="s">
        <v>29</v>
      </c>
      <c r="E963" t="s">
        <v>59</v>
      </c>
      <c r="F963" t="s">
        <v>137</v>
      </c>
      <c r="G963">
        <v>1.27</v>
      </c>
      <c r="H963" t="s">
        <v>128</v>
      </c>
      <c r="I963" t="s">
        <v>42</v>
      </c>
      <c r="M963">
        <f>VLOOKUP(H963,'Stage Order'!$A$2:$B$8,2,FALSE)</f>
        <v>3</v>
      </c>
      <c r="N963" t="str">
        <f t="shared" si="30"/>
        <v>2. 1-24 hours</v>
      </c>
      <c r="O963" t="str">
        <f t="shared" si="31"/>
        <v>2026-06</v>
      </c>
    </row>
    <row r="964" spans="1:15" x14ac:dyDescent="0.3">
      <c r="A964" t="s">
        <v>2312</v>
      </c>
      <c r="B964" t="s">
        <v>2313</v>
      </c>
      <c r="C964" t="s">
        <v>28</v>
      </c>
      <c r="D964" t="s">
        <v>29</v>
      </c>
      <c r="E964" t="s">
        <v>90</v>
      </c>
      <c r="F964" t="s">
        <v>91</v>
      </c>
      <c r="G964">
        <v>11.42</v>
      </c>
      <c r="H964" t="s">
        <v>47</v>
      </c>
      <c r="I964" t="s">
        <v>48</v>
      </c>
      <c r="J964" t="s">
        <v>98</v>
      </c>
      <c r="K964">
        <v>767.04</v>
      </c>
      <c r="L964" t="s">
        <v>2314</v>
      </c>
      <c r="M964">
        <f>VLOOKUP(H964,'Stage Order'!$A$2:$B$8,2,FALSE)</f>
        <v>4</v>
      </c>
      <c r="N964" t="str">
        <f t="shared" si="30"/>
        <v>2. 1-24 hours</v>
      </c>
      <c r="O964" t="str">
        <f t="shared" si="31"/>
        <v>2025-03</v>
      </c>
    </row>
    <row r="965" spans="1:15" x14ac:dyDescent="0.3">
      <c r="A965" t="s">
        <v>2315</v>
      </c>
      <c r="B965" t="s">
        <v>2316</v>
      </c>
      <c r="C965" t="s">
        <v>76</v>
      </c>
      <c r="D965" t="s">
        <v>29</v>
      </c>
      <c r="E965" t="s">
        <v>45</v>
      </c>
      <c r="F965" t="s">
        <v>94</v>
      </c>
      <c r="G965">
        <v>2.08</v>
      </c>
      <c r="H965" t="s">
        <v>138</v>
      </c>
      <c r="I965" t="s">
        <v>48</v>
      </c>
      <c r="J965" t="s">
        <v>139</v>
      </c>
      <c r="K965">
        <v>676.81</v>
      </c>
      <c r="L965" t="s">
        <v>2317</v>
      </c>
      <c r="M965">
        <f>VLOOKUP(H965,'Stage Order'!$A$2:$B$8,2,FALSE)</f>
        <v>6</v>
      </c>
      <c r="N965" t="str">
        <f t="shared" si="30"/>
        <v>2. 1-24 hours</v>
      </c>
      <c r="O965" t="str">
        <f t="shared" si="31"/>
        <v>2025-06</v>
      </c>
    </row>
    <row r="966" spans="1:15" x14ac:dyDescent="0.3">
      <c r="A966" t="s">
        <v>2318</v>
      </c>
      <c r="B966" t="s">
        <v>2319</v>
      </c>
      <c r="C966" t="s">
        <v>58</v>
      </c>
      <c r="D966" t="s">
        <v>38</v>
      </c>
      <c r="E966" t="s">
        <v>45</v>
      </c>
      <c r="F966" t="s">
        <v>94</v>
      </c>
      <c r="G966">
        <v>0.53</v>
      </c>
      <c r="H966" t="s">
        <v>138</v>
      </c>
      <c r="I966" t="s">
        <v>48</v>
      </c>
      <c r="J966" t="s">
        <v>113</v>
      </c>
      <c r="K966">
        <v>396.72</v>
      </c>
      <c r="L966" t="s">
        <v>2320</v>
      </c>
      <c r="M966">
        <f>VLOOKUP(H966,'Stage Order'!$A$2:$B$8,2,FALSE)</f>
        <v>6</v>
      </c>
      <c r="N966" t="str">
        <f t="shared" si="30"/>
        <v>1. Under 1 hour</v>
      </c>
      <c r="O966" t="str">
        <f t="shared" si="31"/>
        <v>2025-04</v>
      </c>
    </row>
    <row r="967" spans="1:15" x14ac:dyDescent="0.3">
      <c r="A967" t="s">
        <v>2321</v>
      </c>
      <c r="B967" t="s">
        <v>2322</v>
      </c>
      <c r="C967" t="s">
        <v>28</v>
      </c>
      <c r="D967" t="s">
        <v>77</v>
      </c>
      <c r="E967" t="s">
        <v>39</v>
      </c>
      <c r="F967" t="s">
        <v>106</v>
      </c>
      <c r="G967">
        <v>4.1500000000000004</v>
      </c>
      <c r="H967" t="s">
        <v>41</v>
      </c>
      <c r="I967" t="s">
        <v>42</v>
      </c>
      <c r="M967">
        <f>VLOOKUP(H967,'Stage Order'!$A$2:$B$8,2,FALSE)</f>
        <v>2</v>
      </c>
      <c r="N967" t="str">
        <f t="shared" si="30"/>
        <v>2. 1-24 hours</v>
      </c>
      <c r="O967" t="str">
        <f t="shared" si="31"/>
        <v>2026-05</v>
      </c>
    </row>
    <row r="968" spans="1:15" x14ac:dyDescent="0.3">
      <c r="A968" t="s">
        <v>2323</v>
      </c>
      <c r="B968" t="s">
        <v>2324</v>
      </c>
      <c r="C968" t="s">
        <v>37</v>
      </c>
      <c r="D968" t="s">
        <v>54</v>
      </c>
      <c r="E968" t="s">
        <v>39</v>
      </c>
      <c r="F968" t="s">
        <v>106</v>
      </c>
      <c r="G968">
        <v>1.51</v>
      </c>
      <c r="H968" t="s">
        <v>32</v>
      </c>
      <c r="I968" t="s">
        <v>33</v>
      </c>
      <c r="K968">
        <v>454.28</v>
      </c>
      <c r="L968" t="s">
        <v>2325</v>
      </c>
      <c r="M968">
        <f>VLOOKUP(H968,'Stage Order'!$A$2:$B$8,2,FALSE)</f>
        <v>7</v>
      </c>
      <c r="N968" t="str">
        <f t="shared" si="30"/>
        <v>2. 1-24 hours</v>
      </c>
      <c r="O968" t="str">
        <f t="shared" si="31"/>
        <v>2025-08</v>
      </c>
    </row>
    <row r="969" spans="1:15" x14ac:dyDescent="0.3">
      <c r="A969" t="s">
        <v>2326</v>
      </c>
      <c r="B969" t="s">
        <v>2327</v>
      </c>
      <c r="C969" t="s">
        <v>28</v>
      </c>
      <c r="D969" t="s">
        <v>54</v>
      </c>
      <c r="E969" t="s">
        <v>90</v>
      </c>
      <c r="F969" t="s">
        <v>112</v>
      </c>
      <c r="G969">
        <v>3.47</v>
      </c>
      <c r="H969" t="s">
        <v>41</v>
      </c>
      <c r="I969" t="s">
        <v>42</v>
      </c>
      <c r="M969">
        <f>VLOOKUP(H969,'Stage Order'!$A$2:$B$8,2,FALSE)</f>
        <v>2</v>
      </c>
      <c r="N969" t="str">
        <f t="shared" si="30"/>
        <v>2. 1-24 hours</v>
      </c>
      <c r="O969" t="str">
        <f t="shared" si="31"/>
        <v>2026-03</v>
      </c>
    </row>
    <row r="970" spans="1:15" x14ac:dyDescent="0.3">
      <c r="A970" t="s">
        <v>2328</v>
      </c>
      <c r="B970" t="s">
        <v>2329</v>
      </c>
      <c r="C970" t="s">
        <v>53</v>
      </c>
      <c r="D970" t="s">
        <v>77</v>
      </c>
      <c r="E970" t="s">
        <v>90</v>
      </c>
      <c r="F970" t="s">
        <v>112</v>
      </c>
      <c r="G970">
        <v>5.39</v>
      </c>
      <c r="H970" t="s">
        <v>41</v>
      </c>
      <c r="I970" t="s">
        <v>42</v>
      </c>
      <c r="M970">
        <f>VLOOKUP(H970,'Stage Order'!$A$2:$B$8,2,FALSE)</f>
        <v>2</v>
      </c>
      <c r="N970" t="str">
        <f t="shared" si="30"/>
        <v>2. 1-24 hours</v>
      </c>
      <c r="O970" t="str">
        <f t="shared" si="31"/>
        <v>2026-06</v>
      </c>
    </row>
    <row r="971" spans="1:15" x14ac:dyDescent="0.3">
      <c r="A971" t="s">
        <v>2330</v>
      </c>
      <c r="B971" t="s">
        <v>2331</v>
      </c>
      <c r="C971" t="s">
        <v>58</v>
      </c>
      <c r="D971" t="s">
        <v>97</v>
      </c>
      <c r="E971" t="s">
        <v>59</v>
      </c>
      <c r="F971" t="s">
        <v>137</v>
      </c>
      <c r="G971">
        <v>5.68</v>
      </c>
      <c r="H971" t="s">
        <v>61</v>
      </c>
      <c r="I971" t="s">
        <v>42</v>
      </c>
      <c r="M971">
        <f>VLOOKUP(H971,'Stage Order'!$A$2:$B$8,2,FALSE)</f>
        <v>1</v>
      </c>
      <c r="N971" t="str">
        <f t="shared" si="30"/>
        <v>2. 1-24 hours</v>
      </c>
      <c r="O971" t="str">
        <f t="shared" si="31"/>
        <v>2025-10</v>
      </c>
    </row>
    <row r="972" spans="1:15" x14ac:dyDescent="0.3">
      <c r="A972" t="s">
        <v>2332</v>
      </c>
      <c r="B972" t="s">
        <v>2333</v>
      </c>
      <c r="C972" t="s">
        <v>125</v>
      </c>
      <c r="D972" t="s">
        <v>38</v>
      </c>
      <c r="E972" t="s">
        <v>90</v>
      </c>
      <c r="F972" t="s">
        <v>91</v>
      </c>
      <c r="G972">
        <v>4.72</v>
      </c>
      <c r="H972" t="s">
        <v>61</v>
      </c>
      <c r="I972" t="s">
        <v>42</v>
      </c>
      <c r="M972">
        <f>VLOOKUP(H972,'Stage Order'!$A$2:$B$8,2,FALSE)</f>
        <v>1</v>
      </c>
      <c r="N972" t="str">
        <f t="shared" si="30"/>
        <v>2. 1-24 hours</v>
      </c>
      <c r="O972" t="str">
        <f t="shared" si="31"/>
        <v>2025-04</v>
      </c>
    </row>
    <row r="973" spans="1:15" x14ac:dyDescent="0.3">
      <c r="A973" t="s">
        <v>2334</v>
      </c>
      <c r="B973" t="s">
        <v>2335</v>
      </c>
      <c r="C973" t="s">
        <v>125</v>
      </c>
      <c r="D973" t="s">
        <v>97</v>
      </c>
      <c r="E973" t="s">
        <v>90</v>
      </c>
      <c r="F973" t="s">
        <v>91</v>
      </c>
      <c r="G973">
        <v>6.74</v>
      </c>
      <c r="H973" t="s">
        <v>61</v>
      </c>
      <c r="I973" t="s">
        <v>42</v>
      </c>
      <c r="M973">
        <f>VLOOKUP(H973,'Stage Order'!$A$2:$B$8,2,FALSE)</f>
        <v>1</v>
      </c>
      <c r="N973" t="str">
        <f t="shared" si="30"/>
        <v>2. 1-24 hours</v>
      </c>
      <c r="O973" t="str">
        <f t="shared" si="31"/>
        <v>2025-09</v>
      </c>
    </row>
    <row r="974" spans="1:15" x14ac:dyDescent="0.3">
      <c r="A974" t="s">
        <v>2336</v>
      </c>
      <c r="B974" t="s">
        <v>2337</v>
      </c>
      <c r="C974" t="s">
        <v>37</v>
      </c>
      <c r="D974" t="s">
        <v>29</v>
      </c>
      <c r="E974" t="s">
        <v>45</v>
      </c>
      <c r="F974" t="s">
        <v>46</v>
      </c>
      <c r="G974">
        <v>2.2200000000000002</v>
      </c>
      <c r="H974" t="s">
        <v>47</v>
      </c>
      <c r="I974" t="s">
        <v>48</v>
      </c>
      <c r="J974" t="s">
        <v>139</v>
      </c>
      <c r="K974">
        <v>615.16999999999996</v>
      </c>
      <c r="L974" t="s">
        <v>2338</v>
      </c>
      <c r="M974">
        <f>VLOOKUP(H974,'Stage Order'!$A$2:$B$8,2,FALSE)</f>
        <v>4</v>
      </c>
      <c r="N974" t="str">
        <f t="shared" si="30"/>
        <v>2. 1-24 hours</v>
      </c>
      <c r="O974" t="str">
        <f t="shared" si="31"/>
        <v>2026-05</v>
      </c>
    </row>
    <row r="975" spans="1:15" x14ac:dyDescent="0.3">
      <c r="A975" t="s">
        <v>2339</v>
      </c>
      <c r="B975" t="s">
        <v>2340</v>
      </c>
      <c r="C975" t="s">
        <v>53</v>
      </c>
      <c r="D975" t="s">
        <v>97</v>
      </c>
      <c r="E975" t="s">
        <v>59</v>
      </c>
      <c r="F975" t="s">
        <v>60</v>
      </c>
      <c r="G975">
        <v>4.97</v>
      </c>
      <c r="H975" t="s">
        <v>32</v>
      </c>
      <c r="I975" t="s">
        <v>33</v>
      </c>
      <c r="K975">
        <v>1465.24</v>
      </c>
      <c r="L975" t="s">
        <v>2341</v>
      </c>
      <c r="M975">
        <f>VLOOKUP(H975,'Stage Order'!$A$2:$B$8,2,FALSE)</f>
        <v>7</v>
      </c>
      <c r="N975" t="str">
        <f t="shared" si="30"/>
        <v>2. 1-24 hours</v>
      </c>
      <c r="O975" t="str">
        <f t="shared" si="31"/>
        <v>2025-05</v>
      </c>
    </row>
    <row r="976" spans="1:15" x14ac:dyDescent="0.3">
      <c r="A976" t="s">
        <v>2342</v>
      </c>
      <c r="B976" t="s">
        <v>2343</v>
      </c>
      <c r="C976" t="s">
        <v>76</v>
      </c>
      <c r="D976" t="s">
        <v>54</v>
      </c>
      <c r="E976" t="s">
        <v>59</v>
      </c>
      <c r="F976" t="s">
        <v>137</v>
      </c>
      <c r="G976">
        <v>4.9400000000000004</v>
      </c>
      <c r="H976" t="s">
        <v>41</v>
      </c>
      <c r="I976" t="s">
        <v>42</v>
      </c>
      <c r="M976">
        <f>VLOOKUP(H976,'Stage Order'!$A$2:$B$8,2,FALSE)</f>
        <v>2</v>
      </c>
      <c r="N976" t="str">
        <f t="shared" si="30"/>
        <v>2. 1-24 hours</v>
      </c>
      <c r="O976" t="str">
        <f t="shared" si="31"/>
        <v>2026-05</v>
      </c>
    </row>
    <row r="977" spans="1:15" x14ac:dyDescent="0.3">
      <c r="A977" t="s">
        <v>2344</v>
      </c>
      <c r="B977" t="s">
        <v>2345</v>
      </c>
      <c r="C977" t="s">
        <v>58</v>
      </c>
      <c r="D977" t="s">
        <v>54</v>
      </c>
      <c r="E977" t="s">
        <v>39</v>
      </c>
      <c r="F977" t="s">
        <v>40</v>
      </c>
      <c r="G977">
        <v>0.6</v>
      </c>
      <c r="H977" t="s">
        <v>61</v>
      </c>
      <c r="I977" t="s">
        <v>42</v>
      </c>
      <c r="M977">
        <f>VLOOKUP(H977,'Stage Order'!$A$2:$B$8,2,FALSE)</f>
        <v>1</v>
      </c>
      <c r="N977" t="str">
        <f t="shared" si="30"/>
        <v>1. Under 1 hour</v>
      </c>
      <c r="O977" t="str">
        <f t="shared" si="31"/>
        <v>2025-05</v>
      </c>
    </row>
    <row r="978" spans="1:15" x14ac:dyDescent="0.3">
      <c r="A978" t="s">
        <v>2346</v>
      </c>
      <c r="B978" t="s">
        <v>2347</v>
      </c>
      <c r="C978" t="s">
        <v>58</v>
      </c>
      <c r="D978" t="s">
        <v>97</v>
      </c>
      <c r="E978" t="s">
        <v>39</v>
      </c>
      <c r="F978" t="s">
        <v>106</v>
      </c>
      <c r="G978">
        <v>4.0999999999999996</v>
      </c>
      <c r="H978" t="s">
        <v>41</v>
      </c>
      <c r="I978" t="s">
        <v>42</v>
      </c>
      <c r="M978">
        <f>VLOOKUP(H978,'Stage Order'!$A$2:$B$8,2,FALSE)</f>
        <v>2</v>
      </c>
      <c r="N978" t="str">
        <f t="shared" si="30"/>
        <v>2. 1-24 hours</v>
      </c>
      <c r="O978" t="str">
        <f t="shared" si="31"/>
        <v>2025-07</v>
      </c>
    </row>
    <row r="979" spans="1:15" x14ac:dyDescent="0.3">
      <c r="A979" t="s">
        <v>2348</v>
      </c>
      <c r="B979" t="s">
        <v>2349</v>
      </c>
      <c r="C979" t="s">
        <v>76</v>
      </c>
      <c r="D979" t="s">
        <v>29</v>
      </c>
      <c r="E979" t="s">
        <v>90</v>
      </c>
      <c r="F979" t="s">
        <v>91</v>
      </c>
      <c r="G979">
        <v>3.82</v>
      </c>
      <c r="H979" t="s">
        <v>61</v>
      </c>
      <c r="I979" t="s">
        <v>42</v>
      </c>
      <c r="M979">
        <f>VLOOKUP(H979,'Stage Order'!$A$2:$B$8,2,FALSE)</f>
        <v>1</v>
      </c>
      <c r="N979" t="str">
        <f t="shared" si="30"/>
        <v>2. 1-24 hours</v>
      </c>
      <c r="O979" t="str">
        <f t="shared" si="31"/>
        <v>2026-02</v>
      </c>
    </row>
    <row r="980" spans="1:15" x14ac:dyDescent="0.3">
      <c r="A980" t="s">
        <v>2350</v>
      </c>
      <c r="B980" t="s">
        <v>2351</v>
      </c>
      <c r="C980" t="s">
        <v>37</v>
      </c>
      <c r="D980" t="s">
        <v>77</v>
      </c>
      <c r="E980" t="s">
        <v>39</v>
      </c>
      <c r="F980" t="s">
        <v>106</v>
      </c>
      <c r="G980">
        <v>0.56000000000000005</v>
      </c>
      <c r="H980" t="s">
        <v>32</v>
      </c>
      <c r="I980" t="s">
        <v>33</v>
      </c>
      <c r="K980">
        <v>1002.53</v>
      </c>
      <c r="L980" t="s">
        <v>2352</v>
      </c>
      <c r="M980">
        <f>VLOOKUP(H980,'Stage Order'!$A$2:$B$8,2,FALSE)</f>
        <v>7</v>
      </c>
      <c r="N980" t="str">
        <f t="shared" si="30"/>
        <v>1. Under 1 hour</v>
      </c>
      <c r="O980" t="str">
        <f t="shared" si="31"/>
        <v>2025-11</v>
      </c>
    </row>
    <row r="981" spans="1:15" x14ac:dyDescent="0.3">
      <c r="A981" t="s">
        <v>2353</v>
      </c>
      <c r="B981" t="s">
        <v>2354</v>
      </c>
      <c r="C981" t="s">
        <v>58</v>
      </c>
      <c r="D981" t="s">
        <v>77</v>
      </c>
      <c r="E981" t="s">
        <v>39</v>
      </c>
      <c r="F981" t="s">
        <v>106</v>
      </c>
      <c r="G981">
        <v>26.74</v>
      </c>
      <c r="H981" t="s">
        <v>41</v>
      </c>
      <c r="I981" t="s">
        <v>42</v>
      </c>
      <c r="M981">
        <f>VLOOKUP(H981,'Stage Order'!$A$2:$B$8,2,FALSE)</f>
        <v>2</v>
      </c>
      <c r="N981" t="str">
        <f t="shared" si="30"/>
        <v>3. 1-3 days</v>
      </c>
      <c r="O981" t="str">
        <f t="shared" si="31"/>
        <v>2025-02</v>
      </c>
    </row>
    <row r="982" spans="1:15" x14ac:dyDescent="0.3">
      <c r="A982" t="s">
        <v>2355</v>
      </c>
      <c r="B982" t="s">
        <v>2356</v>
      </c>
      <c r="C982" t="s">
        <v>58</v>
      </c>
      <c r="D982" t="s">
        <v>29</v>
      </c>
      <c r="E982" t="s">
        <v>45</v>
      </c>
      <c r="F982" t="s">
        <v>55</v>
      </c>
      <c r="G982">
        <v>11.1</v>
      </c>
      <c r="H982" t="s">
        <v>146</v>
      </c>
      <c r="I982" t="s">
        <v>48</v>
      </c>
      <c r="J982" t="s">
        <v>98</v>
      </c>
      <c r="K982">
        <v>755.18</v>
      </c>
      <c r="L982" t="s">
        <v>2357</v>
      </c>
      <c r="M982">
        <f>VLOOKUP(H982,'Stage Order'!$A$2:$B$8,2,FALSE)</f>
        <v>5</v>
      </c>
      <c r="N982" t="str">
        <f t="shared" si="30"/>
        <v>2. 1-24 hours</v>
      </c>
      <c r="O982" t="str">
        <f t="shared" si="31"/>
        <v>2025-03</v>
      </c>
    </row>
    <row r="983" spans="1:15" x14ac:dyDescent="0.3">
      <c r="A983" t="s">
        <v>2358</v>
      </c>
      <c r="B983" t="s">
        <v>2359</v>
      </c>
      <c r="C983" t="s">
        <v>125</v>
      </c>
      <c r="D983" t="s">
        <v>54</v>
      </c>
      <c r="E983" t="s">
        <v>30</v>
      </c>
      <c r="F983" t="s">
        <v>78</v>
      </c>
      <c r="G983">
        <v>0.61</v>
      </c>
      <c r="H983" t="s">
        <v>41</v>
      </c>
      <c r="I983" t="s">
        <v>42</v>
      </c>
      <c r="M983">
        <f>VLOOKUP(H983,'Stage Order'!$A$2:$B$8,2,FALSE)</f>
        <v>2</v>
      </c>
      <c r="N983" t="str">
        <f t="shared" si="30"/>
        <v>1. Under 1 hour</v>
      </c>
      <c r="O983" t="str">
        <f t="shared" si="31"/>
        <v>2025-08</v>
      </c>
    </row>
    <row r="984" spans="1:15" x14ac:dyDescent="0.3">
      <c r="A984" t="s">
        <v>2360</v>
      </c>
      <c r="B984" t="s">
        <v>2361</v>
      </c>
      <c r="C984" t="s">
        <v>37</v>
      </c>
      <c r="D984" t="s">
        <v>97</v>
      </c>
      <c r="E984" t="s">
        <v>59</v>
      </c>
      <c r="F984" t="s">
        <v>60</v>
      </c>
      <c r="G984">
        <v>0.35</v>
      </c>
      <c r="H984" t="s">
        <v>138</v>
      </c>
      <c r="I984" t="s">
        <v>48</v>
      </c>
      <c r="J984" t="s">
        <v>139</v>
      </c>
      <c r="K984">
        <v>1675.89</v>
      </c>
      <c r="L984" t="s">
        <v>2362</v>
      </c>
      <c r="M984">
        <f>VLOOKUP(H984,'Stage Order'!$A$2:$B$8,2,FALSE)</f>
        <v>6</v>
      </c>
      <c r="N984" t="str">
        <f t="shared" si="30"/>
        <v>1. Under 1 hour</v>
      </c>
      <c r="O984" t="str">
        <f t="shared" si="31"/>
        <v>2025-10</v>
      </c>
    </row>
    <row r="985" spans="1:15" x14ac:dyDescent="0.3">
      <c r="A985" t="s">
        <v>2363</v>
      </c>
      <c r="B985" t="s">
        <v>2364</v>
      </c>
      <c r="C985" t="s">
        <v>53</v>
      </c>
      <c r="D985" t="s">
        <v>77</v>
      </c>
      <c r="E985" t="s">
        <v>45</v>
      </c>
      <c r="F985" t="s">
        <v>46</v>
      </c>
      <c r="G985">
        <v>2.09</v>
      </c>
      <c r="H985" t="s">
        <v>32</v>
      </c>
      <c r="I985" t="s">
        <v>33</v>
      </c>
      <c r="K985">
        <v>1156.71</v>
      </c>
      <c r="L985" t="s">
        <v>2365</v>
      </c>
      <c r="M985">
        <f>VLOOKUP(H985,'Stage Order'!$A$2:$B$8,2,FALSE)</f>
        <v>7</v>
      </c>
      <c r="N985" t="str">
        <f t="shared" si="30"/>
        <v>2. 1-24 hours</v>
      </c>
      <c r="O985" t="str">
        <f t="shared" si="31"/>
        <v>2025-07</v>
      </c>
    </row>
    <row r="986" spans="1:15" x14ac:dyDescent="0.3">
      <c r="A986" t="s">
        <v>2366</v>
      </c>
      <c r="B986" t="s">
        <v>2367</v>
      </c>
      <c r="C986" t="s">
        <v>53</v>
      </c>
      <c r="D986" t="s">
        <v>54</v>
      </c>
      <c r="E986" t="s">
        <v>30</v>
      </c>
      <c r="F986" t="s">
        <v>82</v>
      </c>
      <c r="G986">
        <v>6.7</v>
      </c>
      <c r="H986" t="s">
        <v>32</v>
      </c>
      <c r="I986" t="s">
        <v>33</v>
      </c>
      <c r="K986">
        <v>441.68</v>
      </c>
      <c r="L986" t="s">
        <v>2368</v>
      </c>
      <c r="M986">
        <f>VLOOKUP(H986,'Stage Order'!$A$2:$B$8,2,FALSE)</f>
        <v>7</v>
      </c>
      <c r="N986" t="str">
        <f t="shared" si="30"/>
        <v>2. 1-24 hours</v>
      </c>
      <c r="O986" t="str">
        <f t="shared" si="31"/>
        <v>2025-01</v>
      </c>
    </row>
    <row r="987" spans="1:15" x14ac:dyDescent="0.3">
      <c r="A987" t="s">
        <v>2369</v>
      </c>
      <c r="B987" t="s">
        <v>2370</v>
      </c>
      <c r="C987" t="s">
        <v>53</v>
      </c>
      <c r="D987" t="s">
        <v>29</v>
      </c>
      <c r="E987" t="s">
        <v>59</v>
      </c>
      <c r="F987" t="s">
        <v>137</v>
      </c>
      <c r="G987">
        <v>2.56</v>
      </c>
      <c r="H987" t="s">
        <v>41</v>
      </c>
      <c r="I987" t="s">
        <v>42</v>
      </c>
      <c r="M987">
        <f>VLOOKUP(H987,'Stage Order'!$A$2:$B$8,2,FALSE)</f>
        <v>2</v>
      </c>
      <c r="N987" t="str">
        <f t="shared" si="30"/>
        <v>2. 1-24 hours</v>
      </c>
      <c r="O987" t="str">
        <f t="shared" si="31"/>
        <v>2025-03</v>
      </c>
    </row>
    <row r="988" spans="1:15" x14ac:dyDescent="0.3">
      <c r="A988" t="s">
        <v>2371</v>
      </c>
      <c r="B988" t="s">
        <v>2372</v>
      </c>
      <c r="C988" t="s">
        <v>37</v>
      </c>
      <c r="D988" t="s">
        <v>54</v>
      </c>
      <c r="E988" t="s">
        <v>45</v>
      </c>
      <c r="F988" t="s">
        <v>46</v>
      </c>
      <c r="G988">
        <v>5.01</v>
      </c>
      <c r="H988" t="s">
        <v>41</v>
      </c>
      <c r="I988" t="s">
        <v>42</v>
      </c>
      <c r="M988">
        <f>VLOOKUP(H988,'Stage Order'!$A$2:$B$8,2,FALSE)</f>
        <v>2</v>
      </c>
      <c r="N988" t="str">
        <f t="shared" si="30"/>
        <v>2. 1-24 hours</v>
      </c>
      <c r="O988" t="str">
        <f t="shared" si="31"/>
        <v>2025-06</v>
      </c>
    </row>
    <row r="989" spans="1:15" x14ac:dyDescent="0.3">
      <c r="A989" t="s">
        <v>2373</v>
      </c>
      <c r="B989" t="s">
        <v>2374</v>
      </c>
      <c r="C989" t="s">
        <v>37</v>
      </c>
      <c r="D989" t="s">
        <v>54</v>
      </c>
      <c r="E989" t="s">
        <v>45</v>
      </c>
      <c r="F989" t="s">
        <v>55</v>
      </c>
      <c r="G989">
        <v>6.69</v>
      </c>
      <c r="H989" t="s">
        <v>41</v>
      </c>
      <c r="I989" t="s">
        <v>42</v>
      </c>
      <c r="M989">
        <f>VLOOKUP(H989,'Stage Order'!$A$2:$B$8,2,FALSE)</f>
        <v>2</v>
      </c>
      <c r="N989" t="str">
        <f t="shared" si="30"/>
        <v>2. 1-24 hours</v>
      </c>
      <c r="O989" t="str">
        <f t="shared" si="31"/>
        <v>2026-02</v>
      </c>
    </row>
    <row r="990" spans="1:15" x14ac:dyDescent="0.3">
      <c r="A990" t="s">
        <v>2375</v>
      </c>
      <c r="B990" t="s">
        <v>2376</v>
      </c>
      <c r="C990" t="s">
        <v>58</v>
      </c>
      <c r="D990" t="s">
        <v>38</v>
      </c>
      <c r="E990" t="s">
        <v>59</v>
      </c>
      <c r="F990" t="s">
        <v>117</v>
      </c>
      <c r="G990">
        <v>3.28</v>
      </c>
      <c r="H990" t="s">
        <v>41</v>
      </c>
      <c r="I990" t="s">
        <v>42</v>
      </c>
      <c r="M990">
        <f>VLOOKUP(H990,'Stage Order'!$A$2:$B$8,2,FALSE)</f>
        <v>2</v>
      </c>
      <c r="N990" t="str">
        <f t="shared" si="30"/>
        <v>2. 1-24 hours</v>
      </c>
      <c r="O990" t="str">
        <f t="shared" si="31"/>
        <v>2025-07</v>
      </c>
    </row>
    <row r="991" spans="1:15" x14ac:dyDescent="0.3">
      <c r="A991" t="s">
        <v>2377</v>
      </c>
      <c r="B991" t="s">
        <v>2378</v>
      </c>
      <c r="C991" t="s">
        <v>53</v>
      </c>
      <c r="D991" t="s">
        <v>38</v>
      </c>
      <c r="E991" t="s">
        <v>30</v>
      </c>
      <c r="F991" t="s">
        <v>78</v>
      </c>
      <c r="G991">
        <v>0.56000000000000005</v>
      </c>
      <c r="H991" t="s">
        <v>41</v>
      </c>
      <c r="I991" t="s">
        <v>42</v>
      </c>
      <c r="M991">
        <f>VLOOKUP(H991,'Stage Order'!$A$2:$B$8,2,FALSE)</f>
        <v>2</v>
      </c>
      <c r="N991" t="str">
        <f t="shared" si="30"/>
        <v>1. Under 1 hour</v>
      </c>
      <c r="O991" t="str">
        <f t="shared" si="31"/>
        <v>2025-03</v>
      </c>
    </row>
    <row r="992" spans="1:15" x14ac:dyDescent="0.3">
      <c r="A992" t="s">
        <v>2379</v>
      </c>
      <c r="B992" t="s">
        <v>2380</v>
      </c>
      <c r="C992" t="s">
        <v>28</v>
      </c>
      <c r="D992" t="s">
        <v>97</v>
      </c>
      <c r="E992" t="s">
        <v>39</v>
      </c>
      <c r="F992" t="s">
        <v>40</v>
      </c>
      <c r="G992">
        <v>15.52</v>
      </c>
      <c r="H992" t="s">
        <v>146</v>
      </c>
      <c r="I992" t="s">
        <v>48</v>
      </c>
      <c r="J992" t="s">
        <v>139</v>
      </c>
      <c r="K992">
        <v>1672</v>
      </c>
      <c r="L992" t="s">
        <v>2381</v>
      </c>
      <c r="M992">
        <f>VLOOKUP(H992,'Stage Order'!$A$2:$B$8,2,FALSE)</f>
        <v>5</v>
      </c>
      <c r="N992" t="str">
        <f t="shared" si="30"/>
        <v>2. 1-24 hours</v>
      </c>
      <c r="O992" t="str">
        <f t="shared" si="31"/>
        <v>2026-01</v>
      </c>
    </row>
    <row r="993" spans="1:15" x14ac:dyDescent="0.3">
      <c r="A993" t="s">
        <v>2382</v>
      </c>
      <c r="B993" t="s">
        <v>2383</v>
      </c>
      <c r="C993" t="s">
        <v>37</v>
      </c>
      <c r="D993" t="s">
        <v>38</v>
      </c>
      <c r="E993" t="s">
        <v>59</v>
      </c>
      <c r="F993" t="s">
        <v>117</v>
      </c>
      <c r="G993">
        <v>6.77</v>
      </c>
      <c r="H993" t="s">
        <v>138</v>
      </c>
      <c r="I993" t="s">
        <v>48</v>
      </c>
      <c r="J993" t="s">
        <v>742</v>
      </c>
      <c r="K993">
        <v>395.72</v>
      </c>
      <c r="L993" t="s">
        <v>2384</v>
      </c>
      <c r="M993">
        <f>VLOOKUP(H993,'Stage Order'!$A$2:$B$8,2,FALSE)</f>
        <v>6</v>
      </c>
      <c r="N993" t="str">
        <f t="shared" si="30"/>
        <v>2. 1-24 hours</v>
      </c>
      <c r="O993" t="str">
        <f t="shared" si="31"/>
        <v>2026-01</v>
      </c>
    </row>
    <row r="994" spans="1:15" x14ac:dyDescent="0.3">
      <c r="A994" t="s">
        <v>2385</v>
      </c>
      <c r="B994" t="s">
        <v>2386</v>
      </c>
      <c r="C994" t="s">
        <v>76</v>
      </c>
      <c r="D994" t="s">
        <v>77</v>
      </c>
      <c r="E994" t="s">
        <v>39</v>
      </c>
      <c r="F994" t="s">
        <v>40</v>
      </c>
      <c r="G994">
        <v>0.93</v>
      </c>
      <c r="H994" t="s">
        <v>32</v>
      </c>
      <c r="I994" t="s">
        <v>33</v>
      </c>
      <c r="K994">
        <v>975.52</v>
      </c>
      <c r="L994" t="s">
        <v>2387</v>
      </c>
      <c r="M994">
        <f>VLOOKUP(H994,'Stage Order'!$A$2:$B$8,2,FALSE)</f>
        <v>7</v>
      </c>
      <c r="N994" t="str">
        <f t="shared" si="30"/>
        <v>1. Under 1 hour</v>
      </c>
      <c r="O994" t="str">
        <f t="shared" si="31"/>
        <v>2025-04</v>
      </c>
    </row>
    <row r="995" spans="1:15" x14ac:dyDescent="0.3">
      <c r="A995" t="s">
        <v>2388</v>
      </c>
      <c r="B995" t="s">
        <v>2389</v>
      </c>
      <c r="C995" t="s">
        <v>81</v>
      </c>
      <c r="D995" t="s">
        <v>29</v>
      </c>
      <c r="E995" t="s">
        <v>39</v>
      </c>
      <c r="F995" t="s">
        <v>106</v>
      </c>
      <c r="G995">
        <v>10.19</v>
      </c>
      <c r="H995" t="s">
        <v>61</v>
      </c>
      <c r="I995" t="s">
        <v>42</v>
      </c>
      <c r="M995">
        <f>VLOOKUP(H995,'Stage Order'!$A$2:$B$8,2,FALSE)</f>
        <v>1</v>
      </c>
      <c r="N995" t="str">
        <f t="shared" si="30"/>
        <v>2. 1-24 hours</v>
      </c>
      <c r="O995" t="str">
        <f t="shared" si="31"/>
        <v>2025-10</v>
      </c>
    </row>
    <row r="996" spans="1:15" x14ac:dyDescent="0.3">
      <c r="A996" t="s">
        <v>2390</v>
      </c>
      <c r="B996" t="s">
        <v>2391</v>
      </c>
      <c r="C996" t="s">
        <v>58</v>
      </c>
      <c r="D996" t="s">
        <v>97</v>
      </c>
      <c r="E996" t="s">
        <v>45</v>
      </c>
      <c r="F996" t="s">
        <v>46</v>
      </c>
      <c r="G996">
        <v>22.86</v>
      </c>
      <c r="H996" t="s">
        <v>138</v>
      </c>
      <c r="I996" t="s">
        <v>48</v>
      </c>
      <c r="J996" t="s">
        <v>139</v>
      </c>
      <c r="K996">
        <v>1690.64</v>
      </c>
      <c r="L996" t="s">
        <v>2392</v>
      </c>
      <c r="M996">
        <f>VLOOKUP(H996,'Stage Order'!$A$2:$B$8,2,FALSE)</f>
        <v>6</v>
      </c>
      <c r="N996" t="str">
        <f t="shared" si="30"/>
        <v>2. 1-24 hours</v>
      </c>
      <c r="O996" t="str">
        <f t="shared" si="31"/>
        <v>2025-12</v>
      </c>
    </row>
    <row r="997" spans="1:15" x14ac:dyDescent="0.3">
      <c r="A997" t="s">
        <v>2393</v>
      </c>
      <c r="B997" t="s">
        <v>2394</v>
      </c>
      <c r="C997" t="s">
        <v>58</v>
      </c>
      <c r="D997" t="s">
        <v>54</v>
      </c>
      <c r="E997" t="s">
        <v>90</v>
      </c>
      <c r="F997" t="s">
        <v>112</v>
      </c>
      <c r="G997">
        <v>6.15</v>
      </c>
      <c r="H997" t="s">
        <v>41</v>
      </c>
      <c r="I997" t="s">
        <v>42</v>
      </c>
      <c r="M997">
        <f>VLOOKUP(H997,'Stage Order'!$A$2:$B$8,2,FALSE)</f>
        <v>2</v>
      </c>
      <c r="N997" t="str">
        <f t="shared" si="30"/>
        <v>2. 1-24 hours</v>
      </c>
      <c r="O997" t="str">
        <f t="shared" si="31"/>
        <v>2026-04</v>
      </c>
    </row>
    <row r="998" spans="1:15" x14ac:dyDescent="0.3">
      <c r="A998" t="s">
        <v>2395</v>
      </c>
      <c r="B998" t="s">
        <v>2396</v>
      </c>
      <c r="C998" t="s">
        <v>37</v>
      </c>
      <c r="D998" t="s">
        <v>97</v>
      </c>
      <c r="E998" t="s">
        <v>39</v>
      </c>
      <c r="F998" t="s">
        <v>40</v>
      </c>
      <c r="G998">
        <v>0.55000000000000004</v>
      </c>
      <c r="H998" t="s">
        <v>146</v>
      </c>
      <c r="I998" t="s">
        <v>48</v>
      </c>
      <c r="J998" t="s">
        <v>98</v>
      </c>
      <c r="K998">
        <v>1681.09</v>
      </c>
      <c r="L998" t="s">
        <v>2397</v>
      </c>
      <c r="M998">
        <f>VLOOKUP(H998,'Stage Order'!$A$2:$B$8,2,FALSE)</f>
        <v>5</v>
      </c>
      <c r="N998" t="str">
        <f t="shared" si="30"/>
        <v>1. Under 1 hour</v>
      </c>
      <c r="O998" t="str">
        <f t="shared" si="31"/>
        <v>2025-08</v>
      </c>
    </row>
    <row r="999" spans="1:15" x14ac:dyDescent="0.3">
      <c r="A999" t="s">
        <v>2398</v>
      </c>
      <c r="B999" t="s">
        <v>2399</v>
      </c>
      <c r="C999" t="s">
        <v>81</v>
      </c>
      <c r="D999" t="s">
        <v>54</v>
      </c>
      <c r="E999" t="s">
        <v>45</v>
      </c>
      <c r="F999" t="s">
        <v>46</v>
      </c>
      <c r="G999">
        <v>2.5299999999999998</v>
      </c>
      <c r="H999" t="s">
        <v>61</v>
      </c>
      <c r="I999" t="s">
        <v>42</v>
      </c>
      <c r="M999">
        <f>VLOOKUP(H999,'Stage Order'!$A$2:$B$8,2,FALSE)</f>
        <v>1</v>
      </c>
      <c r="N999" t="str">
        <f t="shared" si="30"/>
        <v>2. 1-24 hours</v>
      </c>
      <c r="O999" t="str">
        <f t="shared" si="31"/>
        <v>2026-05</v>
      </c>
    </row>
    <row r="1000" spans="1:15" x14ac:dyDescent="0.3">
      <c r="A1000" t="s">
        <v>2400</v>
      </c>
      <c r="B1000" t="s">
        <v>2401</v>
      </c>
      <c r="C1000" t="s">
        <v>53</v>
      </c>
      <c r="D1000" t="s">
        <v>77</v>
      </c>
      <c r="E1000" t="s">
        <v>39</v>
      </c>
      <c r="F1000" t="s">
        <v>40</v>
      </c>
      <c r="G1000">
        <v>1.17</v>
      </c>
      <c r="H1000" t="s">
        <v>32</v>
      </c>
      <c r="I1000" t="s">
        <v>33</v>
      </c>
      <c r="K1000">
        <v>842.86</v>
      </c>
      <c r="L1000" t="s">
        <v>2402</v>
      </c>
      <c r="M1000">
        <f>VLOOKUP(H1000,'Stage Order'!$A$2:$B$8,2,FALSE)</f>
        <v>7</v>
      </c>
      <c r="N1000" t="str">
        <f t="shared" si="30"/>
        <v>2. 1-24 hours</v>
      </c>
      <c r="O1000" t="str">
        <f t="shared" si="31"/>
        <v>2025-06</v>
      </c>
    </row>
    <row r="1001" spans="1:15" x14ac:dyDescent="0.3">
      <c r="A1001" t="s">
        <v>2403</v>
      </c>
      <c r="B1001" t="s">
        <v>2404</v>
      </c>
      <c r="C1001" t="s">
        <v>28</v>
      </c>
      <c r="D1001" t="s">
        <v>38</v>
      </c>
      <c r="E1001" t="s">
        <v>90</v>
      </c>
      <c r="F1001" t="s">
        <v>112</v>
      </c>
      <c r="G1001">
        <v>6.74</v>
      </c>
      <c r="H1001" t="s">
        <v>47</v>
      </c>
      <c r="I1001" t="s">
        <v>48</v>
      </c>
      <c r="J1001" t="s">
        <v>49</v>
      </c>
      <c r="K1001">
        <v>305.66000000000003</v>
      </c>
      <c r="L1001" t="s">
        <v>2405</v>
      </c>
      <c r="M1001">
        <f>VLOOKUP(H1001,'Stage Order'!$A$2:$B$8,2,FALSE)</f>
        <v>4</v>
      </c>
      <c r="N1001" t="str">
        <f t="shared" si="30"/>
        <v>2. 1-24 hours</v>
      </c>
      <c r="O1001" t="str">
        <f t="shared" si="31"/>
        <v>2025-01</v>
      </c>
    </row>
    <row r="1002" spans="1:15" x14ac:dyDescent="0.3">
      <c r="A1002" t="s">
        <v>2406</v>
      </c>
      <c r="B1002" t="s">
        <v>2407</v>
      </c>
      <c r="C1002" t="s">
        <v>81</v>
      </c>
      <c r="D1002" t="s">
        <v>54</v>
      </c>
      <c r="E1002" t="s">
        <v>90</v>
      </c>
      <c r="F1002" t="s">
        <v>145</v>
      </c>
      <c r="G1002">
        <v>0.94</v>
      </c>
      <c r="H1002" t="s">
        <v>128</v>
      </c>
      <c r="I1002" t="s">
        <v>42</v>
      </c>
      <c r="M1002">
        <f>VLOOKUP(H1002,'Stage Order'!$A$2:$B$8,2,FALSE)</f>
        <v>3</v>
      </c>
      <c r="N1002" t="str">
        <f t="shared" si="30"/>
        <v>1. Under 1 hour</v>
      </c>
      <c r="O1002" t="str">
        <f t="shared" si="31"/>
        <v>2025-01</v>
      </c>
    </row>
    <row r="1003" spans="1:15" x14ac:dyDescent="0.3">
      <c r="A1003" t="s">
        <v>2408</v>
      </c>
      <c r="B1003" t="s">
        <v>2409</v>
      </c>
      <c r="C1003" t="s">
        <v>37</v>
      </c>
      <c r="D1003" t="s">
        <v>29</v>
      </c>
      <c r="E1003" t="s">
        <v>45</v>
      </c>
      <c r="F1003" t="s">
        <v>46</v>
      </c>
      <c r="G1003">
        <v>6.58</v>
      </c>
      <c r="H1003" t="s">
        <v>138</v>
      </c>
      <c r="I1003" t="s">
        <v>48</v>
      </c>
      <c r="J1003" t="s">
        <v>113</v>
      </c>
      <c r="K1003">
        <v>600.02</v>
      </c>
      <c r="L1003" t="s">
        <v>2410</v>
      </c>
      <c r="M1003">
        <f>VLOOKUP(H1003,'Stage Order'!$A$2:$B$8,2,FALSE)</f>
        <v>6</v>
      </c>
      <c r="N1003" t="str">
        <f t="shared" si="30"/>
        <v>2. 1-24 hours</v>
      </c>
      <c r="O1003" t="str">
        <f t="shared" si="31"/>
        <v>2025-09</v>
      </c>
    </row>
    <row r="1004" spans="1:15" x14ac:dyDescent="0.3">
      <c r="A1004" t="s">
        <v>2411</v>
      </c>
      <c r="B1004" t="s">
        <v>2412</v>
      </c>
      <c r="C1004" t="s">
        <v>37</v>
      </c>
      <c r="D1004" t="s">
        <v>29</v>
      </c>
      <c r="E1004" t="s">
        <v>45</v>
      </c>
      <c r="F1004" t="s">
        <v>55</v>
      </c>
      <c r="G1004">
        <v>2.5499999999999998</v>
      </c>
      <c r="H1004" t="s">
        <v>146</v>
      </c>
      <c r="I1004" t="s">
        <v>48</v>
      </c>
      <c r="J1004" t="s">
        <v>139</v>
      </c>
      <c r="K1004">
        <v>612.73</v>
      </c>
      <c r="L1004" t="s">
        <v>2413</v>
      </c>
      <c r="M1004">
        <f>VLOOKUP(H1004,'Stage Order'!$A$2:$B$8,2,FALSE)</f>
        <v>5</v>
      </c>
      <c r="N1004" t="str">
        <f t="shared" si="30"/>
        <v>2. 1-24 hours</v>
      </c>
      <c r="O1004" t="str">
        <f t="shared" si="31"/>
        <v>2025-10</v>
      </c>
    </row>
    <row r="1005" spans="1:15" x14ac:dyDescent="0.3">
      <c r="A1005" t="s">
        <v>2414</v>
      </c>
      <c r="B1005" t="s">
        <v>2415</v>
      </c>
      <c r="C1005" t="s">
        <v>28</v>
      </c>
      <c r="D1005" t="s">
        <v>54</v>
      </c>
      <c r="E1005" t="s">
        <v>90</v>
      </c>
      <c r="F1005" t="s">
        <v>91</v>
      </c>
      <c r="G1005">
        <v>0.39</v>
      </c>
      <c r="H1005" t="s">
        <v>41</v>
      </c>
      <c r="I1005" t="s">
        <v>42</v>
      </c>
      <c r="M1005">
        <f>VLOOKUP(H1005,'Stage Order'!$A$2:$B$8,2,FALSE)</f>
        <v>2</v>
      </c>
      <c r="N1005" t="str">
        <f t="shared" si="30"/>
        <v>1. Under 1 hour</v>
      </c>
      <c r="O1005" t="str">
        <f t="shared" si="31"/>
        <v>2025-07</v>
      </c>
    </row>
    <row r="1006" spans="1:15" x14ac:dyDescent="0.3">
      <c r="A1006" t="s">
        <v>2416</v>
      </c>
      <c r="B1006" t="s">
        <v>2417</v>
      </c>
      <c r="C1006" t="s">
        <v>125</v>
      </c>
      <c r="D1006" t="s">
        <v>77</v>
      </c>
      <c r="E1006" t="s">
        <v>59</v>
      </c>
      <c r="F1006" t="s">
        <v>60</v>
      </c>
      <c r="G1006">
        <v>0.73</v>
      </c>
      <c r="H1006" t="s">
        <v>41</v>
      </c>
      <c r="I1006" t="s">
        <v>42</v>
      </c>
      <c r="M1006">
        <f>VLOOKUP(H1006,'Stage Order'!$A$2:$B$8,2,FALSE)</f>
        <v>2</v>
      </c>
      <c r="N1006" t="str">
        <f t="shared" si="30"/>
        <v>1. Under 1 hour</v>
      </c>
      <c r="O1006" t="str">
        <f t="shared" si="31"/>
        <v>2025-01</v>
      </c>
    </row>
    <row r="1007" spans="1:15" x14ac:dyDescent="0.3">
      <c r="A1007" t="s">
        <v>2418</v>
      </c>
      <c r="B1007" t="s">
        <v>2419</v>
      </c>
      <c r="C1007" t="s">
        <v>81</v>
      </c>
      <c r="D1007" t="s">
        <v>77</v>
      </c>
      <c r="E1007" t="s">
        <v>59</v>
      </c>
      <c r="F1007" t="s">
        <v>137</v>
      </c>
      <c r="G1007">
        <v>2.64</v>
      </c>
      <c r="H1007" t="s">
        <v>61</v>
      </c>
      <c r="I1007" t="s">
        <v>42</v>
      </c>
      <c r="M1007">
        <f>VLOOKUP(H1007,'Stage Order'!$A$2:$B$8,2,FALSE)</f>
        <v>1</v>
      </c>
      <c r="N1007" t="str">
        <f t="shared" si="30"/>
        <v>2. 1-24 hours</v>
      </c>
      <c r="O1007" t="str">
        <f t="shared" si="31"/>
        <v>2025-06</v>
      </c>
    </row>
    <row r="1008" spans="1:15" x14ac:dyDescent="0.3">
      <c r="A1008" t="s">
        <v>2420</v>
      </c>
      <c r="B1008" t="s">
        <v>2421</v>
      </c>
      <c r="C1008" t="s">
        <v>37</v>
      </c>
      <c r="D1008" t="s">
        <v>54</v>
      </c>
      <c r="E1008" t="s">
        <v>59</v>
      </c>
      <c r="F1008" t="s">
        <v>117</v>
      </c>
      <c r="G1008">
        <v>4.12</v>
      </c>
      <c r="H1008" t="s">
        <v>61</v>
      </c>
      <c r="I1008" t="s">
        <v>42</v>
      </c>
      <c r="M1008">
        <f>VLOOKUP(H1008,'Stage Order'!$A$2:$B$8,2,FALSE)</f>
        <v>1</v>
      </c>
      <c r="N1008" t="str">
        <f t="shared" si="30"/>
        <v>2. 1-24 hours</v>
      </c>
      <c r="O1008" t="str">
        <f t="shared" si="31"/>
        <v>2025-11</v>
      </c>
    </row>
    <row r="1009" spans="1:15" x14ac:dyDescent="0.3">
      <c r="A1009" t="s">
        <v>2422</v>
      </c>
      <c r="B1009" t="s">
        <v>2423</v>
      </c>
      <c r="C1009" t="s">
        <v>53</v>
      </c>
      <c r="D1009" t="s">
        <v>54</v>
      </c>
      <c r="E1009" t="s">
        <v>45</v>
      </c>
      <c r="F1009" t="s">
        <v>55</v>
      </c>
      <c r="G1009">
        <v>2.97</v>
      </c>
      <c r="H1009" t="s">
        <v>32</v>
      </c>
      <c r="I1009" t="s">
        <v>33</v>
      </c>
      <c r="K1009">
        <v>412.3</v>
      </c>
      <c r="L1009" t="s">
        <v>2424</v>
      </c>
      <c r="M1009">
        <f>VLOOKUP(H1009,'Stage Order'!$A$2:$B$8,2,FALSE)</f>
        <v>7</v>
      </c>
      <c r="N1009" t="str">
        <f t="shared" si="30"/>
        <v>2. 1-24 hours</v>
      </c>
      <c r="O1009" t="str">
        <f t="shared" si="31"/>
        <v>2025-06</v>
      </c>
    </row>
    <row r="1010" spans="1:15" x14ac:dyDescent="0.3">
      <c r="A1010" t="s">
        <v>2425</v>
      </c>
      <c r="B1010" t="s">
        <v>2426</v>
      </c>
      <c r="C1010" t="s">
        <v>76</v>
      </c>
      <c r="D1010" t="s">
        <v>77</v>
      </c>
      <c r="E1010" t="s">
        <v>45</v>
      </c>
      <c r="F1010" t="s">
        <v>55</v>
      </c>
      <c r="G1010">
        <v>10.78</v>
      </c>
      <c r="H1010" t="s">
        <v>138</v>
      </c>
      <c r="I1010" t="s">
        <v>48</v>
      </c>
      <c r="J1010" t="s">
        <v>139</v>
      </c>
      <c r="K1010">
        <v>1168.54</v>
      </c>
      <c r="L1010" t="s">
        <v>2427</v>
      </c>
      <c r="M1010">
        <f>VLOOKUP(H1010,'Stage Order'!$A$2:$B$8,2,FALSE)</f>
        <v>6</v>
      </c>
      <c r="N1010" t="str">
        <f t="shared" si="30"/>
        <v>2. 1-24 hours</v>
      </c>
      <c r="O1010" t="str">
        <f t="shared" si="31"/>
        <v>2026-01</v>
      </c>
    </row>
    <row r="1011" spans="1:15" x14ac:dyDescent="0.3">
      <c r="A1011" t="s">
        <v>2428</v>
      </c>
      <c r="B1011" t="s">
        <v>2429</v>
      </c>
      <c r="C1011" t="s">
        <v>28</v>
      </c>
      <c r="D1011" t="s">
        <v>38</v>
      </c>
      <c r="E1011" t="s">
        <v>59</v>
      </c>
      <c r="F1011" t="s">
        <v>60</v>
      </c>
      <c r="G1011">
        <v>2.74</v>
      </c>
      <c r="H1011" t="s">
        <v>41</v>
      </c>
      <c r="I1011" t="s">
        <v>42</v>
      </c>
      <c r="M1011">
        <f>VLOOKUP(H1011,'Stage Order'!$A$2:$B$8,2,FALSE)</f>
        <v>2</v>
      </c>
      <c r="N1011" t="str">
        <f t="shared" si="30"/>
        <v>2. 1-24 hours</v>
      </c>
      <c r="O1011" t="str">
        <f t="shared" si="31"/>
        <v>2025-10</v>
      </c>
    </row>
    <row r="1012" spans="1:15" x14ac:dyDescent="0.3">
      <c r="A1012" t="s">
        <v>2430</v>
      </c>
      <c r="B1012" t="s">
        <v>2431</v>
      </c>
      <c r="C1012" t="s">
        <v>125</v>
      </c>
      <c r="D1012" t="s">
        <v>29</v>
      </c>
      <c r="E1012" t="s">
        <v>45</v>
      </c>
      <c r="F1012" t="s">
        <v>94</v>
      </c>
      <c r="G1012">
        <v>2.81</v>
      </c>
      <c r="H1012" t="s">
        <v>41</v>
      </c>
      <c r="I1012" t="s">
        <v>42</v>
      </c>
      <c r="M1012">
        <f>VLOOKUP(H1012,'Stage Order'!$A$2:$B$8,2,FALSE)</f>
        <v>2</v>
      </c>
      <c r="N1012" t="str">
        <f t="shared" si="30"/>
        <v>2. 1-24 hours</v>
      </c>
      <c r="O1012" t="str">
        <f t="shared" si="31"/>
        <v>2025-03</v>
      </c>
    </row>
    <row r="1013" spans="1:15" x14ac:dyDescent="0.3">
      <c r="A1013" t="s">
        <v>2432</v>
      </c>
      <c r="B1013" t="s">
        <v>2433</v>
      </c>
      <c r="C1013" t="s">
        <v>53</v>
      </c>
      <c r="D1013" t="s">
        <v>77</v>
      </c>
      <c r="E1013" t="s">
        <v>45</v>
      </c>
      <c r="F1013" t="s">
        <v>94</v>
      </c>
      <c r="G1013">
        <v>1.99</v>
      </c>
      <c r="H1013" t="s">
        <v>41</v>
      </c>
      <c r="I1013" t="s">
        <v>42</v>
      </c>
      <c r="M1013">
        <f>VLOOKUP(H1013,'Stage Order'!$A$2:$B$8,2,FALSE)</f>
        <v>2</v>
      </c>
      <c r="N1013" t="str">
        <f t="shared" si="30"/>
        <v>2. 1-24 hours</v>
      </c>
      <c r="O1013" t="str">
        <f t="shared" si="31"/>
        <v>2026-06</v>
      </c>
    </row>
    <row r="1014" spans="1:15" x14ac:dyDescent="0.3">
      <c r="A1014" t="s">
        <v>2434</v>
      </c>
      <c r="B1014" t="s">
        <v>2435</v>
      </c>
      <c r="C1014" t="s">
        <v>58</v>
      </c>
      <c r="D1014" t="s">
        <v>77</v>
      </c>
      <c r="E1014" t="s">
        <v>39</v>
      </c>
      <c r="F1014" t="s">
        <v>106</v>
      </c>
      <c r="G1014">
        <v>5.88</v>
      </c>
      <c r="H1014" t="s">
        <v>128</v>
      </c>
      <c r="I1014" t="s">
        <v>42</v>
      </c>
      <c r="M1014">
        <f>VLOOKUP(H1014,'Stage Order'!$A$2:$B$8,2,FALSE)</f>
        <v>3</v>
      </c>
      <c r="N1014" t="str">
        <f t="shared" si="30"/>
        <v>2. 1-24 hours</v>
      </c>
      <c r="O1014" t="str">
        <f t="shared" si="31"/>
        <v>2025-11</v>
      </c>
    </row>
    <row r="1015" spans="1:15" x14ac:dyDescent="0.3">
      <c r="A1015" t="s">
        <v>2436</v>
      </c>
      <c r="B1015" t="s">
        <v>2437</v>
      </c>
      <c r="C1015" t="s">
        <v>58</v>
      </c>
      <c r="D1015" t="s">
        <v>38</v>
      </c>
      <c r="E1015" t="s">
        <v>59</v>
      </c>
      <c r="F1015" t="s">
        <v>60</v>
      </c>
      <c r="G1015">
        <v>5.31</v>
      </c>
      <c r="H1015" t="s">
        <v>47</v>
      </c>
      <c r="I1015" t="s">
        <v>48</v>
      </c>
      <c r="J1015" t="s">
        <v>49</v>
      </c>
      <c r="K1015">
        <v>401.03</v>
      </c>
      <c r="L1015" t="s">
        <v>2438</v>
      </c>
      <c r="M1015">
        <f>VLOOKUP(H1015,'Stage Order'!$A$2:$B$8,2,FALSE)</f>
        <v>4</v>
      </c>
      <c r="N1015" t="str">
        <f t="shared" si="30"/>
        <v>2. 1-24 hours</v>
      </c>
      <c r="O1015" t="str">
        <f t="shared" si="31"/>
        <v>2025-07</v>
      </c>
    </row>
    <row r="1016" spans="1:15" x14ac:dyDescent="0.3">
      <c r="A1016" t="s">
        <v>2439</v>
      </c>
      <c r="B1016" t="s">
        <v>2440</v>
      </c>
      <c r="C1016" t="s">
        <v>58</v>
      </c>
      <c r="D1016" t="s">
        <v>29</v>
      </c>
      <c r="E1016" t="s">
        <v>30</v>
      </c>
      <c r="F1016" t="s">
        <v>82</v>
      </c>
      <c r="G1016">
        <v>3.52</v>
      </c>
      <c r="H1016" t="s">
        <v>32</v>
      </c>
      <c r="I1016" t="s">
        <v>33</v>
      </c>
      <c r="K1016">
        <v>702.64</v>
      </c>
      <c r="L1016" t="s">
        <v>2441</v>
      </c>
      <c r="M1016">
        <f>VLOOKUP(H1016,'Stage Order'!$A$2:$B$8,2,FALSE)</f>
        <v>7</v>
      </c>
      <c r="N1016" t="str">
        <f t="shared" si="30"/>
        <v>2. 1-24 hours</v>
      </c>
      <c r="O1016" t="str">
        <f t="shared" si="31"/>
        <v>2025-07</v>
      </c>
    </row>
    <row r="1017" spans="1:15" x14ac:dyDescent="0.3">
      <c r="A1017" t="s">
        <v>2442</v>
      </c>
      <c r="B1017" t="s">
        <v>2443</v>
      </c>
      <c r="C1017" t="s">
        <v>37</v>
      </c>
      <c r="D1017" t="s">
        <v>38</v>
      </c>
      <c r="E1017" t="s">
        <v>45</v>
      </c>
      <c r="F1017" t="s">
        <v>46</v>
      </c>
      <c r="G1017">
        <v>4.4000000000000004</v>
      </c>
      <c r="H1017" t="s">
        <v>32</v>
      </c>
      <c r="I1017" t="s">
        <v>33</v>
      </c>
      <c r="K1017">
        <v>387.65</v>
      </c>
      <c r="L1017" t="s">
        <v>2444</v>
      </c>
      <c r="M1017">
        <f>VLOOKUP(H1017,'Stage Order'!$A$2:$B$8,2,FALSE)</f>
        <v>7</v>
      </c>
      <c r="N1017" t="str">
        <f t="shared" si="30"/>
        <v>2. 1-24 hours</v>
      </c>
      <c r="O1017" t="str">
        <f t="shared" si="31"/>
        <v>2025-05</v>
      </c>
    </row>
    <row r="1018" spans="1:15" x14ac:dyDescent="0.3">
      <c r="A1018" t="s">
        <v>2445</v>
      </c>
      <c r="B1018" t="s">
        <v>2446</v>
      </c>
      <c r="C1018" t="s">
        <v>58</v>
      </c>
      <c r="D1018" t="s">
        <v>38</v>
      </c>
      <c r="E1018" t="s">
        <v>45</v>
      </c>
      <c r="F1018" t="s">
        <v>55</v>
      </c>
      <c r="G1018">
        <v>1.05</v>
      </c>
      <c r="H1018" t="s">
        <v>61</v>
      </c>
      <c r="I1018" t="s">
        <v>42</v>
      </c>
      <c r="M1018">
        <f>VLOOKUP(H1018,'Stage Order'!$A$2:$B$8,2,FALSE)</f>
        <v>1</v>
      </c>
      <c r="N1018" t="str">
        <f t="shared" si="30"/>
        <v>2. 1-24 hours</v>
      </c>
      <c r="O1018" t="str">
        <f t="shared" si="31"/>
        <v>2026-05</v>
      </c>
    </row>
    <row r="1019" spans="1:15" x14ac:dyDescent="0.3">
      <c r="A1019" t="s">
        <v>2447</v>
      </c>
      <c r="B1019" t="s">
        <v>2448</v>
      </c>
      <c r="C1019" t="s">
        <v>58</v>
      </c>
      <c r="D1019" t="s">
        <v>29</v>
      </c>
      <c r="E1019" t="s">
        <v>39</v>
      </c>
      <c r="F1019" t="s">
        <v>66</v>
      </c>
      <c r="G1019">
        <v>3.33</v>
      </c>
      <c r="H1019" t="s">
        <v>41</v>
      </c>
      <c r="I1019" t="s">
        <v>42</v>
      </c>
      <c r="M1019">
        <f>VLOOKUP(H1019,'Stage Order'!$A$2:$B$8,2,FALSE)</f>
        <v>2</v>
      </c>
      <c r="N1019" t="str">
        <f t="shared" si="30"/>
        <v>2. 1-24 hours</v>
      </c>
      <c r="O1019" t="str">
        <f t="shared" si="31"/>
        <v>2026-02</v>
      </c>
    </row>
    <row r="1020" spans="1:15" x14ac:dyDescent="0.3">
      <c r="A1020" t="s">
        <v>2449</v>
      </c>
      <c r="B1020" t="s">
        <v>2450</v>
      </c>
      <c r="C1020" t="s">
        <v>37</v>
      </c>
      <c r="D1020" t="s">
        <v>29</v>
      </c>
      <c r="E1020" t="s">
        <v>59</v>
      </c>
      <c r="F1020" t="s">
        <v>117</v>
      </c>
      <c r="G1020">
        <v>1.94</v>
      </c>
      <c r="H1020" t="s">
        <v>47</v>
      </c>
      <c r="I1020" t="s">
        <v>48</v>
      </c>
      <c r="J1020" t="s">
        <v>113</v>
      </c>
      <c r="K1020">
        <v>642.57000000000005</v>
      </c>
      <c r="L1020" t="s">
        <v>2451</v>
      </c>
      <c r="M1020">
        <f>VLOOKUP(H1020,'Stage Order'!$A$2:$B$8,2,FALSE)</f>
        <v>4</v>
      </c>
      <c r="N1020" t="str">
        <f t="shared" si="30"/>
        <v>2. 1-24 hours</v>
      </c>
      <c r="O1020" t="str">
        <f t="shared" si="31"/>
        <v>2025-07</v>
      </c>
    </row>
    <row r="1021" spans="1:15" x14ac:dyDescent="0.3">
      <c r="A1021" t="s">
        <v>2452</v>
      </c>
      <c r="B1021" t="s">
        <v>2453</v>
      </c>
      <c r="C1021" t="s">
        <v>58</v>
      </c>
      <c r="D1021" t="s">
        <v>77</v>
      </c>
      <c r="E1021" t="s">
        <v>39</v>
      </c>
      <c r="F1021" t="s">
        <v>106</v>
      </c>
      <c r="G1021">
        <v>3.12</v>
      </c>
      <c r="H1021" t="s">
        <v>138</v>
      </c>
      <c r="I1021" t="s">
        <v>48</v>
      </c>
      <c r="J1021" t="s">
        <v>139</v>
      </c>
      <c r="K1021">
        <v>1181.6300000000001</v>
      </c>
      <c r="L1021" t="s">
        <v>2454</v>
      </c>
      <c r="M1021">
        <f>VLOOKUP(H1021,'Stage Order'!$A$2:$B$8,2,FALSE)</f>
        <v>6</v>
      </c>
      <c r="N1021" t="str">
        <f t="shared" si="30"/>
        <v>2. 1-24 hours</v>
      </c>
      <c r="O1021" t="str">
        <f t="shared" si="31"/>
        <v>2026-01</v>
      </c>
    </row>
    <row r="1022" spans="1:15" x14ac:dyDescent="0.3">
      <c r="A1022" t="s">
        <v>2455</v>
      </c>
      <c r="B1022" t="s">
        <v>2456</v>
      </c>
      <c r="C1022" t="s">
        <v>28</v>
      </c>
      <c r="D1022" t="s">
        <v>54</v>
      </c>
      <c r="E1022" t="s">
        <v>59</v>
      </c>
      <c r="F1022" t="s">
        <v>137</v>
      </c>
      <c r="G1022">
        <v>1.99</v>
      </c>
      <c r="H1022" t="s">
        <v>41</v>
      </c>
      <c r="I1022" t="s">
        <v>42</v>
      </c>
      <c r="M1022">
        <f>VLOOKUP(H1022,'Stage Order'!$A$2:$B$8,2,FALSE)</f>
        <v>2</v>
      </c>
      <c r="N1022" t="str">
        <f t="shared" si="30"/>
        <v>2. 1-24 hours</v>
      </c>
      <c r="O1022" t="str">
        <f t="shared" si="31"/>
        <v>2025-09</v>
      </c>
    </row>
    <row r="1023" spans="1:15" x14ac:dyDescent="0.3">
      <c r="A1023" t="s">
        <v>2457</v>
      </c>
      <c r="B1023" t="s">
        <v>2458</v>
      </c>
      <c r="C1023" t="s">
        <v>37</v>
      </c>
      <c r="D1023" t="s">
        <v>38</v>
      </c>
      <c r="E1023" t="s">
        <v>59</v>
      </c>
      <c r="F1023" t="s">
        <v>60</v>
      </c>
      <c r="G1023">
        <v>0.21</v>
      </c>
      <c r="H1023" t="s">
        <v>41</v>
      </c>
      <c r="I1023" t="s">
        <v>42</v>
      </c>
      <c r="M1023">
        <f>VLOOKUP(H1023,'Stage Order'!$A$2:$B$8,2,FALSE)</f>
        <v>2</v>
      </c>
      <c r="N1023" t="str">
        <f t="shared" si="30"/>
        <v>1. Under 1 hour</v>
      </c>
      <c r="O1023" t="str">
        <f t="shared" si="31"/>
        <v>2025-07</v>
      </c>
    </row>
    <row r="1024" spans="1:15" x14ac:dyDescent="0.3">
      <c r="A1024" t="s">
        <v>2459</v>
      </c>
      <c r="B1024" t="s">
        <v>2460</v>
      </c>
      <c r="C1024" t="s">
        <v>37</v>
      </c>
      <c r="D1024" t="s">
        <v>77</v>
      </c>
      <c r="E1024" t="s">
        <v>59</v>
      </c>
      <c r="F1024" t="s">
        <v>60</v>
      </c>
      <c r="G1024">
        <v>2.4900000000000002</v>
      </c>
      <c r="H1024" t="s">
        <v>41</v>
      </c>
      <c r="I1024" t="s">
        <v>42</v>
      </c>
      <c r="M1024">
        <f>VLOOKUP(H1024,'Stage Order'!$A$2:$B$8,2,FALSE)</f>
        <v>2</v>
      </c>
      <c r="N1024" t="str">
        <f t="shared" si="30"/>
        <v>2. 1-24 hours</v>
      </c>
      <c r="O1024" t="str">
        <f t="shared" si="31"/>
        <v>2025-06</v>
      </c>
    </row>
    <row r="1025" spans="1:15" x14ac:dyDescent="0.3">
      <c r="A1025" t="s">
        <v>2461</v>
      </c>
      <c r="B1025" t="s">
        <v>2462</v>
      </c>
      <c r="C1025" t="s">
        <v>76</v>
      </c>
      <c r="D1025" t="s">
        <v>54</v>
      </c>
      <c r="E1025" t="s">
        <v>30</v>
      </c>
      <c r="F1025" t="s">
        <v>31</v>
      </c>
      <c r="G1025">
        <v>3.95</v>
      </c>
      <c r="H1025" t="s">
        <v>41</v>
      </c>
      <c r="I1025" t="s">
        <v>42</v>
      </c>
      <c r="M1025">
        <f>VLOOKUP(H1025,'Stage Order'!$A$2:$B$8,2,FALSE)</f>
        <v>2</v>
      </c>
      <c r="N1025" t="str">
        <f t="shared" si="30"/>
        <v>2. 1-24 hours</v>
      </c>
      <c r="O1025" t="str">
        <f t="shared" si="31"/>
        <v>2025-07</v>
      </c>
    </row>
    <row r="1026" spans="1:15" x14ac:dyDescent="0.3">
      <c r="A1026" t="s">
        <v>2463</v>
      </c>
      <c r="B1026" t="s">
        <v>2464</v>
      </c>
      <c r="C1026" t="s">
        <v>76</v>
      </c>
      <c r="D1026" t="s">
        <v>54</v>
      </c>
      <c r="E1026" t="s">
        <v>90</v>
      </c>
      <c r="F1026" t="s">
        <v>91</v>
      </c>
      <c r="G1026">
        <v>1.51</v>
      </c>
      <c r="H1026" t="s">
        <v>146</v>
      </c>
      <c r="I1026" t="s">
        <v>48</v>
      </c>
      <c r="J1026" t="s">
        <v>113</v>
      </c>
      <c r="K1026">
        <v>448.43</v>
      </c>
      <c r="L1026" t="s">
        <v>2465</v>
      </c>
      <c r="M1026">
        <f>VLOOKUP(H1026,'Stage Order'!$A$2:$B$8,2,FALSE)</f>
        <v>5</v>
      </c>
      <c r="N1026" t="str">
        <f t="shared" ref="N1026:N1089" si="32">IF(G1026&lt;=1,"1. Under 1 hour",IF(G1026&lt;=24,"2. 1-24 hours",IF(G1026&lt;=72,"3. 1-3 days","4. Over 3 days")))</f>
        <v>2. 1-24 hours</v>
      </c>
      <c r="O1026" t="str">
        <f t="shared" ref="O1026:O1089" si="33">TEXT(B1026,"YYYY-MM")</f>
        <v>2026-01</v>
      </c>
    </row>
    <row r="1027" spans="1:15" x14ac:dyDescent="0.3">
      <c r="A1027" t="s">
        <v>2466</v>
      </c>
      <c r="B1027" t="s">
        <v>2467</v>
      </c>
      <c r="C1027" t="s">
        <v>76</v>
      </c>
      <c r="D1027" t="s">
        <v>77</v>
      </c>
      <c r="E1027" t="s">
        <v>59</v>
      </c>
      <c r="F1027" t="s">
        <v>60</v>
      </c>
      <c r="G1027">
        <v>2.48</v>
      </c>
      <c r="H1027" t="s">
        <v>47</v>
      </c>
      <c r="I1027" t="s">
        <v>48</v>
      </c>
      <c r="J1027" t="s">
        <v>49</v>
      </c>
      <c r="K1027">
        <v>1048.06</v>
      </c>
      <c r="L1027" t="s">
        <v>2468</v>
      </c>
      <c r="M1027">
        <f>VLOOKUP(H1027,'Stage Order'!$A$2:$B$8,2,FALSE)</f>
        <v>4</v>
      </c>
      <c r="N1027" t="str">
        <f t="shared" si="32"/>
        <v>2. 1-24 hours</v>
      </c>
      <c r="O1027" t="str">
        <f t="shared" si="33"/>
        <v>2026-05</v>
      </c>
    </row>
    <row r="1028" spans="1:15" x14ac:dyDescent="0.3">
      <c r="A1028" t="s">
        <v>2469</v>
      </c>
      <c r="B1028" t="s">
        <v>2470</v>
      </c>
      <c r="C1028" t="s">
        <v>81</v>
      </c>
      <c r="D1028" t="s">
        <v>29</v>
      </c>
      <c r="E1028" t="s">
        <v>59</v>
      </c>
      <c r="F1028" t="s">
        <v>117</v>
      </c>
      <c r="G1028">
        <v>1.3</v>
      </c>
      <c r="H1028" t="s">
        <v>61</v>
      </c>
      <c r="I1028" t="s">
        <v>42</v>
      </c>
      <c r="M1028">
        <f>VLOOKUP(H1028,'Stage Order'!$A$2:$B$8,2,FALSE)</f>
        <v>1</v>
      </c>
      <c r="N1028" t="str">
        <f t="shared" si="32"/>
        <v>2. 1-24 hours</v>
      </c>
      <c r="O1028" t="str">
        <f t="shared" si="33"/>
        <v>2025-10</v>
      </c>
    </row>
    <row r="1029" spans="1:15" x14ac:dyDescent="0.3">
      <c r="A1029" t="s">
        <v>2471</v>
      </c>
      <c r="B1029" t="s">
        <v>2472</v>
      </c>
      <c r="C1029" t="s">
        <v>28</v>
      </c>
      <c r="D1029" t="s">
        <v>97</v>
      </c>
      <c r="E1029" t="s">
        <v>39</v>
      </c>
      <c r="F1029" t="s">
        <v>66</v>
      </c>
      <c r="G1029">
        <v>3.98</v>
      </c>
      <c r="H1029" t="s">
        <v>41</v>
      </c>
      <c r="I1029" t="s">
        <v>42</v>
      </c>
      <c r="M1029">
        <f>VLOOKUP(H1029,'Stage Order'!$A$2:$B$8,2,FALSE)</f>
        <v>2</v>
      </c>
      <c r="N1029" t="str">
        <f t="shared" si="32"/>
        <v>2. 1-24 hours</v>
      </c>
      <c r="O1029" t="str">
        <f t="shared" si="33"/>
        <v>2025-04</v>
      </c>
    </row>
    <row r="1030" spans="1:15" x14ac:dyDescent="0.3">
      <c r="A1030" t="s">
        <v>2473</v>
      </c>
      <c r="B1030" t="s">
        <v>2474</v>
      </c>
      <c r="C1030" t="s">
        <v>125</v>
      </c>
      <c r="D1030" t="s">
        <v>77</v>
      </c>
      <c r="E1030" t="s">
        <v>59</v>
      </c>
      <c r="F1030" t="s">
        <v>60</v>
      </c>
      <c r="G1030">
        <v>0.54</v>
      </c>
      <c r="H1030" t="s">
        <v>138</v>
      </c>
      <c r="I1030" t="s">
        <v>48</v>
      </c>
      <c r="J1030" t="s">
        <v>113</v>
      </c>
      <c r="K1030">
        <v>1006.32</v>
      </c>
      <c r="L1030" t="s">
        <v>2475</v>
      </c>
      <c r="M1030">
        <f>VLOOKUP(H1030,'Stage Order'!$A$2:$B$8,2,FALSE)</f>
        <v>6</v>
      </c>
      <c r="N1030" t="str">
        <f t="shared" si="32"/>
        <v>1. Under 1 hour</v>
      </c>
      <c r="O1030" t="str">
        <f t="shared" si="33"/>
        <v>2026-02</v>
      </c>
    </row>
    <row r="1031" spans="1:15" x14ac:dyDescent="0.3">
      <c r="A1031" t="s">
        <v>2476</v>
      </c>
      <c r="B1031" t="s">
        <v>2477</v>
      </c>
      <c r="C1031" t="s">
        <v>58</v>
      </c>
      <c r="D1031" t="s">
        <v>54</v>
      </c>
      <c r="E1031" t="s">
        <v>90</v>
      </c>
      <c r="F1031" t="s">
        <v>145</v>
      </c>
      <c r="G1031">
        <v>3.51</v>
      </c>
      <c r="H1031" t="s">
        <v>61</v>
      </c>
      <c r="I1031" t="s">
        <v>42</v>
      </c>
      <c r="M1031">
        <f>VLOOKUP(H1031,'Stage Order'!$A$2:$B$8,2,FALSE)</f>
        <v>1</v>
      </c>
      <c r="N1031" t="str">
        <f t="shared" si="32"/>
        <v>2. 1-24 hours</v>
      </c>
      <c r="O1031" t="str">
        <f t="shared" si="33"/>
        <v>2026-03</v>
      </c>
    </row>
    <row r="1032" spans="1:15" x14ac:dyDescent="0.3">
      <c r="A1032" t="s">
        <v>2478</v>
      </c>
      <c r="B1032" t="s">
        <v>2479</v>
      </c>
      <c r="C1032" t="s">
        <v>76</v>
      </c>
      <c r="D1032" t="s">
        <v>97</v>
      </c>
      <c r="E1032" t="s">
        <v>39</v>
      </c>
      <c r="F1032" t="s">
        <v>40</v>
      </c>
      <c r="G1032">
        <v>9.85</v>
      </c>
      <c r="H1032" t="s">
        <v>32</v>
      </c>
      <c r="I1032" t="s">
        <v>33</v>
      </c>
      <c r="K1032">
        <v>1202.0899999999999</v>
      </c>
      <c r="L1032" t="s">
        <v>2480</v>
      </c>
      <c r="M1032">
        <f>VLOOKUP(H1032,'Stage Order'!$A$2:$B$8,2,FALSE)</f>
        <v>7</v>
      </c>
      <c r="N1032" t="str">
        <f t="shared" si="32"/>
        <v>2. 1-24 hours</v>
      </c>
      <c r="O1032" t="str">
        <f t="shared" si="33"/>
        <v>2025-01</v>
      </c>
    </row>
    <row r="1033" spans="1:15" x14ac:dyDescent="0.3">
      <c r="A1033" t="s">
        <v>2481</v>
      </c>
      <c r="B1033" t="s">
        <v>2482</v>
      </c>
      <c r="C1033" t="s">
        <v>37</v>
      </c>
      <c r="D1033" t="s">
        <v>77</v>
      </c>
      <c r="E1033" t="s">
        <v>45</v>
      </c>
      <c r="F1033" t="s">
        <v>55</v>
      </c>
      <c r="G1033">
        <v>2.29</v>
      </c>
      <c r="H1033" t="s">
        <v>41</v>
      </c>
      <c r="I1033" t="s">
        <v>42</v>
      </c>
      <c r="M1033">
        <f>VLOOKUP(H1033,'Stage Order'!$A$2:$B$8,2,FALSE)</f>
        <v>2</v>
      </c>
      <c r="N1033" t="str">
        <f t="shared" si="32"/>
        <v>2. 1-24 hours</v>
      </c>
      <c r="O1033" t="str">
        <f t="shared" si="33"/>
        <v>2025-12</v>
      </c>
    </row>
    <row r="1034" spans="1:15" x14ac:dyDescent="0.3">
      <c r="A1034" t="s">
        <v>2483</v>
      </c>
      <c r="B1034" t="s">
        <v>2484</v>
      </c>
      <c r="C1034" t="s">
        <v>53</v>
      </c>
      <c r="D1034" t="s">
        <v>29</v>
      </c>
      <c r="E1034" t="s">
        <v>59</v>
      </c>
      <c r="F1034" t="s">
        <v>137</v>
      </c>
      <c r="G1034">
        <v>3.01</v>
      </c>
      <c r="H1034" t="s">
        <v>138</v>
      </c>
      <c r="I1034" t="s">
        <v>48</v>
      </c>
      <c r="J1034" t="s">
        <v>113</v>
      </c>
      <c r="K1034">
        <v>527.19000000000005</v>
      </c>
      <c r="L1034" t="s">
        <v>2485</v>
      </c>
      <c r="M1034">
        <f>VLOOKUP(H1034,'Stage Order'!$A$2:$B$8,2,FALSE)</f>
        <v>6</v>
      </c>
      <c r="N1034" t="str">
        <f t="shared" si="32"/>
        <v>2. 1-24 hours</v>
      </c>
      <c r="O1034" t="str">
        <f t="shared" si="33"/>
        <v>2025-07</v>
      </c>
    </row>
    <row r="1035" spans="1:15" x14ac:dyDescent="0.3">
      <c r="A1035" t="s">
        <v>2486</v>
      </c>
      <c r="B1035" t="s">
        <v>2487</v>
      </c>
      <c r="C1035" t="s">
        <v>58</v>
      </c>
      <c r="D1035" t="s">
        <v>29</v>
      </c>
      <c r="E1035" t="s">
        <v>59</v>
      </c>
      <c r="F1035" t="s">
        <v>60</v>
      </c>
      <c r="G1035">
        <v>5.57</v>
      </c>
      <c r="H1035" t="s">
        <v>47</v>
      </c>
      <c r="I1035" t="s">
        <v>48</v>
      </c>
      <c r="J1035" t="s">
        <v>113</v>
      </c>
      <c r="K1035">
        <v>740.93</v>
      </c>
      <c r="L1035" t="s">
        <v>2488</v>
      </c>
      <c r="M1035">
        <f>VLOOKUP(H1035,'Stage Order'!$A$2:$B$8,2,FALSE)</f>
        <v>4</v>
      </c>
      <c r="N1035" t="str">
        <f t="shared" si="32"/>
        <v>2. 1-24 hours</v>
      </c>
      <c r="O1035" t="str">
        <f t="shared" si="33"/>
        <v>2025-02</v>
      </c>
    </row>
    <row r="1036" spans="1:15" x14ac:dyDescent="0.3">
      <c r="A1036" t="s">
        <v>2489</v>
      </c>
      <c r="B1036" t="s">
        <v>2490</v>
      </c>
      <c r="C1036" t="s">
        <v>81</v>
      </c>
      <c r="D1036" t="s">
        <v>54</v>
      </c>
      <c r="E1036" t="s">
        <v>30</v>
      </c>
      <c r="F1036" t="s">
        <v>78</v>
      </c>
      <c r="G1036">
        <v>1.61</v>
      </c>
      <c r="H1036" t="s">
        <v>61</v>
      </c>
      <c r="I1036" t="s">
        <v>42</v>
      </c>
      <c r="M1036">
        <f>VLOOKUP(H1036,'Stage Order'!$A$2:$B$8,2,FALSE)</f>
        <v>1</v>
      </c>
      <c r="N1036" t="str">
        <f t="shared" si="32"/>
        <v>2. 1-24 hours</v>
      </c>
      <c r="O1036" t="str">
        <f t="shared" si="33"/>
        <v>2025-01</v>
      </c>
    </row>
    <row r="1037" spans="1:15" x14ac:dyDescent="0.3">
      <c r="A1037" t="s">
        <v>2491</v>
      </c>
      <c r="B1037" t="s">
        <v>2492</v>
      </c>
      <c r="C1037" t="s">
        <v>81</v>
      </c>
      <c r="D1037" t="s">
        <v>29</v>
      </c>
      <c r="E1037" t="s">
        <v>39</v>
      </c>
      <c r="F1037" t="s">
        <v>66</v>
      </c>
      <c r="G1037">
        <v>10.49</v>
      </c>
      <c r="H1037" t="s">
        <v>41</v>
      </c>
      <c r="I1037" t="s">
        <v>42</v>
      </c>
      <c r="M1037">
        <f>VLOOKUP(H1037,'Stage Order'!$A$2:$B$8,2,FALSE)</f>
        <v>2</v>
      </c>
      <c r="N1037" t="str">
        <f t="shared" si="32"/>
        <v>2. 1-24 hours</v>
      </c>
      <c r="O1037" t="str">
        <f t="shared" si="33"/>
        <v>2025-01</v>
      </c>
    </row>
    <row r="1038" spans="1:15" x14ac:dyDescent="0.3">
      <c r="A1038" t="s">
        <v>2493</v>
      </c>
      <c r="B1038" t="s">
        <v>2494</v>
      </c>
      <c r="C1038" t="s">
        <v>58</v>
      </c>
      <c r="D1038" t="s">
        <v>38</v>
      </c>
      <c r="E1038" t="s">
        <v>59</v>
      </c>
      <c r="F1038" t="s">
        <v>60</v>
      </c>
      <c r="G1038">
        <v>7.81</v>
      </c>
      <c r="H1038" t="s">
        <v>146</v>
      </c>
      <c r="I1038" t="s">
        <v>48</v>
      </c>
      <c r="J1038" t="s">
        <v>98</v>
      </c>
      <c r="K1038">
        <v>328.19</v>
      </c>
      <c r="L1038" t="s">
        <v>2495</v>
      </c>
      <c r="M1038">
        <f>VLOOKUP(H1038,'Stage Order'!$A$2:$B$8,2,FALSE)</f>
        <v>5</v>
      </c>
      <c r="N1038" t="str">
        <f t="shared" si="32"/>
        <v>2. 1-24 hours</v>
      </c>
      <c r="O1038" t="str">
        <f t="shared" si="33"/>
        <v>2025-12</v>
      </c>
    </row>
    <row r="1039" spans="1:15" x14ac:dyDescent="0.3">
      <c r="A1039" t="s">
        <v>2496</v>
      </c>
      <c r="B1039" t="s">
        <v>2497</v>
      </c>
      <c r="C1039" t="s">
        <v>76</v>
      </c>
      <c r="D1039" t="s">
        <v>54</v>
      </c>
      <c r="E1039" t="s">
        <v>90</v>
      </c>
      <c r="F1039" t="s">
        <v>112</v>
      </c>
      <c r="G1039">
        <v>2.25</v>
      </c>
      <c r="H1039" t="s">
        <v>47</v>
      </c>
      <c r="I1039" t="s">
        <v>48</v>
      </c>
      <c r="J1039" t="s">
        <v>742</v>
      </c>
      <c r="K1039">
        <v>412.09</v>
      </c>
      <c r="L1039" t="s">
        <v>2498</v>
      </c>
      <c r="M1039">
        <f>VLOOKUP(H1039,'Stage Order'!$A$2:$B$8,2,FALSE)</f>
        <v>4</v>
      </c>
      <c r="N1039" t="str">
        <f t="shared" si="32"/>
        <v>2. 1-24 hours</v>
      </c>
      <c r="O1039" t="str">
        <f t="shared" si="33"/>
        <v>2025-07</v>
      </c>
    </row>
    <row r="1040" spans="1:15" x14ac:dyDescent="0.3">
      <c r="A1040" t="s">
        <v>2499</v>
      </c>
      <c r="B1040" t="s">
        <v>2500</v>
      </c>
      <c r="C1040" t="s">
        <v>58</v>
      </c>
      <c r="D1040" t="s">
        <v>77</v>
      </c>
      <c r="E1040" t="s">
        <v>90</v>
      </c>
      <c r="F1040" t="s">
        <v>145</v>
      </c>
      <c r="G1040">
        <v>6.88</v>
      </c>
      <c r="H1040" t="s">
        <v>47</v>
      </c>
      <c r="I1040" t="s">
        <v>48</v>
      </c>
      <c r="J1040" t="s">
        <v>139</v>
      </c>
      <c r="K1040">
        <v>1041.56</v>
      </c>
      <c r="L1040" t="s">
        <v>2501</v>
      </c>
      <c r="M1040">
        <f>VLOOKUP(H1040,'Stage Order'!$A$2:$B$8,2,FALSE)</f>
        <v>4</v>
      </c>
      <c r="N1040" t="str">
        <f t="shared" si="32"/>
        <v>2. 1-24 hours</v>
      </c>
      <c r="O1040" t="str">
        <f t="shared" si="33"/>
        <v>2025-09</v>
      </c>
    </row>
    <row r="1041" spans="1:15" x14ac:dyDescent="0.3">
      <c r="A1041" t="s">
        <v>2502</v>
      </c>
      <c r="B1041" t="s">
        <v>2503</v>
      </c>
      <c r="C1041" t="s">
        <v>53</v>
      </c>
      <c r="D1041" t="s">
        <v>29</v>
      </c>
      <c r="E1041" t="s">
        <v>59</v>
      </c>
      <c r="F1041" t="s">
        <v>60</v>
      </c>
      <c r="G1041">
        <v>5.25</v>
      </c>
      <c r="H1041" t="s">
        <v>32</v>
      </c>
      <c r="I1041" t="s">
        <v>33</v>
      </c>
      <c r="K1041">
        <v>533.75</v>
      </c>
      <c r="L1041" t="s">
        <v>2504</v>
      </c>
      <c r="M1041">
        <f>VLOOKUP(H1041,'Stage Order'!$A$2:$B$8,2,FALSE)</f>
        <v>7</v>
      </c>
      <c r="N1041" t="str">
        <f t="shared" si="32"/>
        <v>2. 1-24 hours</v>
      </c>
      <c r="O1041" t="str">
        <f t="shared" si="33"/>
        <v>2025-11</v>
      </c>
    </row>
    <row r="1042" spans="1:15" x14ac:dyDescent="0.3">
      <c r="A1042" t="s">
        <v>2505</v>
      </c>
      <c r="B1042" t="s">
        <v>2506</v>
      </c>
      <c r="C1042" t="s">
        <v>53</v>
      </c>
      <c r="D1042" t="s">
        <v>54</v>
      </c>
      <c r="E1042" t="s">
        <v>59</v>
      </c>
      <c r="F1042" t="s">
        <v>60</v>
      </c>
      <c r="G1042">
        <v>0.86</v>
      </c>
      <c r="H1042" t="s">
        <v>32</v>
      </c>
      <c r="I1042" t="s">
        <v>33</v>
      </c>
      <c r="K1042">
        <v>473.03</v>
      </c>
      <c r="L1042" t="s">
        <v>2507</v>
      </c>
      <c r="M1042">
        <f>VLOOKUP(H1042,'Stage Order'!$A$2:$B$8,2,FALSE)</f>
        <v>7</v>
      </c>
      <c r="N1042" t="str">
        <f t="shared" si="32"/>
        <v>1. Under 1 hour</v>
      </c>
      <c r="O1042" t="str">
        <f t="shared" si="33"/>
        <v>2026-05</v>
      </c>
    </row>
    <row r="1043" spans="1:15" x14ac:dyDescent="0.3">
      <c r="A1043" t="s">
        <v>2508</v>
      </c>
      <c r="B1043" t="s">
        <v>2509</v>
      </c>
      <c r="C1043" t="s">
        <v>76</v>
      </c>
      <c r="D1043" t="s">
        <v>77</v>
      </c>
      <c r="E1043" t="s">
        <v>30</v>
      </c>
      <c r="F1043" t="s">
        <v>78</v>
      </c>
      <c r="G1043">
        <v>20.45</v>
      </c>
      <c r="H1043" t="s">
        <v>41</v>
      </c>
      <c r="I1043" t="s">
        <v>42</v>
      </c>
      <c r="M1043">
        <f>VLOOKUP(H1043,'Stage Order'!$A$2:$B$8,2,FALSE)</f>
        <v>2</v>
      </c>
      <c r="N1043" t="str">
        <f t="shared" si="32"/>
        <v>2. 1-24 hours</v>
      </c>
      <c r="O1043" t="str">
        <f t="shared" si="33"/>
        <v>2025-09</v>
      </c>
    </row>
    <row r="1044" spans="1:15" x14ac:dyDescent="0.3">
      <c r="A1044" t="s">
        <v>2510</v>
      </c>
      <c r="B1044" t="s">
        <v>2511</v>
      </c>
      <c r="C1044" t="s">
        <v>53</v>
      </c>
      <c r="D1044" t="s">
        <v>38</v>
      </c>
      <c r="E1044" t="s">
        <v>45</v>
      </c>
      <c r="F1044" t="s">
        <v>46</v>
      </c>
      <c r="G1044">
        <v>6.21</v>
      </c>
      <c r="H1044" t="s">
        <v>32</v>
      </c>
      <c r="I1044" t="s">
        <v>33</v>
      </c>
      <c r="K1044">
        <v>302.68</v>
      </c>
      <c r="L1044" t="s">
        <v>2512</v>
      </c>
      <c r="M1044">
        <f>VLOOKUP(H1044,'Stage Order'!$A$2:$B$8,2,FALSE)</f>
        <v>7</v>
      </c>
      <c r="N1044" t="str">
        <f t="shared" si="32"/>
        <v>2. 1-24 hours</v>
      </c>
      <c r="O1044" t="str">
        <f t="shared" si="33"/>
        <v>2026-01</v>
      </c>
    </row>
    <row r="1045" spans="1:15" x14ac:dyDescent="0.3">
      <c r="A1045" t="s">
        <v>2513</v>
      </c>
      <c r="B1045" t="s">
        <v>2514</v>
      </c>
      <c r="C1045" t="s">
        <v>53</v>
      </c>
      <c r="D1045" t="s">
        <v>29</v>
      </c>
      <c r="E1045" t="s">
        <v>90</v>
      </c>
      <c r="F1045" t="s">
        <v>145</v>
      </c>
      <c r="G1045">
        <v>16.690000000000001</v>
      </c>
      <c r="H1045" t="s">
        <v>138</v>
      </c>
      <c r="I1045" t="s">
        <v>48</v>
      </c>
      <c r="J1045" t="s">
        <v>139</v>
      </c>
      <c r="K1045">
        <v>648.85</v>
      </c>
      <c r="L1045" t="s">
        <v>2515</v>
      </c>
      <c r="M1045">
        <f>VLOOKUP(H1045,'Stage Order'!$A$2:$B$8,2,FALSE)</f>
        <v>6</v>
      </c>
      <c r="N1045" t="str">
        <f t="shared" si="32"/>
        <v>2. 1-24 hours</v>
      </c>
      <c r="O1045" t="str">
        <f t="shared" si="33"/>
        <v>2026-04</v>
      </c>
    </row>
    <row r="1046" spans="1:15" x14ac:dyDescent="0.3">
      <c r="A1046" t="s">
        <v>2516</v>
      </c>
      <c r="B1046" t="s">
        <v>2517</v>
      </c>
      <c r="C1046" t="s">
        <v>37</v>
      </c>
      <c r="D1046" t="s">
        <v>97</v>
      </c>
      <c r="E1046" t="s">
        <v>45</v>
      </c>
      <c r="F1046" t="s">
        <v>46</v>
      </c>
      <c r="G1046">
        <v>0.74</v>
      </c>
      <c r="H1046" t="s">
        <v>41</v>
      </c>
      <c r="I1046" t="s">
        <v>42</v>
      </c>
      <c r="M1046">
        <f>VLOOKUP(H1046,'Stage Order'!$A$2:$B$8,2,FALSE)</f>
        <v>2</v>
      </c>
      <c r="N1046" t="str">
        <f t="shared" si="32"/>
        <v>1. Under 1 hour</v>
      </c>
      <c r="O1046" t="str">
        <f t="shared" si="33"/>
        <v>2026-03</v>
      </c>
    </row>
    <row r="1047" spans="1:15" x14ac:dyDescent="0.3">
      <c r="A1047" t="s">
        <v>2518</v>
      </c>
      <c r="B1047" t="s">
        <v>2519</v>
      </c>
      <c r="C1047" t="s">
        <v>37</v>
      </c>
      <c r="D1047" t="s">
        <v>29</v>
      </c>
      <c r="E1047" t="s">
        <v>90</v>
      </c>
      <c r="F1047" t="s">
        <v>91</v>
      </c>
      <c r="G1047">
        <v>4.88</v>
      </c>
      <c r="H1047" t="s">
        <v>61</v>
      </c>
      <c r="I1047" t="s">
        <v>42</v>
      </c>
      <c r="M1047">
        <f>VLOOKUP(H1047,'Stage Order'!$A$2:$B$8,2,FALSE)</f>
        <v>1</v>
      </c>
      <c r="N1047" t="str">
        <f t="shared" si="32"/>
        <v>2. 1-24 hours</v>
      </c>
      <c r="O1047" t="str">
        <f t="shared" si="33"/>
        <v>2025-09</v>
      </c>
    </row>
    <row r="1048" spans="1:15" x14ac:dyDescent="0.3">
      <c r="A1048" t="s">
        <v>2520</v>
      </c>
      <c r="B1048" t="s">
        <v>2521</v>
      </c>
      <c r="C1048" t="s">
        <v>53</v>
      </c>
      <c r="D1048" t="s">
        <v>38</v>
      </c>
      <c r="E1048" t="s">
        <v>45</v>
      </c>
      <c r="F1048" t="s">
        <v>46</v>
      </c>
      <c r="G1048">
        <v>5.12</v>
      </c>
      <c r="H1048" t="s">
        <v>41</v>
      </c>
      <c r="I1048" t="s">
        <v>42</v>
      </c>
      <c r="M1048">
        <f>VLOOKUP(H1048,'Stage Order'!$A$2:$B$8,2,FALSE)</f>
        <v>2</v>
      </c>
      <c r="N1048" t="str">
        <f t="shared" si="32"/>
        <v>2. 1-24 hours</v>
      </c>
      <c r="O1048" t="str">
        <f t="shared" si="33"/>
        <v>2025-09</v>
      </c>
    </row>
    <row r="1049" spans="1:15" x14ac:dyDescent="0.3">
      <c r="A1049" t="s">
        <v>2522</v>
      </c>
      <c r="B1049" t="s">
        <v>2523</v>
      </c>
      <c r="C1049" t="s">
        <v>58</v>
      </c>
      <c r="D1049" t="s">
        <v>77</v>
      </c>
      <c r="E1049" t="s">
        <v>59</v>
      </c>
      <c r="F1049" t="s">
        <v>60</v>
      </c>
      <c r="G1049">
        <v>26.21</v>
      </c>
      <c r="H1049" t="s">
        <v>61</v>
      </c>
      <c r="I1049" t="s">
        <v>42</v>
      </c>
      <c r="M1049">
        <f>VLOOKUP(H1049,'Stage Order'!$A$2:$B$8,2,FALSE)</f>
        <v>1</v>
      </c>
      <c r="N1049" t="str">
        <f t="shared" si="32"/>
        <v>3. 1-3 days</v>
      </c>
      <c r="O1049" t="str">
        <f t="shared" si="33"/>
        <v>2025-07</v>
      </c>
    </row>
    <row r="1050" spans="1:15" x14ac:dyDescent="0.3">
      <c r="A1050" t="s">
        <v>2524</v>
      </c>
      <c r="B1050" t="s">
        <v>2525</v>
      </c>
      <c r="C1050" t="s">
        <v>81</v>
      </c>
      <c r="D1050" t="s">
        <v>38</v>
      </c>
      <c r="E1050" t="s">
        <v>59</v>
      </c>
      <c r="F1050" t="s">
        <v>60</v>
      </c>
      <c r="G1050">
        <v>1.97</v>
      </c>
      <c r="H1050" t="s">
        <v>61</v>
      </c>
      <c r="I1050" t="s">
        <v>42</v>
      </c>
      <c r="M1050">
        <f>VLOOKUP(H1050,'Stage Order'!$A$2:$B$8,2,FALSE)</f>
        <v>1</v>
      </c>
      <c r="N1050" t="str">
        <f t="shared" si="32"/>
        <v>2. 1-24 hours</v>
      </c>
      <c r="O1050" t="str">
        <f t="shared" si="33"/>
        <v>2026-03</v>
      </c>
    </row>
    <row r="1051" spans="1:15" x14ac:dyDescent="0.3">
      <c r="A1051" t="s">
        <v>2526</v>
      </c>
      <c r="B1051" t="s">
        <v>2527</v>
      </c>
      <c r="C1051" t="s">
        <v>37</v>
      </c>
      <c r="D1051" t="s">
        <v>97</v>
      </c>
      <c r="E1051" t="s">
        <v>30</v>
      </c>
      <c r="F1051" t="s">
        <v>31</v>
      </c>
      <c r="G1051">
        <v>3.03</v>
      </c>
      <c r="H1051" t="s">
        <v>146</v>
      </c>
      <c r="I1051" t="s">
        <v>48</v>
      </c>
      <c r="J1051" t="s">
        <v>139</v>
      </c>
      <c r="K1051">
        <v>1482.05</v>
      </c>
      <c r="L1051" t="s">
        <v>2528</v>
      </c>
      <c r="M1051">
        <f>VLOOKUP(H1051,'Stage Order'!$A$2:$B$8,2,FALSE)</f>
        <v>5</v>
      </c>
      <c r="N1051" t="str">
        <f t="shared" si="32"/>
        <v>2. 1-24 hours</v>
      </c>
      <c r="O1051" t="str">
        <f t="shared" si="33"/>
        <v>2026-06</v>
      </c>
    </row>
    <row r="1052" spans="1:15" x14ac:dyDescent="0.3">
      <c r="A1052" t="s">
        <v>2529</v>
      </c>
      <c r="B1052" t="s">
        <v>2530</v>
      </c>
      <c r="C1052" t="s">
        <v>81</v>
      </c>
      <c r="D1052" t="s">
        <v>77</v>
      </c>
      <c r="E1052" t="s">
        <v>90</v>
      </c>
      <c r="F1052" t="s">
        <v>91</v>
      </c>
      <c r="G1052">
        <v>4.51</v>
      </c>
      <c r="H1052" t="s">
        <v>128</v>
      </c>
      <c r="I1052" t="s">
        <v>42</v>
      </c>
      <c r="M1052">
        <f>VLOOKUP(H1052,'Stage Order'!$A$2:$B$8,2,FALSE)</f>
        <v>3</v>
      </c>
      <c r="N1052" t="str">
        <f t="shared" si="32"/>
        <v>2. 1-24 hours</v>
      </c>
      <c r="O1052" t="str">
        <f t="shared" si="33"/>
        <v>2026-03</v>
      </c>
    </row>
    <row r="1053" spans="1:15" x14ac:dyDescent="0.3">
      <c r="A1053" t="s">
        <v>2531</v>
      </c>
      <c r="B1053" t="s">
        <v>2532</v>
      </c>
      <c r="C1053" t="s">
        <v>37</v>
      </c>
      <c r="D1053" t="s">
        <v>77</v>
      </c>
      <c r="E1053" t="s">
        <v>45</v>
      </c>
      <c r="F1053" t="s">
        <v>55</v>
      </c>
      <c r="G1053">
        <v>14.42</v>
      </c>
      <c r="H1053" t="s">
        <v>41</v>
      </c>
      <c r="I1053" t="s">
        <v>42</v>
      </c>
      <c r="M1053">
        <f>VLOOKUP(H1053,'Stage Order'!$A$2:$B$8,2,FALSE)</f>
        <v>2</v>
      </c>
      <c r="N1053" t="str">
        <f t="shared" si="32"/>
        <v>2. 1-24 hours</v>
      </c>
      <c r="O1053" t="str">
        <f t="shared" si="33"/>
        <v>2026-06</v>
      </c>
    </row>
    <row r="1054" spans="1:15" x14ac:dyDescent="0.3">
      <c r="A1054" t="s">
        <v>2533</v>
      </c>
      <c r="B1054" t="s">
        <v>2534</v>
      </c>
      <c r="C1054" t="s">
        <v>58</v>
      </c>
      <c r="D1054" t="s">
        <v>77</v>
      </c>
      <c r="E1054" t="s">
        <v>59</v>
      </c>
      <c r="F1054" t="s">
        <v>137</v>
      </c>
      <c r="G1054">
        <v>1.35</v>
      </c>
      <c r="H1054" t="s">
        <v>61</v>
      </c>
      <c r="I1054" t="s">
        <v>42</v>
      </c>
      <c r="M1054">
        <f>VLOOKUP(H1054,'Stage Order'!$A$2:$B$8,2,FALSE)</f>
        <v>1</v>
      </c>
      <c r="N1054" t="str">
        <f t="shared" si="32"/>
        <v>2. 1-24 hours</v>
      </c>
      <c r="O1054" t="str">
        <f t="shared" si="33"/>
        <v>2025-10</v>
      </c>
    </row>
    <row r="1055" spans="1:15" x14ac:dyDescent="0.3">
      <c r="A1055" t="s">
        <v>2535</v>
      </c>
      <c r="B1055" t="s">
        <v>2536</v>
      </c>
      <c r="C1055" t="s">
        <v>28</v>
      </c>
      <c r="D1055" t="s">
        <v>77</v>
      </c>
      <c r="E1055" t="s">
        <v>45</v>
      </c>
      <c r="F1055" t="s">
        <v>55</v>
      </c>
      <c r="G1055">
        <v>1.66</v>
      </c>
      <c r="H1055" t="s">
        <v>47</v>
      </c>
      <c r="I1055" t="s">
        <v>48</v>
      </c>
      <c r="J1055" t="s">
        <v>98</v>
      </c>
      <c r="K1055">
        <v>875.07</v>
      </c>
      <c r="L1055" t="s">
        <v>2537</v>
      </c>
      <c r="M1055">
        <f>VLOOKUP(H1055,'Stage Order'!$A$2:$B$8,2,FALSE)</f>
        <v>4</v>
      </c>
      <c r="N1055" t="str">
        <f t="shared" si="32"/>
        <v>2. 1-24 hours</v>
      </c>
      <c r="O1055" t="str">
        <f t="shared" si="33"/>
        <v>2026-05</v>
      </c>
    </row>
    <row r="1056" spans="1:15" x14ac:dyDescent="0.3">
      <c r="A1056" t="s">
        <v>2538</v>
      </c>
      <c r="B1056" t="s">
        <v>2539</v>
      </c>
      <c r="C1056" t="s">
        <v>58</v>
      </c>
      <c r="D1056" t="s">
        <v>29</v>
      </c>
      <c r="E1056" t="s">
        <v>59</v>
      </c>
      <c r="F1056" t="s">
        <v>137</v>
      </c>
      <c r="G1056">
        <v>5.32</v>
      </c>
      <c r="H1056" t="s">
        <v>41</v>
      </c>
      <c r="I1056" t="s">
        <v>42</v>
      </c>
      <c r="M1056">
        <f>VLOOKUP(H1056,'Stage Order'!$A$2:$B$8,2,FALSE)</f>
        <v>2</v>
      </c>
      <c r="N1056" t="str">
        <f t="shared" si="32"/>
        <v>2. 1-24 hours</v>
      </c>
      <c r="O1056" t="str">
        <f t="shared" si="33"/>
        <v>2026-02</v>
      </c>
    </row>
    <row r="1057" spans="1:15" x14ac:dyDescent="0.3">
      <c r="A1057" t="s">
        <v>2540</v>
      </c>
      <c r="B1057" t="s">
        <v>2541</v>
      </c>
      <c r="C1057" t="s">
        <v>76</v>
      </c>
      <c r="D1057" t="s">
        <v>77</v>
      </c>
      <c r="E1057" t="s">
        <v>90</v>
      </c>
      <c r="F1057" t="s">
        <v>91</v>
      </c>
      <c r="G1057">
        <v>2.67</v>
      </c>
      <c r="H1057" t="s">
        <v>61</v>
      </c>
      <c r="I1057" t="s">
        <v>42</v>
      </c>
      <c r="M1057">
        <f>VLOOKUP(H1057,'Stage Order'!$A$2:$B$8,2,FALSE)</f>
        <v>1</v>
      </c>
      <c r="N1057" t="str">
        <f t="shared" si="32"/>
        <v>2. 1-24 hours</v>
      </c>
      <c r="O1057" t="str">
        <f t="shared" si="33"/>
        <v>2025-04</v>
      </c>
    </row>
    <row r="1058" spans="1:15" x14ac:dyDescent="0.3">
      <c r="A1058" t="s">
        <v>2542</v>
      </c>
      <c r="B1058" t="s">
        <v>2543</v>
      </c>
      <c r="C1058" t="s">
        <v>53</v>
      </c>
      <c r="D1058" t="s">
        <v>77</v>
      </c>
      <c r="E1058" t="s">
        <v>45</v>
      </c>
      <c r="F1058" t="s">
        <v>94</v>
      </c>
      <c r="G1058">
        <v>0.57999999999999996</v>
      </c>
      <c r="H1058" t="s">
        <v>41</v>
      </c>
      <c r="I1058" t="s">
        <v>42</v>
      </c>
      <c r="M1058">
        <f>VLOOKUP(H1058,'Stage Order'!$A$2:$B$8,2,FALSE)</f>
        <v>2</v>
      </c>
      <c r="N1058" t="str">
        <f t="shared" si="32"/>
        <v>1. Under 1 hour</v>
      </c>
      <c r="O1058" t="str">
        <f t="shared" si="33"/>
        <v>2025-11</v>
      </c>
    </row>
    <row r="1059" spans="1:15" x14ac:dyDescent="0.3">
      <c r="A1059" t="s">
        <v>2544</v>
      </c>
      <c r="B1059" t="s">
        <v>2545</v>
      </c>
      <c r="C1059" t="s">
        <v>58</v>
      </c>
      <c r="D1059" t="s">
        <v>97</v>
      </c>
      <c r="E1059" t="s">
        <v>45</v>
      </c>
      <c r="F1059" t="s">
        <v>46</v>
      </c>
      <c r="G1059">
        <v>5.29</v>
      </c>
      <c r="H1059" t="s">
        <v>41</v>
      </c>
      <c r="I1059" t="s">
        <v>42</v>
      </c>
      <c r="M1059">
        <f>VLOOKUP(H1059,'Stage Order'!$A$2:$B$8,2,FALSE)</f>
        <v>2</v>
      </c>
      <c r="N1059" t="str">
        <f t="shared" si="32"/>
        <v>2. 1-24 hours</v>
      </c>
      <c r="O1059" t="str">
        <f t="shared" si="33"/>
        <v>2026-03</v>
      </c>
    </row>
    <row r="1060" spans="1:15" x14ac:dyDescent="0.3">
      <c r="A1060" t="s">
        <v>2546</v>
      </c>
      <c r="B1060" t="s">
        <v>2547</v>
      </c>
      <c r="C1060" t="s">
        <v>37</v>
      </c>
      <c r="D1060" t="s">
        <v>97</v>
      </c>
      <c r="E1060" t="s">
        <v>45</v>
      </c>
      <c r="F1060" t="s">
        <v>94</v>
      </c>
      <c r="G1060">
        <v>1.77</v>
      </c>
      <c r="H1060" t="s">
        <v>146</v>
      </c>
      <c r="I1060" t="s">
        <v>48</v>
      </c>
      <c r="J1060" t="s">
        <v>98</v>
      </c>
      <c r="K1060">
        <v>1455.87</v>
      </c>
      <c r="L1060" t="s">
        <v>2548</v>
      </c>
      <c r="M1060">
        <f>VLOOKUP(H1060,'Stage Order'!$A$2:$B$8,2,FALSE)</f>
        <v>5</v>
      </c>
      <c r="N1060" t="str">
        <f t="shared" si="32"/>
        <v>2. 1-24 hours</v>
      </c>
      <c r="O1060" t="str">
        <f t="shared" si="33"/>
        <v>2026-06</v>
      </c>
    </row>
    <row r="1061" spans="1:15" x14ac:dyDescent="0.3">
      <c r="A1061" t="s">
        <v>2549</v>
      </c>
      <c r="B1061" t="s">
        <v>2550</v>
      </c>
      <c r="C1061" t="s">
        <v>81</v>
      </c>
      <c r="D1061" t="s">
        <v>54</v>
      </c>
      <c r="E1061" t="s">
        <v>45</v>
      </c>
      <c r="F1061" t="s">
        <v>46</v>
      </c>
      <c r="G1061">
        <v>4.3</v>
      </c>
      <c r="H1061" t="s">
        <v>41</v>
      </c>
      <c r="I1061" t="s">
        <v>42</v>
      </c>
      <c r="M1061">
        <f>VLOOKUP(H1061,'Stage Order'!$A$2:$B$8,2,FALSE)</f>
        <v>2</v>
      </c>
      <c r="N1061" t="str">
        <f t="shared" si="32"/>
        <v>2. 1-24 hours</v>
      </c>
      <c r="O1061" t="str">
        <f t="shared" si="33"/>
        <v>2026-01</v>
      </c>
    </row>
    <row r="1062" spans="1:15" x14ac:dyDescent="0.3">
      <c r="A1062" t="s">
        <v>2551</v>
      </c>
      <c r="B1062" t="s">
        <v>2552</v>
      </c>
      <c r="C1062" t="s">
        <v>37</v>
      </c>
      <c r="D1062" t="s">
        <v>54</v>
      </c>
      <c r="E1062" t="s">
        <v>45</v>
      </c>
      <c r="F1062" t="s">
        <v>46</v>
      </c>
      <c r="G1062">
        <v>1.48</v>
      </c>
      <c r="H1062" t="s">
        <v>138</v>
      </c>
      <c r="I1062" t="s">
        <v>48</v>
      </c>
      <c r="J1062" t="s">
        <v>139</v>
      </c>
      <c r="K1062">
        <v>568.92999999999995</v>
      </c>
      <c r="L1062" t="s">
        <v>2553</v>
      </c>
      <c r="M1062">
        <f>VLOOKUP(H1062,'Stage Order'!$A$2:$B$8,2,FALSE)</f>
        <v>6</v>
      </c>
      <c r="N1062" t="str">
        <f t="shared" si="32"/>
        <v>2. 1-24 hours</v>
      </c>
      <c r="O1062" t="str">
        <f t="shared" si="33"/>
        <v>2025-05</v>
      </c>
    </row>
    <row r="1063" spans="1:15" x14ac:dyDescent="0.3">
      <c r="A1063" t="s">
        <v>2554</v>
      </c>
      <c r="B1063" t="s">
        <v>2555</v>
      </c>
      <c r="C1063" t="s">
        <v>53</v>
      </c>
      <c r="D1063" t="s">
        <v>38</v>
      </c>
      <c r="E1063" t="s">
        <v>45</v>
      </c>
      <c r="F1063" t="s">
        <v>94</v>
      </c>
      <c r="G1063">
        <v>6.3</v>
      </c>
      <c r="H1063" t="s">
        <v>32</v>
      </c>
      <c r="I1063" t="s">
        <v>33</v>
      </c>
      <c r="K1063">
        <v>372</v>
      </c>
      <c r="L1063" t="s">
        <v>2556</v>
      </c>
      <c r="M1063">
        <f>VLOOKUP(H1063,'Stage Order'!$A$2:$B$8,2,FALSE)</f>
        <v>7</v>
      </c>
      <c r="N1063" t="str">
        <f t="shared" si="32"/>
        <v>2. 1-24 hours</v>
      </c>
      <c r="O1063" t="str">
        <f t="shared" si="33"/>
        <v>2025-07</v>
      </c>
    </row>
    <row r="1064" spans="1:15" x14ac:dyDescent="0.3">
      <c r="A1064" t="s">
        <v>2557</v>
      </c>
      <c r="B1064" t="s">
        <v>2558</v>
      </c>
      <c r="C1064" t="s">
        <v>58</v>
      </c>
      <c r="D1064" t="s">
        <v>54</v>
      </c>
      <c r="E1064" t="s">
        <v>45</v>
      </c>
      <c r="F1064" t="s">
        <v>46</v>
      </c>
      <c r="G1064">
        <v>5.86</v>
      </c>
      <c r="H1064" t="s">
        <v>138</v>
      </c>
      <c r="I1064" t="s">
        <v>48</v>
      </c>
      <c r="J1064" t="s">
        <v>139</v>
      </c>
      <c r="K1064">
        <v>516.74</v>
      </c>
      <c r="L1064" t="s">
        <v>2559</v>
      </c>
      <c r="M1064">
        <f>VLOOKUP(H1064,'Stage Order'!$A$2:$B$8,2,FALSE)</f>
        <v>6</v>
      </c>
      <c r="N1064" t="str">
        <f t="shared" si="32"/>
        <v>2. 1-24 hours</v>
      </c>
      <c r="O1064" t="str">
        <f t="shared" si="33"/>
        <v>2026-03</v>
      </c>
    </row>
    <row r="1065" spans="1:15" x14ac:dyDescent="0.3">
      <c r="A1065" t="s">
        <v>2560</v>
      </c>
      <c r="B1065" t="s">
        <v>2561</v>
      </c>
      <c r="C1065" t="s">
        <v>28</v>
      </c>
      <c r="D1065" t="s">
        <v>38</v>
      </c>
      <c r="E1065" t="s">
        <v>90</v>
      </c>
      <c r="F1065" t="s">
        <v>112</v>
      </c>
      <c r="G1065">
        <v>1.67</v>
      </c>
      <c r="H1065" t="s">
        <v>146</v>
      </c>
      <c r="I1065" t="s">
        <v>48</v>
      </c>
      <c r="J1065" t="s">
        <v>98</v>
      </c>
      <c r="K1065">
        <v>389.1</v>
      </c>
      <c r="L1065" t="s">
        <v>2562</v>
      </c>
      <c r="M1065">
        <f>VLOOKUP(H1065,'Stage Order'!$A$2:$B$8,2,FALSE)</f>
        <v>5</v>
      </c>
      <c r="N1065" t="str">
        <f t="shared" si="32"/>
        <v>2. 1-24 hours</v>
      </c>
      <c r="O1065" t="str">
        <f t="shared" si="33"/>
        <v>2026-02</v>
      </c>
    </row>
    <row r="1066" spans="1:15" x14ac:dyDescent="0.3">
      <c r="A1066" t="s">
        <v>2563</v>
      </c>
      <c r="B1066" t="s">
        <v>2564</v>
      </c>
      <c r="C1066" t="s">
        <v>28</v>
      </c>
      <c r="D1066" t="s">
        <v>38</v>
      </c>
      <c r="E1066" t="s">
        <v>39</v>
      </c>
      <c r="F1066" t="s">
        <v>40</v>
      </c>
      <c r="G1066">
        <v>6.33</v>
      </c>
      <c r="H1066" t="s">
        <v>32</v>
      </c>
      <c r="I1066" t="s">
        <v>33</v>
      </c>
      <c r="K1066">
        <v>296.39</v>
      </c>
      <c r="L1066" t="s">
        <v>2565</v>
      </c>
      <c r="M1066">
        <f>VLOOKUP(H1066,'Stage Order'!$A$2:$B$8,2,FALSE)</f>
        <v>7</v>
      </c>
      <c r="N1066" t="str">
        <f t="shared" si="32"/>
        <v>2. 1-24 hours</v>
      </c>
      <c r="O1066" t="str">
        <f t="shared" si="33"/>
        <v>2025-10</v>
      </c>
    </row>
    <row r="1067" spans="1:15" x14ac:dyDescent="0.3">
      <c r="A1067" t="s">
        <v>2566</v>
      </c>
      <c r="B1067" t="s">
        <v>2567</v>
      </c>
      <c r="C1067" t="s">
        <v>58</v>
      </c>
      <c r="D1067" t="s">
        <v>54</v>
      </c>
      <c r="E1067" t="s">
        <v>39</v>
      </c>
      <c r="F1067" t="s">
        <v>106</v>
      </c>
      <c r="G1067">
        <v>7</v>
      </c>
      <c r="H1067" t="s">
        <v>41</v>
      </c>
      <c r="I1067" t="s">
        <v>42</v>
      </c>
      <c r="M1067">
        <f>VLOOKUP(H1067,'Stage Order'!$A$2:$B$8,2,FALSE)</f>
        <v>2</v>
      </c>
      <c r="N1067" t="str">
        <f t="shared" si="32"/>
        <v>2. 1-24 hours</v>
      </c>
      <c r="O1067" t="str">
        <f t="shared" si="33"/>
        <v>2026-05</v>
      </c>
    </row>
    <row r="1068" spans="1:15" x14ac:dyDescent="0.3">
      <c r="A1068" t="s">
        <v>2568</v>
      </c>
      <c r="B1068" t="s">
        <v>2569</v>
      </c>
      <c r="C1068" t="s">
        <v>81</v>
      </c>
      <c r="D1068" t="s">
        <v>77</v>
      </c>
      <c r="E1068" t="s">
        <v>45</v>
      </c>
      <c r="F1068" t="s">
        <v>94</v>
      </c>
      <c r="G1068">
        <v>1.96</v>
      </c>
      <c r="H1068" t="s">
        <v>41</v>
      </c>
      <c r="I1068" t="s">
        <v>42</v>
      </c>
      <c r="M1068">
        <f>VLOOKUP(H1068,'Stage Order'!$A$2:$B$8,2,FALSE)</f>
        <v>2</v>
      </c>
      <c r="N1068" t="str">
        <f t="shared" si="32"/>
        <v>2. 1-24 hours</v>
      </c>
      <c r="O1068" t="str">
        <f t="shared" si="33"/>
        <v>2025-09</v>
      </c>
    </row>
    <row r="1069" spans="1:15" x14ac:dyDescent="0.3">
      <c r="A1069" t="s">
        <v>2570</v>
      </c>
      <c r="B1069" t="s">
        <v>2571</v>
      </c>
      <c r="C1069" t="s">
        <v>125</v>
      </c>
      <c r="D1069" t="s">
        <v>38</v>
      </c>
      <c r="E1069" t="s">
        <v>45</v>
      </c>
      <c r="F1069" t="s">
        <v>55</v>
      </c>
      <c r="G1069">
        <v>8.4</v>
      </c>
      <c r="H1069" t="s">
        <v>41</v>
      </c>
      <c r="I1069" t="s">
        <v>42</v>
      </c>
      <c r="M1069">
        <f>VLOOKUP(H1069,'Stage Order'!$A$2:$B$8,2,FALSE)</f>
        <v>2</v>
      </c>
      <c r="N1069" t="str">
        <f t="shared" si="32"/>
        <v>2. 1-24 hours</v>
      </c>
      <c r="O1069" t="str">
        <f t="shared" si="33"/>
        <v>2025-01</v>
      </c>
    </row>
    <row r="1070" spans="1:15" x14ac:dyDescent="0.3">
      <c r="A1070" t="s">
        <v>2572</v>
      </c>
      <c r="B1070" t="s">
        <v>2573</v>
      </c>
      <c r="C1070" t="s">
        <v>58</v>
      </c>
      <c r="D1070" t="s">
        <v>38</v>
      </c>
      <c r="E1070" t="s">
        <v>45</v>
      </c>
      <c r="F1070" t="s">
        <v>94</v>
      </c>
      <c r="G1070">
        <v>19.25</v>
      </c>
      <c r="H1070" t="s">
        <v>146</v>
      </c>
      <c r="I1070" t="s">
        <v>48</v>
      </c>
      <c r="J1070" t="s">
        <v>139</v>
      </c>
      <c r="K1070">
        <v>326.57</v>
      </c>
      <c r="L1070" t="s">
        <v>2574</v>
      </c>
      <c r="M1070">
        <f>VLOOKUP(H1070,'Stage Order'!$A$2:$B$8,2,FALSE)</f>
        <v>5</v>
      </c>
      <c r="N1070" t="str">
        <f t="shared" si="32"/>
        <v>2. 1-24 hours</v>
      </c>
      <c r="O1070" t="str">
        <f t="shared" si="33"/>
        <v>2025-03</v>
      </c>
    </row>
    <row r="1071" spans="1:15" x14ac:dyDescent="0.3">
      <c r="A1071" t="s">
        <v>2575</v>
      </c>
      <c r="B1071" t="s">
        <v>2576</v>
      </c>
      <c r="C1071" t="s">
        <v>37</v>
      </c>
      <c r="D1071" t="s">
        <v>29</v>
      </c>
      <c r="E1071" t="s">
        <v>39</v>
      </c>
      <c r="F1071" t="s">
        <v>106</v>
      </c>
      <c r="G1071">
        <v>0.31</v>
      </c>
      <c r="H1071" t="s">
        <v>138</v>
      </c>
      <c r="I1071" t="s">
        <v>48</v>
      </c>
      <c r="J1071" t="s">
        <v>139</v>
      </c>
      <c r="K1071">
        <v>709.38</v>
      </c>
      <c r="L1071" t="s">
        <v>2577</v>
      </c>
      <c r="M1071">
        <f>VLOOKUP(H1071,'Stage Order'!$A$2:$B$8,2,FALSE)</f>
        <v>6</v>
      </c>
      <c r="N1071" t="str">
        <f t="shared" si="32"/>
        <v>1. Under 1 hour</v>
      </c>
      <c r="O1071" t="str">
        <f t="shared" si="33"/>
        <v>2025-02</v>
      </c>
    </row>
    <row r="1072" spans="1:15" x14ac:dyDescent="0.3">
      <c r="A1072" t="s">
        <v>2578</v>
      </c>
      <c r="B1072" t="s">
        <v>2579</v>
      </c>
      <c r="C1072" t="s">
        <v>76</v>
      </c>
      <c r="D1072" t="s">
        <v>54</v>
      </c>
      <c r="E1072" t="s">
        <v>90</v>
      </c>
      <c r="F1072" t="s">
        <v>112</v>
      </c>
      <c r="G1072">
        <v>1.48</v>
      </c>
      <c r="H1072" t="s">
        <v>61</v>
      </c>
      <c r="I1072" t="s">
        <v>42</v>
      </c>
      <c r="M1072">
        <f>VLOOKUP(H1072,'Stage Order'!$A$2:$B$8,2,FALSE)</f>
        <v>1</v>
      </c>
      <c r="N1072" t="str">
        <f t="shared" si="32"/>
        <v>2. 1-24 hours</v>
      </c>
      <c r="O1072" t="str">
        <f t="shared" si="33"/>
        <v>2025-06</v>
      </c>
    </row>
    <row r="1073" spans="1:15" x14ac:dyDescent="0.3">
      <c r="A1073" t="s">
        <v>2580</v>
      </c>
      <c r="B1073" t="s">
        <v>2581</v>
      </c>
      <c r="C1073" t="s">
        <v>81</v>
      </c>
      <c r="D1073" t="s">
        <v>29</v>
      </c>
      <c r="E1073" t="s">
        <v>39</v>
      </c>
      <c r="F1073" t="s">
        <v>106</v>
      </c>
      <c r="G1073">
        <v>2.17</v>
      </c>
      <c r="H1073" t="s">
        <v>61</v>
      </c>
      <c r="I1073" t="s">
        <v>42</v>
      </c>
      <c r="M1073">
        <f>VLOOKUP(H1073,'Stage Order'!$A$2:$B$8,2,FALSE)</f>
        <v>1</v>
      </c>
      <c r="N1073" t="str">
        <f t="shared" si="32"/>
        <v>2. 1-24 hours</v>
      </c>
      <c r="O1073" t="str">
        <f t="shared" si="33"/>
        <v>2025-11</v>
      </c>
    </row>
    <row r="1074" spans="1:15" x14ac:dyDescent="0.3">
      <c r="A1074" t="s">
        <v>2582</v>
      </c>
      <c r="B1074" t="s">
        <v>2583</v>
      </c>
      <c r="C1074" t="s">
        <v>125</v>
      </c>
      <c r="D1074" t="s">
        <v>77</v>
      </c>
      <c r="E1074" t="s">
        <v>45</v>
      </c>
      <c r="F1074" t="s">
        <v>55</v>
      </c>
      <c r="G1074">
        <v>1.1499999999999999</v>
      </c>
      <c r="H1074" t="s">
        <v>128</v>
      </c>
      <c r="I1074" t="s">
        <v>42</v>
      </c>
      <c r="M1074">
        <f>VLOOKUP(H1074,'Stage Order'!$A$2:$B$8,2,FALSE)</f>
        <v>3</v>
      </c>
      <c r="N1074" t="str">
        <f t="shared" si="32"/>
        <v>2. 1-24 hours</v>
      </c>
      <c r="O1074" t="str">
        <f t="shared" si="33"/>
        <v>2025-10</v>
      </c>
    </row>
    <row r="1075" spans="1:15" x14ac:dyDescent="0.3">
      <c r="A1075" t="s">
        <v>2584</v>
      </c>
      <c r="B1075" t="s">
        <v>2585</v>
      </c>
      <c r="C1075" t="s">
        <v>58</v>
      </c>
      <c r="D1075" t="s">
        <v>54</v>
      </c>
      <c r="E1075" t="s">
        <v>45</v>
      </c>
      <c r="F1075" t="s">
        <v>94</v>
      </c>
      <c r="G1075">
        <v>3</v>
      </c>
      <c r="H1075" t="s">
        <v>41</v>
      </c>
      <c r="I1075" t="s">
        <v>42</v>
      </c>
      <c r="M1075">
        <f>VLOOKUP(H1075,'Stage Order'!$A$2:$B$8,2,FALSE)</f>
        <v>2</v>
      </c>
      <c r="N1075" t="str">
        <f t="shared" si="32"/>
        <v>2. 1-24 hours</v>
      </c>
      <c r="O1075" t="str">
        <f t="shared" si="33"/>
        <v>2025-12</v>
      </c>
    </row>
    <row r="1076" spans="1:15" x14ac:dyDescent="0.3">
      <c r="A1076" t="s">
        <v>2586</v>
      </c>
      <c r="B1076" t="s">
        <v>2587</v>
      </c>
      <c r="C1076" t="s">
        <v>58</v>
      </c>
      <c r="D1076" t="s">
        <v>54</v>
      </c>
      <c r="E1076" t="s">
        <v>39</v>
      </c>
      <c r="F1076" t="s">
        <v>106</v>
      </c>
      <c r="G1076">
        <v>0.76</v>
      </c>
      <c r="H1076" t="s">
        <v>47</v>
      </c>
      <c r="I1076" t="s">
        <v>48</v>
      </c>
      <c r="J1076" t="s">
        <v>49</v>
      </c>
      <c r="K1076">
        <v>529.49</v>
      </c>
      <c r="L1076" t="s">
        <v>2588</v>
      </c>
      <c r="M1076">
        <f>VLOOKUP(H1076,'Stage Order'!$A$2:$B$8,2,FALSE)</f>
        <v>4</v>
      </c>
      <c r="N1076" t="str">
        <f t="shared" si="32"/>
        <v>1. Under 1 hour</v>
      </c>
      <c r="O1076" t="str">
        <f t="shared" si="33"/>
        <v>2025-01</v>
      </c>
    </row>
    <row r="1077" spans="1:15" x14ac:dyDescent="0.3">
      <c r="A1077" t="s">
        <v>2589</v>
      </c>
      <c r="B1077" t="s">
        <v>2590</v>
      </c>
      <c r="C1077" t="s">
        <v>37</v>
      </c>
      <c r="D1077" t="s">
        <v>77</v>
      </c>
      <c r="E1077" t="s">
        <v>39</v>
      </c>
      <c r="F1077" t="s">
        <v>40</v>
      </c>
      <c r="G1077">
        <v>9.77</v>
      </c>
      <c r="H1077" t="s">
        <v>41</v>
      </c>
      <c r="I1077" t="s">
        <v>42</v>
      </c>
      <c r="M1077">
        <f>VLOOKUP(H1077,'Stage Order'!$A$2:$B$8,2,FALSE)</f>
        <v>2</v>
      </c>
      <c r="N1077" t="str">
        <f t="shared" si="32"/>
        <v>2. 1-24 hours</v>
      </c>
      <c r="O1077" t="str">
        <f t="shared" si="33"/>
        <v>2025-06</v>
      </c>
    </row>
    <row r="1078" spans="1:15" x14ac:dyDescent="0.3">
      <c r="A1078" t="s">
        <v>2591</v>
      </c>
      <c r="B1078" t="s">
        <v>2592</v>
      </c>
      <c r="C1078" t="s">
        <v>125</v>
      </c>
      <c r="D1078" t="s">
        <v>77</v>
      </c>
      <c r="E1078" t="s">
        <v>59</v>
      </c>
      <c r="F1078" t="s">
        <v>117</v>
      </c>
      <c r="G1078">
        <v>6.02</v>
      </c>
      <c r="H1078" t="s">
        <v>41</v>
      </c>
      <c r="I1078" t="s">
        <v>42</v>
      </c>
      <c r="M1078">
        <f>VLOOKUP(H1078,'Stage Order'!$A$2:$B$8,2,FALSE)</f>
        <v>2</v>
      </c>
      <c r="N1078" t="str">
        <f t="shared" si="32"/>
        <v>2. 1-24 hours</v>
      </c>
      <c r="O1078" t="str">
        <f t="shared" si="33"/>
        <v>2025-02</v>
      </c>
    </row>
    <row r="1079" spans="1:15" x14ac:dyDescent="0.3">
      <c r="A1079" t="s">
        <v>2593</v>
      </c>
      <c r="B1079" t="s">
        <v>2594</v>
      </c>
      <c r="C1079" t="s">
        <v>81</v>
      </c>
      <c r="D1079" t="s">
        <v>54</v>
      </c>
      <c r="E1079" t="s">
        <v>39</v>
      </c>
      <c r="F1079" t="s">
        <v>66</v>
      </c>
      <c r="G1079">
        <v>0.84</v>
      </c>
      <c r="H1079" t="s">
        <v>61</v>
      </c>
      <c r="I1079" t="s">
        <v>42</v>
      </c>
      <c r="M1079">
        <f>VLOOKUP(H1079,'Stage Order'!$A$2:$B$8,2,FALSE)</f>
        <v>1</v>
      </c>
      <c r="N1079" t="str">
        <f t="shared" si="32"/>
        <v>1. Under 1 hour</v>
      </c>
      <c r="O1079" t="str">
        <f t="shared" si="33"/>
        <v>2025-09</v>
      </c>
    </row>
    <row r="1080" spans="1:15" x14ac:dyDescent="0.3">
      <c r="A1080" t="s">
        <v>2595</v>
      </c>
      <c r="B1080" t="s">
        <v>2596</v>
      </c>
      <c r="C1080" t="s">
        <v>58</v>
      </c>
      <c r="D1080" t="s">
        <v>77</v>
      </c>
      <c r="E1080" t="s">
        <v>45</v>
      </c>
      <c r="F1080" t="s">
        <v>55</v>
      </c>
      <c r="G1080">
        <v>5.07</v>
      </c>
      <c r="H1080" t="s">
        <v>146</v>
      </c>
      <c r="I1080" t="s">
        <v>48</v>
      </c>
      <c r="J1080" t="s">
        <v>139</v>
      </c>
      <c r="K1080">
        <v>972.22</v>
      </c>
      <c r="L1080" t="s">
        <v>2597</v>
      </c>
      <c r="M1080">
        <f>VLOOKUP(H1080,'Stage Order'!$A$2:$B$8,2,FALSE)</f>
        <v>5</v>
      </c>
      <c r="N1080" t="str">
        <f t="shared" si="32"/>
        <v>2. 1-24 hours</v>
      </c>
      <c r="O1080" t="str">
        <f t="shared" si="33"/>
        <v>2026-02</v>
      </c>
    </row>
    <row r="1081" spans="1:15" x14ac:dyDescent="0.3">
      <c r="A1081" t="s">
        <v>2598</v>
      </c>
      <c r="B1081" t="s">
        <v>2599</v>
      </c>
      <c r="C1081" t="s">
        <v>125</v>
      </c>
      <c r="D1081" t="s">
        <v>77</v>
      </c>
      <c r="E1081" t="s">
        <v>39</v>
      </c>
      <c r="F1081" t="s">
        <v>106</v>
      </c>
      <c r="G1081">
        <v>1.56</v>
      </c>
      <c r="H1081" t="s">
        <v>41</v>
      </c>
      <c r="I1081" t="s">
        <v>42</v>
      </c>
      <c r="M1081">
        <f>VLOOKUP(H1081,'Stage Order'!$A$2:$B$8,2,FALSE)</f>
        <v>2</v>
      </c>
      <c r="N1081" t="str">
        <f t="shared" si="32"/>
        <v>2. 1-24 hours</v>
      </c>
      <c r="O1081" t="str">
        <f t="shared" si="33"/>
        <v>2025-11</v>
      </c>
    </row>
    <row r="1082" spans="1:15" x14ac:dyDescent="0.3">
      <c r="A1082" t="s">
        <v>2600</v>
      </c>
      <c r="B1082" t="s">
        <v>2601</v>
      </c>
      <c r="C1082" t="s">
        <v>28</v>
      </c>
      <c r="D1082" t="s">
        <v>29</v>
      </c>
      <c r="E1082" t="s">
        <v>39</v>
      </c>
      <c r="F1082" t="s">
        <v>106</v>
      </c>
      <c r="G1082">
        <v>2.41</v>
      </c>
      <c r="H1082" t="s">
        <v>32</v>
      </c>
      <c r="I1082" t="s">
        <v>33</v>
      </c>
      <c r="K1082">
        <v>548.83000000000004</v>
      </c>
      <c r="L1082" t="s">
        <v>2602</v>
      </c>
      <c r="M1082">
        <f>VLOOKUP(H1082,'Stage Order'!$A$2:$B$8,2,FALSE)</f>
        <v>7</v>
      </c>
      <c r="N1082" t="str">
        <f t="shared" si="32"/>
        <v>2. 1-24 hours</v>
      </c>
      <c r="O1082" t="str">
        <f t="shared" si="33"/>
        <v>2025-02</v>
      </c>
    </row>
    <row r="1083" spans="1:15" x14ac:dyDescent="0.3">
      <c r="A1083" t="s">
        <v>2603</v>
      </c>
      <c r="B1083" t="s">
        <v>2604</v>
      </c>
      <c r="C1083" t="s">
        <v>37</v>
      </c>
      <c r="D1083" t="s">
        <v>54</v>
      </c>
      <c r="E1083" t="s">
        <v>45</v>
      </c>
      <c r="F1083" t="s">
        <v>46</v>
      </c>
      <c r="G1083">
        <v>5.2</v>
      </c>
      <c r="H1083" t="s">
        <v>138</v>
      </c>
      <c r="I1083" t="s">
        <v>48</v>
      </c>
      <c r="J1083" t="s">
        <v>742</v>
      </c>
      <c r="K1083">
        <v>582.5</v>
      </c>
      <c r="L1083" t="s">
        <v>2605</v>
      </c>
      <c r="M1083">
        <f>VLOOKUP(H1083,'Stage Order'!$A$2:$B$8,2,FALSE)</f>
        <v>6</v>
      </c>
      <c r="N1083" t="str">
        <f t="shared" si="32"/>
        <v>2. 1-24 hours</v>
      </c>
      <c r="O1083" t="str">
        <f t="shared" si="33"/>
        <v>2025-03</v>
      </c>
    </row>
    <row r="1084" spans="1:15" x14ac:dyDescent="0.3">
      <c r="A1084" t="s">
        <v>2606</v>
      </c>
      <c r="B1084" t="s">
        <v>2607</v>
      </c>
      <c r="C1084" t="s">
        <v>125</v>
      </c>
      <c r="D1084" t="s">
        <v>38</v>
      </c>
      <c r="E1084" t="s">
        <v>59</v>
      </c>
      <c r="F1084" t="s">
        <v>117</v>
      </c>
      <c r="G1084">
        <v>1.53</v>
      </c>
      <c r="H1084" t="s">
        <v>41</v>
      </c>
      <c r="I1084" t="s">
        <v>42</v>
      </c>
      <c r="M1084">
        <f>VLOOKUP(H1084,'Stage Order'!$A$2:$B$8,2,FALSE)</f>
        <v>2</v>
      </c>
      <c r="N1084" t="str">
        <f t="shared" si="32"/>
        <v>2. 1-24 hours</v>
      </c>
      <c r="O1084" t="str">
        <f t="shared" si="33"/>
        <v>2025-06</v>
      </c>
    </row>
    <row r="1085" spans="1:15" x14ac:dyDescent="0.3">
      <c r="A1085" t="s">
        <v>2608</v>
      </c>
      <c r="B1085" t="s">
        <v>2609</v>
      </c>
      <c r="C1085" t="s">
        <v>28</v>
      </c>
      <c r="D1085" t="s">
        <v>77</v>
      </c>
      <c r="E1085" t="s">
        <v>30</v>
      </c>
      <c r="F1085" t="s">
        <v>82</v>
      </c>
      <c r="G1085">
        <v>7.19</v>
      </c>
      <c r="H1085" t="s">
        <v>41</v>
      </c>
      <c r="I1085" t="s">
        <v>42</v>
      </c>
      <c r="M1085">
        <f>VLOOKUP(H1085,'Stage Order'!$A$2:$B$8,2,FALSE)</f>
        <v>2</v>
      </c>
      <c r="N1085" t="str">
        <f t="shared" si="32"/>
        <v>2. 1-24 hours</v>
      </c>
      <c r="O1085" t="str">
        <f t="shared" si="33"/>
        <v>2026-03</v>
      </c>
    </row>
    <row r="1086" spans="1:15" x14ac:dyDescent="0.3">
      <c r="A1086" t="s">
        <v>2610</v>
      </c>
      <c r="B1086" t="s">
        <v>2611</v>
      </c>
      <c r="C1086" t="s">
        <v>53</v>
      </c>
      <c r="D1086" t="s">
        <v>77</v>
      </c>
      <c r="E1086" t="s">
        <v>45</v>
      </c>
      <c r="F1086" t="s">
        <v>46</v>
      </c>
      <c r="G1086">
        <v>0.6</v>
      </c>
      <c r="H1086" t="s">
        <v>32</v>
      </c>
      <c r="I1086" t="s">
        <v>33</v>
      </c>
      <c r="K1086">
        <v>939.44</v>
      </c>
      <c r="L1086" t="s">
        <v>2612</v>
      </c>
      <c r="M1086">
        <f>VLOOKUP(H1086,'Stage Order'!$A$2:$B$8,2,FALSE)</f>
        <v>7</v>
      </c>
      <c r="N1086" t="str">
        <f t="shared" si="32"/>
        <v>1. Under 1 hour</v>
      </c>
      <c r="O1086" t="str">
        <f t="shared" si="33"/>
        <v>2026-06</v>
      </c>
    </row>
    <row r="1087" spans="1:15" x14ac:dyDescent="0.3">
      <c r="A1087" t="s">
        <v>2613</v>
      </c>
      <c r="B1087" t="s">
        <v>2614</v>
      </c>
      <c r="C1087" t="s">
        <v>125</v>
      </c>
      <c r="D1087" t="s">
        <v>38</v>
      </c>
      <c r="E1087" t="s">
        <v>59</v>
      </c>
      <c r="F1087" t="s">
        <v>117</v>
      </c>
      <c r="G1087">
        <v>4.7699999999999996</v>
      </c>
      <c r="H1087" t="s">
        <v>41</v>
      </c>
      <c r="I1087" t="s">
        <v>42</v>
      </c>
      <c r="M1087">
        <f>VLOOKUP(H1087,'Stage Order'!$A$2:$B$8,2,FALSE)</f>
        <v>2</v>
      </c>
      <c r="N1087" t="str">
        <f t="shared" si="32"/>
        <v>2. 1-24 hours</v>
      </c>
      <c r="O1087" t="str">
        <f t="shared" si="33"/>
        <v>2026-02</v>
      </c>
    </row>
    <row r="1088" spans="1:15" x14ac:dyDescent="0.3">
      <c r="A1088" t="s">
        <v>2615</v>
      </c>
      <c r="B1088" t="s">
        <v>2616</v>
      </c>
      <c r="C1088" t="s">
        <v>58</v>
      </c>
      <c r="D1088" t="s">
        <v>38</v>
      </c>
      <c r="E1088" t="s">
        <v>45</v>
      </c>
      <c r="F1088" t="s">
        <v>94</v>
      </c>
      <c r="G1088">
        <v>1.21</v>
      </c>
      <c r="H1088" t="s">
        <v>47</v>
      </c>
      <c r="I1088" t="s">
        <v>48</v>
      </c>
      <c r="J1088" t="s">
        <v>139</v>
      </c>
      <c r="K1088">
        <v>420.49</v>
      </c>
      <c r="L1088" t="s">
        <v>2617</v>
      </c>
      <c r="M1088">
        <f>VLOOKUP(H1088,'Stage Order'!$A$2:$B$8,2,FALSE)</f>
        <v>4</v>
      </c>
      <c r="N1088" t="str">
        <f t="shared" si="32"/>
        <v>2. 1-24 hours</v>
      </c>
      <c r="O1088" t="str">
        <f t="shared" si="33"/>
        <v>2025-12</v>
      </c>
    </row>
    <row r="1089" spans="1:15" x14ac:dyDescent="0.3">
      <c r="A1089" t="s">
        <v>2618</v>
      </c>
      <c r="B1089" t="s">
        <v>2619</v>
      </c>
      <c r="C1089" t="s">
        <v>37</v>
      </c>
      <c r="D1089" t="s">
        <v>77</v>
      </c>
      <c r="E1089" t="s">
        <v>45</v>
      </c>
      <c r="F1089" t="s">
        <v>94</v>
      </c>
      <c r="G1089">
        <v>2.52</v>
      </c>
      <c r="H1089" t="s">
        <v>41</v>
      </c>
      <c r="I1089" t="s">
        <v>42</v>
      </c>
      <c r="M1089">
        <f>VLOOKUP(H1089,'Stage Order'!$A$2:$B$8,2,FALSE)</f>
        <v>2</v>
      </c>
      <c r="N1089" t="str">
        <f t="shared" si="32"/>
        <v>2. 1-24 hours</v>
      </c>
      <c r="O1089" t="str">
        <f t="shared" si="33"/>
        <v>2025-07</v>
      </c>
    </row>
    <row r="1090" spans="1:15" x14ac:dyDescent="0.3">
      <c r="A1090" t="s">
        <v>2620</v>
      </c>
      <c r="B1090" t="s">
        <v>2621</v>
      </c>
      <c r="C1090" t="s">
        <v>58</v>
      </c>
      <c r="D1090" t="s">
        <v>77</v>
      </c>
      <c r="E1090" t="s">
        <v>90</v>
      </c>
      <c r="F1090" t="s">
        <v>145</v>
      </c>
      <c r="G1090">
        <v>3.44</v>
      </c>
      <c r="H1090" t="s">
        <v>41</v>
      </c>
      <c r="I1090" t="s">
        <v>42</v>
      </c>
      <c r="M1090">
        <f>VLOOKUP(H1090,'Stage Order'!$A$2:$B$8,2,FALSE)</f>
        <v>2</v>
      </c>
      <c r="N1090" t="str">
        <f t="shared" ref="N1090:N1153" si="34">IF(G1090&lt;=1,"1. Under 1 hour",IF(G1090&lt;=24,"2. 1-24 hours",IF(G1090&lt;=72,"3. 1-3 days","4. Over 3 days")))</f>
        <v>2. 1-24 hours</v>
      </c>
      <c r="O1090" t="str">
        <f t="shared" ref="O1090:O1153" si="35">TEXT(B1090,"YYYY-MM")</f>
        <v>2026-01</v>
      </c>
    </row>
    <row r="1091" spans="1:15" x14ac:dyDescent="0.3">
      <c r="A1091" t="s">
        <v>2622</v>
      </c>
      <c r="B1091" t="s">
        <v>2623</v>
      </c>
      <c r="C1091" t="s">
        <v>53</v>
      </c>
      <c r="D1091" t="s">
        <v>54</v>
      </c>
      <c r="E1091" t="s">
        <v>90</v>
      </c>
      <c r="F1091" t="s">
        <v>112</v>
      </c>
      <c r="G1091">
        <v>2.29</v>
      </c>
      <c r="H1091" t="s">
        <v>32</v>
      </c>
      <c r="I1091" t="s">
        <v>33</v>
      </c>
      <c r="K1091">
        <v>511.29</v>
      </c>
      <c r="L1091" t="s">
        <v>2624</v>
      </c>
      <c r="M1091">
        <f>VLOOKUP(H1091,'Stage Order'!$A$2:$B$8,2,FALSE)</f>
        <v>7</v>
      </c>
      <c r="N1091" t="str">
        <f t="shared" si="34"/>
        <v>2. 1-24 hours</v>
      </c>
      <c r="O1091" t="str">
        <f t="shared" si="35"/>
        <v>2025-11</v>
      </c>
    </row>
    <row r="1092" spans="1:15" x14ac:dyDescent="0.3">
      <c r="A1092" t="s">
        <v>2625</v>
      </c>
      <c r="B1092" t="s">
        <v>2626</v>
      </c>
      <c r="C1092" t="s">
        <v>53</v>
      </c>
      <c r="D1092" t="s">
        <v>77</v>
      </c>
      <c r="E1092" t="s">
        <v>59</v>
      </c>
      <c r="F1092" t="s">
        <v>137</v>
      </c>
      <c r="G1092">
        <v>1.27</v>
      </c>
      <c r="H1092" t="s">
        <v>138</v>
      </c>
      <c r="I1092" t="s">
        <v>48</v>
      </c>
      <c r="J1092" t="s">
        <v>742</v>
      </c>
      <c r="K1092">
        <v>1050.5999999999999</v>
      </c>
      <c r="L1092" t="s">
        <v>2627</v>
      </c>
      <c r="M1092">
        <f>VLOOKUP(H1092,'Stage Order'!$A$2:$B$8,2,FALSE)</f>
        <v>6</v>
      </c>
      <c r="N1092" t="str">
        <f t="shared" si="34"/>
        <v>2. 1-24 hours</v>
      </c>
      <c r="O1092" t="str">
        <f t="shared" si="35"/>
        <v>2025-01</v>
      </c>
    </row>
    <row r="1093" spans="1:15" x14ac:dyDescent="0.3">
      <c r="A1093" t="s">
        <v>2628</v>
      </c>
      <c r="B1093" t="s">
        <v>2629</v>
      </c>
      <c r="C1093" t="s">
        <v>125</v>
      </c>
      <c r="D1093" t="s">
        <v>29</v>
      </c>
      <c r="E1093" t="s">
        <v>39</v>
      </c>
      <c r="F1093" t="s">
        <v>66</v>
      </c>
      <c r="G1093">
        <v>2.1800000000000002</v>
      </c>
      <c r="H1093" t="s">
        <v>128</v>
      </c>
      <c r="I1093" t="s">
        <v>42</v>
      </c>
      <c r="M1093">
        <f>VLOOKUP(H1093,'Stage Order'!$A$2:$B$8,2,FALSE)</f>
        <v>3</v>
      </c>
      <c r="N1093" t="str">
        <f t="shared" si="34"/>
        <v>2. 1-24 hours</v>
      </c>
      <c r="O1093" t="str">
        <f t="shared" si="35"/>
        <v>2025-02</v>
      </c>
    </row>
    <row r="1094" spans="1:15" x14ac:dyDescent="0.3">
      <c r="A1094" t="s">
        <v>2630</v>
      </c>
      <c r="B1094" t="s">
        <v>2631</v>
      </c>
      <c r="C1094" t="s">
        <v>53</v>
      </c>
      <c r="D1094" t="s">
        <v>97</v>
      </c>
      <c r="E1094" t="s">
        <v>45</v>
      </c>
      <c r="F1094" t="s">
        <v>55</v>
      </c>
      <c r="G1094">
        <v>1.05</v>
      </c>
      <c r="H1094" t="s">
        <v>128</v>
      </c>
      <c r="I1094" t="s">
        <v>42</v>
      </c>
      <c r="M1094">
        <f>VLOOKUP(H1094,'Stage Order'!$A$2:$B$8,2,FALSE)</f>
        <v>3</v>
      </c>
      <c r="N1094" t="str">
        <f t="shared" si="34"/>
        <v>2. 1-24 hours</v>
      </c>
      <c r="O1094" t="str">
        <f t="shared" si="35"/>
        <v>2026-06</v>
      </c>
    </row>
    <row r="1095" spans="1:15" x14ac:dyDescent="0.3">
      <c r="A1095" t="s">
        <v>2632</v>
      </c>
      <c r="B1095" t="s">
        <v>2633</v>
      </c>
      <c r="C1095" t="s">
        <v>37</v>
      </c>
      <c r="D1095" t="s">
        <v>77</v>
      </c>
      <c r="E1095" t="s">
        <v>90</v>
      </c>
      <c r="F1095" t="s">
        <v>145</v>
      </c>
      <c r="G1095">
        <v>5.61</v>
      </c>
      <c r="H1095" t="s">
        <v>61</v>
      </c>
      <c r="I1095" t="s">
        <v>42</v>
      </c>
      <c r="M1095">
        <f>VLOOKUP(H1095,'Stage Order'!$A$2:$B$8,2,FALSE)</f>
        <v>1</v>
      </c>
      <c r="N1095" t="str">
        <f t="shared" si="34"/>
        <v>2. 1-24 hours</v>
      </c>
      <c r="O1095" t="str">
        <f t="shared" si="35"/>
        <v>2025-05</v>
      </c>
    </row>
    <row r="1096" spans="1:15" x14ac:dyDescent="0.3">
      <c r="A1096" t="s">
        <v>2634</v>
      </c>
      <c r="B1096" t="s">
        <v>2635</v>
      </c>
      <c r="C1096" t="s">
        <v>28</v>
      </c>
      <c r="D1096" t="s">
        <v>54</v>
      </c>
      <c r="E1096" t="s">
        <v>39</v>
      </c>
      <c r="F1096" t="s">
        <v>106</v>
      </c>
      <c r="G1096">
        <v>1.08</v>
      </c>
      <c r="H1096" t="s">
        <v>41</v>
      </c>
      <c r="I1096" t="s">
        <v>42</v>
      </c>
      <c r="M1096">
        <f>VLOOKUP(H1096,'Stage Order'!$A$2:$B$8,2,FALSE)</f>
        <v>2</v>
      </c>
      <c r="N1096" t="str">
        <f t="shared" si="34"/>
        <v>2. 1-24 hours</v>
      </c>
      <c r="O1096" t="str">
        <f t="shared" si="35"/>
        <v>2025-06</v>
      </c>
    </row>
    <row r="1097" spans="1:15" x14ac:dyDescent="0.3">
      <c r="A1097" t="s">
        <v>2636</v>
      </c>
      <c r="B1097" t="s">
        <v>2637</v>
      </c>
      <c r="C1097" t="s">
        <v>28</v>
      </c>
      <c r="D1097" t="s">
        <v>38</v>
      </c>
      <c r="E1097" t="s">
        <v>59</v>
      </c>
      <c r="F1097" t="s">
        <v>137</v>
      </c>
      <c r="G1097">
        <v>2.25</v>
      </c>
      <c r="H1097" t="s">
        <v>128</v>
      </c>
      <c r="I1097" t="s">
        <v>42</v>
      </c>
      <c r="M1097">
        <f>VLOOKUP(H1097,'Stage Order'!$A$2:$B$8,2,FALSE)</f>
        <v>3</v>
      </c>
      <c r="N1097" t="str">
        <f t="shared" si="34"/>
        <v>2. 1-24 hours</v>
      </c>
      <c r="O1097" t="str">
        <f t="shared" si="35"/>
        <v>2025-11</v>
      </c>
    </row>
    <row r="1098" spans="1:15" x14ac:dyDescent="0.3">
      <c r="A1098" t="s">
        <v>2638</v>
      </c>
      <c r="B1098" t="s">
        <v>2639</v>
      </c>
      <c r="C1098" t="s">
        <v>37</v>
      </c>
      <c r="D1098" t="s">
        <v>77</v>
      </c>
      <c r="E1098" t="s">
        <v>90</v>
      </c>
      <c r="F1098" t="s">
        <v>91</v>
      </c>
      <c r="G1098">
        <v>5.44</v>
      </c>
      <c r="H1098" t="s">
        <v>32</v>
      </c>
      <c r="I1098" t="s">
        <v>33</v>
      </c>
      <c r="K1098">
        <v>917.74</v>
      </c>
      <c r="L1098" t="s">
        <v>2640</v>
      </c>
      <c r="M1098">
        <f>VLOOKUP(H1098,'Stage Order'!$A$2:$B$8,2,FALSE)</f>
        <v>7</v>
      </c>
      <c r="N1098" t="str">
        <f t="shared" si="34"/>
        <v>2. 1-24 hours</v>
      </c>
      <c r="O1098" t="str">
        <f t="shared" si="35"/>
        <v>2025-09</v>
      </c>
    </row>
    <row r="1099" spans="1:15" x14ac:dyDescent="0.3">
      <c r="A1099" t="s">
        <v>2641</v>
      </c>
      <c r="B1099" t="s">
        <v>2642</v>
      </c>
      <c r="C1099" t="s">
        <v>58</v>
      </c>
      <c r="D1099" t="s">
        <v>77</v>
      </c>
      <c r="E1099" t="s">
        <v>45</v>
      </c>
      <c r="F1099" t="s">
        <v>94</v>
      </c>
      <c r="G1099">
        <v>1.1100000000000001</v>
      </c>
      <c r="H1099" t="s">
        <v>41</v>
      </c>
      <c r="I1099" t="s">
        <v>42</v>
      </c>
      <c r="M1099">
        <f>VLOOKUP(H1099,'Stage Order'!$A$2:$B$8,2,FALSE)</f>
        <v>2</v>
      </c>
      <c r="N1099" t="str">
        <f t="shared" si="34"/>
        <v>2. 1-24 hours</v>
      </c>
      <c r="O1099" t="str">
        <f t="shared" si="35"/>
        <v>2026-03</v>
      </c>
    </row>
    <row r="1100" spans="1:15" x14ac:dyDescent="0.3">
      <c r="A1100" t="s">
        <v>2643</v>
      </c>
      <c r="B1100" t="s">
        <v>2644</v>
      </c>
      <c r="C1100" t="s">
        <v>28</v>
      </c>
      <c r="D1100" t="s">
        <v>54</v>
      </c>
      <c r="E1100" t="s">
        <v>45</v>
      </c>
      <c r="F1100" t="s">
        <v>55</v>
      </c>
      <c r="G1100">
        <v>6.19</v>
      </c>
      <c r="H1100" t="s">
        <v>41</v>
      </c>
      <c r="I1100" t="s">
        <v>42</v>
      </c>
      <c r="M1100">
        <f>VLOOKUP(H1100,'Stage Order'!$A$2:$B$8,2,FALSE)</f>
        <v>2</v>
      </c>
      <c r="N1100" t="str">
        <f t="shared" si="34"/>
        <v>2. 1-24 hours</v>
      </c>
      <c r="O1100" t="str">
        <f t="shared" si="35"/>
        <v>2025-03</v>
      </c>
    </row>
    <row r="1101" spans="1:15" x14ac:dyDescent="0.3">
      <c r="A1101" t="s">
        <v>2645</v>
      </c>
      <c r="B1101" t="s">
        <v>2646</v>
      </c>
      <c r="C1101" t="s">
        <v>58</v>
      </c>
      <c r="D1101" t="s">
        <v>54</v>
      </c>
      <c r="E1101" t="s">
        <v>90</v>
      </c>
      <c r="F1101" t="s">
        <v>112</v>
      </c>
      <c r="G1101">
        <v>6.61</v>
      </c>
      <c r="H1101" t="s">
        <v>47</v>
      </c>
      <c r="I1101" t="s">
        <v>48</v>
      </c>
      <c r="J1101" t="s">
        <v>98</v>
      </c>
      <c r="K1101">
        <v>583.33000000000004</v>
      </c>
      <c r="L1101" t="s">
        <v>2647</v>
      </c>
      <c r="M1101">
        <f>VLOOKUP(H1101,'Stage Order'!$A$2:$B$8,2,FALSE)</f>
        <v>4</v>
      </c>
      <c r="N1101" t="str">
        <f t="shared" si="34"/>
        <v>2. 1-24 hours</v>
      </c>
      <c r="O1101" t="str">
        <f t="shared" si="35"/>
        <v>2025-03</v>
      </c>
    </row>
    <row r="1102" spans="1:15" x14ac:dyDescent="0.3">
      <c r="A1102" t="s">
        <v>2648</v>
      </c>
      <c r="B1102" t="s">
        <v>2649</v>
      </c>
      <c r="C1102" t="s">
        <v>76</v>
      </c>
      <c r="D1102" t="s">
        <v>29</v>
      </c>
      <c r="E1102" t="s">
        <v>45</v>
      </c>
      <c r="F1102" t="s">
        <v>94</v>
      </c>
      <c r="G1102">
        <v>1.32</v>
      </c>
      <c r="H1102" t="s">
        <v>41</v>
      </c>
      <c r="I1102" t="s">
        <v>42</v>
      </c>
      <c r="M1102">
        <f>VLOOKUP(H1102,'Stage Order'!$A$2:$B$8,2,FALSE)</f>
        <v>2</v>
      </c>
      <c r="N1102" t="str">
        <f t="shared" si="34"/>
        <v>2. 1-24 hours</v>
      </c>
      <c r="O1102" t="str">
        <f t="shared" si="35"/>
        <v>2025-03</v>
      </c>
    </row>
    <row r="1103" spans="1:15" x14ac:dyDescent="0.3">
      <c r="A1103" t="s">
        <v>2650</v>
      </c>
      <c r="B1103" t="s">
        <v>2651</v>
      </c>
      <c r="C1103" t="s">
        <v>125</v>
      </c>
      <c r="D1103" t="s">
        <v>29</v>
      </c>
      <c r="E1103" t="s">
        <v>45</v>
      </c>
      <c r="F1103" t="s">
        <v>94</v>
      </c>
      <c r="G1103">
        <v>11.13</v>
      </c>
      <c r="H1103" t="s">
        <v>61</v>
      </c>
      <c r="I1103" t="s">
        <v>42</v>
      </c>
      <c r="M1103">
        <f>VLOOKUP(H1103,'Stage Order'!$A$2:$B$8,2,FALSE)</f>
        <v>1</v>
      </c>
      <c r="N1103" t="str">
        <f t="shared" si="34"/>
        <v>2. 1-24 hours</v>
      </c>
      <c r="O1103" t="str">
        <f t="shared" si="35"/>
        <v>2026-06</v>
      </c>
    </row>
    <row r="1104" spans="1:15" x14ac:dyDescent="0.3">
      <c r="A1104" t="s">
        <v>2652</v>
      </c>
      <c r="B1104" t="s">
        <v>2653</v>
      </c>
      <c r="C1104" t="s">
        <v>125</v>
      </c>
      <c r="D1104" t="s">
        <v>38</v>
      </c>
      <c r="E1104" t="s">
        <v>45</v>
      </c>
      <c r="F1104" t="s">
        <v>55</v>
      </c>
      <c r="G1104">
        <v>0.76</v>
      </c>
      <c r="H1104" t="s">
        <v>41</v>
      </c>
      <c r="I1104" t="s">
        <v>42</v>
      </c>
      <c r="M1104">
        <f>VLOOKUP(H1104,'Stage Order'!$A$2:$B$8,2,FALSE)</f>
        <v>2</v>
      </c>
      <c r="N1104" t="str">
        <f t="shared" si="34"/>
        <v>1. Under 1 hour</v>
      </c>
      <c r="O1104" t="str">
        <f t="shared" si="35"/>
        <v>2025-10</v>
      </c>
    </row>
    <row r="1105" spans="1:15" x14ac:dyDescent="0.3">
      <c r="A1105" t="s">
        <v>2654</v>
      </c>
      <c r="B1105" t="s">
        <v>2655</v>
      </c>
      <c r="C1105" t="s">
        <v>28</v>
      </c>
      <c r="D1105" t="s">
        <v>38</v>
      </c>
      <c r="E1105" t="s">
        <v>59</v>
      </c>
      <c r="F1105" t="s">
        <v>117</v>
      </c>
      <c r="G1105">
        <v>2.19</v>
      </c>
      <c r="H1105" t="s">
        <v>128</v>
      </c>
      <c r="I1105" t="s">
        <v>42</v>
      </c>
      <c r="M1105">
        <f>VLOOKUP(H1105,'Stage Order'!$A$2:$B$8,2,FALSE)</f>
        <v>3</v>
      </c>
      <c r="N1105" t="str">
        <f t="shared" si="34"/>
        <v>2. 1-24 hours</v>
      </c>
      <c r="O1105" t="str">
        <f t="shared" si="35"/>
        <v>2025-09</v>
      </c>
    </row>
    <row r="1106" spans="1:15" x14ac:dyDescent="0.3">
      <c r="A1106" t="s">
        <v>2656</v>
      </c>
      <c r="B1106" t="s">
        <v>2657</v>
      </c>
      <c r="C1106" t="s">
        <v>58</v>
      </c>
      <c r="D1106" t="s">
        <v>54</v>
      </c>
      <c r="E1106" t="s">
        <v>30</v>
      </c>
      <c r="F1106" t="s">
        <v>31</v>
      </c>
      <c r="G1106">
        <v>1.55</v>
      </c>
      <c r="H1106" t="s">
        <v>41</v>
      </c>
      <c r="I1106" t="s">
        <v>42</v>
      </c>
      <c r="M1106">
        <f>VLOOKUP(H1106,'Stage Order'!$A$2:$B$8,2,FALSE)</f>
        <v>2</v>
      </c>
      <c r="N1106" t="str">
        <f t="shared" si="34"/>
        <v>2. 1-24 hours</v>
      </c>
      <c r="O1106" t="str">
        <f t="shared" si="35"/>
        <v>2025-08</v>
      </c>
    </row>
    <row r="1107" spans="1:15" x14ac:dyDescent="0.3">
      <c r="A1107" t="s">
        <v>2658</v>
      </c>
      <c r="B1107" t="s">
        <v>2659</v>
      </c>
      <c r="C1107" t="s">
        <v>125</v>
      </c>
      <c r="D1107" t="s">
        <v>77</v>
      </c>
      <c r="E1107" t="s">
        <v>59</v>
      </c>
      <c r="F1107" t="s">
        <v>117</v>
      </c>
      <c r="G1107">
        <v>1.79</v>
      </c>
      <c r="H1107" t="s">
        <v>41</v>
      </c>
      <c r="I1107" t="s">
        <v>42</v>
      </c>
      <c r="M1107">
        <f>VLOOKUP(H1107,'Stage Order'!$A$2:$B$8,2,FALSE)</f>
        <v>2</v>
      </c>
      <c r="N1107" t="str">
        <f t="shared" si="34"/>
        <v>2. 1-24 hours</v>
      </c>
      <c r="O1107" t="str">
        <f t="shared" si="35"/>
        <v>2025-11</v>
      </c>
    </row>
    <row r="1108" spans="1:15" x14ac:dyDescent="0.3">
      <c r="A1108" t="s">
        <v>2660</v>
      </c>
      <c r="B1108" t="s">
        <v>2661</v>
      </c>
      <c r="C1108" t="s">
        <v>28</v>
      </c>
      <c r="D1108" t="s">
        <v>54</v>
      </c>
      <c r="E1108" t="s">
        <v>45</v>
      </c>
      <c r="F1108" t="s">
        <v>55</v>
      </c>
      <c r="G1108">
        <v>1.0900000000000001</v>
      </c>
      <c r="H1108" t="s">
        <v>41</v>
      </c>
      <c r="I1108" t="s">
        <v>42</v>
      </c>
      <c r="M1108">
        <f>VLOOKUP(H1108,'Stage Order'!$A$2:$B$8,2,FALSE)</f>
        <v>2</v>
      </c>
      <c r="N1108" t="str">
        <f t="shared" si="34"/>
        <v>2. 1-24 hours</v>
      </c>
      <c r="O1108" t="str">
        <f t="shared" si="35"/>
        <v>2025-06</v>
      </c>
    </row>
    <row r="1109" spans="1:15" x14ac:dyDescent="0.3">
      <c r="A1109" t="s">
        <v>2662</v>
      </c>
      <c r="B1109" t="s">
        <v>2663</v>
      </c>
      <c r="C1109" t="s">
        <v>28</v>
      </c>
      <c r="D1109" t="s">
        <v>97</v>
      </c>
      <c r="E1109" t="s">
        <v>45</v>
      </c>
      <c r="F1109" t="s">
        <v>46</v>
      </c>
      <c r="G1109">
        <v>10.59</v>
      </c>
      <c r="H1109" t="s">
        <v>41</v>
      </c>
      <c r="I1109" t="s">
        <v>42</v>
      </c>
      <c r="M1109">
        <f>VLOOKUP(H1109,'Stage Order'!$A$2:$B$8,2,FALSE)</f>
        <v>2</v>
      </c>
      <c r="N1109" t="str">
        <f t="shared" si="34"/>
        <v>2. 1-24 hours</v>
      </c>
      <c r="O1109" t="str">
        <f t="shared" si="35"/>
        <v>2026-02</v>
      </c>
    </row>
    <row r="1110" spans="1:15" x14ac:dyDescent="0.3">
      <c r="A1110" t="s">
        <v>2664</v>
      </c>
      <c r="B1110" t="s">
        <v>2665</v>
      </c>
      <c r="C1110" t="s">
        <v>37</v>
      </c>
      <c r="D1110" t="s">
        <v>29</v>
      </c>
      <c r="E1110" t="s">
        <v>59</v>
      </c>
      <c r="F1110" t="s">
        <v>137</v>
      </c>
      <c r="G1110">
        <v>0.6</v>
      </c>
      <c r="H1110" t="s">
        <v>41</v>
      </c>
      <c r="I1110" t="s">
        <v>42</v>
      </c>
      <c r="M1110">
        <f>VLOOKUP(H1110,'Stage Order'!$A$2:$B$8,2,FALSE)</f>
        <v>2</v>
      </c>
      <c r="N1110" t="str">
        <f t="shared" si="34"/>
        <v>1. Under 1 hour</v>
      </c>
      <c r="O1110" t="str">
        <f t="shared" si="35"/>
        <v>2025-03</v>
      </c>
    </row>
    <row r="1111" spans="1:15" x14ac:dyDescent="0.3">
      <c r="A1111" t="s">
        <v>2666</v>
      </c>
      <c r="B1111" t="s">
        <v>2667</v>
      </c>
      <c r="C1111" t="s">
        <v>28</v>
      </c>
      <c r="D1111" t="s">
        <v>54</v>
      </c>
      <c r="E1111" t="s">
        <v>39</v>
      </c>
      <c r="F1111" t="s">
        <v>106</v>
      </c>
      <c r="G1111">
        <v>6.03</v>
      </c>
      <c r="H1111" t="s">
        <v>32</v>
      </c>
      <c r="I1111" t="s">
        <v>33</v>
      </c>
      <c r="K1111">
        <v>564.25</v>
      </c>
      <c r="L1111" t="s">
        <v>2668</v>
      </c>
      <c r="M1111">
        <f>VLOOKUP(H1111,'Stage Order'!$A$2:$B$8,2,FALSE)</f>
        <v>7</v>
      </c>
      <c r="N1111" t="str">
        <f t="shared" si="34"/>
        <v>2. 1-24 hours</v>
      </c>
      <c r="O1111" t="str">
        <f t="shared" si="35"/>
        <v>2025-01</v>
      </c>
    </row>
    <row r="1112" spans="1:15" x14ac:dyDescent="0.3">
      <c r="A1112" t="s">
        <v>2669</v>
      </c>
      <c r="B1112" t="s">
        <v>2670</v>
      </c>
      <c r="C1112" t="s">
        <v>58</v>
      </c>
      <c r="D1112" t="s">
        <v>54</v>
      </c>
      <c r="E1112" t="s">
        <v>45</v>
      </c>
      <c r="F1112" t="s">
        <v>94</v>
      </c>
      <c r="G1112">
        <v>2.2200000000000002</v>
      </c>
      <c r="H1112" t="s">
        <v>41</v>
      </c>
      <c r="I1112" t="s">
        <v>42</v>
      </c>
      <c r="M1112">
        <f>VLOOKUP(H1112,'Stage Order'!$A$2:$B$8,2,FALSE)</f>
        <v>2</v>
      </c>
      <c r="N1112" t="str">
        <f t="shared" si="34"/>
        <v>2. 1-24 hours</v>
      </c>
      <c r="O1112" t="str">
        <f t="shared" si="35"/>
        <v>2026-02</v>
      </c>
    </row>
    <row r="1113" spans="1:15" x14ac:dyDescent="0.3">
      <c r="A1113" t="s">
        <v>2671</v>
      </c>
      <c r="B1113" t="s">
        <v>2672</v>
      </c>
      <c r="C1113" t="s">
        <v>125</v>
      </c>
      <c r="D1113" t="s">
        <v>54</v>
      </c>
      <c r="E1113" t="s">
        <v>30</v>
      </c>
      <c r="F1113" t="s">
        <v>78</v>
      </c>
      <c r="G1113">
        <v>2.04</v>
      </c>
      <c r="H1113" t="s">
        <v>41</v>
      </c>
      <c r="I1113" t="s">
        <v>42</v>
      </c>
      <c r="M1113">
        <f>VLOOKUP(H1113,'Stage Order'!$A$2:$B$8,2,FALSE)</f>
        <v>2</v>
      </c>
      <c r="N1113" t="str">
        <f t="shared" si="34"/>
        <v>2. 1-24 hours</v>
      </c>
      <c r="O1113" t="str">
        <f t="shared" si="35"/>
        <v>2025-02</v>
      </c>
    </row>
    <row r="1114" spans="1:15" x14ac:dyDescent="0.3">
      <c r="A1114" t="s">
        <v>2673</v>
      </c>
      <c r="B1114" t="s">
        <v>2674</v>
      </c>
      <c r="C1114" t="s">
        <v>58</v>
      </c>
      <c r="D1114" t="s">
        <v>38</v>
      </c>
      <c r="E1114" t="s">
        <v>59</v>
      </c>
      <c r="F1114" t="s">
        <v>60</v>
      </c>
      <c r="G1114">
        <v>15.73</v>
      </c>
      <c r="H1114" t="s">
        <v>41</v>
      </c>
      <c r="I1114" t="s">
        <v>42</v>
      </c>
      <c r="M1114">
        <f>VLOOKUP(H1114,'Stage Order'!$A$2:$B$8,2,FALSE)</f>
        <v>2</v>
      </c>
      <c r="N1114" t="str">
        <f t="shared" si="34"/>
        <v>2. 1-24 hours</v>
      </c>
      <c r="O1114" t="str">
        <f t="shared" si="35"/>
        <v>2025-03</v>
      </c>
    </row>
    <row r="1115" spans="1:15" x14ac:dyDescent="0.3">
      <c r="A1115" t="s">
        <v>2675</v>
      </c>
      <c r="B1115" t="s">
        <v>2676</v>
      </c>
      <c r="C1115" t="s">
        <v>53</v>
      </c>
      <c r="D1115" t="s">
        <v>54</v>
      </c>
      <c r="E1115" t="s">
        <v>39</v>
      </c>
      <c r="F1115" t="s">
        <v>40</v>
      </c>
      <c r="G1115">
        <v>1.46</v>
      </c>
      <c r="H1115" t="s">
        <v>41</v>
      </c>
      <c r="I1115" t="s">
        <v>42</v>
      </c>
      <c r="M1115">
        <f>VLOOKUP(H1115,'Stage Order'!$A$2:$B$8,2,FALSE)</f>
        <v>2</v>
      </c>
      <c r="N1115" t="str">
        <f t="shared" si="34"/>
        <v>2. 1-24 hours</v>
      </c>
      <c r="O1115" t="str">
        <f t="shared" si="35"/>
        <v>2025-07</v>
      </c>
    </row>
    <row r="1116" spans="1:15" x14ac:dyDescent="0.3">
      <c r="A1116" t="s">
        <v>2677</v>
      </c>
      <c r="B1116" t="s">
        <v>2678</v>
      </c>
      <c r="C1116" t="s">
        <v>53</v>
      </c>
      <c r="D1116" t="s">
        <v>77</v>
      </c>
      <c r="E1116" t="s">
        <v>90</v>
      </c>
      <c r="F1116" t="s">
        <v>112</v>
      </c>
      <c r="G1116">
        <v>5.5</v>
      </c>
      <c r="H1116" t="s">
        <v>41</v>
      </c>
      <c r="I1116" t="s">
        <v>42</v>
      </c>
      <c r="M1116">
        <f>VLOOKUP(H1116,'Stage Order'!$A$2:$B$8,2,FALSE)</f>
        <v>2</v>
      </c>
      <c r="N1116" t="str">
        <f t="shared" si="34"/>
        <v>2. 1-24 hours</v>
      </c>
      <c r="O1116" t="str">
        <f t="shared" si="35"/>
        <v>2025-11</v>
      </c>
    </row>
    <row r="1117" spans="1:15" x14ac:dyDescent="0.3">
      <c r="A1117" t="s">
        <v>2679</v>
      </c>
      <c r="B1117" t="s">
        <v>2680</v>
      </c>
      <c r="C1117" t="s">
        <v>53</v>
      </c>
      <c r="D1117" t="s">
        <v>77</v>
      </c>
      <c r="E1117" t="s">
        <v>39</v>
      </c>
      <c r="F1117" t="s">
        <v>66</v>
      </c>
      <c r="G1117">
        <v>0.9</v>
      </c>
      <c r="H1117" t="s">
        <v>32</v>
      </c>
      <c r="I1117" t="s">
        <v>33</v>
      </c>
      <c r="K1117">
        <v>834.14</v>
      </c>
      <c r="L1117" t="s">
        <v>2681</v>
      </c>
      <c r="M1117">
        <f>VLOOKUP(H1117,'Stage Order'!$A$2:$B$8,2,FALSE)</f>
        <v>7</v>
      </c>
      <c r="N1117" t="str">
        <f t="shared" si="34"/>
        <v>1. Under 1 hour</v>
      </c>
      <c r="O1117" t="str">
        <f t="shared" si="35"/>
        <v>2025-09</v>
      </c>
    </row>
    <row r="1118" spans="1:15" x14ac:dyDescent="0.3">
      <c r="A1118" t="s">
        <v>2682</v>
      </c>
      <c r="B1118" t="s">
        <v>2683</v>
      </c>
      <c r="C1118" t="s">
        <v>125</v>
      </c>
      <c r="D1118" t="s">
        <v>29</v>
      </c>
      <c r="E1118" t="s">
        <v>30</v>
      </c>
      <c r="F1118" t="s">
        <v>78</v>
      </c>
      <c r="G1118">
        <v>1.36</v>
      </c>
      <c r="H1118" t="s">
        <v>61</v>
      </c>
      <c r="I1118" t="s">
        <v>42</v>
      </c>
      <c r="M1118">
        <f>VLOOKUP(H1118,'Stage Order'!$A$2:$B$8,2,FALSE)</f>
        <v>1</v>
      </c>
      <c r="N1118" t="str">
        <f t="shared" si="34"/>
        <v>2. 1-24 hours</v>
      </c>
      <c r="O1118" t="str">
        <f t="shared" si="35"/>
        <v>2025-12</v>
      </c>
    </row>
    <row r="1119" spans="1:15" x14ac:dyDescent="0.3">
      <c r="A1119" t="s">
        <v>2684</v>
      </c>
      <c r="B1119" t="s">
        <v>2685</v>
      </c>
      <c r="C1119" t="s">
        <v>76</v>
      </c>
      <c r="D1119" t="s">
        <v>38</v>
      </c>
      <c r="E1119" t="s">
        <v>59</v>
      </c>
      <c r="F1119" t="s">
        <v>137</v>
      </c>
      <c r="G1119">
        <v>11.14</v>
      </c>
      <c r="H1119" t="s">
        <v>47</v>
      </c>
      <c r="I1119" t="s">
        <v>48</v>
      </c>
      <c r="J1119" t="s">
        <v>742</v>
      </c>
      <c r="K1119">
        <v>372.1</v>
      </c>
      <c r="L1119" t="s">
        <v>2686</v>
      </c>
      <c r="M1119">
        <f>VLOOKUP(H1119,'Stage Order'!$A$2:$B$8,2,FALSE)</f>
        <v>4</v>
      </c>
      <c r="N1119" t="str">
        <f t="shared" si="34"/>
        <v>2. 1-24 hours</v>
      </c>
      <c r="O1119" t="str">
        <f t="shared" si="35"/>
        <v>2025-10</v>
      </c>
    </row>
    <row r="1120" spans="1:15" x14ac:dyDescent="0.3">
      <c r="A1120" t="s">
        <v>2687</v>
      </c>
      <c r="B1120" t="s">
        <v>2688</v>
      </c>
      <c r="C1120" t="s">
        <v>125</v>
      </c>
      <c r="D1120" t="s">
        <v>38</v>
      </c>
      <c r="E1120" t="s">
        <v>45</v>
      </c>
      <c r="F1120" t="s">
        <v>46</v>
      </c>
      <c r="G1120">
        <v>2.69</v>
      </c>
      <c r="H1120" t="s">
        <v>61</v>
      </c>
      <c r="I1120" t="s">
        <v>42</v>
      </c>
      <c r="M1120">
        <f>VLOOKUP(H1120,'Stage Order'!$A$2:$B$8,2,FALSE)</f>
        <v>1</v>
      </c>
      <c r="N1120" t="str">
        <f t="shared" si="34"/>
        <v>2. 1-24 hours</v>
      </c>
      <c r="O1120" t="str">
        <f t="shared" si="35"/>
        <v>2025-04</v>
      </c>
    </row>
    <row r="1121" spans="1:15" x14ac:dyDescent="0.3">
      <c r="A1121" t="s">
        <v>2689</v>
      </c>
      <c r="B1121" t="s">
        <v>2690</v>
      </c>
      <c r="C1121" t="s">
        <v>37</v>
      </c>
      <c r="D1121" t="s">
        <v>77</v>
      </c>
      <c r="E1121" t="s">
        <v>90</v>
      </c>
      <c r="F1121" t="s">
        <v>112</v>
      </c>
      <c r="G1121">
        <v>21.27</v>
      </c>
      <c r="H1121" t="s">
        <v>41</v>
      </c>
      <c r="I1121" t="s">
        <v>42</v>
      </c>
      <c r="M1121">
        <f>VLOOKUP(H1121,'Stage Order'!$A$2:$B$8,2,FALSE)</f>
        <v>2</v>
      </c>
      <c r="N1121" t="str">
        <f t="shared" si="34"/>
        <v>2. 1-24 hours</v>
      </c>
      <c r="O1121" t="str">
        <f t="shared" si="35"/>
        <v>2025-03</v>
      </c>
    </row>
    <row r="1122" spans="1:15" x14ac:dyDescent="0.3">
      <c r="A1122" t="s">
        <v>2691</v>
      </c>
      <c r="B1122" t="s">
        <v>2692</v>
      </c>
      <c r="C1122" t="s">
        <v>53</v>
      </c>
      <c r="D1122" t="s">
        <v>29</v>
      </c>
      <c r="E1122" t="s">
        <v>39</v>
      </c>
      <c r="F1122" t="s">
        <v>66</v>
      </c>
      <c r="G1122">
        <v>13.98</v>
      </c>
      <c r="H1122" t="s">
        <v>41</v>
      </c>
      <c r="I1122" t="s">
        <v>42</v>
      </c>
      <c r="M1122">
        <f>VLOOKUP(H1122,'Stage Order'!$A$2:$B$8,2,FALSE)</f>
        <v>2</v>
      </c>
      <c r="N1122" t="str">
        <f t="shared" si="34"/>
        <v>2. 1-24 hours</v>
      </c>
      <c r="O1122" t="str">
        <f t="shared" si="35"/>
        <v>2025-11</v>
      </c>
    </row>
    <row r="1123" spans="1:15" x14ac:dyDescent="0.3">
      <c r="A1123" t="s">
        <v>2693</v>
      </c>
      <c r="B1123" t="s">
        <v>2694</v>
      </c>
      <c r="C1123" t="s">
        <v>81</v>
      </c>
      <c r="D1123" t="s">
        <v>29</v>
      </c>
      <c r="E1123" t="s">
        <v>59</v>
      </c>
      <c r="F1123" t="s">
        <v>137</v>
      </c>
      <c r="G1123">
        <v>2.12</v>
      </c>
      <c r="H1123" t="s">
        <v>61</v>
      </c>
      <c r="I1123" t="s">
        <v>42</v>
      </c>
      <c r="M1123">
        <f>VLOOKUP(H1123,'Stage Order'!$A$2:$B$8,2,FALSE)</f>
        <v>1</v>
      </c>
      <c r="N1123" t="str">
        <f t="shared" si="34"/>
        <v>2. 1-24 hours</v>
      </c>
      <c r="O1123" t="str">
        <f t="shared" si="35"/>
        <v>2025-03</v>
      </c>
    </row>
    <row r="1124" spans="1:15" x14ac:dyDescent="0.3">
      <c r="A1124" t="s">
        <v>2695</v>
      </c>
      <c r="B1124" t="s">
        <v>2696</v>
      </c>
      <c r="C1124" t="s">
        <v>76</v>
      </c>
      <c r="D1124" t="s">
        <v>29</v>
      </c>
      <c r="E1124" t="s">
        <v>45</v>
      </c>
      <c r="F1124" t="s">
        <v>55</v>
      </c>
      <c r="G1124">
        <v>1.93</v>
      </c>
      <c r="H1124" t="s">
        <v>146</v>
      </c>
      <c r="I1124" t="s">
        <v>48</v>
      </c>
      <c r="J1124" t="s">
        <v>98</v>
      </c>
      <c r="K1124">
        <v>688.36</v>
      </c>
      <c r="L1124" t="s">
        <v>2697</v>
      </c>
      <c r="M1124">
        <f>VLOOKUP(H1124,'Stage Order'!$A$2:$B$8,2,FALSE)</f>
        <v>5</v>
      </c>
      <c r="N1124" t="str">
        <f t="shared" si="34"/>
        <v>2. 1-24 hours</v>
      </c>
      <c r="O1124" t="str">
        <f t="shared" si="35"/>
        <v>2025-04</v>
      </c>
    </row>
    <row r="1125" spans="1:15" x14ac:dyDescent="0.3">
      <c r="A1125" t="s">
        <v>2698</v>
      </c>
      <c r="B1125" t="s">
        <v>2699</v>
      </c>
      <c r="C1125" t="s">
        <v>58</v>
      </c>
      <c r="D1125" t="s">
        <v>54</v>
      </c>
      <c r="E1125" t="s">
        <v>39</v>
      </c>
      <c r="F1125" t="s">
        <v>40</v>
      </c>
      <c r="G1125">
        <v>6.57</v>
      </c>
      <c r="H1125" t="s">
        <v>47</v>
      </c>
      <c r="I1125" t="s">
        <v>48</v>
      </c>
      <c r="J1125" t="s">
        <v>98</v>
      </c>
      <c r="K1125">
        <v>531.99</v>
      </c>
      <c r="L1125" t="s">
        <v>2700</v>
      </c>
      <c r="M1125">
        <f>VLOOKUP(H1125,'Stage Order'!$A$2:$B$8,2,FALSE)</f>
        <v>4</v>
      </c>
      <c r="N1125" t="str">
        <f t="shared" si="34"/>
        <v>2. 1-24 hours</v>
      </c>
      <c r="O1125" t="str">
        <f t="shared" si="35"/>
        <v>2025-03</v>
      </c>
    </row>
    <row r="1126" spans="1:15" x14ac:dyDescent="0.3">
      <c r="A1126" t="s">
        <v>2701</v>
      </c>
      <c r="B1126" t="s">
        <v>2702</v>
      </c>
      <c r="C1126" t="s">
        <v>58</v>
      </c>
      <c r="D1126" t="s">
        <v>54</v>
      </c>
      <c r="E1126" t="s">
        <v>45</v>
      </c>
      <c r="F1126" t="s">
        <v>94</v>
      </c>
      <c r="G1126">
        <v>0.88</v>
      </c>
      <c r="H1126" t="s">
        <v>41</v>
      </c>
      <c r="I1126" t="s">
        <v>42</v>
      </c>
      <c r="M1126">
        <f>VLOOKUP(H1126,'Stage Order'!$A$2:$B$8,2,FALSE)</f>
        <v>2</v>
      </c>
      <c r="N1126" t="str">
        <f t="shared" si="34"/>
        <v>1. Under 1 hour</v>
      </c>
      <c r="O1126" t="str">
        <f t="shared" si="35"/>
        <v>2025-10</v>
      </c>
    </row>
    <row r="1127" spans="1:15" x14ac:dyDescent="0.3">
      <c r="A1127" t="s">
        <v>2703</v>
      </c>
      <c r="B1127" t="s">
        <v>2704</v>
      </c>
      <c r="C1127" t="s">
        <v>125</v>
      </c>
      <c r="D1127" t="s">
        <v>29</v>
      </c>
      <c r="E1127" t="s">
        <v>39</v>
      </c>
      <c r="F1127" t="s">
        <v>66</v>
      </c>
      <c r="G1127">
        <v>3.14</v>
      </c>
      <c r="H1127" t="s">
        <v>61</v>
      </c>
      <c r="I1127" t="s">
        <v>42</v>
      </c>
      <c r="M1127">
        <f>VLOOKUP(H1127,'Stage Order'!$A$2:$B$8,2,FALSE)</f>
        <v>1</v>
      </c>
      <c r="N1127" t="str">
        <f t="shared" si="34"/>
        <v>2. 1-24 hours</v>
      </c>
      <c r="O1127" t="str">
        <f t="shared" si="35"/>
        <v>2025-07</v>
      </c>
    </row>
    <row r="1128" spans="1:15" x14ac:dyDescent="0.3">
      <c r="A1128" t="s">
        <v>2705</v>
      </c>
      <c r="B1128" t="s">
        <v>2706</v>
      </c>
      <c r="C1128" t="s">
        <v>53</v>
      </c>
      <c r="D1128" t="s">
        <v>97</v>
      </c>
      <c r="E1128" t="s">
        <v>45</v>
      </c>
      <c r="F1128" t="s">
        <v>55</v>
      </c>
      <c r="G1128">
        <v>3.44</v>
      </c>
      <c r="H1128" t="s">
        <v>138</v>
      </c>
      <c r="I1128" t="s">
        <v>48</v>
      </c>
      <c r="J1128" t="s">
        <v>139</v>
      </c>
      <c r="K1128">
        <v>1681.09</v>
      </c>
      <c r="L1128" t="s">
        <v>2707</v>
      </c>
      <c r="M1128">
        <f>VLOOKUP(H1128,'Stage Order'!$A$2:$B$8,2,FALSE)</f>
        <v>6</v>
      </c>
      <c r="N1128" t="str">
        <f t="shared" si="34"/>
        <v>2. 1-24 hours</v>
      </c>
      <c r="O1128" t="str">
        <f t="shared" si="35"/>
        <v>2025-11</v>
      </c>
    </row>
    <row r="1129" spans="1:15" x14ac:dyDescent="0.3">
      <c r="A1129" t="s">
        <v>2708</v>
      </c>
      <c r="B1129" t="s">
        <v>2709</v>
      </c>
      <c r="C1129" t="s">
        <v>37</v>
      </c>
      <c r="D1129" t="s">
        <v>29</v>
      </c>
      <c r="E1129" t="s">
        <v>45</v>
      </c>
      <c r="F1129" t="s">
        <v>94</v>
      </c>
      <c r="G1129">
        <v>10.71</v>
      </c>
      <c r="H1129" t="s">
        <v>32</v>
      </c>
      <c r="I1129" t="s">
        <v>33</v>
      </c>
      <c r="K1129">
        <v>556.77</v>
      </c>
      <c r="L1129" t="s">
        <v>2710</v>
      </c>
      <c r="M1129">
        <f>VLOOKUP(H1129,'Stage Order'!$A$2:$B$8,2,FALSE)</f>
        <v>7</v>
      </c>
      <c r="N1129" t="str">
        <f t="shared" si="34"/>
        <v>2. 1-24 hours</v>
      </c>
      <c r="O1129" t="str">
        <f t="shared" si="35"/>
        <v>2026-06</v>
      </c>
    </row>
    <row r="1130" spans="1:15" x14ac:dyDescent="0.3">
      <c r="A1130" t="s">
        <v>2711</v>
      </c>
      <c r="B1130" t="s">
        <v>2712</v>
      </c>
      <c r="C1130" t="s">
        <v>53</v>
      </c>
      <c r="D1130" t="s">
        <v>54</v>
      </c>
      <c r="E1130" t="s">
        <v>45</v>
      </c>
      <c r="F1130" t="s">
        <v>46</v>
      </c>
      <c r="G1130">
        <v>1.1200000000000001</v>
      </c>
      <c r="H1130" t="s">
        <v>41</v>
      </c>
      <c r="I1130" t="s">
        <v>42</v>
      </c>
      <c r="M1130">
        <f>VLOOKUP(H1130,'Stage Order'!$A$2:$B$8,2,FALSE)</f>
        <v>2</v>
      </c>
      <c r="N1130" t="str">
        <f t="shared" si="34"/>
        <v>2. 1-24 hours</v>
      </c>
      <c r="O1130" t="str">
        <f t="shared" si="35"/>
        <v>2025-08</v>
      </c>
    </row>
    <row r="1131" spans="1:15" x14ac:dyDescent="0.3">
      <c r="A1131" t="s">
        <v>2713</v>
      </c>
      <c r="B1131" t="s">
        <v>2714</v>
      </c>
      <c r="C1131" t="s">
        <v>76</v>
      </c>
      <c r="D1131" t="s">
        <v>38</v>
      </c>
      <c r="E1131" t="s">
        <v>39</v>
      </c>
      <c r="F1131" t="s">
        <v>40</v>
      </c>
      <c r="G1131">
        <v>8.74</v>
      </c>
      <c r="H1131" t="s">
        <v>41</v>
      </c>
      <c r="I1131" t="s">
        <v>42</v>
      </c>
      <c r="M1131">
        <f>VLOOKUP(H1131,'Stage Order'!$A$2:$B$8,2,FALSE)</f>
        <v>2</v>
      </c>
      <c r="N1131" t="str">
        <f t="shared" si="34"/>
        <v>2. 1-24 hours</v>
      </c>
      <c r="O1131" t="str">
        <f t="shared" si="35"/>
        <v>2025-06</v>
      </c>
    </row>
    <row r="1132" spans="1:15" x14ac:dyDescent="0.3">
      <c r="A1132" t="s">
        <v>2715</v>
      </c>
      <c r="B1132" t="s">
        <v>2716</v>
      </c>
      <c r="C1132" t="s">
        <v>125</v>
      </c>
      <c r="D1132" t="s">
        <v>38</v>
      </c>
      <c r="E1132" t="s">
        <v>45</v>
      </c>
      <c r="F1132" t="s">
        <v>55</v>
      </c>
      <c r="G1132">
        <v>5.69</v>
      </c>
      <c r="H1132" t="s">
        <v>146</v>
      </c>
      <c r="I1132" t="s">
        <v>48</v>
      </c>
      <c r="J1132" t="s">
        <v>139</v>
      </c>
      <c r="K1132">
        <v>309.58999999999997</v>
      </c>
      <c r="L1132" t="s">
        <v>2717</v>
      </c>
      <c r="M1132">
        <f>VLOOKUP(H1132,'Stage Order'!$A$2:$B$8,2,FALSE)</f>
        <v>5</v>
      </c>
      <c r="N1132" t="str">
        <f t="shared" si="34"/>
        <v>2. 1-24 hours</v>
      </c>
      <c r="O1132" t="str">
        <f t="shared" si="35"/>
        <v>2025-03</v>
      </c>
    </row>
    <row r="1133" spans="1:15" x14ac:dyDescent="0.3">
      <c r="A1133" t="s">
        <v>2718</v>
      </c>
      <c r="B1133" t="s">
        <v>2719</v>
      </c>
      <c r="C1133" t="s">
        <v>81</v>
      </c>
      <c r="D1133" t="s">
        <v>97</v>
      </c>
      <c r="E1133" t="s">
        <v>59</v>
      </c>
      <c r="F1133" t="s">
        <v>60</v>
      </c>
      <c r="G1133">
        <v>2.13</v>
      </c>
      <c r="H1133" t="s">
        <v>61</v>
      </c>
      <c r="I1133" t="s">
        <v>42</v>
      </c>
      <c r="M1133">
        <f>VLOOKUP(H1133,'Stage Order'!$A$2:$B$8,2,FALSE)</f>
        <v>1</v>
      </c>
      <c r="N1133" t="str">
        <f t="shared" si="34"/>
        <v>2. 1-24 hours</v>
      </c>
      <c r="O1133" t="str">
        <f t="shared" si="35"/>
        <v>2026-05</v>
      </c>
    </row>
    <row r="1134" spans="1:15" x14ac:dyDescent="0.3">
      <c r="A1134" t="s">
        <v>2720</v>
      </c>
      <c r="B1134" t="s">
        <v>2721</v>
      </c>
      <c r="C1134" t="s">
        <v>81</v>
      </c>
      <c r="D1134" t="s">
        <v>38</v>
      </c>
      <c r="E1134" t="s">
        <v>45</v>
      </c>
      <c r="F1134" t="s">
        <v>94</v>
      </c>
      <c r="G1134">
        <v>2.83</v>
      </c>
      <c r="H1134" t="s">
        <v>61</v>
      </c>
      <c r="I1134" t="s">
        <v>42</v>
      </c>
      <c r="M1134">
        <f>VLOOKUP(H1134,'Stage Order'!$A$2:$B$8,2,FALSE)</f>
        <v>1</v>
      </c>
      <c r="N1134" t="str">
        <f t="shared" si="34"/>
        <v>2. 1-24 hours</v>
      </c>
      <c r="O1134" t="str">
        <f t="shared" si="35"/>
        <v>2026-03</v>
      </c>
    </row>
    <row r="1135" spans="1:15" x14ac:dyDescent="0.3">
      <c r="A1135" t="s">
        <v>2722</v>
      </c>
      <c r="B1135" t="s">
        <v>2723</v>
      </c>
      <c r="C1135" t="s">
        <v>76</v>
      </c>
      <c r="D1135" t="s">
        <v>38</v>
      </c>
      <c r="E1135" t="s">
        <v>90</v>
      </c>
      <c r="F1135" t="s">
        <v>91</v>
      </c>
      <c r="G1135">
        <v>0.96</v>
      </c>
      <c r="H1135" t="s">
        <v>61</v>
      </c>
      <c r="I1135" t="s">
        <v>42</v>
      </c>
      <c r="M1135">
        <f>VLOOKUP(H1135,'Stage Order'!$A$2:$B$8,2,FALSE)</f>
        <v>1</v>
      </c>
      <c r="N1135" t="str">
        <f t="shared" si="34"/>
        <v>1. Under 1 hour</v>
      </c>
      <c r="O1135" t="str">
        <f t="shared" si="35"/>
        <v>2025-04</v>
      </c>
    </row>
    <row r="1136" spans="1:15" x14ac:dyDescent="0.3">
      <c r="A1136" t="s">
        <v>2724</v>
      </c>
      <c r="B1136" t="s">
        <v>2725</v>
      </c>
      <c r="C1136" t="s">
        <v>58</v>
      </c>
      <c r="D1136" t="s">
        <v>77</v>
      </c>
      <c r="E1136" t="s">
        <v>59</v>
      </c>
      <c r="F1136" t="s">
        <v>137</v>
      </c>
      <c r="G1136">
        <v>2.2799999999999998</v>
      </c>
      <c r="H1136" t="s">
        <v>47</v>
      </c>
      <c r="I1136" t="s">
        <v>48</v>
      </c>
      <c r="J1136" t="s">
        <v>139</v>
      </c>
      <c r="K1136">
        <v>918.77</v>
      </c>
      <c r="L1136" t="s">
        <v>2726</v>
      </c>
      <c r="M1136">
        <f>VLOOKUP(H1136,'Stage Order'!$A$2:$B$8,2,FALSE)</f>
        <v>4</v>
      </c>
      <c r="N1136" t="str">
        <f t="shared" si="34"/>
        <v>2. 1-24 hours</v>
      </c>
      <c r="O1136" t="str">
        <f t="shared" si="35"/>
        <v>2026-05</v>
      </c>
    </row>
    <row r="1137" spans="1:15" x14ac:dyDescent="0.3">
      <c r="A1137" t="s">
        <v>2727</v>
      </c>
      <c r="B1137" t="s">
        <v>2728</v>
      </c>
      <c r="C1137" t="s">
        <v>53</v>
      </c>
      <c r="D1137" t="s">
        <v>97</v>
      </c>
      <c r="E1137" t="s">
        <v>30</v>
      </c>
      <c r="F1137" t="s">
        <v>82</v>
      </c>
      <c r="G1137">
        <v>4.2</v>
      </c>
      <c r="H1137" t="s">
        <v>146</v>
      </c>
      <c r="I1137" t="s">
        <v>48</v>
      </c>
      <c r="J1137" t="s">
        <v>113</v>
      </c>
      <c r="K1137">
        <v>1548.18</v>
      </c>
      <c r="L1137" t="s">
        <v>2729</v>
      </c>
      <c r="M1137">
        <f>VLOOKUP(H1137,'Stage Order'!$A$2:$B$8,2,FALSE)</f>
        <v>5</v>
      </c>
      <c r="N1137" t="str">
        <f t="shared" si="34"/>
        <v>2. 1-24 hours</v>
      </c>
      <c r="O1137" t="str">
        <f t="shared" si="35"/>
        <v>2026-01</v>
      </c>
    </row>
    <row r="1138" spans="1:15" x14ac:dyDescent="0.3">
      <c r="A1138" t="s">
        <v>2730</v>
      </c>
      <c r="B1138" t="s">
        <v>2731</v>
      </c>
      <c r="C1138" t="s">
        <v>76</v>
      </c>
      <c r="D1138" t="s">
        <v>77</v>
      </c>
      <c r="E1138" t="s">
        <v>39</v>
      </c>
      <c r="F1138" t="s">
        <v>106</v>
      </c>
      <c r="G1138">
        <v>1.35</v>
      </c>
      <c r="H1138" t="s">
        <v>32</v>
      </c>
      <c r="I1138" t="s">
        <v>33</v>
      </c>
      <c r="K1138">
        <v>1069.97</v>
      </c>
      <c r="L1138" t="s">
        <v>2732</v>
      </c>
      <c r="M1138">
        <f>VLOOKUP(H1138,'Stage Order'!$A$2:$B$8,2,FALSE)</f>
        <v>7</v>
      </c>
      <c r="N1138" t="str">
        <f t="shared" si="34"/>
        <v>2. 1-24 hours</v>
      </c>
      <c r="O1138" t="str">
        <f t="shared" si="35"/>
        <v>2026-05</v>
      </c>
    </row>
    <row r="1139" spans="1:15" x14ac:dyDescent="0.3">
      <c r="A1139" t="s">
        <v>2733</v>
      </c>
      <c r="B1139" t="s">
        <v>2734</v>
      </c>
      <c r="C1139" t="s">
        <v>37</v>
      </c>
      <c r="D1139" t="s">
        <v>38</v>
      </c>
      <c r="E1139" t="s">
        <v>39</v>
      </c>
      <c r="F1139" t="s">
        <v>66</v>
      </c>
      <c r="G1139">
        <v>1.07</v>
      </c>
      <c r="H1139" t="s">
        <v>47</v>
      </c>
      <c r="I1139" t="s">
        <v>48</v>
      </c>
      <c r="J1139" t="s">
        <v>49</v>
      </c>
      <c r="K1139">
        <v>293.07</v>
      </c>
      <c r="L1139" t="s">
        <v>2735</v>
      </c>
      <c r="M1139">
        <f>VLOOKUP(H1139,'Stage Order'!$A$2:$B$8,2,FALSE)</f>
        <v>4</v>
      </c>
      <c r="N1139" t="str">
        <f t="shared" si="34"/>
        <v>2. 1-24 hours</v>
      </c>
      <c r="O1139" t="str">
        <f t="shared" si="35"/>
        <v>2025-11</v>
      </c>
    </row>
    <row r="1140" spans="1:15" x14ac:dyDescent="0.3">
      <c r="A1140" t="s">
        <v>2736</v>
      </c>
      <c r="B1140" t="s">
        <v>2737</v>
      </c>
      <c r="C1140" t="s">
        <v>58</v>
      </c>
      <c r="D1140" t="s">
        <v>97</v>
      </c>
      <c r="E1140" t="s">
        <v>39</v>
      </c>
      <c r="F1140" t="s">
        <v>106</v>
      </c>
      <c r="G1140">
        <v>1.78</v>
      </c>
      <c r="H1140" t="s">
        <v>138</v>
      </c>
      <c r="I1140" t="s">
        <v>48</v>
      </c>
      <c r="J1140" t="s">
        <v>98</v>
      </c>
      <c r="K1140">
        <v>1306.0999999999999</v>
      </c>
      <c r="L1140" t="s">
        <v>2738</v>
      </c>
      <c r="M1140">
        <f>VLOOKUP(H1140,'Stage Order'!$A$2:$B$8,2,FALSE)</f>
        <v>6</v>
      </c>
      <c r="N1140" t="str">
        <f t="shared" si="34"/>
        <v>2. 1-24 hours</v>
      </c>
      <c r="O1140" t="str">
        <f t="shared" si="35"/>
        <v>2025-09</v>
      </c>
    </row>
    <row r="1141" spans="1:15" x14ac:dyDescent="0.3">
      <c r="A1141" t="s">
        <v>2739</v>
      </c>
      <c r="B1141" t="s">
        <v>2740</v>
      </c>
      <c r="C1141" t="s">
        <v>37</v>
      </c>
      <c r="D1141" t="s">
        <v>77</v>
      </c>
      <c r="E1141" t="s">
        <v>45</v>
      </c>
      <c r="F1141" t="s">
        <v>55</v>
      </c>
      <c r="G1141">
        <v>5.52</v>
      </c>
      <c r="H1141" t="s">
        <v>41</v>
      </c>
      <c r="I1141" t="s">
        <v>42</v>
      </c>
      <c r="M1141">
        <f>VLOOKUP(H1141,'Stage Order'!$A$2:$B$8,2,FALSE)</f>
        <v>2</v>
      </c>
      <c r="N1141" t="str">
        <f t="shared" si="34"/>
        <v>2. 1-24 hours</v>
      </c>
      <c r="O1141" t="str">
        <f t="shared" si="35"/>
        <v>2025-12</v>
      </c>
    </row>
    <row r="1142" spans="1:15" x14ac:dyDescent="0.3">
      <c r="A1142" t="s">
        <v>2741</v>
      </c>
      <c r="B1142" t="s">
        <v>2742</v>
      </c>
      <c r="C1142" t="s">
        <v>37</v>
      </c>
      <c r="D1142" t="s">
        <v>54</v>
      </c>
      <c r="E1142" t="s">
        <v>90</v>
      </c>
      <c r="F1142" t="s">
        <v>91</v>
      </c>
      <c r="G1142">
        <v>2.41</v>
      </c>
      <c r="H1142" t="s">
        <v>47</v>
      </c>
      <c r="I1142" t="s">
        <v>48</v>
      </c>
      <c r="J1142" t="s">
        <v>49</v>
      </c>
      <c r="K1142">
        <v>427.37</v>
      </c>
      <c r="L1142" t="s">
        <v>2743</v>
      </c>
      <c r="M1142">
        <f>VLOOKUP(H1142,'Stage Order'!$A$2:$B$8,2,FALSE)</f>
        <v>4</v>
      </c>
      <c r="N1142" t="str">
        <f t="shared" si="34"/>
        <v>2. 1-24 hours</v>
      </c>
      <c r="O1142" t="str">
        <f t="shared" si="35"/>
        <v>2025-09</v>
      </c>
    </row>
    <row r="1143" spans="1:15" x14ac:dyDescent="0.3">
      <c r="A1143" t="s">
        <v>2744</v>
      </c>
      <c r="B1143" t="s">
        <v>2745</v>
      </c>
      <c r="C1143" t="s">
        <v>58</v>
      </c>
      <c r="D1143" t="s">
        <v>54</v>
      </c>
      <c r="E1143" t="s">
        <v>39</v>
      </c>
      <c r="F1143" t="s">
        <v>66</v>
      </c>
      <c r="G1143">
        <v>14.89</v>
      </c>
      <c r="H1143" t="s">
        <v>47</v>
      </c>
      <c r="I1143" t="s">
        <v>48</v>
      </c>
      <c r="J1143" t="s">
        <v>113</v>
      </c>
      <c r="K1143">
        <v>549.84</v>
      </c>
      <c r="L1143" t="s">
        <v>2746</v>
      </c>
      <c r="M1143">
        <f>VLOOKUP(H1143,'Stage Order'!$A$2:$B$8,2,FALSE)</f>
        <v>4</v>
      </c>
      <c r="N1143" t="str">
        <f t="shared" si="34"/>
        <v>2. 1-24 hours</v>
      </c>
      <c r="O1143" t="str">
        <f t="shared" si="35"/>
        <v>2025-09</v>
      </c>
    </row>
    <row r="1144" spans="1:15" x14ac:dyDescent="0.3">
      <c r="A1144" t="s">
        <v>2747</v>
      </c>
      <c r="B1144" t="s">
        <v>2748</v>
      </c>
      <c r="C1144" t="s">
        <v>53</v>
      </c>
      <c r="D1144" t="s">
        <v>29</v>
      </c>
      <c r="E1144" t="s">
        <v>45</v>
      </c>
      <c r="F1144" t="s">
        <v>94</v>
      </c>
      <c r="G1144">
        <v>2.3199999999999998</v>
      </c>
      <c r="H1144" t="s">
        <v>41</v>
      </c>
      <c r="I1144" t="s">
        <v>42</v>
      </c>
      <c r="M1144">
        <f>VLOOKUP(H1144,'Stage Order'!$A$2:$B$8,2,FALSE)</f>
        <v>2</v>
      </c>
      <c r="N1144" t="str">
        <f t="shared" si="34"/>
        <v>2. 1-24 hours</v>
      </c>
      <c r="O1144" t="str">
        <f t="shared" si="35"/>
        <v>2026-06</v>
      </c>
    </row>
    <row r="1145" spans="1:15" x14ac:dyDescent="0.3">
      <c r="A1145" t="s">
        <v>2749</v>
      </c>
      <c r="B1145" t="s">
        <v>2750</v>
      </c>
      <c r="C1145" t="s">
        <v>125</v>
      </c>
      <c r="D1145" t="s">
        <v>29</v>
      </c>
      <c r="E1145" t="s">
        <v>90</v>
      </c>
      <c r="F1145" t="s">
        <v>145</v>
      </c>
      <c r="G1145">
        <v>5.68</v>
      </c>
      <c r="H1145" t="s">
        <v>61</v>
      </c>
      <c r="I1145" t="s">
        <v>42</v>
      </c>
      <c r="M1145">
        <f>VLOOKUP(H1145,'Stage Order'!$A$2:$B$8,2,FALSE)</f>
        <v>1</v>
      </c>
      <c r="N1145" t="str">
        <f t="shared" si="34"/>
        <v>2. 1-24 hours</v>
      </c>
      <c r="O1145" t="str">
        <f t="shared" si="35"/>
        <v>2026-06</v>
      </c>
    </row>
    <row r="1146" spans="1:15" x14ac:dyDescent="0.3">
      <c r="A1146" t="s">
        <v>2751</v>
      </c>
      <c r="B1146" t="s">
        <v>2752</v>
      </c>
      <c r="C1146" t="s">
        <v>58</v>
      </c>
      <c r="D1146" t="s">
        <v>29</v>
      </c>
      <c r="E1146" t="s">
        <v>59</v>
      </c>
      <c r="F1146" t="s">
        <v>117</v>
      </c>
      <c r="G1146">
        <v>2.15</v>
      </c>
      <c r="H1146" t="s">
        <v>41</v>
      </c>
      <c r="I1146" t="s">
        <v>42</v>
      </c>
      <c r="M1146">
        <f>VLOOKUP(H1146,'Stage Order'!$A$2:$B$8,2,FALSE)</f>
        <v>2</v>
      </c>
      <c r="N1146" t="str">
        <f t="shared" si="34"/>
        <v>2. 1-24 hours</v>
      </c>
      <c r="O1146" t="str">
        <f t="shared" si="35"/>
        <v>2025-11</v>
      </c>
    </row>
    <row r="1147" spans="1:15" x14ac:dyDescent="0.3">
      <c r="A1147" t="s">
        <v>2753</v>
      </c>
      <c r="B1147" t="s">
        <v>2754</v>
      </c>
      <c r="C1147" t="s">
        <v>37</v>
      </c>
      <c r="D1147" t="s">
        <v>97</v>
      </c>
      <c r="E1147" t="s">
        <v>90</v>
      </c>
      <c r="F1147" t="s">
        <v>145</v>
      </c>
      <c r="G1147">
        <v>0.66</v>
      </c>
      <c r="H1147" t="s">
        <v>41</v>
      </c>
      <c r="I1147" t="s">
        <v>42</v>
      </c>
      <c r="M1147">
        <f>VLOOKUP(H1147,'Stage Order'!$A$2:$B$8,2,FALSE)</f>
        <v>2</v>
      </c>
      <c r="N1147" t="str">
        <f t="shared" si="34"/>
        <v>1. Under 1 hour</v>
      </c>
      <c r="O1147" t="str">
        <f t="shared" si="35"/>
        <v>2025-11</v>
      </c>
    </row>
    <row r="1148" spans="1:15" x14ac:dyDescent="0.3">
      <c r="A1148" t="s">
        <v>2755</v>
      </c>
      <c r="B1148" t="s">
        <v>2756</v>
      </c>
      <c r="C1148" t="s">
        <v>125</v>
      </c>
      <c r="D1148" t="s">
        <v>97</v>
      </c>
      <c r="E1148" t="s">
        <v>59</v>
      </c>
      <c r="F1148" t="s">
        <v>137</v>
      </c>
      <c r="G1148">
        <v>2.83</v>
      </c>
      <c r="H1148" t="s">
        <v>61</v>
      </c>
      <c r="I1148" t="s">
        <v>42</v>
      </c>
      <c r="M1148">
        <f>VLOOKUP(H1148,'Stage Order'!$A$2:$B$8,2,FALSE)</f>
        <v>1</v>
      </c>
      <c r="N1148" t="str">
        <f t="shared" si="34"/>
        <v>2. 1-24 hours</v>
      </c>
      <c r="O1148" t="str">
        <f t="shared" si="35"/>
        <v>2026-06</v>
      </c>
    </row>
    <row r="1149" spans="1:15" x14ac:dyDescent="0.3">
      <c r="A1149" t="s">
        <v>2757</v>
      </c>
      <c r="B1149" t="s">
        <v>2758</v>
      </c>
      <c r="C1149" t="s">
        <v>125</v>
      </c>
      <c r="D1149" t="s">
        <v>77</v>
      </c>
      <c r="E1149" t="s">
        <v>90</v>
      </c>
      <c r="F1149" t="s">
        <v>145</v>
      </c>
      <c r="G1149">
        <v>6.33</v>
      </c>
      <c r="H1149" t="s">
        <v>41</v>
      </c>
      <c r="I1149" t="s">
        <v>42</v>
      </c>
      <c r="M1149">
        <f>VLOOKUP(H1149,'Stage Order'!$A$2:$B$8,2,FALSE)</f>
        <v>2</v>
      </c>
      <c r="N1149" t="str">
        <f t="shared" si="34"/>
        <v>2. 1-24 hours</v>
      </c>
      <c r="O1149" t="str">
        <f t="shared" si="35"/>
        <v>2025-08</v>
      </c>
    </row>
    <row r="1150" spans="1:15" x14ac:dyDescent="0.3">
      <c r="A1150" t="s">
        <v>2759</v>
      </c>
      <c r="B1150" t="s">
        <v>2760</v>
      </c>
      <c r="C1150" t="s">
        <v>58</v>
      </c>
      <c r="D1150" t="s">
        <v>97</v>
      </c>
      <c r="E1150" t="s">
        <v>90</v>
      </c>
      <c r="F1150" t="s">
        <v>112</v>
      </c>
      <c r="G1150">
        <v>3.92</v>
      </c>
      <c r="H1150" t="s">
        <v>41</v>
      </c>
      <c r="I1150" t="s">
        <v>42</v>
      </c>
      <c r="M1150">
        <f>VLOOKUP(H1150,'Stage Order'!$A$2:$B$8,2,FALSE)</f>
        <v>2</v>
      </c>
      <c r="N1150" t="str">
        <f t="shared" si="34"/>
        <v>2. 1-24 hours</v>
      </c>
      <c r="O1150" t="str">
        <f t="shared" si="35"/>
        <v>2026-04</v>
      </c>
    </row>
    <row r="1151" spans="1:15" x14ac:dyDescent="0.3">
      <c r="A1151" t="s">
        <v>2761</v>
      </c>
      <c r="B1151" t="s">
        <v>2762</v>
      </c>
      <c r="C1151" t="s">
        <v>125</v>
      </c>
      <c r="D1151" t="s">
        <v>77</v>
      </c>
      <c r="E1151" t="s">
        <v>90</v>
      </c>
      <c r="F1151" t="s">
        <v>112</v>
      </c>
      <c r="G1151">
        <v>7.82</v>
      </c>
      <c r="H1151" t="s">
        <v>61</v>
      </c>
      <c r="I1151" t="s">
        <v>42</v>
      </c>
      <c r="M1151">
        <f>VLOOKUP(H1151,'Stage Order'!$A$2:$B$8,2,FALSE)</f>
        <v>1</v>
      </c>
      <c r="N1151" t="str">
        <f t="shared" si="34"/>
        <v>2. 1-24 hours</v>
      </c>
      <c r="O1151" t="str">
        <f t="shared" si="35"/>
        <v>2025-03</v>
      </c>
    </row>
    <row r="1152" spans="1:15" x14ac:dyDescent="0.3">
      <c r="A1152" t="s">
        <v>2763</v>
      </c>
      <c r="B1152" t="s">
        <v>2764</v>
      </c>
      <c r="C1152" t="s">
        <v>76</v>
      </c>
      <c r="D1152" t="s">
        <v>29</v>
      </c>
      <c r="E1152" t="s">
        <v>45</v>
      </c>
      <c r="F1152" t="s">
        <v>55</v>
      </c>
      <c r="G1152">
        <v>3.58</v>
      </c>
      <c r="H1152" t="s">
        <v>32</v>
      </c>
      <c r="I1152" t="s">
        <v>33</v>
      </c>
      <c r="K1152">
        <v>660.95</v>
      </c>
      <c r="L1152" t="s">
        <v>2765</v>
      </c>
      <c r="M1152">
        <f>VLOOKUP(H1152,'Stage Order'!$A$2:$B$8,2,FALSE)</f>
        <v>7</v>
      </c>
      <c r="N1152" t="str">
        <f t="shared" si="34"/>
        <v>2. 1-24 hours</v>
      </c>
      <c r="O1152" t="str">
        <f t="shared" si="35"/>
        <v>2025-10</v>
      </c>
    </row>
    <row r="1153" spans="1:15" x14ac:dyDescent="0.3">
      <c r="A1153" t="s">
        <v>2766</v>
      </c>
      <c r="B1153" t="s">
        <v>2767</v>
      </c>
      <c r="C1153" t="s">
        <v>76</v>
      </c>
      <c r="D1153" t="s">
        <v>54</v>
      </c>
      <c r="E1153" t="s">
        <v>59</v>
      </c>
      <c r="F1153" t="s">
        <v>60</v>
      </c>
      <c r="G1153">
        <v>2.46</v>
      </c>
      <c r="H1153" t="s">
        <v>47</v>
      </c>
      <c r="I1153" t="s">
        <v>48</v>
      </c>
      <c r="J1153" t="s">
        <v>742</v>
      </c>
      <c r="K1153">
        <v>557.33000000000004</v>
      </c>
      <c r="L1153" t="s">
        <v>2768</v>
      </c>
      <c r="M1153">
        <f>VLOOKUP(H1153,'Stage Order'!$A$2:$B$8,2,FALSE)</f>
        <v>4</v>
      </c>
      <c r="N1153" t="str">
        <f t="shared" si="34"/>
        <v>2. 1-24 hours</v>
      </c>
      <c r="O1153" t="str">
        <f t="shared" si="35"/>
        <v>2025-06</v>
      </c>
    </row>
    <row r="1154" spans="1:15" x14ac:dyDescent="0.3">
      <c r="A1154" t="s">
        <v>2769</v>
      </c>
      <c r="B1154" t="s">
        <v>2770</v>
      </c>
      <c r="C1154" t="s">
        <v>81</v>
      </c>
      <c r="D1154" t="s">
        <v>38</v>
      </c>
      <c r="E1154" t="s">
        <v>59</v>
      </c>
      <c r="F1154" t="s">
        <v>137</v>
      </c>
      <c r="G1154">
        <v>2.38</v>
      </c>
      <c r="H1154" t="s">
        <v>61</v>
      </c>
      <c r="I1154" t="s">
        <v>42</v>
      </c>
      <c r="M1154">
        <f>VLOOKUP(H1154,'Stage Order'!$A$2:$B$8,2,FALSE)</f>
        <v>1</v>
      </c>
      <c r="N1154" t="str">
        <f t="shared" ref="N1154:N1217" si="36">IF(G1154&lt;=1,"1. Under 1 hour",IF(G1154&lt;=24,"2. 1-24 hours",IF(G1154&lt;=72,"3. 1-3 days","4. Over 3 days")))</f>
        <v>2. 1-24 hours</v>
      </c>
      <c r="O1154" t="str">
        <f t="shared" ref="O1154:O1217" si="37">TEXT(B1154,"YYYY-MM")</f>
        <v>2025-06</v>
      </c>
    </row>
    <row r="1155" spans="1:15" x14ac:dyDescent="0.3">
      <c r="A1155" t="s">
        <v>2771</v>
      </c>
      <c r="B1155" t="s">
        <v>2772</v>
      </c>
      <c r="C1155" t="s">
        <v>58</v>
      </c>
      <c r="D1155" t="s">
        <v>29</v>
      </c>
      <c r="E1155" t="s">
        <v>45</v>
      </c>
      <c r="F1155" t="s">
        <v>94</v>
      </c>
      <c r="G1155">
        <v>10.51</v>
      </c>
      <c r="H1155" t="s">
        <v>41</v>
      </c>
      <c r="I1155" t="s">
        <v>42</v>
      </c>
      <c r="M1155">
        <f>VLOOKUP(H1155,'Stage Order'!$A$2:$B$8,2,FALSE)</f>
        <v>2</v>
      </c>
      <c r="N1155" t="str">
        <f t="shared" si="36"/>
        <v>2. 1-24 hours</v>
      </c>
      <c r="O1155" t="str">
        <f t="shared" si="37"/>
        <v>2025-09</v>
      </c>
    </row>
    <row r="1156" spans="1:15" x14ac:dyDescent="0.3">
      <c r="A1156" t="s">
        <v>2773</v>
      </c>
      <c r="B1156" t="s">
        <v>2774</v>
      </c>
      <c r="C1156" t="s">
        <v>28</v>
      </c>
      <c r="D1156" t="s">
        <v>54</v>
      </c>
      <c r="E1156" t="s">
        <v>39</v>
      </c>
      <c r="F1156" t="s">
        <v>106</v>
      </c>
      <c r="G1156">
        <v>1.9</v>
      </c>
      <c r="H1156" t="s">
        <v>41</v>
      </c>
      <c r="I1156" t="s">
        <v>42</v>
      </c>
      <c r="M1156">
        <f>VLOOKUP(H1156,'Stage Order'!$A$2:$B$8,2,FALSE)</f>
        <v>2</v>
      </c>
      <c r="N1156" t="str">
        <f t="shared" si="36"/>
        <v>2. 1-24 hours</v>
      </c>
      <c r="O1156" t="str">
        <f t="shared" si="37"/>
        <v>2025-02</v>
      </c>
    </row>
    <row r="1157" spans="1:15" x14ac:dyDescent="0.3">
      <c r="A1157" t="s">
        <v>2775</v>
      </c>
      <c r="B1157" t="s">
        <v>2776</v>
      </c>
      <c r="C1157" t="s">
        <v>125</v>
      </c>
      <c r="D1157" t="s">
        <v>29</v>
      </c>
      <c r="E1157" t="s">
        <v>39</v>
      </c>
      <c r="F1157" t="s">
        <v>40</v>
      </c>
      <c r="G1157">
        <v>6.41</v>
      </c>
      <c r="H1157" t="s">
        <v>41</v>
      </c>
      <c r="I1157" t="s">
        <v>42</v>
      </c>
      <c r="M1157">
        <f>VLOOKUP(H1157,'Stage Order'!$A$2:$B$8,2,FALSE)</f>
        <v>2</v>
      </c>
      <c r="N1157" t="str">
        <f t="shared" si="36"/>
        <v>2. 1-24 hours</v>
      </c>
      <c r="O1157" t="str">
        <f t="shared" si="37"/>
        <v>2025-08</v>
      </c>
    </row>
    <row r="1158" spans="1:15" x14ac:dyDescent="0.3">
      <c r="A1158" t="s">
        <v>2777</v>
      </c>
      <c r="B1158" t="s">
        <v>2778</v>
      </c>
      <c r="C1158" t="s">
        <v>81</v>
      </c>
      <c r="D1158" t="s">
        <v>97</v>
      </c>
      <c r="E1158" t="s">
        <v>90</v>
      </c>
      <c r="F1158" t="s">
        <v>91</v>
      </c>
      <c r="G1158">
        <v>0.89</v>
      </c>
      <c r="H1158" t="s">
        <v>61</v>
      </c>
      <c r="I1158" t="s">
        <v>42</v>
      </c>
      <c r="M1158">
        <f>VLOOKUP(H1158,'Stage Order'!$A$2:$B$8,2,FALSE)</f>
        <v>1</v>
      </c>
      <c r="N1158" t="str">
        <f t="shared" si="36"/>
        <v>1. Under 1 hour</v>
      </c>
      <c r="O1158" t="str">
        <f t="shared" si="37"/>
        <v>2026-04</v>
      </c>
    </row>
    <row r="1159" spans="1:15" x14ac:dyDescent="0.3">
      <c r="A1159" t="s">
        <v>2779</v>
      </c>
      <c r="B1159" t="s">
        <v>2780</v>
      </c>
      <c r="C1159" t="s">
        <v>81</v>
      </c>
      <c r="D1159" t="s">
        <v>54</v>
      </c>
      <c r="E1159" t="s">
        <v>90</v>
      </c>
      <c r="F1159" t="s">
        <v>91</v>
      </c>
      <c r="G1159">
        <v>2.04</v>
      </c>
      <c r="H1159" t="s">
        <v>61</v>
      </c>
      <c r="I1159" t="s">
        <v>42</v>
      </c>
      <c r="M1159">
        <f>VLOOKUP(H1159,'Stage Order'!$A$2:$B$8,2,FALSE)</f>
        <v>1</v>
      </c>
      <c r="N1159" t="str">
        <f t="shared" si="36"/>
        <v>2. 1-24 hours</v>
      </c>
      <c r="O1159" t="str">
        <f t="shared" si="37"/>
        <v>2025-04</v>
      </c>
    </row>
    <row r="1160" spans="1:15" x14ac:dyDescent="0.3">
      <c r="A1160" t="s">
        <v>2781</v>
      </c>
      <c r="B1160" t="s">
        <v>2782</v>
      </c>
      <c r="C1160" t="s">
        <v>37</v>
      </c>
      <c r="D1160" t="s">
        <v>54</v>
      </c>
      <c r="E1160" t="s">
        <v>39</v>
      </c>
      <c r="F1160" t="s">
        <v>106</v>
      </c>
      <c r="G1160">
        <v>1.46</v>
      </c>
      <c r="H1160" t="s">
        <v>41</v>
      </c>
      <c r="I1160" t="s">
        <v>42</v>
      </c>
      <c r="M1160">
        <f>VLOOKUP(H1160,'Stage Order'!$A$2:$B$8,2,FALSE)</f>
        <v>2</v>
      </c>
      <c r="N1160" t="str">
        <f t="shared" si="36"/>
        <v>2. 1-24 hours</v>
      </c>
      <c r="O1160" t="str">
        <f t="shared" si="37"/>
        <v>2025-01</v>
      </c>
    </row>
    <row r="1161" spans="1:15" x14ac:dyDescent="0.3">
      <c r="A1161" t="s">
        <v>2783</v>
      </c>
      <c r="B1161" t="s">
        <v>2784</v>
      </c>
      <c r="C1161" t="s">
        <v>28</v>
      </c>
      <c r="D1161" t="s">
        <v>77</v>
      </c>
      <c r="E1161" t="s">
        <v>59</v>
      </c>
      <c r="F1161" t="s">
        <v>117</v>
      </c>
      <c r="G1161">
        <v>2.72</v>
      </c>
      <c r="H1161" t="s">
        <v>41</v>
      </c>
      <c r="I1161" t="s">
        <v>42</v>
      </c>
      <c r="M1161">
        <f>VLOOKUP(H1161,'Stage Order'!$A$2:$B$8,2,FALSE)</f>
        <v>2</v>
      </c>
      <c r="N1161" t="str">
        <f t="shared" si="36"/>
        <v>2. 1-24 hours</v>
      </c>
      <c r="O1161" t="str">
        <f t="shared" si="37"/>
        <v>2025-02</v>
      </c>
    </row>
    <row r="1162" spans="1:15" x14ac:dyDescent="0.3">
      <c r="A1162" t="s">
        <v>2785</v>
      </c>
      <c r="B1162" t="s">
        <v>2786</v>
      </c>
      <c r="C1162" t="s">
        <v>81</v>
      </c>
      <c r="D1162" t="s">
        <v>54</v>
      </c>
      <c r="E1162" t="s">
        <v>39</v>
      </c>
      <c r="F1162" t="s">
        <v>40</v>
      </c>
      <c r="G1162">
        <v>6.25</v>
      </c>
      <c r="H1162" t="s">
        <v>41</v>
      </c>
      <c r="I1162" t="s">
        <v>42</v>
      </c>
      <c r="M1162">
        <f>VLOOKUP(H1162,'Stage Order'!$A$2:$B$8,2,FALSE)</f>
        <v>2</v>
      </c>
      <c r="N1162" t="str">
        <f t="shared" si="36"/>
        <v>2. 1-24 hours</v>
      </c>
      <c r="O1162" t="str">
        <f t="shared" si="37"/>
        <v>2025-08</v>
      </c>
    </row>
    <row r="1163" spans="1:15" x14ac:dyDescent="0.3">
      <c r="A1163" t="s">
        <v>2787</v>
      </c>
      <c r="B1163" t="s">
        <v>2788</v>
      </c>
      <c r="C1163" t="s">
        <v>58</v>
      </c>
      <c r="D1163" t="s">
        <v>97</v>
      </c>
      <c r="E1163" t="s">
        <v>59</v>
      </c>
      <c r="F1163" t="s">
        <v>60</v>
      </c>
      <c r="G1163">
        <v>0.81</v>
      </c>
      <c r="H1163" t="s">
        <v>41</v>
      </c>
      <c r="I1163" t="s">
        <v>42</v>
      </c>
      <c r="M1163">
        <f>VLOOKUP(H1163,'Stage Order'!$A$2:$B$8,2,FALSE)</f>
        <v>2</v>
      </c>
      <c r="N1163" t="str">
        <f t="shared" si="36"/>
        <v>1. Under 1 hour</v>
      </c>
      <c r="O1163" t="str">
        <f t="shared" si="37"/>
        <v>2025-10</v>
      </c>
    </row>
    <row r="1164" spans="1:15" x14ac:dyDescent="0.3">
      <c r="A1164" t="s">
        <v>2789</v>
      </c>
      <c r="B1164" t="s">
        <v>2790</v>
      </c>
      <c r="C1164" t="s">
        <v>81</v>
      </c>
      <c r="D1164" t="s">
        <v>29</v>
      </c>
      <c r="E1164" t="s">
        <v>30</v>
      </c>
      <c r="F1164" t="s">
        <v>31</v>
      </c>
      <c r="G1164">
        <v>1.53</v>
      </c>
      <c r="H1164" t="s">
        <v>61</v>
      </c>
      <c r="I1164" t="s">
        <v>42</v>
      </c>
      <c r="M1164">
        <f>VLOOKUP(H1164,'Stage Order'!$A$2:$B$8,2,FALSE)</f>
        <v>1</v>
      </c>
      <c r="N1164" t="str">
        <f t="shared" si="36"/>
        <v>2. 1-24 hours</v>
      </c>
      <c r="O1164" t="str">
        <f t="shared" si="37"/>
        <v>2025-07</v>
      </c>
    </row>
    <row r="1165" spans="1:15" x14ac:dyDescent="0.3">
      <c r="A1165" t="s">
        <v>2791</v>
      </c>
      <c r="B1165" t="s">
        <v>2792</v>
      </c>
      <c r="C1165" t="s">
        <v>37</v>
      </c>
      <c r="D1165" t="s">
        <v>29</v>
      </c>
      <c r="E1165" t="s">
        <v>30</v>
      </c>
      <c r="F1165" t="s">
        <v>78</v>
      </c>
      <c r="G1165">
        <v>3.06</v>
      </c>
      <c r="H1165" t="s">
        <v>61</v>
      </c>
      <c r="I1165" t="s">
        <v>42</v>
      </c>
      <c r="M1165">
        <f>VLOOKUP(H1165,'Stage Order'!$A$2:$B$8,2,FALSE)</f>
        <v>1</v>
      </c>
      <c r="N1165" t="str">
        <f t="shared" si="36"/>
        <v>2. 1-24 hours</v>
      </c>
      <c r="O1165" t="str">
        <f t="shared" si="37"/>
        <v>2025-06</v>
      </c>
    </row>
    <row r="1166" spans="1:15" x14ac:dyDescent="0.3">
      <c r="A1166" t="s">
        <v>2793</v>
      </c>
      <c r="B1166" t="s">
        <v>2794</v>
      </c>
      <c r="C1166" t="s">
        <v>58</v>
      </c>
      <c r="D1166" t="s">
        <v>54</v>
      </c>
      <c r="E1166" t="s">
        <v>30</v>
      </c>
      <c r="F1166" t="s">
        <v>82</v>
      </c>
      <c r="G1166">
        <v>5.48</v>
      </c>
      <c r="H1166" t="s">
        <v>61</v>
      </c>
      <c r="I1166" t="s">
        <v>42</v>
      </c>
      <c r="M1166">
        <f>VLOOKUP(H1166,'Stage Order'!$A$2:$B$8,2,FALSE)</f>
        <v>1</v>
      </c>
      <c r="N1166" t="str">
        <f t="shared" si="36"/>
        <v>2. 1-24 hours</v>
      </c>
      <c r="O1166" t="str">
        <f t="shared" si="37"/>
        <v>2025-05</v>
      </c>
    </row>
    <row r="1167" spans="1:15" x14ac:dyDescent="0.3">
      <c r="A1167" t="s">
        <v>2795</v>
      </c>
      <c r="B1167" t="s">
        <v>2796</v>
      </c>
      <c r="C1167" t="s">
        <v>125</v>
      </c>
      <c r="D1167" t="s">
        <v>38</v>
      </c>
      <c r="E1167" t="s">
        <v>59</v>
      </c>
      <c r="F1167" t="s">
        <v>60</v>
      </c>
      <c r="G1167">
        <v>2.68</v>
      </c>
      <c r="H1167" t="s">
        <v>47</v>
      </c>
      <c r="I1167" t="s">
        <v>48</v>
      </c>
      <c r="J1167" t="s">
        <v>113</v>
      </c>
      <c r="K1167">
        <v>421.1</v>
      </c>
      <c r="L1167" t="s">
        <v>2797</v>
      </c>
      <c r="M1167">
        <f>VLOOKUP(H1167,'Stage Order'!$A$2:$B$8,2,FALSE)</f>
        <v>4</v>
      </c>
      <c r="N1167" t="str">
        <f t="shared" si="36"/>
        <v>2. 1-24 hours</v>
      </c>
      <c r="O1167" t="str">
        <f t="shared" si="37"/>
        <v>2026-02</v>
      </c>
    </row>
    <row r="1168" spans="1:15" x14ac:dyDescent="0.3">
      <c r="A1168" t="s">
        <v>2798</v>
      </c>
      <c r="B1168" t="s">
        <v>2799</v>
      </c>
      <c r="C1168" t="s">
        <v>37</v>
      </c>
      <c r="D1168" t="s">
        <v>29</v>
      </c>
      <c r="E1168" t="s">
        <v>45</v>
      </c>
      <c r="F1168" t="s">
        <v>46</v>
      </c>
      <c r="G1168">
        <v>2.2200000000000002</v>
      </c>
      <c r="H1168" t="s">
        <v>41</v>
      </c>
      <c r="I1168" t="s">
        <v>42</v>
      </c>
      <c r="M1168">
        <f>VLOOKUP(H1168,'Stage Order'!$A$2:$B$8,2,FALSE)</f>
        <v>2</v>
      </c>
      <c r="N1168" t="str">
        <f t="shared" si="36"/>
        <v>2. 1-24 hours</v>
      </c>
      <c r="O1168" t="str">
        <f t="shared" si="37"/>
        <v>2025-03</v>
      </c>
    </row>
    <row r="1169" spans="1:15" x14ac:dyDescent="0.3">
      <c r="A1169" t="s">
        <v>2800</v>
      </c>
      <c r="B1169" t="s">
        <v>2801</v>
      </c>
      <c r="C1169" t="s">
        <v>125</v>
      </c>
      <c r="D1169" t="s">
        <v>29</v>
      </c>
      <c r="E1169" t="s">
        <v>59</v>
      </c>
      <c r="F1169" t="s">
        <v>117</v>
      </c>
      <c r="G1169">
        <v>2.2200000000000002</v>
      </c>
      <c r="H1169" t="s">
        <v>41</v>
      </c>
      <c r="I1169" t="s">
        <v>42</v>
      </c>
      <c r="M1169">
        <f>VLOOKUP(H1169,'Stage Order'!$A$2:$B$8,2,FALSE)</f>
        <v>2</v>
      </c>
      <c r="N1169" t="str">
        <f t="shared" si="36"/>
        <v>2. 1-24 hours</v>
      </c>
      <c r="O1169" t="str">
        <f t="shared" si="37"/>
        <v>2025-08</v>
      </c>
    </row>
    <row r="1170" spans="1:15" x14ac:dyDescent="0.3">
      <c r="A1170" t="s">
        <v>2802</v>
      </c>
      <c r="B1170" t="s">
        <v>2803</v>
      </c>
      <c r="C1170" t="s">
        <v>58</v>
      </c>
      <c r="D1170" t="s">
        <v>97</v>
      </c>
      <c r="E1170" t="s">
        <v>45</v>
      </c>
      <c r="F1170" t="s">
        <v>55</v>
      </c>
      <c r="G1170">
        <v>4</v>
      </c>
      <c r="H1170" t="s">
        <v>41</v>
      </c>
      <c r="I1170" t="s">
        <v>42</v>
      </c>
      <c r="M1170">
        <f>VLOOKUP(H1170,'Stage Order'!$A$2:$B$8,2,FALSE)</f>
        <v>2</v>
      </c>
      <c r="N1170" t="str">
        <f t="shared" si="36"/>
        <v>2. 1-24 hours</v>
      </c>
      <c r="O1170" t="str">
        <f t="shared" si="37"/>
        <v>2026-03</v>
      </c>
    </row>
    <row r="1171" spans="1:15" x14ac:dyDescent="0.3">
      <c r="A1171" t="s">
        <v>2804</v>
      </c>
      <c r="B1171" t="s">
        <v>2805</v>
      </c>
      <c r="C1171" t="s">
        <v>125</v>
      </c>
      <c r="D1171" t="s">
        <v>77</v>
      </c>
      <c r="E1171" t="s">
        <v>59</v>
      </c>
      <c r="F1171" t="s">
        <v>117</v>
      </c>
      <c r="G1171">
        <v>1.62</v>
      </c>
      <c r="H1171" t="s">
        <v>41</v>
      </c>
      <c r="I1171" t="s">
        <v>42</v>
      </c>
      <c r="M1171">
        <f>VLOOKUP(H1171,'Stage Order'!$A$2:$B$8,2,FALSE)</f>
        <v>2</v>
      </c>
      <c r="N1171" t="str">
        <f t="shared" si="36"/>
        <v>2. 1-24 hours</v>
      </c>
      <c r="O1171" t="str">
        <f t="shared" si="37"/>
        <v>2025-07</v>
      </c>
    </row>
    <row r="1172" spans="1:15" x14ac:dyDescent="0.3">
      <c r="A1172" t="s">
        <v>2806</v>
      </c>
      <c r="B1172" t="s">
        <v>2807</v>
      </c>
      <c r="C1172" t="s">
        <v>58</v>
      </c>
      <c r="D1172" t="s">
        <v>29</v>
      </c>
      <c r="E1172" t="s">
        <v>45</v>
      </c>
      <c r="F1172" t="s">
        <v>94</v>
      </c>
      <c r="G1172">
        <v>1.58</v>
      </c>
      <c r="H1172" t="s">
        <v>47</v>
      </c>
      <c r="I1172" t="s">
        <v>48</v>
      </c>
      <c r="J1172" t="s">
        <v>742</v>
      </c>
      <c r="K1172">
        <v>563.78</v>
      </c>
      <c r="L1172" t="s">
        <v>2808</v>
      </c>
      <c r="M1172">
        <f>VLOOKUP(H1172,'Stage Order'!$A$2:$B$8,2,FALSE)</f>
        <v>4</v>
      </c>
      <c r="N1172" t="str">
        <f t="shared" si="36"/>
        <v>2. 1-24 hours</v>
      </c>
      <c r="O1172" t="str">
        <f t="shared" si="37"/>
        <v>2025-09</v>
      </c>
    </row>
    <row r="1173" spans="1:15" x14ac:dyDescent="0.3">
      <c r="A1173" t="s">
        <v>2809</v>
      </c>
      <c r="B1173" t="s">
        <v>2810</v>
      </c>
      <c r="C1173" t="s">
        <v>125</v>
      </c>
      <c r="D1173" t="s">
        <v>54</v>
      </c>
      <c r="E1173" t="s">
        <v>39</v>
      </c>
      <c r="F1173" t="s">
        <v>66</v>
      </c>
      <c r="G1173">
        <v>1.68</v>
      </c>
      <c r="H1173" t="s">
        <v>41</v>
      </c>
      <c r="I1173" t="s">
        <v>42</v>
      </c>
      <c r="M1173">
        <f>VLOOKUP(H1173,'Stage Order'!$A$2:$B$8,2,FALSE)</f>
        <v>2</v>
      </c>
      <c r="N1173" t="str">
        <f t="shared" si="36"/>
        <v>2. 1-24 hours</v>
      </c>
      <c r="O1173" t="str">
        <f t="shared" si="37"/>
        <v>2025-03</v>
      </c>
    </row>
    <row r="1174" spans="1:15" x14ac:dyDescent="0.3">
      <c r="A1174" t="s">
        <v>2811</v>
      </c>
      <c r="B1174" t="s">
        <v>2812</v>
      </c>
      <c r="C1174" t="s">
        <v>28</v>
      </c>
      <c r="D1174" t="s">
        <v>29</v>
      </c>
      <c r="E1174" t="s">
        <v>59</v>
      </c>
      <c r="F1174" t="s">
        <v>137</v>
      </c>
      <c r="G1174">
        <v>8.2100000000000009</v>
      </c>
      <c r="H1174" t="s">
        <v>41</v>
      </c>
      <c r="I1174" t="s">
        <v>42</v>
      </c>
      <c r="M1174">
        <f>VLOOKUP(H1174,'Stage Order'!$A$2:$B$8,2,FALSE)</f>
        <v>2</v>
      </c>
      <c r="N1174" t="str">
        <f t="shared" si="36"/>
        <v>2. 1-24 hours</v>
      </c>
      <c r="O1174" t="str">
        <f t="shared" si="37"/>
        <v>2025-10</v>
      </c>
    </row>
    <row r="1175" spans="1:15" x14ac:dyDescent="0.3">
      <c r="A1175" t="s">
        <v>2813</v>
      </c>
      <c r="B1175" t="s">
        <v>2814</v>
      </c>
      <c r="C1175" t="s">
        <v>37</v>
      </c>
      <c r="D1175" t="s">
        <v>77</v>
      </c>
      <c r="E1175" t="s">
        <v>45</v>
      </c>
      <c r="F1175" t="s">
        <v>46</v>
      </c>
      <c r="G1175">
        <v>0.89</v>
      </c>
      <c r="H1175" t="s">
        <v>41</v>
      </c>
      <c r="I1175" t="s">
        <v>42</v>
      </c>
      <c r="M1175">
        <f>VLOOKUP(H1175,'Stage Order'!$A$2:$B$8,2,FALSE)</f>
        <v>2</v>
      </c>
      <c r="N1175" t="str">
        <f t="shared" si="36"/>
        <v>1. Under 1 hour</v>
      </c>
      <c r="O1175" t="str">
        <f t="shared" si="37"/>
        <v>2025-08</v>
      </c>
    </row>
    <row r="1176" spans="1:15" x14ac:dyDescent="0.3">
      <c r="A1176" t="s">
        <v>2815</v>
      </c>
      <c r="B1176" t="s">
        <v>2816</v>
      </c>
      <c r="C1176" t="s">
        <v>53</v>
      </c>
      <c r="D1176" t="s">
        <v>29</v>
      </c>
      <c r="E1176" t="s">
        <v>39</v>
      </c>
      <c r="F1176" t="s">
        <v>66</v>
      </c>
      <c r="G1176">
        <v>3.64</v>
      </c>
      <c r="H1176" t="s">
        <v>41</v>
      </c>
      <c r="I1176" t="s">
        <v>42</v>
      </c>
      <c r="M1176">
        <f>VLOOKUP(H1176,'Stage Order'!$A$2:$B$8,2,FALSE)</f>
        <v>2</v>
      </c>
      <c r="N1176" t="str">
        <f t="shared" si="36"/>
        <v>2. 1-24 hours</v>
      </c>
      <c r="O1176" t="str">
        <f t="shared" si="37"/>
        <v>2025-10</v>
      </c>
    </row>
    <row r="1177" spans="1:15" x14ac:dyDescent="0.3">
      <c r="A1177" t="s">
        <v>2817</v>
      </c>
      <c r="B1177" t="s">
        <v>2818</v>
      </c>
      <c r="C1177" t="s">
        <v>76</v>
      </c>
      <c r="D1177" t="s">
        <v>54</v>
      </c>
      <c r="E1177" t="s">
        <v>45</v>
      </c>
      <c r="F1177" t="s">
        <v>55</v>
      </c>
      <c r="G1177">
        <v>1.51</v>
      </c>
      <c r="H1177" t="s">
        <v>47</v>
      </c>
      <c r="I1177" t="s">
        <v>48</v>
      </c>
      <c r="J1177" t="s">
        <v>139</v>
      </c>
      <c r="K1177">
        <v>539.87</v>
      </c>
      <c r="L1177" t="s">
        <v>2819</v>
      </c>
      <c r="M1177">
        <f>VLOOKUP(H1177,'Stage Order'!$A$2:$B$8,2,FALSE)</f>
        <v>4</v>
      </c>
      <c r="N1177" t="str">
        <f t="shared" si="36"/>
        <v>2. 1-24 hours</v>
      </c>
      <c r="O1177" t="str">
        <f t="shared" si="37"/>
        <v>2025-06</v>
      </c>
    </row>
    <row r="1178" spans="1:15" x14ac:dyDescent="0.3">
      <c r="A1178" t="s">
        <v>2820</v>
      </c>
      <c r="B1178" t="s">
        <v>2821</v>
      </c>
      <c r="C1178" t="s">
        <v>81</v>
      </c>
      <c r="D1178" t="s">
        <v>77</v>
      </c>
      <c r="E1178" t="s">
        <v>39</v>
      </c>
      <c r="F1178" t="s">
        <v>106</v>
      </c>
      <c r="G1178">
        <v>1.66</v>
      </c>
      <c r="H1178" t="s">
        <v>41</v>
      </c>
      <c r="I1178" t="s">
        <v>42</v>
      </c>
      <c r="M1178">
        <f>VLOOKUP(H1178,'Stage Order'!$A$2:$B$8,2,FALSE)</f>
        <v>2</v>
      </c>
      <c r="N1178" t="str">
        <f t="shared" si="36"/>
        <v>2. 1-24 hours</v>
      </c>
      <c r="O1178" t="str">
        <f t="shared" si="37"/>
        <v>2025-04</v>
      </c>
    </row>
    <row r="1179" spans="1:15" x14ac:dyDescent="0.3">
      <c r="A1179" t="s">
        <v>2822</v>
      </c>
      <c r="B1179" t="s">
        <v>2823</v>
      </c>
      <c r="C1179" t="s">
        <v>37</v>
      </c>
      <c r="D1179" t="s">
        <v>54</v>
      </c>
      <c r="E1179" t="s">
        <v>30</v>
      </c>
      <c r="F1179" t="s">
        <v>31</v>
      </c>
      <c r="G1179">
        <v>5.64</v>
      </c>
      <c r="H1179" t="s">
        <v>41</v>
      </c>
      <c r="I1179" t="s">
        <v>42</v>
      </c>
      <c r="M1179">
        <f>VLOOKUP(H1179,'Stage Order'!$A$2:$B$8,2,FALSE)</f>
        <v>2</v>
      </c>
      <c r="N1179" t="str">
        <f t="shared" si="36"/>
        <v>2. 1-24 hours</v>
      </c>
      <c r="O1179" t="str">
        <f t="shared" si="37"/>
        <v>2025-07</v>
      </c>
    </row>
    <row r="1180" spans="1:15" x14ac:dyDescent="0.3">
      <c r="A1180" t="s">
        <v>2824</v>
      </c>
      <c r="B1180" t="s">
        <v>2825</v>
      </c>
      <c r="C1180" t="s">
        <v>53</v>
      </c>
      <c r="D1180" t="s">
        <v>29</v>
      </c>
      <c r="E1180" t="s">
        <v>39</v>
      </c>
      <c r="F1180" t="s">
        <v>66</v>
      </c>
      <c r="G1180">
        <v>2.89</v>
      </c>
      <c r="H1180" t="s">
        <v>138</v>
      </c>
      <c r="I1180" t="s">
        <v>48</v>
      </c>
      <c r="J1180" t="s">
        <v>98</v>
      </c>
      <c r="K1180">
        <v>551.54999999999995</v>
      </c>
      <c r="L1180" t="s">
        <v>2826</v>
      </c>
      <c r="M1180">
        <f>VLOOKUP(H1180,'Stage Order'!$A$2:$B$8,2,FALSE)</f>
        <v>6</v>
      </c>
      <c r="N1180" t="str">
        <f t="shared" si="36"/>
        <v>2. 1-24 hours</v>
      </c>
      <c r="O1180" t="str">
        <f t="shared" si="37"/>
        <v>2025-05</v>
      </c>
    </row>
    <row r="1181" spans="1:15" x14ac:dyDescent="0.3">
      <c r="A1181" t="s">
        <v>2827</v>
      </c>
      <c r="B1181" t="s">
        <v>2828</v>
      </c>
      <c r="C1181" t="s">
        <v>28</v>
      </c>
      <c r="D1181" t="s">
        <v>77</v>
      </c>
      <c r="E1181" t="s">
        <v>30</v>
      </c>
      <c r="F1181" t="s">
        <v>78</v>
      </c>
      <c r="G1181">
        <v>0.85</v>
      </c>
      <c r="H1181" t="s">
        <v>138</v>
      </c>
      <c r="I1181" t="s">
        <v>48</v>
      </c>
      <c r="J1181" t="s">
        <v>139</v>
      </c>
      <c r="K1181">
        <v>815.01</v>
      </c>
      <c r="L1181" t="s">
        <v>2829</v>
      </c>
      <c r="M1181">
        <f>VLOOKUP(H1181,'Stage Order'!$A$2:$B$8,2,FALSE)</f>
        <v>6</v>
      </c>
      <c r="N1181" t="str">
        <f t="shared" si="36"/>
        <v>1. Under 1 hour</v>
      </c>
      <c r="O1181" t="str">
        <f t="shared" si="37"/>
        <v>2025-05</v>
      </c>
    </row>
    <row r="1182" spans="1:15" x14ac:dyDescent="0.3">
      <c r="A1182" t="s">
        <v>2830</v>
      </c>
      <c r="B1182" t="s">
        <v>2831</v>
      </c>
      <c r="C1182" t="s">
        <v>28</v>
      </c>
      <c r="D1182" t="s">
        <v>54</v>
      </c>
      <c r="E1182" t="s">
        <v>45</v>
      </c>
      <c r="F1182" t="s">
        <v>55</v>
      </c>
      <c r="G1182">
        <v>6.8</v>
      </c>
      <c r="H1182" t="s">
        <v>41</v>
      </c>
      <c r="I1182" t="s">
        <v>42</v>
      </c>
      <c r="M1182">
        <f>VLOOKUP(H1182,'Stage Order'!$A$2:$B$8,2,FALSE)</f>
        <v>2</v>
      </c>
      <c r="N1182" t="str">
        <f t="shared" si="36"/>
        <v>2. 1-24 hours</v>
      </c>
      <c r="O1182" t="str">
        <f t="shared" si="37"/>
        <v>2025-06</v>
      </c>
    </row>
    <row r="1183" spans="1:15" x14ac:dyDescent="0.3">
      <c r="A1183" t="s">
        <v>2832</v>
      </c>
      <c r="B1183" t="s">
        <v>2833</v>
      </c>
      <c r="C1183" t="s">
        <v>37</v>
      </c>
      <c r="D1183" t="s">
        <v>54</v>
      </c>
      <c r="E1183" t="s">
        <v>30</v>
      </c>
      <c r="F1183" t="s">
        <v>78</v>
      </c>
      <c r="G1183">
        <v>2.95</v>
      </c>
      <c r="H1183" t="s">
        <v>41</v>
      </c>
      <c r="I1183" t="s">
        <v>42</v>
      </c>
      <c r="M1183">
        <f>VLOOKUP(H1183,'Stage Order'!$A$2:$B$8,2,FALSE)</f>
        <v>2</v>
      </c>
      <c r="N1183" t="str">
        <f t="shared" si="36"/>
        <v>2. 1-24 hours</v>
      </c>
      <c r="O1183" t="str">
        <f t="shared" si="37"/>
        <v>2025-03</v>
      </c>
    </row>
    <row r="1184" spans="1:15" x14ac:dyDescent="0.3">
      <c r="A1184" t="s">
        <v>2834</v>
      </c>
      <c r="B1184" t="s">
        <v>2835</v>
      </c>
      <c r="C1184" t="s">
        <v>125</v>
      </c>
      <c r="D1184" t="s">
        <v>54</v>
      </c>
      <c r="E1184" t="s">
        <v>45</v>
      </c>
      <c r="F1184" t="s">
        <v>46</v>
      </c>
      <c r="G1184">
        <v>1.41</v>
      </c>
      <c r="H1184" t="s">
        <v>41</v>
      </c>
      <c r="I1184" t="s">
        <v>42</v>
      </c>
      <c r="M1184">
        <f>VLOOKUP(H1184,'Stage Order'!$A$2:$B$8,2,FALSE)</f>
        <v>2</v>
      </c>
      <c r="N1184" t="str">
        <f t="shared" si="36"/>
        <v>2. 1-24 hours</v>
      </c>
      <c r="O1184" t="str">
        <f t="shared" si="37"/>
        <v>2025-05</v>
      </c>
    </row>
    <row r="1185" spans="1:15" x14ac:dyDescent="0.3">
      <c r="A1185" t="s">
        <v>2836</v>
      </c>
      <c r="B1185" t="s">
        <v>2837</v>
      </c>
      <c r="C1185" t="s">
        <v>125</v>
      </c>
      <c r="D1185" t="s">
        <v>54</v>
      </c>
      <c r="E1185" t="s">
        <v>90</v>
      </c>
      <c r="F1185" t="s">
        <v>112</v>
      </c>
      <c r="G1185">
        <v>1.91</v>
      </c>
      <c r="H1185" t="s">
        <v>61</v>
      </c>
      <c r="I1185" t="s">
        <v>42</v>
      </c>
      <c r="M1185">
        <f>VLOOKUP(H1185,'Stage Order'!$A$2:$B$8,2,FALSE)</f>
        <v>1</v>
      </c>
      <c r="N1185" t="str">
        <f t="shared" si="36"/>
        <v>2. 1-24 hours</v>
      </c>
      <c r="O1185" t="str">
        <f t="shared" si="37"/>
        <v>2025-10</v>
      </c>
    </row>
    <row r="1186" spans="1:15" x14ac:dyDescent="0.3">
      <c r="A1186" t="s">
        <v>2838</v>
      </c>
      <c r="B1186" t="s">
        <v>2839</v>
      </c>
      <c r="C1186" t="s">
        <v>125</v>
      </c>
      <c r="D1186" t="s">
        <v>77</v>
      </c>
      <c r="E1186" t="s">
        <v>30</v>
      </c>
      <c r="F1186" t="s">
        <v>78</v>
      </c>
      <c r="G1186">
        <v>3.12</v>
      </c>
      <c r="H1186" t="s">
        <v>61</v>
      </c>
      <c r="I1186" t="s">
        <v>42</v>
      </c>
      <c r="M1186">
        <f>VLOOKUP(H1186,'Stage Order'!$A$2:$B$8,2,FALSE)</f>
        <v>1</v>
      </c>
      <c r="N1186" t="str">
        <f t="shared" si="36"/>
        <v>2. 1-24 hours</v>
      </c>
      <c r="O1186" t="str">
        <f t="shared" si="37"/>
        <v>2025-09</v>
      </c>
    </row>
    <row r="1187" spans="1:15" x14ac:dyDescent="0.3">
      <c r="A1187" t="s">
        <v>2840</v>
      </c>
      <c r="B1187" t="s">
        <v>2841</v>
      </c>
      <c r="C1187" t="s">
        <v>81</v>
      </c>
      <c r="D1187" t="s">
        <v>38</v>
      </c>
      <c r="E1187" t="s">
        <v>39</v>
      </c>
      <c r="F1187" t="s">
        <v>106</v>
      </c>
      <c r="G1187">
        <v>3.54</v>
      </c>
      <c r="H1187" t="s">
        <v>61</v>
      </c>
      <c r="I1187" t="s">
        <v>42</v>
      </c>
      <c r="M1187">
        <f>VLOOKUP(H1187,'Stage Order'!$A$2:$B$8,2,FALSE)</f>
        <v>1</v>
      </c>
      <c r="N1187" t="str">
        <f t="shared" si="36"/>
        <v>2. 1-24 hours</v>
      </c>
      <c r="O1187" t="str">
        <f t="shared" si="37"/>
        <v>2025-06</v>
      </c>
    </row>
    <row r="1188" spans="1:15" x14ac:dyDescent="0.3">
      <c r="A1188" t="s">
        <v>2842</v>
      </c>
      <c r="B1188" t="s">
        <v>2843</v>
      </c>
      <c r="C1188" t="s">
        <v>58</v>
      </c>
      <c r="D1188" t="s">
        <v>54</v>
      </c>
      <c r="E1188" t="s">
        <v>30</v>
      </c>
      <c r="F1188" t="s">
        <v>82</v>
      </c>
      <c r="G1188">
        <v>5.48</v>
      </c>
      <c r="H1188" t="s">
        <v>41</v>
      </c>
      <c r="I1188" t="s">
        <v>42</v>
      </c>
      <c r="M1188">
        <f>VLOOKUP(H1188,'Stage Order'!$A$2:$B$8,2,FALSE)</f>
        <v>2</v>
      </c>
      <c r="N1188" t="str">
        <f t="shared" si="36"/>
        <v>2. 1-24 hours</v>
      </c>
      <c r="O1188" t="str">
        <f t="shared" si="37"/>
        <v>2025-01</v>
      </c>
    </row>
    <row r="1189" spans="1:15" x14ac:dyDescent="0.3">
      <c r="A1189" t="s">
        <v>2844</v>
      </c>
      <c r="B1189" t="s">
        <v>2845</v>
      </c>
      <c r="C1189" t="s">
        <v>37</v>
      </c>
      <c r="D1189" t="s">
        <v>54</v>
      </c>
      <c r="E1189" t="s">
        <v>30</v>
      </c>
      <c r="F1189" t="s">
        <v>31</v>
      </c>
      <c r="G1189">
        <v>2.68</v>
      </c>
      <c r="H1189" t="s">
        <v>61</v>
      </c>
      <c r="I1189" t="s">
        <v>42</v>
      </c>
      <c r="M1189">
        <f>VLOOKUP(H1189,'Stage Order'!$A$2:$B$8,2,FALSE)</f>
        <v>1</v>
      </c>
      <c r="N1189" t="str">
        <f t="shared" si="36"/>
        <v>2. 1-24 hours</v>
      </c>
      <c r="O1189" t="str">
        <f t="shared" si="37"/>
        <v>2026-01</v>
      </c>
    </row>
    <row r="1190" spans="1:15" x14ac:dyDescent="0.3">
      <c r="A1190" t="s">
        <v>2846</v>
      </c>
      <c r="B1190" t="s">
        <v>2847</v>
      </c>
      <c r="C1190" t="s">
        <v>58</v>
      </c>
      <c r="D1190" t="s">
        <v>38</v>
      </c>
      <c r="E1190" t="s">
        <v>90</v>
      </c>
      <c r="F1190" t="s">
        <v>112</v>
      </c>
      <c r="G1190">
        <v>2.21</v>
      </c>
      <c r="H1190" t="s">
        <v>146</v>
      </c>
      <c r="I1190" t="s">
        <v>48</v>
      </c>
      <c r="J1190" t="s">
        <v>139</v>
      </c>
      <c r="K1190">
        <v>386.65</v>
      </c>
      <c r="L1190" t="s">
        <v>2848</v>
      </c>
      <c r="M1190">
        <f>VLOOKUP(H1190,'Stage Order'!$A$2:$B$8,2,FALSE)</f>
        <v>5</v>
      </c>
      <c r="N1190" t="str">
        <f t="shared" si="36"/>
        <v>2. 1-24 hours</v>
      </c>
      <c r="O1190" t="str">
        <f t="shared" si="37"/>
        <v>2025-01</v>
      </c>
    </row>
    <row r="1191" spans="1:15" x14ac:dyDescent="0.3">
      <c r="A1191" t="s">
        <v>2849</v>
      </c>
      <c r="B1191" t="s">
        <v>2850</v>
      </c>
      <c r="C1191" t="s">
        <v>58</v>
      </c>
      <c r="D1191" t="s">
        <v>29</v>
      </c>
      <c r="E1191" t="s">
        <v>45</v>
      </c>
      <c r="F1191" t="s">
        <v>55</v>
      </c>
      <c r="G1191">
        <v>1.75</v>
      </c>
      <c r="H1191" t="s">
        <v>41</v>
      </c>
      <c r="I1191" t="s">
        <v>42</v>
      </c>
      <c r="M1191">
        <f>VLOOKUP(H1191,'Stage Order'!$A$2:$B$8,2,FALSE)</f>
        <v>2</v>
      </c>
      <c r="N1191" t="str">
        <f t="shared" si="36"/>
        <v>2. 1-24 hours</v>
      </c>
      <c r="O1191" t="str">
        <f t="shared" si="37"/>
        <v>2025-12</v>
      </c>
    </row>
    <row r="1192" spans="1:15" x14ac:dyDescent="0.3">
      <c r="A1192" t="s">
        <v>2851</v>
      </c>
      <c r="B1192" t="s">
        <v>2852</v>
      </c>
      <c r="C1192" t="s">
        <v>53</v>
      </c>
      <c r="D1192" t="s">
        <v>54</v>
      </c>
      <c r="E1192" t="s">
        <v>90</v>
      </c>
      <c r="F1192" t="s">
        <v>91</v>
      </c>
      <c r="G1192">
        <v>4.8</v>
      </c>
      <c r="H1192" t="s">
        <v>41</v>
      </c>
      <c r="I1192" t="s">
        <v>42</v>
      </c>
      <c r="M1192">
        <f>VLOOKUP(H1192,'Stage Order'!$A$2:$B$8,2,FALSE)</f>
        <v>2</v>
      </c>
      <c r="N1192" t="str">
        <f t="shared" si="36"/>
        <v>2. 1-24 hours</v>
      </c>
      <c r="O1192" t="str">
        <f t="shared" si="37"/>
        <v>2026-05</v>
      </c>
    </row>
    <row r="1193" spans="1:15" x14ac:dyDescent="0.3">
      <c r="A1193" t="s">
        <v>2853</v>
      </c>
      <c r="B1193" t="s">
        <v>2854</v>
      </c>
      <c r="C1193" t="s">
        <v>53</v>
      </c>
      <c r="D1193" t="s">
        <v>54</v>
      </c>
      <c r="E1193" t="s">
        <v>59</v>
      </c>
      <c r="F1193" t="s">
        <v>60</v>
      </c>
      <c r="G1193">
        <v>22.65</v>
      </c>
      <c r="H1193" t="s">
        <v>41</v>
      </c>
      <c r="I1193" t="s">
        <v>42</v>
      </c>
      <c r="M1193">
        <f>VLOOKUP(H1193,'Stage Order'!$A$2:$B$8,2,FALSE)</f>
        <v>2</v>
      </c>
      <c r="N1193" t="str">
        <f t="shared" si="36"/>
        <v>2. 1-24 hours</v>
      </c>
      <c r="O1193" t="str">
        <f t="shared" si="37"/>
        <v>2025-06</v>
      </c>
    </row>
    <row r="1194" spans="1:15" x14ac:dyDescent="0.3">
      <c r="A1194" t="s">
        <v>2855</v>
      </c>
      <c r="B1194" t="s">
        <v>2856</v>
      </c>
      <c r="C1194" t="s">
        <v>81</v>
      </c>
      <c r="D1194" t="s">
        <v>54</v>
      </c>
      <c r="E1194" t="s">
        <v>39</v>
      </c>
      <c r="F1194" t="s">
        <v>66</v>
      </c>
      <c r="G1194">
        <v>3.27</v>
      </c>
      <c r="H1194" t="s">
        <v>61</v>
      </c>
      <c r="I1194" t="s">
        <v>42</v>
      </c>
      <c r="M1194">
        <f>VLOOKUP(H1194,'Stage Order'!$A$2:$B$8,2,FALSE)</f>
        <v>1</v>
      </c>
      <c r="N1194" t="str">
        <f t="shared" si="36"/>
        <v>2. 1-24 hours</v>
      </c>
      <c r="O1194" t="str">
        <f t="shared" si="37"/>
        <v>2025-09</v>
      </c>
    </row>
    <row r="1195" spans="1:15" x14ac:dyDescent="0.3">
      <c r="A1195" t="s">
        <v>2857</v>
      </c>
      <c r="B1195" t="s">
        <v>2858</v>
      </c>
      <c r="C1195" t="s">
        <v>125</v>
      </c>
      <c r="D1195" t="s">
        <v>38</v>
      </c>
      <c r="E1195" t="s">
        <v>59</v>
      </c>
      <c r="F1195" t="s">
        <v>137</v>
      </c>
      <c r="G1195">
        <v>4.0999999999999996</v>
      </c>
      <c r="H1195" t="s">
        <v>41</v>
      </c>
      <c r="I1195" t="s">
        <v>42</v>
      </c>
      <c r="M1195">
        <f>VLOOKUP(H1195,'Stage Order'!$A$2:$B$8,2,FALSE)</f>
        <v>2</v>
      </c>
      <c r="N1195" t="str">
        <f t="shared" si="36"/>
        <v>2. 1-24 hours</v>
      </c>
      <c r="O1195" t="str">
        <f t="shared" si="37"/>
        <v>2025-09</v>
      </c>
    </row>
    <row r="1196" spans="1:15" x14ac:dyDescent="0.3">
      <c r="A1196" t="s">
        <v>2859</v>
      </c>
      <c r="B1196" t="s">
        <v>2860</v>
      </c>
      <c r="C1196" t="s">
        <v>125</v>
      </c>
      <c r="D1196" t="s">
        <v>29</v>
      </c>
      <c r="E1196" t="s">
        <v>30</v>
      </c>
      <c r="F1196" t="s">
        <v>31</v>
      </c>
      <c r="G1196">
        <v>2.08</v>
      </c>
      <c r="H1196" t="s">
        <v>41</v>
      </c>
      <c r="I1196" t="s">
        <v>42</v>
      </c>
      <c r="M1196">
        <f>VLOOKUP(H1196,'Stage Order'!$A$2:$B$8,2,FALSE)</f>
        <v>2</v>
      </c>
      <c r="N1196" t="str">
        <f t="shared" si="36"/>
        <v>2. 1-24 hours</v>
      </c>
      <c r="O1196" t="str">
        <f t="shared" si="37"/>
        <v>2025-03</v>
      </c>
    </row>
    <row r="1197" spans="1:15" x14ac:dyDescent="0.3">
      <c r="A1197" t="s">
        <v>2861</v>
      </c>
      <c r="B1197" t="s">
        <v>2862</v>
      </c>
      <c r="C1197" t="s">
        <v>81</v>
      </c>
      <c r="D1197" t="s">
        <v>38</v>
      </c>
      <c r="E1197" t="s">
        <v>39</v>
      </c>
      <c r="F1197" t="s">
        <v>40</v>
      </c>
      <c r="G1197">
        <v>0.73</v>
      </c>
      <c r="H1197" t="s">
        <v>61</v>
      </c>
      <c r="I1197" t="s">
        <v>42</v>
      </c>
      <c r="M1197">
        <f>VLOOKUP(H1197,'Stage Order'!$A$2:$B$8,2,FALSE)</f>
        <v>1</v>
      </c>
      <c r="N1197" t="str">
        <f t="shared" si="36"/>
        <v>1. Under 1 hour</v>
      </c>
      <c r="O1197" t="str">
        <f t="shared" si="37"/>
        <v>2025-10</v>
      </c>
    </row>
    <row r="1198" spans="1:15" x14ac:dyDescent="0.3">
      <c r="A1198" t="s">
        <v>2863</v>
      </c>
      <c r="B1198" t="s">
        <v>2864</v>
      </c>
      <c r="C1198" t="s">
        <v>76</v>
      </c>
      <c r="D1198" t="s">
        <v>77</v>
      </c>
      <c r="E1198" t="s">
        <v>39</v>
      </c>
      <c r="F1198" t="s">
        <v>106</v>
      </c>
      <c r="G1198">
        <v>1.69</v>
      </c>
      <c r="H1198" t="s">
        <v>41</v>
      </c>
      <c r="I1198" t="s">
        <v>42</v>
      </c>
      <c r="M1198">
        <f>VLOOKUP(H1198,'Stage Order'!$A$2:$B$8,2,FALSE)</f>
        <v>2</v>
      </c>
      <c r="N1198" t="str">
        <f t="shared" si="36"/>
        <v>2. 1-24 hours</v>
      </c>
      <c r="O1198" t="str">
        <f t="shared" si="37"/>
        <v>2025-11</v>
      </c>
    </row>
    <row r="1199" spans="1:15" x14ac:dyDescent="0.3">
      <c r="A1199" t="s">
        <v>2865</v>
      </c>
      <c r="B1199" t="s">
        <v>2866</v>
      </c>
      <c r="C1199" t="s">
        <v>37</v>
      </c>
      <c r="D1199" t="s">
        <v>29</v>
      </c>
      <c r="E1199" t="s">
        <v>39</v>
      </c>
      <c r="F1199" t="s">
        <v>106</v>
      </c>
      <c r="G1199">
        <v>2.72</v>
      </c>
      <c r="H1199" t="s">
        <v>41</v>
      </c>
      <c r="I1199" t="s">
        <v>42</v>
      </c>
      <c r="M1199">
        <f>VLOOKUP(H1199,'Stage Order'!$A$2:$B$8,2,FALSE)</f>
        <v>2</v>
      </c>
      <c r="N1199" t="str">
        <f t="shared" si="36"/>
        <v>2. 1-24 hours</v>
      </c>
      <c r="O1199" t="str">
        <f t="shared" si="37"/>
        <v>2025-02</v>
      </c>
    </row>
    <row r="1200" spans="1:15" x14ac:dyDescent="0.3">
      <c r="A1200" t="s">
        <v>2867</v>
      </c>
      <c r="B1200" t="s">
        <v>2868</v>
      </c>
      <c r="C1200" t="s">
        <v>58</v>
      </c>
      <c r="D1200" t="s">
        <v>29</v>
      </c>
      <c r="E1200" t="s">
        <v>59</v>
      </c>
      <c r="F1200" t="s">
        <v>60</v>
      </c>
      <c r="G1200">
        <v>1.75</v>
      </c>
      <c r="H1200" t="s">
        <v>32</v>
      </c>
      <c r="I1200" t="s">
        <v>33</v>
      </c>
      <c r="K1200">
        <v>719.46</v>
      </c>
      <c r="L1200" t="s">
        <v>2869</v>
      </c>
      <c r="M1200">
        <f>VLOOKUP(H1200,'Stage Order'!$A$2:$B$8,2,FALSE)</f>
        <v>7</v>
      </c>
      <c r="N1200" t="str">
        <f t="shared" si="36"/>
        <v>2. 1-24 hours</v>
      </c>
      <c r="O1200" t="str">
        <f t="shared" si="37"/>
        <v>2025-07</v>
      </c>
    </row>
    <row r="1201" spans="1:15" x14ac:dyDescent="0.3">
      <c r="A1201" t="s">
        <v>2870</v>
      </c>
      <c r="B1201" t="s">
        <v>2871</v>
      </c>
      <c r="C1201" t="s">
        <v>76</v>
      </c>
      <c r="D1201" t="s">
        <v>77</v>
      </c>
      <c r="E1201" t="s">
        <v>45</v>
      </c>
      <c r="F1201" t="s">
        <v>55</v>
      </c>
      <c r="G1201">
        <v>10.79</v>
      </c>
      <c r="H1201" t="s">
        <v>41</v>
      </c>
      <c r="I1201" t="s">
        <v>42</v>
      </c>
      <c r="M1201">
        <f>VLOOKUP(H1201,'Stage Order'!$A$2:$B$8,2,FALSE)</f>
        <v>2</v>
      </c>
      <c r="N1201" t="str">
        <f t="shared" si="36"/>
        <v>2. 1-24 hours</v>
      </c>
      <c r="O1201" t="str">
        <f t="shared" si="37"/>
        <v>2025-11</v>
      </c>
    </row>
    <row r="1202" spans="1:15" x14ac:dyDescent="0.3">
      <c r="A1202" t="s">
        <v>2872</v>
      </c>
      <c r="B1202" t="s">
        <v>2873</v>
      </c>
      <c r="C1202" t="s">
        <v>58</v>
      </c>
      <c r="D1202" t="s">
        <v>77</v>
      </c>
      <c r="E1202" t="s">
        <v>39</v>
      </c>
      <c r="F1202" t="s">
        <v>66</v>
      </c>
      <c r="G1202">
        <v>8.09</v>
      </c>
      <c r="H1202" t="s">
        <v>41</v>
      </c>
      <c r="I1202" t="s">
        <v>42</v>
      </c>
      <c r="M1202">
        <f>VLOOKUP(H1202,'Stage Order'!$A$2:$B$8,2,FALSE)</f>
        <v>2</v>
      </c>
      <c r="N1202" t="str">
        <f t="shared" si="36"/>
        <v>2. 1-24 hours</v>
      </c>
      <c r="O1202" t="str">
        <f t="shared" si="37"/>
        <v>2026-01</v>
      </c>
    </row>
    <row r="1203" spans="1:15" x14ac:dyDescent="0.3">
      <c r="A1203" t="s">
        <v>2874</v>
      </c>
      <c r="B1203" t="s">
        <v>2875</v>
      </c>
      <c r="C1203" t="s">
        <v>28</v>
      </c>
      <c r="D1203" t="s">
        <v>77</v>
      </c>
      <c r="E1203" t="s">
        <v>39</v>
      </c>
      <c r="F1203" t="s">
        <v>66</v>
      </c>
      <c r="G1203">
        <v>13.78</v>
      </c>
      <c r="H1203" t="s">
        <v>146</v>
      </c>
      <c r="I1203" t="s">
        <v>48</v>
      </c>
      <c r="J1203" t="s">
        <v>742</v>
      </c>
      <c r="K1203">
        <v>1050.56</v>
      </c>
      <c r="L1203" t="s">
        <v>2876</v>
      </c>
      <c r="M1203">
        <f>VLOOKUP(H1203,'Stage Order'!$A$2:$B$8,2,FALSE)</f>
        <v>5</v>
      </c>
      <c r="N1203" t="str">
        <f t="shared" si="36"/>
        <v>2. 1-24 hours</v>
      </c>
      <c r="O1203" t="str">
        <f t="shared" si="37"/>
        <v>2026-01</v>
      </c>
    </row>
    <row r="1204" spans="1:15" x14ac:dyDescent="0.3">
      <c r="A1204" t="s">
        <v>2877</v>
      </c>
      <c r="B1204" t="s">
        <v>2878</v>
      </c>
      <c r="C1204" t="s">
        <v>37</v>
      </c>
      <c r="D1204" t="s">
        <v>38</v>
      </c>
      <c r="E1204" t="s">
        <v>59</v>
      </c>
      <c r="F1204" t="s">
        <v>117</v>
      </c>
      <c r="G1204">
        <v>0.65</v>
      </c>
      <c r="H1204" t="s">
        <v>138</v>
      </c>
      <c r="I1204" t="s">
        <v>48</v>
      </c>
      <c r="J1204" t="s">
        <v>49</v>
      </c>
      <c r="K1204">
        <v>393.19</v>
      </c>
      <c r="L1204" t="s">
        <v>2879</v>
      </c>
      <c r="M1204">
        <f>VLOOKUP(H1204,'Stage Order'!$A$2:$B$8,2,FALSE)</f>
        <v>6</v>
      </c>
      <c r="N1204" t="str">
        <f t="shared" si="36"/>
        <v>1. Under 1 hour</v>
      </c>
      <c r="O1204" t="str">
        <f t="shared" si="37"/>
        <v>2025-06</v>
      </c>
    </row>
    <row r="1205" spans="1:15" x14ac:dyDescent="0.3">
      <c r="A1205" t="s">
        <v>2880</v>
      </c>
      <c r="B1205" t="s">
        <v>2881</v>
      </c>
      <c r="C1205" t="s">
        <v>125</v>
      </c>
      <c r="D1205" t="s">
        <v>97</v>
      </c>
      <c r="E1205" t="s">
        <v>45</v>
      </c>
      <c r="F1205" t="s">
        <v>94</v>
      </c>
      <c r="G1205">
        <v>3.78</v>
      </c>
      <c r="H1205" t="s">
        <v>41</v>
      </c>
      <c r="I1205" t="s">
        <v>42</v>
      </c>
      <c r="M1205">
        <f>VLOOKUP(H1205,'Stage Order'!$A$2:$B$8,2,FALSE)</f>
        <v>2</v>
      </c>
      <c r="N1205" t="str">
        <f t="shared" si="36"/>
        <v>2. 1-24 hours</v>
      </c>
      <c r="O1205" t="str">
        <f t="shared" si="37"/>
        <v>2026-02</v>
      </c>
    </row>
    <row r="1206" spans="1:15" x14ac:dyDescent="0.3">
      <c r="A1206" t="s">
        <v>2882</v>
      </c>
      <c r="B1206" t="s">
        <v>2883</v>
      </c>
      <c r="C1206" t="s">
        <v>58</v>
      </c>
      <c r="D1206" t="s">
        <v>38</v>
      </c>
      <c r="E1206" t="s">
        <v>45</v>
      </c>
      <c r="F1206" t="s">
        <v>55</v>
      </c>
      <c r="G1206">
        <v>3.97</v>
      </c>
      <c r="H1206" t="s">
        <v>41</v>
      </c>
      <c r="I1206" t="s">
        <v>42</v>
      </c>
      <c r="M1206">
        <f>VLOOKUP(H1206,'Stage Order'!$A$2:$B$8,2,FALSE)</f>
        <v>2</v>
      </c>
      <c r="N1206" t="str">
        <f t="shared" si="36"/>
        <v>2. 1-24 hours</v>
      </c>
      <c r="O1206" t="str">
        <f t="shared" si="37"/>
        <v>2025-12</v>
      </c>
    </row>
    <row r="1207" spans="1:15" x14ac:dyDescent="0.3">
      <c r="A1207" t="s">
        <v>2884</v>
      </c>
      <c r="B1207" t="s">
        <v>2885</v>
      </c>
      <c r="C1207" t="s">
        <v>58</v>
      </c>
      <c r="D1207" t="s">
        <v>54</v>
      </c>
      <c r="E1207" t="s">
        <v>45</v>
      </c>
      <c r="F1207" t="s">
        <v>55</v>
      </c>
      <c r="G1207">
        <v>0.9</v>
      </c>
      <c r="H1207" t="s">
        <v>32</v>
      </c>
      <c r="I1207" t="s">
        <v>33</v>
      </c>
      <c r="K1207">
        <v>503.06</v>
      </c>
      <c r="L1207" t="s">
        <v>2886</v>
      </c>
      <c r="M1207">
        <f>VLOOKUP(H1207,'Stage Order'!$A$2:$B$8,2,FALSE)</f>
        <v>7</v>
      </c>
      <c r="N1207" t="str">
        <f t="shared" si="36"/>
        <v>1. Under 1 hour</v>
      </c>
      <c r="O1207" t="str">
        <f t="shared" si="37"/>
        <v>2025-06</v>
      </c>
    </row>
    <row r="1208" spans="1:15" x14ac:dyDescent="0.3">
      <c r="A1208" t="s">
        <v>2887</v>
      </c>
      <c r="B1208" t="s">
        <v>2888</v>
      </c>
      <c r="C1208" t="s">
        <v>125</v>
      </c>
      <c r="D1208" t="s">
        <v>38</v>
      </c>
      <c r="E1208" t="s">
        <v>45</v>
      </c>
      <c r="F1208" t="s">
        <v>46</v>
      </c>
      <c r="G1208">
        <v>3.28</v>
      </c>
      <c r="H1208" t="s">
        <v>41</v>
      </c>
      <c r="I1208" t="s">
        <v>42</v>
      </c>
      <c r="M1208">
        <f>VLOOKUP(H1208,'Stage Order'!$A$2:$B$8,2,FALSE)</f>
        <v>2</v>
      </c>
      <c r="N1208" t="str">
        <f t="shared" si="36"/>
        <v>2. 1-24 hours</v>
      </c>
      <c r="O1208" t="str">
        <f t="shared" si="37"/>
        <v>2025-11</v>
      </c>
    </row>
    <row r="1209" spans="1:15" x14ac:dyDescent="0.3">
      <c r="A1209" t="s">
        <v>2889</v>
      </c>
      <c r="B1209" t="s">
        <v>2890</v>
      </c>
      <c r="C1209" t="s">
        <v>53</v>
      </c>
      <c r="D1209" t="s">
        <v>54</v>
      </c>
      <c r="E1209" t="s">
        <v>45</v>
      </c>
      <c r="F1209" t="s">
        <v>46</v>
      </c>
      <c r="G1209">
        <v>1.03</v>
      </c>
      <c r="H1209" t="s">
        <v>41</v>
      </c>
      <c r="I1209" t="s">
        <v>42</v>
      </c>
      <c r="M1209">
        <f>VLOOKUP(H1209,'Stage Order'!$A$2:$B$8,2,FALSE)</f>
        <v>2</v>
      </c>
      <c r="N1209" t="str">
        <f t="shared" si="36"/>
        <v>2. 1-24 hours</v>
      </c>
      <c r="O1209" t="str">
        <f t="shared" si="37"/>
        <v>2026-02</v>
      </c>
    </row>
    <row r="1210" spans="1:15" x14ac:dyDescent="0.3">
      <c r="A1210" t="s">
        <v>2891</v>
      </c>
      <c r="B1210" t="s">
        <v>2892</v>
      </c>
      <c r="C1210" t="s">
        <v>37</v>
      </c>
      <c r="D1210" t="s">
        <v>29</v>
      </c>
      <c r="E1210" t="s">
        <v>45</v>
      </c>
      <c r="F1210" t="s">
        <v>94</v>
      </c>
      <c r="G1210">
        <v>3.48</v>
      </c>
      <c r="H1210" t="s">
        <v>41</v>
      </c>
      <c r="I1210" t="s">
        <v>42</v>
      </c>
      <c r="M1210">
        <f>VLOOKUP(H1210,'Stage Order'!$A$2:$B$8,2,FALSE)</f>
        <v>2</v>
      </c>
      <c r="N1210" t="str">
        <f t="shared" si="36"/>
        <v>2. 1-24 hours</v>
      </c>
      <c r="O1210" t="str">
        <f t="shared" si="37"/>
        <v>2025-06</v>
      </c>
    </row>
    <row r="1211" spans="1:15" x14ac:dyDescent="0.3">
      <c r="A1211" t="s">
        <v>2893</v>
      </c>
      <c r="B1211" t="s">
        <v>2894</v>
      </c>
      <c r="C1211" t="s">
        <v>125</v>
      </c>
      <c r="D1211" t="s">
        <v>97</v>
      </c>
      <c r="E1211" t="s">
        <v>45</v>
      </c>
      <c r="F1211" t="s">
        <v>94</v>
      </c>
      <c r="G1211">
        <v>3.77</v>
      </c>
      <c r="H1211" t="s">
        <v>41</v>
      </c>
      <c r="I1211" t="s">
        <v>42</v>
      </c>
      <c r="M1211">
        <f>VLOOKUP(H1211,'Stage Order'!$A$2:$B$8,2,FALSE)</f>
        <v>2</v>
      </c>
      <c r="N1211" t="str">
        <f t="shared" si="36"/>
        <v>2. 1-24 hours</v>
      </c>
      <c r="O1211" t="str">
        <f t="shared" si="37"/>
        <v>2026-03</v>
      </c>
    </row>
    <row r="1212" spans="1:15" x14ac:dyDescent="0.3">
      <c r="A1212" t="s">
        <v>2895</v>
      </c>
      <c r="B1212" t="s">
        <v>2896</v>
      </c>
      <c r="C1212" t="s">
        <v>53</v>
      </c>
      <c r="D1212" t="s">
        <v>97</v>
      </c>
      <c r="E1212" t="s">
        <v>45</v>
      </c>
      <c r="F1212" t="s">
        <v>94</v>
      </c>
      <c r="G1212">
        <v>12.42</v>
      </c>
      <c r="H1212" t="s">
        <v>32</v>
      </c>
      <c r="I1212" t="s">
        <v>33</v>
      </c>
      <c r="K1212">
        <v>1683.97</v>
      </c>
      <c r="L1212" t="s">
        <v>2897</v>
      </c>
      <c r="M1212">
        <f>VLOOKUP(H1212,'Stage Order'!$A$2:$B$8,2,FALSE)</f>
        <v>7</v>
      </c>
      <c r="N1212" t="str">
        <f t="shared" si="36"/>
        <v>2. 1-24 hours</v>
      </c>
      <c r="O1212" t="str">
        <f t="shared" si="37"/>
        <v>2026-02</v>
      </c>
    </row>
    <row r="1213" spans="1:15" x14ac:dyDescent="0.3">
      <c r="A1213" t="s">
        <v>2898</v>
      </c>
      <c r="B1213" t="s">
        <v>2899</v>
      </c>
      <c r="C1213" t="s">
        <v>37</v>
      </c>
      <c r="D1213" t="s">
        <v>77</v>
      </c>
      <c r="E1213" t="s">
        <v>39</v>
      </c>
      <c r="F1213" t="s">
        <v>40</v>
      </c>
      <c r="G1213">
        <v>3.71</v>
      </c>
      <c r="H1213" t="s">
        <v>47</v>
      </c>
      <c r="I1213" t="s">
        <v>48</v>
      </c>
      <c r="J1213" t="s">
        <v>98</v>
      </c>
      <c r="K1213">
        <v>940.75</v>
      </c>
      <c r="L1213" t="s">
        <v>2900</v>
      </c>
      <c r="M1213">
        <f>VLOOKUP(H1213,'Stage Order'!$A$2:$B$8,2,FALSE)</f>
        <v>4</v>
      </c>
      <c r="N1213" t="str">
        <f t="shared" si="36"/>
        <v>2. 1-24 hours</v>
      </c>
      <c r="O1213" t="str">
        <f t="shared" si="37"/>
        <v>2026-06</v>
      </c>
    </row>
    <row r="1214" spans="1:15" x14ac:dyDescent="0.3">
      <c r="A1214" t="s">
        <v>2901</v>
      </c>
      <c r="B1214" t="s">
        <v>2902</v>
      </c>
      <c r="C1214" t="s">
        <v>81</v>
      </c>
      <c r="D1214" t="s">
        <v>97</v>
      </c>
      <c r="E1214" t="s">
        <v>59</v>
      </c>
      <c r="F1214" t="s">
        <v>60</v>
      </c>
      <c r="G1214">
        <v>10.3</v>
      </c>
      <c r="H1214" t="s">
        <v>61</v>
      </c>
      <c r="I1214" t="s">
        <v>42</v>
      </c>
      <c r="M1214">
        <f>VLOOKUP(H1214,'Stage Order'!$A$2:$B$8,2,FALSE)</f>
        <v>1</v>
      </c>
      <c r="N1214" t="str">
        <f t="shared" si="36"/>
        <v>2. 1-24 hours</v>
      </c>
      <c r="O1214" t="str">
        <f t="shared" si="37"/>
        <v>2026-02</v>
      </c>
    </row>
    <row r="1215" spans="1:15" x14ac:dyDescent="0.3">
      <c r="A1215" t="s">
        <v>2903</v>
      </c>
      <c r="B1215" t="s">
        <v>2904</v>
      </c>
      <c r="C1215" t="s">
        <v>81</v>
      </c>
      <c r="D1215" t="s">
        <v>38</v>
      </c>
      <c r="E1215" t="s">
        <v>90</v>
      </c>
      <c r="F1215" t="s">
        <v>112</v>
      </c>
      <c r="G1215">
        <v>2.2999999999999998</v>
      </c>
      <c r="H1215" t="s">
        <v>61</v>
      </c>
      <c r="I1215" t="s">
        <v>42</v>
      </c>
      <c r="M1215">
        <f>VLOOKUP(H1215,'Stage Order'!$A$2:$B$8,2,FALSE)</f>
        <v>1</v>
      </c>
      <c r="N1215" t="str">
        <f t="shared" si="36"/>
        <v>2. 1-24 hours</v>
      </c>
      <c r="O1215" t="str">
        <f t="shared" si="37"/>
        <v>2026-05</v>
      </c>
    </row>
    <row r="1216" spans="1:15" x14ac:dyDescent="0.3">
      <c r="A1216" t="s">
        <v>2905</v>
      </c>
      <c r="B1216" t="s">
        <v>2906</v>
      </c>
      <c r="C1216" t="s">
        <v>81</v>
      </c>
      <c r="D1216" t="s">
        <v>54</v>
      </c>
      <c r="E1216" t="s">
        <v>39</v>
      </c>
      <c r="F1216" t="s">
        <v>40</v>
      </c>
      <c r="G1216">
        <v>4.6399999999999997</v>
      </c>
      <c r="H1216" t="s">
        <v>47</v>
      </c>
      <c r="I1216" t="s">
        <v>48</v>
      </c>
      <c r="J1216" t="s">
        <v>49</v>
      </c>
      <c r="K1216">
        <v>416.32</v>
      </c>
      <c r="L1216" t="s">
        <v>2907</v>
      </c>
      <c r="M1216">
        <f>VLOOKUP(H1216,'Stage Order'!$A$2:$B$8,2,FALSE)</f>
        <v>4</v>
      </c>
      <c r="N1216" t="str">
        <f t="shared" si="36"/>
        <v>2. 1-24 hours</v>
      </c>
      <c r="O1216" t="str">
        <f t="shared" si="37"/>
        <v>2026-06</v>
      </c>
    </row>
    <row r="1217" spans="1:15" x14ac:dyDescent="0.3">
      <c r="A1217" t="s">
        <v>2908</v>
      </c>
      <c r="B1217" t="s">
        <v>2909</v>
      </c>
      <c r="C1217" t="s">
        <v>53</v>
      </c>
      <c r="D1217" t="s">
        <v>54</v>
      </c>
      <c r="E1217" t="s">
        <v>59</v>
      </c>
      <c r="F1217" t="s">
        <v>137</v>
      </c>
      <c r="G1217">
        <v>1.01</v>
      </c>
      <c r="H1217" t="s">
        <v>146</v>
      </c>
      <c r="I1217" t="s">
        <v>48</v>
      </c>
      <c r="J1217" t="s">
        <v>139</v>
      </c>
      <c r="K1217">
        <v>572.79</v>
      </c>
      <c r="L1217" t="s">
        <v>2910</v>
      </c>
      <c r="M1217">
        <f>VLOOKUP(H1217,'Stage Order'!$A$2:$B$8,2,FALSE)</f>
        <v>5</v>
      </c>
      <c r="N1217" t="str">
        <f t="shared" si="36"/>
        <v>2. 1-24 hours</v>
      </c>
      <c r="O1217" t="str">
        <f t="shared" si="37"/>
        <v>2025-11</v>
      </c>
    </row>
    <row r="1218" spans="1:15" x14ac:dyDescent="0.3">
      <c r="A1218" t="s">
        <v>2911</v>
      </c>
      <c r="B1218" t="s">
        <v>2912</v>
      </c>
      <c r="C1218" t="s">
        <v>28</v>
      </c>
      <c r="D1218" t="s">
        <v>54</v>
      </c>
      <c r="E1218" t="s">
        <v>45</v>
      </c>
      <c r="F1218" t="s">
        <v>46</v>
      </c>
      <c r="G1218">
        <v>1.69</v>
      </c>
      <c r="H1218" t="s">
        <v>61</v>
      </c>
      <c r="I1218" t="s">
        <v>42</v>
      </c>
      <c r="M1218">
        <f>VLOOKUP(H1218,'Stage Order'!$A$2:$B$8,2,FALSE)</f>
        <v>1</v>
      </c>
      <c r="N1218" t="str">
        <f t="shared" ref="N1218:N1281" si="38">IF(G1218&lt;=1,"1. Under 1 hour",IF(G1218&lt;=24,"2. 1-24 hours",IF(G1218&lt;=72,"3. 1-3 days","4. Over 3 days")))</f>
        <v>2. 1-24 hours</v>
      </c>
      <c r="O1218" t="str">
        <f t="shared" ref="O1218:O1281" si="39">TEXT(B1218,"YYYY-MM")</f>
        <v>2025-08</v>
      </c>
    </row>
    <row r="1219" spans="1:15" x14ac:dyDescent="0.3">
      <c r="A1219" t="s">
        <v>2913</v>
      </c>
      <c r="B1219" t="s">
        <v>2914</v>
      </c>
      <c r="C1219" t="s">
        <v>58</v>
      </c>
      <c r="D1219" t="s">
        <v>97</v>
      </c>
      <c r="E1219" t="s">
        <v>45</v>
      </c>
      <c r="F1219" t="s">
        <v>46</v>
      </c>
      <c r="G1219">
        <v>12</v>
      </c>
      <c r="H1219" t="s">
        <v>138</v>
      </c>
      <c r="I1219" t="s">
        <v>48</v>
      </c>
      <c r="J1219" t="s">
        <v>98</v>
      </c>
      <c r="K1219">
        <v>1712.38</v>
      </c>
      <c r="L1219" t="s">
        <v>2915</v>
      </c>
      <c r="M1219">
        <f>VLOOKUP(H1219,'Stage Order'!$A$2:$B$8,2,FALSE)</f>
        <v>6</v>
      </c>
      <c r="N1219" t="str">
        <f t="shared" si="38"/>
        <v>2. 1-24 hours</v>
      </c>
      <c r="O1219" t="str">
        <f t="shared" si="39"/>
        <v>2026-03</v>
      </c>
    </row>
    <row r="1220" spans="1:15" x14ac:dyDescent="0.3">
      <c r="A1220" t="s">
        <v>2916</v>
      </c>
      <c r="B1220" t="s">
        <v>2917</v>
      </c>
      <c r="C1220" t="s">
        <v>53</v>
      </c>
      <c r="D1220" t="s">
        <v>29</v>
      </c>
      <c r="E1220" t="s">
        <v>45</v>
      </c>
      <c r="F1220" t="s">
        <v>94</v>
      </c>
      <c r="G1220">
        <v>6.79</v>
      </c>
      <c r="H1220" t="s">
        <v>32</v>
      </c>
      <c r="I1220" t="s">
        <v>33</v>
      </c>
      <c r="K1220">
        <v>568.32000000000005</v>
      </c>
      <c r="L1220" t="s">
        <v>2918</v>
      </c>
      <c r="M1220">
        <f>VLOOKUP(H1220,'Stage Order'!$A$2:$B$8,2,FALSE)</f>
        <v>7</v>
      </c>
      <c r="N1220" t="str">
        <f t="shared" si="38"/>
        <v>2. 1-24 hours</v>
      </c>
      <c r="O1220" t="str">
        <f t="shared" si="39"/>
        <v>2025-07</v>
      </c>
    </row>
    <row r="1221" spans="1:15" x14ac:dyDescent="0.3">
      <c r="A1221" t="s">
        <v>2919</v>
      </c>
      <c r="B1221" t="s">
        <v>2920</v>
      </c>
      <c r="C1221" t="s">
        <v>81</v>
      </c>
      <c r="D1221" t="s">
        <v>77</v>
      </c>
      <c r="E1221" t="s">
        <v>45</v>
      </c>
      <c r="F1221" t="s">
        <v>46</v>
      </c>
      <c r="G1221">
        <v>0.87</v>
      </c>
      <c r="H1221" t="s">
        <v>41</v>
      </c>
      <c r="I1221" t="s">
        <v>42</v>
      </c>
      <c r="M1221">
        <f>VLOOKUP(H1221,'Stage Order'!$A$2:$B$8,2,FALSE)</f>
        <v>2</v>
      </c>
      <c r="N1221" t="str">
        <f t="shared" si="38"/>
        <v>1. Under 1 hour</v>
      </c>
      <c r="O1221" t="str">
        <f t="shared" si="39"/>
        <v>2026-05</v>
      </c>
    </row>
    <row r="1222" spans="1:15" x14ac:dyDescent="0.3">
      <c r="A1222" t="s">
        <v>2921</v>
      </c>
      <c r="B1222" t="s">
        <v>2922</v>
      </c>
      <c r="C1222" t="s">
        <v>37</v>
      </c>
      <c r="D1222" t="s">
        <v>38</v>
      </c>
      <c r="E1222" t="s">
        <v>90</v>
      </c>
      <c r="F1222" t="s">
        <v>145</v>
      </c>
      <c r="G1222">
        <v>1.1000000000000001</v>
      </c>
      <c r="H1222" t="s">
        <v>41</v>
      </c>
      <c r="I1222" t="s">
        <v>42</v>
      </c>
      <c r="M1222">
        <f>VLOOKUP(H1222,'Stage Order'!$A$2:$B$8,2,FALSE)</f>
        <v>2</v>
      </c>
      <c r="N1222" t="str">
        <f t="shared" si="38"/>
        <v>2. 1-24 hours</v>
      </c>
      <c r="O1222" t="str">
        <f t="shared" si="39"/>
        <v>2025-11</v>
      </c>
    </row>
    <row r="1223" spans="1:15" x14ac:dyDescent="0.3">
      <c r="A1223" t="s">
        <v>2923</v>
      </c>
      <c r="B1223" t="s">
        <v>2924</v>
      </c>
      <c r="C1223" t="s">
        <v>125</v>
      </c>
      <c r="D1223" t="s">
        <v>38</v>
      </c>
      <c r="E1223" t="s">
        <v>59</v>
      </c>
      <c r="F1223" t="s">
        <v>60</v>
      </c>
      <c r="G1223">
        <v>2.52</v>
      </c>
      <c r="H1223" t="s">
        <v>61</v>
      </c>
      <c r="I1223" t="s">
        <v>42</v>
      </c>
      <c r="M1223">
        <f>VLOOKUP(H1223,'Stage Order'!$A$2:$B$8,2,FALSE)</f>
        <v>1</v>
      </c>
      <c r="N1223" t="str">
        <f t="shared" si="38"/>
        <v>2. 1-24 hours</v>
      </c>
      <c r="O1223" t="str">
        <f t="shared" si="39"/>
        <v>2025-02</v>
      </c>
    </row>
    <row r="1224" spans="1:15" x14ac:dyDescent="0.3">
      <c r="A1224" t="s">
        <v>2925</v>
      </c>
      <c r="B1224" t="s">
        <v>2926</v>
      </c>
      <c r="C1224" t="s">
        <v>28</v>
      </c>
      <c r="D1224" t="s">
        <v>38</v>
      </c>
      <c r="E1224" t="s">
        <v>45</v>
      </c>
      <c r="F1224" t="s">
        <v>46</v>
      </c>
      <c r="G1224">
        <v>1.9</v>
      </c>
      <c r="H1224" t="s">
        <v>32</v>
      </c>
      <c r="I1224" t="s">
        <v>33</v>
      </c>
      <c r="K1224">
        <v>372</v>
      </c>
      <c r="L1224" t="s">
        <v>2927</v>
      </c>
      <c r="M1224">
        <f>VLOOKUP(H1224,'Stage Order'!$A$2:$B$8,2,FALSE)</f>
        <v>7</v>
      </c>
      <c r="N1224" t="str">
        <f t="shared" si="38"/>
        <v>2. 1-24 hours</v>
      </c>
      <c r="O1224" t="str">
        <f t="shared" si="39"/>
        <v>2026-05</v>
      </c>
    </row>
    <row r="1225" spans="1:15" x14ac:dyDescent="0.3">
      <c r="A1225" t="s">
        <v>2928</v>
      </c>
      <c r="B1225" t="s">
        <v>2929</v>
      </c>
      <c r="C1225" t="s">
        <v>37</v>
      </c>
      <c r="D1225" t="s">
        <v>38</v>
      </c>
      <c r="E1225" t="s">
        <v>39</v>
      </c>
      <c r="F1225" t="s">
        <v>66</v>
      </c>
      <c r="G1225">
        <v>3.51</v>
      </c>
      <c r="H1225" t="s">
        <v>41</v>
      </c>
      <c r="I1225" t="s">
        <v>42</v>
      </c>
      <c r="M1225">
        <f>VLOOKUP(H1225,'Stage Order'!$A$2:$B$8,2,FALSE)</f>
        <v>2</v>
      </c>
      <c r="N1225" t="str">
        <f t="shared" si="38"/>
        <v>2. 1-24 hours</v>
      </c>
      <c r="O1225" t="str">
        <f t="shared" si="39"/>
        <v>2025-05</v>
      </c>
    </row>
    <row r="1226" spans="1:15" x14ac:dyDescent="0.3">
      <c r="A1226" t="s">
        <v>2930</v>
      </c>
      <c r="B1226" t="s">
        <v>2931</v>
      </c>
      <c r="C1226" t="s">
        <v>53</v>
      </c>
      <c r="D1226" t="s">
        <v>54</v>
      </c>
      <c r="E1226" t="s">
        <v>39</v>
      </c>
      <c r="F1226" t="s">
        <v>106</v>
      </c>
      <c r="G1226">
        <v>2.21</v>
      </c>
      <c r="H1226" t="s">
        <v>41</v>
      </c>
      <c r="I1226" t="s">
        <v>42</v>
      </c>
      <c r="M1226">
        <f>VLOOKUP(H1226,'Stage Order'!$A$2:$B$8,2,FALSE)</f>
        <v>2</v>
      </c>
      <c r="N1226" t="str">
        <f t="shared" si="38"/>
        <v>2. 1-24 hours</v>
      </c>
      <c r="O1226" t="str">
        <f t="shared" si="39"/>
        <v>2025-11</v>
      </c>
    </row>
    <row r="1227" spans="1:15" x14ac:dyDescent="0.3">
      <c r="A1227" t="s">
        <v>2932</v>
      </c>
      <c r="B1227" t="s">
        <v>2933</v>
      </c>
      <c r="C1227" t="s">
        <v>53</v>
      </c>
      <c r="D1227" t="s">
        <v>77</v>
      </c>
      <c r="E1227" t="s">
        <v>30</v>
      </c>
      <c r="F1227" t="s">
        <v>82</v>
      </c>
      <c r="G1227">
        <v>1.24</v>
      </c>
      <c r="H1227" t="s">
        <v>41</v>
      </c>
      <c r="I1227" t="s">
        <v>42</v>
      </c>
      <c r="M1227">
        <f>VLOOKUP(H1227,'Stage Order'!$A$2:$B$8,2,FALSE)</f>
        <v>2</v>
      </c>
      <c r="N1227" t="str">
        <f t="shared" si="38"/>
        <v>2. 1-24 hours</v>
      </c>
      <c r="O1227" t="str">
        <f t="shared" si="39"/>
        <v>2025-04</v>
      </c>
    </row>
    <row r="1228" spans="1:15" x14ac:dyDescent="0.3">
      <c r="A1228" t="s">
        <v>2934</v>
      </c>
      <c r="B1228" t="s">
        <v>2935</v>
      </c>
      <c r="C1228" t="s">
        <v>53</v>
      </c>
      <c r="D1228" t="s">
        <v>38</v>
      </c>
      <c r="E1228" t="s">
        <v>90</v>
      </c>
      <c r="F1228" t="s">
        <v>145</v>
      </c>
      <c r="G1228">
        <v>2.92</v>
      </c>
      <c r="H1228" t="s">
        <v>146</v>
      </c>
      <c r="I1228" t="s">
        <v>48</v>
      </c>
      <c r="J1228" t="s">
        <v>98</v>
      </c>
      <c r="K1228">
        <v>402.99</v>
      </c>
      <c r="L1228" t="s">
        <v>2936</v>
      </c>
      <c r="M1228">
        <f>VLOOKUP(H1228,'Stage Order'!$A$2:$B$8,2,FALSE)</f>
        <v>5</v>
      </c>
      <c r="N1228" t="str">
        <f t="shared" si="38"/>
        <v>2. 1-24 hours</v>
      </c>
      <c r="O1228" t="str">
        <f t="shared" si="39"/>
        <v>2025-10</v>
      </c>
    </row>
    <row r="1229" spans="1:15" x14ac:dyDescent="0.3">
      <c r="A1229" t="s">
        <v>2937</v>
      </c>
      <c r="B1229" t="s">
        <v>2938</v>
      </c>
      <c r="C1229" t="s">
        <v>28</v>
      </c>
      <c r="D1229" t="s">
        <v>54</v>
      </c>
      <c r="E1229" t="s">
        <v>45</v>
      </c>
      <c r="F1229" t="s">
        <v>46</v>
      </c>
      <c r="G1229">
        <v>2.74</v>
      </c>
      <c r="H1229" t="s">
        <v>138</v>
      </c>
      <c r="I1229" t="s">
        <v>48</v>
      </c>
      <c r="J1229" t="s">
        <v>98</v>
      </c>
      <c r="K1229">
        <v>542.76</v>
      </c>
      <c r="L1229" t="s">
        <v>2939</v>
      </c>
      <c r="M1229">
        <f>VLOOKUP(H1229,'Stage Order'!$A$2:$B$8,2,FALSE)</f>
        <v>6</v>
      </c>
      <c r="N1229" t="str">
        <f t="shared" si="38"/>
        <v>2. 1-24 hours</v>
      </c>
      <c r="O1229" t="str">
        <f t="shared" si="39"/>
        <v>2026-05</v>
      </c>
    </row>
    <row r="1230" spans="1:15" x14ac:dyDescent="0.3">
      <c r="A1230" t="s">
        <v>2940</v>
      </c>
      <c r="B1230" t="s">
        <v>2941</v>
      </c>
      <c r="C1230" t="s">
        <v>37</v>
      </c>
      <c r="D1230" t="s">
        <v>29</v>
      </c>
      <c r="E1230" t="s">
        <v>39</v>
      </c>
      <c r="F1230" t="s">
        <v>106</v>
      </c>
      <c r="G1230">
        <v>3.03</v>
      </c>
      <c r="H1230" t="s">
        <v>146</v>
      </c>
      <c r="I1230" t="s">
        <v>48</v>
      </c>
      <c r="J1230" t="s">
        <v>98</v>
      </c>
      <c r="K1230">
        <v>731.05</v>
      </c>
      <c r="L1230" t="s">
        <v>2942</v>
      </c>
      <c r="M1230">
        <f>VLOOKUP(H1230,'Stage Order'!$A$2:$B$8,2,FALSE)</f>
        <v>5</v>
      </c>
      <c r="N1230" t="str">
        <f t="shared" si="38"/>
        <v>2. 1-24 hours</v>
      </c>
      <c r="O1230" t="str">
        <f t="shared" si="39"/>
        <v>2025-10</v>
      </c>
    </row>
    <row r="1231" spans="1:15" x14ac:dyDescent="0.3">
      <c r="A1231" t="s">
        <v>2943</v>
      </c>
      <c r="B1231" t="s">
        <v>2944</v>
      </c>
      <c r="C1231" t="s">
        <v>58</v>
      </c>
      <c r="D1231" t="s">
        <v>77</v>
      </c>
      <c r="E1231" t="s">
        <v>39</v>
      </c>
      <c r="F1231" t="s">
        <v>106</v>
      </c>
      <c r="G1231">
        <v>5.66</v>
      </c>
      <c r="H1231" t="s">
        <v>41</v>
      </c>
      <c r="I1231" t="s">
        <v>42</v>
      </c>
      <c r="M1231">
        <f>VLOOKUP(H1231,'Stage Order'!$A$2:$B$8,2,FALSE)</f>
        <v>2</v>
      </c>
      <c r="N1231" t="str">
        <f t="shared" si="38"/>
        <v>2. 1-24 hours</v>
      </c>
      <c r="O1231" t="str">
        <f t="shared" si="39"/>
        <v>2025-06</v>
      </c>
    </row>
    <row r="1232" spans="1:15" x14ac:dyDescent="0.3">
      <c r="A1232" t="s">
        <v>2945</v>
      </c>
      <c r="B1232" t="s">
        <v>2946</v>
      </c>
      <c r="C1232" t="s">
        <v>37</v>
      </c>
      <c r="D1232" t="s">
        <v>77</v>
      </c>
      <c r="E1232" t="s">
        <v>59</v>
      </c>
      <c r="F1232" t="s">
        <v>137</v>
      </c>
      <c r="G1232">
        <v>6.47</v>
      </c>
      <c r="H1232" t="s">
        <v>41</v>
      </c>
      <c r="I1232" t="s">
        <v>42</v>
      </c>
      <c r="M1232">
        <f>VLOOKUP(H1232,'Stage Order'!$A$2:$B$8,2,FALSE)</f>
        <v>2</v>
      </c>
      <c r="N1232" t="str">
        <f t="shared" si="38"/>
        <v>2. 1-24 hours</v>
      </c>
      <c r="O1232" t="str">
        <f t="shared" si="39"/>
        <v>2025-07</v>
      </c>
    </row>
    <row r="1233" spans="1:15" x14ac:dyDescent="0.3">
      <c r="A1233" t="s">
        <v>2947</v>
      </c>
      <c r="B1233" t="s">
        <v>2948</v>
      </c>
      <c r="C1233" t="s">
        <v>58</v>
      </c>
      <c r="D1233" t="s">
        <v>77</v>
      </c>
      <c r="E1233" t="s">
        <v>39</v>
      </c>
      <c r="F1233" t="s">
        <v>40</v>
      </c>
      <c r="G1233">
        <v>8.59</v>
      </c>
      <c r="H1233" t="s">
        <v>138</v>
      </c>
      <c r="I1233" t="s">
        <v>48</v>
      </c>
      <c r="J1233" t="s">
        <v>139</v>
      </c>
      <c r="K1233">
        <v>965.36</v>
      </c>
      <c r="L1233" t="s">
        <v>2949</v>
      </c>
      <c r="M1233">
        <f>VLOOKUP(H1233,'Stage Order'!$A$2:$B$8,2,FALSE)</f>
        <v>6</v>
      </c>
      <c r="N1233" t="str">
        <f t="shared" si="38"/>
        <v>2. 1-24 hours</v>
      </c>
      <c r="O1233" t="str">
        <f t="shared" si="39"/>
        <v>2026-05</v>
      </c>
    </row>
    <row r="1234" spans="1:15" x14ac:dyDescent="0.3">
      <c r="A1234" t="s">
        <v>2950</v>
      </c>
      <c r="B1234" t="s">
        <v>2951</v>
      </c>
      <c r="C1234" t="s">
        <v>37</v>
      </c>
      <c r="D1234" t="s">
        <v>77</v>
      </c>
      <c r="E1234" t="s">
        <v>30</v>
      </c>
      <c r="F1234" t="s">
        <v>31</v>
      </c>
      <c r="G1234">
        <v>0.52</v>
      </c>
      <c r="H1234" t="s">
        <v>32</v>
      </c>
      <c r="I1234" t="s">
        <v>33</v>
      </c>
      <c r="K1234">
        <v>835.88</v>
      </c>
      <c r="L1234" t="s">
        <v>2952</v>
      </c>
      <c r="M1234">
        <f>VLOOKUP(H1234,'Stage Order'!$A$2:$B$8,2,FALSE)</f>
        <v>7</v>
      </c>
      <c r="N1234" t="str">
        <f t="shared" si="38"/>
        <v>1. Under 1 hour</v>
      </c>
      <c r="O1234" t="str">
        <f t="shared" si="39"/>
        <v>2025-05</v>
      </c>
    </row>
    <row r="1235" spans="1:15" x14ac:dyDescent="0.3">
      <c r="A1235" t="s">
        <v>2953</v>
      </c>
      <c r="B1235" t="s">
        <v>2954</v>
      </c>
      <c r="C1235" t="s">
        <v>58</v>
      </c>
      <c r="D1235" t="s">
        <v>54</v>
      </c>
      <c r="E1235" t="s">
        <v>30</v>
      </c>
      <c r="F1235" t="s">
        <v>78</v>
      </c>
      <c r="G1235">
        <v>1.8</v>
      </c>
      <c r="H1235" t="s">
        <v>41</v>
      </c>
      <c r="I1235" t="s">
        <v>42</v>
      </c>
      <c r="M1235">
        <f>VLOOKUP(H1235,'Stage Order'!$A$2:$B$8,2,FALSE)</f>
        <v>2</v>
      </c>
      <c r="N1235" t="str">
        <f t="shared" si="38"/>
        <v>2. 1-24 hours</v>
      </c>
      <c r="O1235" t="str">
        <f t="shared" si="39"/>
        <v>2025-11</v>
      </c>
    </row>
    <row r="1236" spans="1:15" x14ac:dyDescent="0.3">
      <c r="A1236" t="s">
        <v>2955</v>
      </c>
      <c r="B1236" t="s">
        <v>2956</v>
      </c>
      <c r="C1236" t="s">
        <v>125</v>
      </c>
      <c r="D1236" t="s">
        <v>77</v>
      </c>
      <c r="E1236" t="s">
        <v>90</v>
      </c>
      <c r="F1236" t="s">
        <v>91</v>
      </c>
      <c r="G1236">
        <v>2.57</v>
      </c>
      <c r="H1236" t="s">
        <v>61</v>
      </c>
      <c r="I1236" t="s">
        <v>42</v>
      </c>
      <c r="M1236">
        <f>VLOOKUP(H1236,'Stage Order'!$A$2:$B$8,2,FALSE)</f>
        <v>1</v>
      </c>
      <c r="N1236" t="str">
        <f t="shared" si="38"/>
        <v>2. 1-24 hours</v>
      </c>
      <c r="O1236" t="str">
        <f t="shared" si="39"/>
        <v>2026-04</v>
      </c>
    </row>
    <row r="1237" spans="1:15" x14ac:dyDescent="0.3">
      <c r="A1237" t="s">
        <v>2957</v>
      </c>
      <c r="B1237" t="s">
        <v>2958</v>
      </c>
      <c r="C1237" t="s">
        <v>37</v>
      </c>
      <c r="D1237" t="s">
        <v>97</v>
      </c>
      <c r="E1237" t="s">
        <v>30</v>
      </c>
      <c r="F1237" t="s">
        <v>78</v>
      </c>
      <c r="G1237">
        <v>7.38</v>
      </c>
      <c r="H1237" t="s">
        <v>41</v>
      </c>
      <c r="I1237" t="s">
        <v>42</v>
      </c>
      <c r="M1237">
        <f>VLOOKUP(H1237,'Stage Order'!$A$2:$B$8,2,FALSE)</f>
        <v>2</v>
      </c>
      <c r="N1237" t="str">
        <f t="shared" si="38"/>
        <v>2. 1-24 hours</v>
      </c>
      <c r="O1237" t="str">
        <f t="shared" si="39"/>
        <v>2026-05</v>
      </c>
    </row>
    <row r="1238" spans="1:15" x14ac:dyDescent="0.3">
      <c r="A1238" t="s">
        <v>2959</v>
      </c>
      <c r="B1238" t="s">
        <v>2960</v>
      </c>
      <c r="C1238" t="s">
        <v>53</v>
      </c>
      <c r="D1238" t="s">
        <v>77</v>
      </c>
      <c r="E1238" t="s">
        <v>59</v>
      </c>
      <c r="F1238" t="s">
        <v>137</v>
      </c>
      <c r="G1238">
        <v>1.64</v>
      </c>
      <c r="H1238" t="s">
        <v>32</v>
      </c>
      <c r="I1238" t="s">
        <v>33</v>
      </c>
      <c r="K1238">
        <v>879.18</v>
      </c>
      <c r="L1238" t="s">
        <v>2961</v>
      </c>
      <c r="M1238">
        <f>VLOOKUP(H1238,'Stage Order'!$A$2:$B$8,2,FALSE)</f>
        <v>7</v>
      </c>
      <c r="N1238" t="str">
        <f t="shared" si="38"/>
        <v>2. 1-24 hours</v>
      </c>
      <c r="O1238" t="str">
        <f t="shared" si="39"/>
        <v>2025-09</v>
      </c>
    </row>
    <row r="1239" spans="1:15" x14ac:dyDescent="0.3">
      <c r="A1239" t="s">
        <v>2962</v>
      </c>
      <c r="B1239" t="s">
        <v>2963</v>
      </c>
      <c r="C1239" t="s">
        <v>28</v>
      </c>
      <c r="D1239" t="s">
        <v>77</v>
      </c>
      <c r="E1239" t="s">
        <v>39</v>
      </c>
      <c r="F1239" t="s">
        <v>40</v>
      </c>
      <c r="G1239">
        <v>9.8800000000000008</v>
      </c>
      <c r="H1239" t="s">
        <v>32</v>
      </c>
      <c r="I1239" t="s">
        <v>33</v>
      </c>
      <c r="K1239">
        <v>1125.1400000000001</v>
      </c>
      <c r="L1239" t="s">
        <v>2964</v>
      </c>
      <c r="M1239">
        <f>VLOOKUP(H1239,'Stage Order'!$A$2:$B$8,2,FALSE)</f>
        <v>7</v>
      </c>
      <c r="N1239" t="str">
        <f t="shared" si="38"/>
        <v>2. 1-24 hours</v>
      </c>
      <c r="O1239" t="str">
        <f t="shared" si="39"/>
        <v>2025-08</v>
      </c>
    </row>
    <row r="1240" spans="1:15" x14ac:dyDescent="0.3">
      <c r="A1240" t="s">
        <v>2965</v>
      </c>
      <c r="B1240" t="s">
        <v>2966</v>
      </c>
      <c r="C1240" t="s">
        <v>28</v>
      </c>
      <c r="D1240" t="s">
        <v>97</v>
      </c>
      <c r="E1240" t="s">
        <v>39</v>
      </c>
      <c r="F1240" t="s">
        <v>106</v>
      </c>
      <c r="G1240">
        <v>1.22</v>
      </c>
      <c r="H1240" t="s">
        <v>32</v>
      </c>
      <c r="I1240" t="s">
        <v>33</v>
      </c>
      <c r="K1240">
        <v>1639.81</v>
      </c>
      <c r="L1240" t="s">
        <v>2967</v>
      </c>
      <c r="M1240">
        <f>VLOOKUP(H1240,'Stage Order'!$A$2:$B$8,2,FALSE)</f>
        <v>7</v>
      </c>
      <c r="N1240" t="str">
        <f t="shared" si="38"/>
        <v>2. 1-24 hours</v>
      </c>
      <c r="O1240" t="str">
        <f t="shared" si="39"/>
        <v>2026-04</v>
      </c>
    </row>
    <row r="1241" spans="1:15" x14ac:dyDescent="0.3">
      <c r="A1241" t="s">
        <v>2968</v>
      </c>
      <c r="B1241" t="s">
        <v>2969</v>
      </c>
      <c r="C1241" t="s">
        <v>28</v>
      </c>
      <c r="D1241" t="s">
        <v>77</v>
      </c>
      <c r="E1241" t="s">
        <v>30</v>
      </c>
      <c r="F1241" t="s">
        <v>78</v>
      </c>
      <c r="G1241">
        <v>2.2400000000000002</v>
      </c>
      <c r="H1241" t="s">
        <v>41</v>
      </c>
      <c r="I1241" t="s">
        <v>42</v>
      </c>
      <c r="M1241">
        <f>VLOOKUP(H1241,'Stage Order'!$A$2:$B$8,2,FALSE)</f>
        <v>2</v>
      </c>
      <c r="N1241" t="str">
        <f t="shared" si="38"/>
        <v>2. 1-24 hours</v>
      </c>
      <c r="O1241" t="str">
        <f t="shared" si="39"/>
        <v>2025-07</v>
      </c>
    </row>
    <row r="1242" spans="1:15" x14ac:dyDescent="0.3">
      <c r="A1242" t="s">
        <v>2970</v>
      </c>
      <c r="B1242" t="s">
        <v>2971</v>
      </c>
      <c r="C1242" t="s">
        <v>76</v>
      </c>
      <c r="D1242" t="s">
        <v>77</v>
      </c>
      <c r="E1242" t="s">
        <v>90</v>
      </c>
      <c r="F1242" t="s">
        <v>145</v>
      </c>
      <c r="G1242">
        <v>0.9</v>
      </c>
      <c r="H1242" t="s">
        <v>138</v>
      </c>
      <c r="I1242" t="s">
        <v>48</v>
      </c>
      <c r="J1242" t="s">
        <v>113</v>
      </c>
      <c r="K1242">
        <v>848.71</v>
      </c>
      <c r="L1242" t="s">
        <v>2972</v>
      </c>
      <c r="M1242">
        <f>VLOOKUP(H1242,'Stage Order'!$A$2:$B$8,2,FALSE)</f>
        <v>6</v>
      </c>
      <c r="N1242" t="str">
        <f t="shared" si="38"/>
        <v>1. Under 1 hour</v>
      </c>
      <c r="O1242" t="str">
        <f t="shared" si="39"/>
        <v>2026-01</v>
      </c>
    </row>
    <row r="1243" spans="1:15" x14ac:dyDescent="0.3">
      <c r="A1243" t="s">
        <v>2973</v>
      </c>
      <c r="B1243" t="s">
        <v>2974</v>
      </c>
      <c r="C1243" t="s">
        <v>81</v>
      </c>
      <c r="D1243" t="s">
        <v>77</v>
      </c>
      <c r="E1243" t="s">
        <v>59</v>
      </c>
      <c r="F1243" t="s">
        <v>137</v>
      </c>
      <c r="G1243">
        <v>1.53</v>
      </c>
      <c r="H1243" t="s">
        <v>61</v>
      </c>
      <c r="I1243" t="s">
        <v>42</v>
      </c>
      <c r="M1243">
        <f>VLOOKUP(H1243,'Stage Order'!$A$2:$B$8,2,FALSE)</f>
        <v>1</v>
      </c>
      <c r="N1243" t="str">
        <f t="shared" si="38"/>
        <v>2. 1-24 hours</v>
      </c>
      <c r="O1243" t="str">
        <f t="shared" si="39"/>
        <v>2026-05</v>
      </c>
    </row>
    <row r="1244" spans="1:15" x14ac:dyDescent="0.3">
      <c r="A1244" t="s">
        <v>2975</v>
      </c>
      <c r="B1244" t="s">
        <v>2976</v>
      </c>
      <c r="C1244" t="s">
        <v>28</v>
      </c>
      <c r="D1244" t="s">
        <v>77</v>
      </c>
      <c r="E1244" t="s">
        <v>59</v>
      </c>
      <c r="F1244" t="s">
        <v>137</v>
      </c>
      <c r="G1244">
        <v>2.0299999999999998</v>
      </c>
      <c r="H1244" t="s">
        <v>32</v>
      </c>
      <c r="I1244" t="s">
        <v>33</v>
      </c>
      <c r="K1244">
        <v>908.8</v>
      </c>
      <c r="L1244" t="s">
        <v>2977</v>
      </c>
      <c r="M1244">
        <f>VLOOKUP(H1244,'Stage Order'!$A$2:$B$8,2,FALSE)</f>
        <v>7</v>
      </c>
      <c r="N1244" t="str">
        <f t="shared" si="38"/>
        <v>2. 1-24 hours</v>
      </c>
      <c r="O1244" t="str">
        <f t="shared" si="39"/>
        <v>2025-02</v>
      </c>
    </row>
    <row r="1245" spans="1:15" x14ac:dyDescent="0.3">
      <c r="A1245" t="s">
        <v>2978</v>
      </c>
      <c r="B1245" t="s">
        <v>2979</v>
      </c>
      <c r="C1245" t="s">
        <v>37</v>
      </c>
      <c r="D1245" t="s">
        <v>38</v>
      </c>
      <c r="E1245" t="s">
        <v>39</v>
      </c>
      <c r="F1245" t="s">
        <v>66</v>
      </c>
      <c r="G1245">
        <v>17.149999999999999</v>
      </c>
      <c r="H1245" t="s">
        <v>146</v>
      </c>
      <c r="I1245" t="s">
        <v>48</v>
      </c>
      <c r="J1245" t="s">
        <v>98</v>
      </c>
      <c r="K1245">
        <v>306.23</v>
      </c>
      <c r="L1245" t="s">
        <v>2980</v>
      </c>
      <c r="M1245">
        <f>VLOOKUP(H1245,'Stage Order'!$A$2:$B$8,2,FALSE)</f>
        <v>5</v>
      </c>
      <c r="N1245" t="str">
        <f t="shared" si="38"/>
        <v>2. 1-24 hours</v>
      </c>
      <c r="O1245" t="str">
        <f t="shared" si="39"/>
        <v>2026-03</v>
      </c>
    </row>
    <row r="1246" spans="1:15" x14ac:dyDescent="0.3">
      <c r="A1246" t="s">
        <v>2981</v>
      </c>
      <c r="B1246" t="s">
        <v>2982</v>
      </c>
      <c r="C1246" t="s">
        <v>58</v>
      </c>
      <c r="D1246" t="s">
        <v>38</v>
      </c>
      <c r="E1246" t="s">
        <v>39</v>
      </c>
      <c r="F1246" t="s">
        <v>106</v>
      </c>
      <c r="G1246">
        <v>9.17</v>
      </c>
      <c r="H1246" t="s">
        <v>41</v>
      </c>
      <c r="I1246" t="s">
        <v>42</v>
      </c>
      <c r="M1246">
        <f>VLOOKUP(H1246,'Stage Order'!$A$2:$B$8,2,FALSE)</f>
        <v>2</v>
      </c>
      <c r="N1246" t="str">
        <f t="shared" si="38"/>
        <v>2. 1-24 hours</v>
      </c>
      <c r="O1246" t="str">
        <f t="shared" si="39"/>
        <v>2026-01</v>
      </c>
    </row>
    <row r="1247" spans="1:15" x14ac:dyDescent="0.3">
      <c r="A1247" t="s">
        <v>2983</v>
      </c>
      <c r="B1247" t="s">
        <v>2984</v>
      </c>
      <c r="C1247" t="s">
        <v>37</v>
      </c>
      <c r="D1247" t="s">
        <v>54</v>
      </c>
      <c r="E1247" t="s">
        <v>45</v>
      </c>
      <c r="F1247" t="s">
        <v>46</v>
      </c>
      <c r="G1247">
        <v>2.3199999999999998</v>
      </c>
      <c r="H1247" t="s">
        <v>47</v>
      </c>
      <c r="I1247" t="s">
        <v>48</v>
      </c>
      <c r="J1247" t="s">
        <v>139</v>
      </c>
      <c r="K1247">
        <v>561.38</v>
      </c>
      <c r="L1247" t="s">
        <v>2985</v>
      </c>
      <c r="M1247">
        <f>VLOOKUP(H1247,'Stage Order'!$A$2:$B$8,2,FALSE)</f>
        <v>4</v>
      </c>
      <c r="N1247" t="str">
        <f t="shared" si="38"/>
        <v>2. 1-24 hours</v>
      </c>
      <c r="O1247" t="str">
        <f t="shared" si="39"/>
        <v>2026-05</v>
      </c>
    </row>
    <row r="1248" spans="1:15" x14ac:dyDescent="0.3">
      <c r="A1248" t="s">
        <v>2986</v>
      </c>
      <c r="B1248" t="s">
        <v>2987</v>
      </c>
      <c r="C1248" t="s">
        <v>58</v>
      </c>
      <c r="D1248" t="s">
        <v>54</v>
      </c>
      <c r="E1248" t="s">
        <v>39</v>
      </c>
      <c r="F1248" t="s">
        <v>106</v>
      </c>
      <c r="G1248">
        <v>13.19</v>
      </c>
      <c r="H1248" t="s">
        <v>41</v>
      </c>
      <c r="I1248" t="s">
        <v>42</v>
      </c>
      <c r="M1248">
        <f>VLOOKUP(H1248,'Stage Order'!$A$2:$B$8,2,FALSE)</f>
        <v>2</v>
      </c>
      <c r="N1248" t="str">
        <f t="shared" si="38"/>
        <v>2. 1-24 hours</v>
      </c>
      <c r="O1248" t="str">
        <f t="shared" si="39"/>
        <v>2025-04</v>
      </c>
    </row>
    <row r="1249" spans="1:15" x14ac:dyDescent="0.3">
      <c r="A1249" t="s">
        <v>2988</v>
      </c>
      <c r="B1249" t="s">
        <v>2989</v>
      </c>
      <c r="C1249" t="s">
        <v>58</v>
      </c>
      <c r="D1249" t="s">
        <v>77</v>
      </c>
      <c r="E1249" t="s">
        <v>45</v>
      </c>
      <c r="F1249" t="s">
        <v>55</v>
      </c>
      <c r="G1249">
        <v>3.12</v>
      </c>
      <c r="H1249" t="s">
        <v>47</v>
      </c>
      <c r="I1249" t="s">
        <v>48</v>
      </c>
      <c r="J1249" t="s">
        <v>49</v>
      </c>
      <c r="K1249">
        <v>1082.18</v>
      </c>
      <c r="L1249" t="s">
        <v>2990</v>
      </c>
      <c r="M1249">
        <f>VLOOKUP(H1249,'Stage Order'!$A$2:$B$8,2,FALSE)</f>
        <v>4</v>
      </c>
      <c r="N1249" t="str">
        <f t="shared" si="38"/>
        <v>2. 1-24 hours</v>
      </c>
      <c r="O1249" t="str">
        <f t="shared" si="39"/>
        <v>2026-03</v>
      </c>
    </row>
    <row r="1250" spans="1:15" x14ac:dyDescent="0.3">
      <c r="A1250" t="s">
        <v>2991</v>
      </c>
      <c r="B1250" t="s">
        <v>2992</v>
      </c>
      <c r="C1250" t="s">
        <v>37</v>
      </c>
      <c r="D1250" t="s">
        <v>29</v>
      </c>
      <c r="E1250" t="s">
        <v>90</v>
      </c>
      <c r="F1250" t="s">
        <v>91</v>
      </c>
      <c r="G1250">
        <v>2.88</v>
      </c>
      <c r="H1250" t="s">
        <v>61</v>
      </c>
      <c r="I1250" t="s">
        <v>42</v>
      </c>
      <c r="M1250">
        <f>VLOOKUP(H1250,'Stage Order'!$A$2:$B$8,2,FALSE)</f>
        <v>1</v>
      </c>
      <c r="N1250" t="str">
        <f t="shared" si="38"/>
        <v>2. 1-24 hours</v>
      </c>
      <c r="O1250" t="str">
        <f t="shared" si="39"/>
        <v>2025-09</v>
      </c>
    </row>
    <row r="1251" spans="1:15" x14ac:dyDescent="0.3">
      <c r="A1251" t="s">
        <v>2993</v>
      </c>
      <c r="B1251" t="s">
        <v>2994</v>
      </c>
      <c r="C1251" t="s">
        <v>53</v>
      </c>
      <c r="D1251" t="s">
        <v>38</v>
      </c>
      <c r="E1251" t="s">
        <v>45</v>
      </c>
      <c r="F1251" t="s">
        <v>46</v>
      </c>
      <c r="G1251">
        <v>2.68</v>
      </c>
      <c r="H1251" t="s">
        <v>41</v>
      </c>
      <c r="I1251" t="s">
        <v>42</v>
      </c>
      <c r="M1251">
        <f>VLOOKUP(H1251,'Stage Order'!$A$2:$B$8,2,FALSE)</f>
        <v>2</v>
      </c>
      <c r="N1251" t="str">
        <f t="shared" si="38"/>
        <v>2. 1-24 hours</v>
      </c>
      <c r="O1251" t="str">
        <f t="shared" si="39"/>
        <v>2025-04</v>
      </c>
    </row>
    <row r="1252" spans="1:15" x14ac:dyDescent="0.3">
      <c r="A1252" t="s">
        <v>2995</v>
      </c>
      <c r="B1252" t="s">
        <v>2996</v>
      </c>
      <c r="C1252" t="s">
        <v>37</v>
      </c>
      <c r="D1252" t="s">
        <v>38</v>
      </c>
      <c r="E1252" t="s">
        <v>45</v>
      </c>
      <c r="F1252" t="s">
        <v>46</v>
      </c>
      <c r="G1252">
        <v>2.25</v>
      </c>
      <c r="H1252" t="s">
        <v>47</v>
      </c>
      <c r="I1252" t="s">
        <v>48</v>
      </c>
      <c r="J1252" t="s">
        <v>113</v>
      </c>
      <c r="K1252">
        <v>343.64</v>
      </c>
      <c r="L1252" t="s">
        <v>2997</v>
      </c>
      <c r="M1252">
        <f>VLOOKUP(H1252,'Stage Order'!$A$2:$B$8,2,FALSE)</f>
        <v>4</v>
      </c>
      <c r="N1252" t="str">
        <f t="shared" si="38"/>
        <v>2. 1-24 hours</v>
      </c>
      <c r="O1252" t="str">
        <f t="shared" si="39"/>
        <v>2025-05</v>
      </c>
    </row>
    <row r="1253" spans="1:15" x14ac:dyDescent="0.3">
      <c r="A1253" t="s">
        <v>2998</v>
      </c>
      <c r="B1253" t="s">
        <v>2999</v>
      </c>
      <c r="C1253" t="s">
        <v>37</v>
      </c>
      <c r="D1253" t="s">
        <v>97</v>
      </c>
      <c r="E1253" t="s">
        <v>59</v>
      </c>
      <c r="F1253" t="s">
        <v>137</v>
      </c>
      <c r="G1253">
        <v>3.26</v>
      </c>
      <c r="H1253" t="s">
        <v>41</v>
      </c>
      <c r="I1253" t="s">
        <v>42</v>
      </c>
      <c r="M1253">
        <f>VLOOKUP(H1253,'Stage Order'!$A$2:$B$8,2,FALSE)</f>
        <v>2</v>
      </c>
      <c r="N1253" t="str">
        <f t="shared" si="38"/>
        <v>2. 1-24 hours</v>
      </c>
      <c r="O1253" t="str">
        <f t="shared" si="39"/>
        <v>2026-02</v>
      </c>
    </row>
    <row r="1254" spans="1:15" x14ac:dyDescent="0.3">
      <c r="A1254" t="s">
        <v>3000</v>
      </c>
      <c r="B1254" t="s">
        <v>3001</v>
      </c>
      <c r="C1254" t="s">
        <v>37</v>
      </c>
      <c r="D1254" t="s">
        <v>38</v>
      </c>
      <c r="E1254" t="s">
        <v>39</v>
      </c>
      <c r="F1254" t="s">
        <v>106</v>
      </c>
      <c r="G1254">
        <v>3.21</v>
      </c>
      <c r="H1254" t="s">
        <v>41</v>
      </c>
      <c r="I1254" t="s">
        <v>42</v>
      </c>
      <c r="M1254">
        <f>VLOOKUP(H1254,'Stage Order'!$A$2:$B$8,2,FALSE)</f>
        <v>2</v>
      </c>
      <c r="N1254" t="str">
        <f t="shared" si="38"/>
        <v>2. 1-24 hours</v>
      </c>
      <c r="O1254" t="str">
        <f t="shared" si="39"/>
        <v>2026-06</v>
      </c>
    </row>
    <row r="1255" spans="1:15" x14ac:dyDescent="0.3">
      <c r="A1255" t="s">
        <v>3002</v>
      </c>
      <c r="B1255" t="s">
        <v>3003</v>
      </c>
      <c r="C1255" t="s">
        <v>53</v>
      </c>
      <c r="D1255" t="s">
        <v>38</v>
      </c>
      <c r="E1255" t="s">
        <v>45</v>
      </c>
      <c r="F1255" t="s">
        <v>94</v>
      </c>
      <c r="G1255">
        <v>7.51</v>
      </c>
      <c r="H1255" t="s">
        <v>32</v>
      </c>
      <c r="I1255" t="s">
        <v>33</v>
      </c>
      <c r="K1255">
        <v>330.41</v>
      </c>
      <c r="L1255" t="s">
        <v>3004</v>
      </c>
      <c r="M1255">
        <f>VLOOKUP(H1255,'Stage Order'!$A$2:$B$8,2,FALSE)</f>
        <v>7</v>
      </c>
      <c r="N1255" t="str">
        <f t="shared" si="38"/>
        <v>2. 1-24 hours</v>
      </c>
      <c r="O1255" t="str">
        <f t="shared" si="39"/>
        <v>2025-04</v>
      </c>
    </row>
    <row r="1256" spans="1:15" x14ac:dyDescent="0.3">
      <c r="A1256" t="s">
        <v>3005</v>
      </c>
      <c r="B1256" t="s">
        <v>3006</v>
      </c>
      <c r="C1256" t="s">
        <v>58</v>
      </c>
      <c r="D1256" t="s">
        <v>38</v>
      </c>
      <c r="E1256" t="s">
        <v>59</v>
      </c>
      <c r="F1256" t="s">
        <v>137</v>
      </c>
      <c r="G1256">
        <v>1.03</v>
      </c>
      <c r="H1256" t="s">
        <v>41</v>
      </c>
      <c r="I1256" t="s">
        <v>42</v>
      </c>
      <c r="M1256">
        <f>VLOOKUP(H1256,'Stage Order'!$A$2:$B$8,2,FALSE)</f>
        <v>2</v>
      </c>
      <c r="N1256" t="str">
        <f t="shared" si="38"/>
        <v>2. 1-24 hours</v>
      </c>
      <c r="O1256" t="str">
        <f t="shared" si="39"/>
        <v>2025-08</v>
      </c>
    </row>
    <row r="1257" spans="1:15" x14ac:dyDescent="0.3">
      <c r="A1257" t="s">
        <v>3007</v>
      </c>
      <c r="B1257" t="s">
        <v>3008</v>
      </c>
      <c r="C1257" t="s">
        <v>28</v>
      </c>
      <c r="D1257" t="s">
        <v>38</v>
      </c>
      <c r="E1257" t="s">
        <v>39</v>
      </c>
      <c r="F1257" t="s">
        <v>40</v>
      </c>
      <c r="G1257">
        <v>3.29</v>
      </c>
      <c r="H1257" t="s">
        <v>41</v>
      </c>
      <c r="I1257" t="s">
        <v>42</v>
      </c>
      <c r="M1257">
        <f>VLOOKUP(H1257,'Stage Order'!$A$2:$B$8,2,FALSE)</f>
        <v>2</v>
      </c>
      <c r="N1257" t="str">
        <f t="shared" si="38"/>
        <v>2. 1-24 hours</v>
      </c>
      <c r="O1257" t="str">
        <f t="shared" si="39"/>
        <v>2026-03</v>
      </c>
    </row>
    <row r="1258" spans="1:15" x14ac:dyDescent="0.3">
      <c r="A1258" t="s">
        <v>3009</v>
      </c>
      <c r="B1258" t="s">
        <v>3010</v>
      </c>
      <c r="C1258" t="s">
        <v>28</v>
      </c>
      <c r="D1258" t="s">
        <v>54</v>
      </c>
      <c r="E1258" t="s">
        <v>59</v>
      </c>
      <c r="F1258" t="s">
        <v>117</v>
      </c>
      <c r="G1258">
        <v>15.31</v>
      </c>
      <c r="H1258" t="s">
        <v>32</v>
      </c>
      <c r="I1258" t="s">
        <v>33</v>
      </c>
      <c r="K1258">
        <v>475.86</v>
      </c>
      <c r="L1258" t="s">
        <v>3011</v>
      </c>
      <c r="M1258">
        <f>VLOOKUP(H1258,'Stage Order'!$A$2:$B$8,2,FALSE)</f>
        <v>7</v>
      </c>
      <c r="N1258" t="str">
        <f t="shared" si="38"/>
        <v>2. 1-24 hours</v>
      </c>
      <c r="O1258" t="str">
        <f t="shared" si="39"/>
        <v>2025-03</v>
      </c>
    </row>
    <row r="1259" spans="1:15" x14ac:dyDescent="0.3">
      <c r="A1259" t="s">
        <v>3012</v>
      </c>
      <c r="B1259" t="s">
        <v>3013</v>
      </c>
      <c r="C1259" t="s">
        <v>28</v>
      </c>
      <c r="D1259" t="s">
        <v>77</v>
      </c>
      <c r="E1259" t="s">
        <v>45</v>
      </c>
      <c r="F1259" t="s">
        <v>55</v>
      </c>
      <c r="G1259">
        <v>3.46</v>
      </c>
      <c r="H1259" t="s">
        <v>41</v>
      </c>
      <c r="I1259" t="s">
        <v>42</v>
      </c>
      <c r="M1259">
        <f>VLOOKUP(H1259,'Stage Order'!$A$2:$B$8,2,FALSE)</f>
        <v>2</v>
      </c>
      <c r="N1259" t="str">
        <f t="shared" si="38"/>
        <v>2. 1-24 hours</v>
      </c>
      <c r="O1259" t="str">
        <f t="shared" si="39"/>
        <v>2026-01</v>
      </c>
    </row>
    <row r="1260" spans="1:15" x14ac:dyDescent="0.3">
      <c r="A1260" t="s">
        <v>3014</v>
      </c>
      <c r="B1260" t="s">
        <v>3015</v>
      </c>
      <c r="C1260" t="s">
        <v>37</v>
      </c>
      <c r="D1260" t="s">
        <v>29</v>
      </c>
      <c r="E1260" t="s">
        <v>45</v>
      </c>
      <c r="F1260" t="s">
        <v>46</v>
      </c>
      <c r="G1260">
        <v>1.4</v>
      </c>
      <c r="H1260" t="s">
        <v>41</v>
      </c>
      <c r="I1260" t="s">
        <v>42</v>
      </c>
      <c r="M1260">
        <f>VLOOKUP(H1260,'Stage Order'!$A$2:$B$8,2,FALSE)</f>
        <v>2</v>
      </c>
      <c r="N1260" t="str">
        <f t="shared" si="38"/>
        <v>2. 1-24 hours</v>
      </c>
      <c r="O1260" t="str">
        <f t="shared" si="39"/>
        <v>2026-01</v>
      </c>
    </row>
    <row r="1261" spans="1:15" x14ac:dyDescent="0.3">
      <c r="A1261" t="s">
        <v>3016</v>
      </c>
      <c r="B1261" t="s">
        <v>3017</v>
      </c>
      <c r="C1261" t="s">
        <v>125</v>
      </c>
      <c r="D1261" t="s">
        <v>77</v>
      </c>
      <c r="E1261" t="s">
        <v>90</v>
      </c>
      <c r="F1261" t="s">
        <v>145</v>
      </c>
      <c r="G1261">
        <v>6.47</v>
      </c>
      <c r="H1261" t="s">
        <v>61</v>
      </c>
      <c r="I1261" t="s">
        <v>42</v>
      </c>
      <c r="M1261">
        <f>VLOOKUP(H1261,'Stage Order'!$A$2:$B$8,2,FALSE)</f>
        <v>1</v>
      </c>
      <c r="N1261" t="str">
        <f t="shared" si="38"/>
        <v>2. 1-24 hours</v>
      </c>
      <c r="O1261" t="str">
        <f t="shared" si="39"/>
        <v>2025-08</v>
      </c>
    </row>
    <row r="1262" spans="1:15" x14ac:dyDescent="0.3">
      <c r="A1262" t="s">
        <v>3018</v>
      </c>
      <c r="B1262" t="s">
        <v>3019</v>
      </c>
      <c r="C1262" t="s">
        <v>58</v>
      </c>
      <c r="D1262" t="s">
        <v>97</v>
      </c>
      <c r="E1262" t="s">
        <v>59</v>
      </c>
      <c r="F1262" t="s">
        <v>60</v>
      </c>
      <c r="G1262">
        <v>1.48</v>
      </c>
      <c r="H1262" t="s">
        <v>41</v>
      </c>
      <c r="I1262" t="s">
        <v>42</v>
      </c>
      <c r="M1262">
        <f>VLOOKUP(H1262,'Stage Order'!$A$2:$B$8,2,FALSE)</f>
        <v>2</v>
      </c>
      <c r="N1262" t="str">
        <f t="shared" si="38"/>
        <v>2. 1-24 hours</v>
      </c>
      <c r="O1262" t="str">
        <f t="shared" si="39"/>
        <v>2026-01</v>
      </c>
    </row>
    <row r="1263" spans="1:15" x14ac:dyDescent="0.3">
      <c r="A1263" t="s">
        <v>3020</v>
      </c>
      <c r="B1263" t="s">
        <v>3021</v>
      </c>
      <c r="C1263" t="s">
        <v>81</v>
      </c>
      <c r="D1263" t="s">
        <v>29</v>
      </c>
      <c r="E1263" t="s">
        <v>30</v>
      </c>
      <c r="F1263" t="s">
        <v>78</v>
      </c>
      <c r="G1263">
        <v>11.31</v>
      </c>
      <c r="H1263" t="s">
        <v>41</v>
      </c>
      <c r="I1263" t="s">
        <v>42</v>
      </c>
      <c r="M1263">
        <f>VLOOKUP(H1263,'Stage Order'!$A$2:$B$8,2,FALSE)</f>
        <v>2</v>
      </c>
      <c r="N1263" t="str">
        <f t="shared" si="38"/>
        <v>2. 1-24 hours</v>
      </c>
      <c r="O1263" t="str">
        <f t="shared" si="39"/>
        <v>2025-06</v>
      </c>
    </row>
    <row r="1264" spans="1:15" x14ac:dyDescent="0.3">
      <c r="A1264" t="s">
        <v>3022</v>
      </c>
      <c r="B1264" t="s">
        <v>3023</v>
      </c>
      <c r="C1264" t="s">
        <v>58</v>
      </c>
      <c r="D1264" t="s">
        <v>54</v>
      </c>
      <c r="E1264" t="s">
        <v>30</v>
      </c>
      <c r="F1264" t="s">
        <v>31</v>
      </c>
      <c r="G1264">
        <v>3.94</v>
      </c>
      <c r="H1264" t="s">
        <v>41</v>
      </c>
      <c r="I1264" t="s">
        <v>42</v>
      </c>
      <c r="M1264">
        <f>VLOOKUP(H1264,'Stage Order'!$A$2:$B$8,2,FALSE)</f>
        <v>2</v>
      </c>
      <c r="N1264" t="str">
        <f t="shared" si="38"/>
        <v>2. 1-24 hours</v>
      </c>
      <c r="O1264" t="str">
        <f t="shared" si="39"/>
        <v>2025-03</v>
      </c>
    </row>
    <row r="1265" spans="1:15" x14ac:dyDescent="0.3">
      <c r="A1265" t="s">
        <v>3024</v>
      </c>
      <c r="B1265" t="s">
        <v>3025</v>
      </c>
      <c r="C1265" t="s">
        <v>53</v>
      </c>
      <c r="D1265" t="s">
        <v>38</v>
      </c>
      <c r="E1265" t="s">
        <v>45</v>
      </c>
      <c r="F1265" t="s">
        <v>46</v>
      </c>
      <c r="G1265">
        <v>1.9</v>
      </c>
      <c r="H1265" t="s">
        <v>32</v>
      </c>
      <c r="I1265" t="s">
        <v>33</v>
      </c>
      <c r="K1265">
        <v>313.13</v>
      </c>
      <c r="L1265" t="s">
        <v>3026</v>
      </c>
      <c r="M1265">
        <f>VLOOKUP(H1265,'Stage Order'!$A$2:$B$8,2,FALSE)</f>
        <v>7</v>
      </c>
      <c r="N1265" t="str">
        <f t="shared" si="38"/>
        <v>2. 1-24 hours</v>
      </c>
      <c r="O1265" t="str">
        <f t="shared" si="39"/>
        <v>2026-02</v>
      </c>
    </row>
    <row r="1266" spans="1:15" x14ac:dyDescent="0.3">
      <c r="A1266" t="s">
        <v>3027</v>
      </c>
      <c r="B1266" t="s">
        <v>3028</v>
      </c>
      <c r="C1266" t="s">
        <v>53</v>
      </c>
      <c r="D1266" t="s">
        <v>77</v>
      </c>
      <c r="E1266" t="s">
        <v>39</v>
      </c>
      <c r="F1266" t="s">
        <v>66</v>
      </c>
      <c r="G1266">
        <v>6.89</v>
      </c>
      <c r="H1266" t="s">
        <v>138</v>
      </c>
      <c r="I1266" t="s">
        <v>48</v>
      </c>
      <c r="J1266" t="s">
        <v>49</v>
      </c>
      <c r="K1266">
        <v>1016.51</v>
      </c>
      <c r="L1266" t="s">
        <v>3029</v>
      </c>
      <c r="M1266">
        <f>VLOOKUP(H1266,'Stage Order'!$A$2:$B$8,2,FALSE)</f>
        <v>6</v>
      </c>
      <c r="N1266" t="str">
        <f t="shared" si="38"/>
        <v>2. 1-24 hours</v>
      </c>
      <c r="O1266" t="str">
        <f t="shared" si="39"/>
        <v>2025-01</v>
      </c>
    </row>
    <row r="1267" spans="1:15" x14ac:dyDescent="0.3">
      <c r="A1267" t="s">
        <v>3030</v>
      </c>
      <c r="B1267" t="s">
        <v>3031</v>
      </c>
      <c r="C1267" t="s">
        <v>125</v>
      </c>
      <c r="D1267" t="s">
        <v>54</v>
      </c>
      <c r="E1267" t="s">
        <v>45</v>
      </c>
      <c r="F1267" t="s">
        <v>55</v>
      </c>
      <c r="G1267">
        <v>4.1399999999999997</v>
      </c>
      <c r="H1267" t="s">
        <v>61</v>
      </c>
      <c r="I1267" t="s">
        <v>42</v>
      </c>
      <c r="M1267">
        <f>VLOOKUP(H1267,'Stage Order'!$A$2:$B$8,2,FALSE)</f>
        <v>1</v>
      </c>
      <c r="N1267" t="str">
        <f t="shared" si="38"/>
        <v>2. 1-24 hours</v>
      </c>
      <c r="O1267" t="str">
        <f t="shared" si="39"/>
        <v>2026-03</v>
      </c>
    </row>
    <row r="1268" spans="1:15" x14ac:dyDescent="0.3">
      <c r="A1268" t="s">
        <v>3032</v>
      </c>
      <c r="B1268" t="s">
        <v>3033</v>
      </c>
      <c r="C1268" t="s">
        <v>53</v>
      </c>
      <c r="D1268" t="s">
        <v>77</v>
      </c>
      <c r="E1268" t="s">
        <v>39</v>
      </c>
      <c r="F1268" t="s">
        <v>40</v>
      </c>
      <c r="G1268">
        <v>1.34</v>
      </c>
      <c r="H1268" t="s">
        <v>41</v>
      </c>
      <c r="I1268" t="s">
        <v>42</v>
      </c>
      <c r="M1268">
        <f>VLOOKUP(H1268,'Stage Order'!$A$2:$B$8,2,FALSE)</f>
        <v>2</v>
      </c>
      <c r="N1268" t="str">
        <f t="shared" si="38"/>
        <v>2. 1-24 hours</v>
      </c>
      <c r="O1268" t="str">
        <f t="shared" si="39"/>
        <v>2025-07</v>
      </c>
    </row>
    <row r="1269" spans="1:15" x14ac:dyDescent="0.3">
      <c r="A1269" t="s">
        <v>3034</v>
      </c>
      <c r="B1269" t="s">
        <v>3035</v>
      </c>
      <c r="C1269" t="s">
        <v>37</v>
      </c>
      <c r="D1269" t="s">
        <v>29</v>
      </c>
      <c r="E1269" t="s">
        <v>45</v>
      </c>
      <c r="F1269" t="s">
        <v>94</v>
      </c>
      <c r="G1269">
        <v>6.51</v>
      </c>
      <c r="H1269" t="s">
        <v>41</v>
      </c>
      <c r="I1269" t="s">
        <v>42</v>
      </c>
      <c r="M1269">
        <f>VLOOKUP(H1269,'Stage Order'!$A$2:$B$8,2,FALSE)</f>
        <v>2</v>
      </c>
      <c r="N1269" t="str">
        <f t="shared" si="38"/>
        <v>2. 1-24 hours</v>
      </c>
      <c r="O1269" t="str">
        <f t="shared" si="39"/>
        <v>2026-06</v>
      </c>
    </row>
    <row r="1270" spans="1:15" x14ac:dyDescent="0.3">
      <c r="A1270" t="s">
        <v>3036</v>
      </c>
      <c r="B1270" t="s">
        <v>3037</v>
      </c>
      <c r="C1270" t="s">
        <v>53</v>
      </c>
      <c r="D1270" t="s">
        <v>77</v>
      </c>
      <c r="E1270" t="s">
        <v>90</v>
      </c>
      <c r="F1270" t="s">
        <v>91</v>
      </c>
      <c r="G1270">
        <v>0.59</v>
      </c>
      <c r="H1270" t="s">
        <v>32</v>
      </c>
      <c r="I1270" t="s">
        <v>33</v>
      </c>
      <c r="K1270">
        <v>890.85</v>
      </c>
      <c r="L1270" t="s">
        <v>3038</v>
      </c>
      <c r="M1270">
        <f>VLOOKUP(H1270,'Stage Order'!$A$2:$B$8,2,FALSE)</f>
        <v>7</v>
      </c>
      <c r="N1270" t="str">
        <f t="shared" si="38"/>
        <v>1. Under 1 hour</v>
      </c>
      <c r="O1270" t="str">
        <f t="shared" si="39"/>
        <v>2025-04</v>
      </c>
    </row>
    <row r="1271" spans="1:15" x14ac:dyDescent="0.3">
      <c r="A1271" t="s">
        <v>3039</v>
      </c>
      <c r="B1271" t="s">
        <v>3040</v>
      </c>
      <c r="C1271" t="s">
        <v>53</v>
      </c>
      <c r="D1271" t="s">
        <v>54</v>
      </c>
      <c r="E1271" t="s">
        <v>45</v>
      </c>
      <c r="F1271" t="s">
        <v>55</v>
      </c>
      <c r="G1271">
        <v>9.74</v>
      </c>
      <c r="H1271" t="s">
        <v>41</v>
      </c>
      <c r="I1271" t="s">
        <v>42</v>
      </c>
      <c r="M1271">
        <f>VLOOKUP(H1271,'Stage Order'!$A$2:$B$8,2,FALSE)</f>
        <v>2</v>
      </c>
      <c r="N1271" t="str">
        <f t="shared" si="38"/>
        <v>2. 1-24 hours</v>
      </c>
      <c r="O1271" t="str">
        <f t="shared" si="39"/>
        <v>2025-08</v>
      </c>
    </row>
    <row r="1272" spans="1:15" x14ac:dyDescent="0.3">
      <c r="A1272" t="s">
        <v>3041</v>
      </c>
      <c r="B1272" t="s">
        <v>3042</v>
      </c>
      <c r="C1272" t="s">
        <v>53</v>
      </c>
      <c r="D1272" t="s">
        <v>97</v>
      </c>
      <c r="E1272" t="s">
        <v>90</v>
      </c>
      <c r="F1272" t="s">
        <v>112</v>
      </c>
      <c r="G1272">
        <v>8.11</v>
      </c>
      <c r="H1272" t="s">
        <v>32</v>
      </c>
      <c r="I1272" t="s">
        <v>33</v>
      </c>
      <c r="K1272">
        <v>1681.42</v>
      </c>
      <c r="L1272" t="s">
        <v>3043</v>
      </c>
      <c r="M1272">
        <f>VLOOKUP(H1272,'Stage Order'!$A$2:$B$8,2,FALSE)</f>
        <v>7</v>
      </c>
      <c r="N1272" t="str">
        <f t="shared" si="38"/>
        <v>2. 1-24 hours</v>
      </c>
      <c r="O1272" t="str">
        <f t="shared" si="39"/>
        <v>2025-08</v>
      </c>
    </row>
    <row r="1273" spans="1:15" x14ac:dyDescent="0.3">
      <c r="A1273" t="s">
        <v>3044</v>
      </c>
      <c r="B1273" t="s">
        <v>3045</v>
      </c>
      <c r="C1273" t="s">
        <v>125</v>
      </c>
      <c r="D1273" t="s">
        <v>54</v>
      </c>
      <c r="E1273" t="s">
        <v>90</v>
      </c>
      <c r="F1273" t="s">
        <v>145</v>
      </c>
      <c r="G1273">
        <v>1.25</v>
      </c>
      <c r="H1273" t="s">
        <v>61</v>
      </c>
      <c r="I1273" t="s">
        <v>42</v>
      </c>
      <c r="M1273">
        <f>VLOOKUP(H1273,'Stage Order'!$A$2:$B$8,2,FALSE)</f>
        <v>1</v>
      </c>
      <c r="N1273" t="str">
        <f t="shared" si="38"/>
        <v>2. 1-24 hours</v>
      </c>
      <c r="O1273" t="str">
        <f t="shared" si="39"/>
        <v>2025-01</v>
      </c>
    </row>
    <row r="1274" spans="1:15" x14ac:dyDescent="0.3">
      <c r="A1274" t="s">
        <v>3046</v>
      </c>
      <c r="B1274" t="s">
        <v>3047</v>
      </c>
      <c r="C1274" t="s">
        <v>81</v>
      </c>
      <c r="D1274" t="s">
        <v>97</v>
      </c>
      <c r="E1274" t="s">
        <v>30</v>
      </c>
      <c r="F1274" t="s">
        <v>31</v>
      </c>
      <c r="G1274">
        <v>8.2899999999999991</v>
      </c>
      <c r="H1274" t="s">
        <v>61</v>
      </c>
      <c r="I1274" t="s">
        <v>42</v>
      </c>
      <c r="M1274">
        <f>VLOOKUP(H1274,'Stage Order'!$A$2:$B$8,2,FALSE)</f>
        <v>1</v>
      </c>
      <c r="N1274" t="str">
        <f t="shared" si="38"/>
        <v>2. 1-24 hours</v>
      </c>
      <c r="O1274" t="str">
        <f t="shared" si="39"/>
        <v>2025-12</v>
      </c>
    </row>
    <row r="1275" spans="1:15" x14ac:dyDescent="0.3">
      <c r="A1275" t="s">
        <v>3048</v>
      </c>
      <c r="B1275" t="s">
        <v>3049</v>
      </c>
      <c r="C1275" t="s">
        <v>28</v>
      </c>
      <c r="D1275" t="s">
        <v>97</v>
      </c>
      <c r="E1275" t="s">
        <v>39</v>
      </c>
      <c r="F1275" t="s">
        <v>40</v>
      </c>
      <c r="G1275">
        <v>0.84</v>
      </c>
      <c r="H1275" t="s">
        <v>138</v>
      </c>
      <c r="I1275" t="s">
        <v>48</v>
      </c>
      <c r="J1275" t="s">
        <v>113</v>
      </c>
      <c r="K1275">
        <v>1566.35</v>
      </c>
      <c r="L1275" t="s">
        <v>3050</v>
      </c>
      <c r="M1275">
        <f>VLOOKUP(H1275,'Stage Order'!$A$2:$B$8,2,FALSE)</f>
        <v>6</v>
      </c>
      <c r="N1275" t="str">
        <f t="shared" si="38"/>
        <v>1. Under 1 hour</v>
      </c>
      <c r="O1275" t="str">
        <f t="shared" si="39"/>
        <v>2025-07</v>
      </c>
    </row>
    <row r="1276" spans="1:15" x14ac:dyDescent="0.3">
      <c r="A1276" t="s">
        <v>3051</v>
      </c>
      <c r="B1276" t="s">
        <v>3052</v>
      </c>
      <c r="C1276" t="s">
        <v>58</v>
      </c>
      <c r="D1276" t="s">
        <v>77</v>
      </c>
      <c r="E1276" t="s">
        <v>39</v>
      </c>
      <c r="F1276" t="s">
        <v>106</v>
      </c>
      <c r="G1276">
        <v>0.9</v>
      </c>
      <c r="H1276" t="s">
        <v>41</v>
      </c>
      <c r="I1276" t="s">
        <v>42</v>
      </c>
      <c r="M1276">
        <f>VLOOKUP(H1276,'Stage Order'!$A$2:$B$8,2,FALSE)</f>
        <v>2</v>
      </c>
      <c r="N1276" t="str">
        <f t="shared" si="38"/>
        <v>1. Under 1 hour</v>
      </c>
      <c r="O1276" t="str">
        <f t="shared" si="39"/>
        <v>2025-09</v>
      </c>
    </row>
    <row r="1277" spans="1:15" x14ac:dyDescent="0.3">
      <c r="A1277" t="s">
        <v>3053</v>
      </c>
      <c r="B1277" t="s">
        <v>3054</v>
      </c>
      <c r="C1277" t="s">
        <v>58</v>
      </c>
      <c r="D1277" t="s">
        <v>77</v>
      </c>
      <c r="E1277" t="s">
        <v>59</v>
      </c>
      <c r="F1277" t="s">
        <v>117</v>
      </c>
      <c r="G1277">
        <v>10.02</v>
      </c>
      <c r="H1277" t="s">
        <v>41</v>
      </c>
      <c r="I1277" t="s">
        <v>42</v>
      </c>
      <c r="M1277">
        <f>VLOOKUP(H1277,'Stage Order'!$A$2:$B$8,2,FALSE)</f>
        <v>2</v>
      </c>
      <c r="N1277" t="str">
        <f t="shared" si="38"/>
        <v>2. 1-24 hours</v>
      </c>
      <c r="O1277" t="str">
        <f t="shared" si="39"/>
        <v>2025-04</v>
      </c>
    </row>
    <row r="1278" spans="1:15" x14ac:dyDescent="0.3">
      <c r="A1278" t="s">
        <v>3055</v>
      </c>
      <c r="B1278" t="s">
        <v>3056</v>
      </c>
      <c r="C1278" t="s">
        <v>58</v>
      </c>
      <c r="D1278" t="s">
        <v>38</v>
      </c>
      <c r="E1278" t="s">
        <v>39</v>
      </c>
      <c r="F1278" t="s">
        <v>106</v>
      </c>
      <c r="G1278">
        <v>0.97</v>
      </c>
      <c r="H1278" t="s">
        <v>32</v>
      </c>
      <c r="I1278" t="s">
        <v>33</v>
      </c>
      <c r="K1278">
        <v>378.57</v>
      </c>
      <c r="L1278" t="s">
        <v>3057</v>
      </c>
      <c r="M1278">
        <f>VLOOKUP(H1278,'Stage Order'!$A$2:$B$8,2,FALSE)</f>
        <v>7</v>
      </c>
      <c r="N1278" t="str">
        <f t="shared" si="38"/>
        <v>1. Under 1 hour</v>
      </c>
      <c r="O1278" t="str">
        <f t="shared" si="39"/>
        <v>2025-05</v>
      </c>
    </row>
    <row r="1279" spans="1:15" x14ac:dyDescent="0.3">
      <c r="A1279" t="s">
        <v>3058</v>
      </c>
      <c r="B1279" t="s">
        <v>3059</v>
      </c>
      <c r="C1279" t="s">
        <v>53</v>
      </c>
      <c r="D1279" t="s">
        <v>38</v>
      </c>
      <c r="E1279" t="s">
        <v>45</v>
      </c>
      <c r="F1279" t="s">
        <v>46</v>
      </c>
      <c r="G1279">
        <v>12.68</v>
      </c>
      <c r="H1279" t="s">
        <v>32</v>
      </c>
      <c r="I1279" t="s">
        <v>33</v>
      </c>
      <c r="K1279">
        <v>343.86</v>
      </c>
      <c r="L1279" t="s">
        <v>3060</v>
      </c>
      <c r="M1279">
        <f>VLOOKUP(H1279,'Stage Order'!$A$2:$B$8,2,FALSE)</f>
        <v>7</v>
      </c>
      <c r="N1279" t="str">
        <f t="shared" si="38"/>
        <v>2. 1-24 hours</v>
      </c>
      <c r="O1279" t="str">
        <f t="shared" si="39"/>
        <v>2025-09</v>
      </c>
    </row>
    <row r="1280" spans="1:15" x14ac:dyDescent="0.3">
      <c r="A1280" t="s">
        <v>3061</v>
      </c>
      <c r="B1280" t="s">
        <v>3062</v>
      </c>
      <c r="C1280" t="s">
        <v>58</v>
      </c>
      <c r="D1280" t="s">
        <v>54</v>
      </c>
      <c r="E1280" t="s">
        <v>90</v>
      </c>
      <c r="F1280" t="s">
        <v>91</v>
      </c>
      <c r="G1280">
        <v>2.96</v>
      </c>
      <c r="H1280" t="s">
        <v>41</v>
      </c>
      <c r="I1280" t="s">
        <v>42</v>
      </c>
      <c r="M1280">
        <f>VLOOKUP(H1280,'Stage Order'!$A$2:$B$8,2,FALSE)</f>
        <v>2</v>
      </c>
      <c r="N1280" t="str">
        <f t="shared" si="38"/>
        <v>2. 1-24 hours</v>
      </c>
      <c r="O1280" t="str">
        <f t="shared" si="39"/>
        <v>2025-10</v>
      </c>
    </row>
    <row r="1281" spans="1:15" x14ac:dyDescent="0.3">
      <c r="A1281" t="s">
        <v>3063</v>
      </c>
      <c r="B1281" t="s">
        <v>3064</v>
      </c>
      <c r="C1281" t="s">
        <v>58</v>
      </c>
      <c r="D1281" t="s">
        <v>38</v>
      </c>
      <c r="E1281" t="s">
        <v>59</v>
      </c>
      <c r="F1281" t="s">
        <v>60</v>
      </c>
      <c r="G1281">
        <v>6.7</v>
      </c>
      <c r="H1281" t="s">
        <v>138</v>
      </c>
      <c r="I1281" t="s">
        <v>48</v>
      </c>
      <c r="J1281" t="s">
        <v>98</v>
      </c>
      <c r="K1281">
        <v>412.13</v>
      </c>
      <c r="L1281" t="s">
        <v>3065</v>
      </c>
      <c r="M1281">
        <f>VLOOKUP(H1281,'Stage Order'!$A$2:$B$8,2,FALSE)</f>
        <v>6</v>
      </c>
      <c r="N1281" t="str">
        <f t="shared" si="38"/>
        <v>2. 1-24 hours</v>
      </c>
      <c r="O1281" t="str">
        <f t="shared" si="39"/>
        <v>2026-01</v>
      </c>
    </row>
    <row r="1282" spans="1:15" x14ac:dyDescent="0.3">
      <c r="A1282" t="s">
        <v>3066</v>
      </c>
      <c r="B1282" t="s">
        <v>3067</v>
      </c>
      <c r="C1282" t="s">
        <v>81</v>
      </c>
      <c r="D1282" t="s">
        <v>54</v>
      </c>
      <c r="E1282" t="s">
        <v>59</v>
      </c>
      <c r="F1282" t="s">
        <v>137</v>
      </c>
      <c r="G1282">
        <v>0.95</v>
      </c>
      <c r="H1282" t="s">
        <v>138</v>
      </c>
      <c r="I1282" t="s">
        <v>48</v>
      </c>
      <c r="J1282" t="s">
        <v>98</v>
      </c>
      <c r="K1282">
        <v>505.41</v>
      </c>
      <c r="L1282" t="s">
        <v>3068</v>
      </c>
      <c r="M1282">
        <f>VLOOKUP(H1282,'Stage Order'!$A$2:$B$8,2,FALSE)</f>
        <v>6</v>
      </c>
      <c r="N1282" t="str">
        <f t="shared" ref="N1282:N1345" si="40">IF(G1282&lt;=1,"1. Under 1 hour",IF(G1282&lt;=24,"2. 1-24 hours",IF(G1282&lt;=72,"3. 1-3 days","4. Over 3 days")))</f>
        <v>1. Under 1 hour</v>
      </c>
      <c r="O1282" t="str">
        <f t="shared" ref="O1282:O1345" si="41">TEXT(B1282,"YYYY-MM")</f>
        <v>2026-03</v>
      </c>
    </row>
    <row r="1283" spans="1:15" x14ac:dyDescent="0.3">
      <c r="A1283" t="s">
        <v>3069</v>
      </c>
      <c r="B1283" t="s">
        <v>3070</v>
      </c>
      <c r="C1283" t="s">
        <v>58</v>
      </c>
      <c r="D1283" t="s">
        <v>38</v>
      </c>
      <c r="E1283" t="s">
        <v>30</v>
      </c>
      <c r="F1283" t="s">
        <v>78</v>
      </c>
      <c r="G1283">
        <v>0.51</v>
      </c>
      <c r="H1283" t="s">
        <v>41</v>
      </c>
      <c r="I1283" t="s">
        <v>42</v>
      </c>
      <c r="M1283">
        <f>VLOOKUP(H1283,'Stage Order'!$A$2:$B$8,2,FALSE)</f>
        <v>2</v>
      </c>
      <c r="N1283" t="str">
        <f t="shared" si="40"/>
        <v>1. Under 1 hour</v>
      </c>
      <c r="O1283" t="str">
        <f t="shared" si="41"/>
        <v>2026-04</v>
      </c>
    </row>
    <row r="1284" spans="1:15" x14ac:dyDescent="0.3">
      <c r="A1284" t="s">
        <v>3071</v>
      </c>
      <c r="B1284" t="s">
        <v>3072</v>
      </c>
      <c r="C1284" t="s">
        <v>53</v>
      </c>
      <c r="D1284" t="s">
        <v>54</v>
      </c>
      <c r="E1284" t="s">
        <v>59</v>
      </c>
      <c r="F1284" t="s">
        <v>137</v>
      </c>
      <c r="G1284">
        <v>1.22</v>
      </c>
      <c r="H1284" t="s">
        <v>41</v>
      </c>
      <c r="I1284" t="s">
        <v>42</v>
      </c>
      <c r="M1284">
        <f>VLOOKUP(H1284,'Stage Order'!$A$2:$B$8,2,FALSE)</f>
        <v>2</v>
      </c>
      <c r="N1284" t="str">
        <f t="shared" si="40"/>
        <v>2. 1-24 hours</v>
      </c>
      <c r="O1284" t="str">
        <f t="shared" si="41"/>
        <v>2025-02</v>
      </c>
    </row>
    <row r="1285" spans="1:15" x14ac:dyDescent="0.3">
      <c r="A1285" t="s">
        <v>3073</v>
      </c>
      <c r="B1285" t="s">
        <v>3074</v>
      </c>
      <c r="C1285" t="s">
        <v>37</v>
      </c>
      <c r="D1285" t="s">
        <v>38</v>
      </c>
      <c r="E1285" t="s">
        <v>39</v>
      </c>
      <c r="F1285" t="s">
        <v>106</v>
      </c>
      <c r="G1285">
        <v>3.71</v>
      </c>
      <c r="H1285" t="s">
        <v>138</v>
      </c>
      <c r="I1285" t="s">
        <v>48</v>
      </c>
      <c r="J1285" t="s">
        <v>49</v>
      </c>
      <c r="K1285">
        <v>323.89999999999998</v>
      </c>
      <c r="L1285" t="s">
        <v>3075</v>
      </c>
      <c r="M1285">
        <f>VLOOKUP(H1285,'Stage Order'!$A$2:$B$8,2,FALSE)</f>
        <v>6</v>
      </c>
      <c r="N1285" t="str">
        <f t="shared" si="40"/>
        <v>2. 1-24 hours</v>
      </c>
      <c r="O1285" t="str">
        <f t="shared" si="41"/>
        <v>2026-05</v>
      </c>
    </row>
    <row r="1286" spans="1:15" x14ac:dyDescent="0.3">
      <c r="A1286" t="s">
        <v>3076</v>
      </c>
      <c r="B1286" t="s">
        <v>3077</v>
      </c>
      <c r="C1286" t="s">
        <v>28</v>
      </c>
      <c r="D1286" t="s">
        <v>54</v>
      </c>
      <c r="E1286" t="s">
        <v>59</v>
      </c>
      <c r="F1286" t="s">
        <v>117</v>
      </c>
      <c r="G1286">
        <v>2.81</v>
      </c>
      <c r="H1286" t="s">
        <v>146</v>
      </c>
      <c r="I1286" t="s">
        <v>48</v>
      </c>
      <c r="J1286" t="s">
        <v>49</v>
      </c>
      <c r="K1286">
        <v>444.48</v>
      </c>
      <c r="L1286" t="s">
        <v>3078</v>
      </c>
      <c r="M1286">
        <f>VLOOKUP(H1286,'Stage Order'!$A$2:$B$8,2,FALSE)</f>
        <v>5</v>
      </c>
      <c r="N1286" t="str">
        <f t="shared" si="40"/>
        <v>2. 1-24 hours</v>
      </c>
      <c r="O1286" t="str">
        <f t="shared" si="41"/>
        <v>2025-02</v>
      </c>
    </row>
    <row r="1287" spans="1:15" x14ac:dyDescent="0.3">
      <c r="A1287" t="s">
        <v>3079</v>
      </c>
      <c r="B1287" t="s">
        <v>3080</v>
      </c>
      <c r="C1287" t="s">
        <v>58</v>
      </c>
      <c r="D1287" t="s">
        <v>54</v>
      </c>
      <c r="E1287" t="s">
        <v>45</v>
      </c>
      <c r="F1287" t="s">
        <v>55</v>
      </c>
      <c r="G1287">
        <v>1.9</v>
      </c>
      <c r="H1287" t="s">
        <v>41</v>
      </c>
      <c r="I1287" t="s">
        <v>42</v>
      </c>
      <c r="M1287">
        <f>VLOOKUP(H1287,'Stage Order'!$A$2:$B$8,2,FALSE)</f>
        <v>2</v>
      </c>
      <c r="N1287" t="str">
        <f t="shared" si="40"/>
        <v>2. 1-24 hours</v>
      </c>
      <c r="O1287" t="str">
        <f t="shared" si="41"/>
        <v>2025-11</v>
      </c>
    </row>
    <row r="1288" spans="1:15" x14ac:dyDescent="0.3">
      <c r="A1288" t="s">
        <v>3081</v>
      </c>
      <c r="B1288" t="s">
        <v>3082</v>
      </c>
      <c r="C1288" t="s">
        <v>76</v>
      </c>
      <c r="D1288" t="s">
        <v>54</v>
      </c>
      <c r="E1288" t="s">
        <v>39</v>
      </c>
      <c r="F1288" t="s">
        <v>106</v>
      </c>
      <c r="G1288">
        <v>7.26</v>
      </c>
      <c r="H1288" t="s">
        <v>146</v>
      </c>
      <c r="I1288" t="s">
        <v>48</v>
      </c>
      <c r="J1288" t="s">
        <v>98</v>
      </c>
      <c r="K1288">
        <v>476.56</v>
      </c>
      <c r="L1288" t="s">
        <v>3083</v>
      </c>
      <c r="M1288">
        <f>VLOOKUP(H1288,'Stage Order'!$A$2:$B$8,2,FALSE)</f>
        <v>5</v>
      </c>
      <c r="N1288" t="str">
        <f t="shared" si="40"/>
        <v>2. 1-24 hours</v>
      </c>
      <c r="O1288" t="str">
        <f t="shared" si="41"/>
        <v>2025-01</v>
      </c>
    </row>
    <row r="1289" spans="1:15" x14ac:dyDescent="0.3">
      <c r="A1289" t="s">
        <v>3084</v>
      </c>
      <c r="B1289" t="s">
        <v>3085</v>
      </c>
      <c r="C1289" t="s">
        <v>53</v>
      </c>
      <c r="D1289" t="s">
        <v>29</v>
      </c>
      <c r="E1289" t="s">
        <v>39</v>
      </c>
      <c r="F1289" t="s">
        <v>40</v>
      </c>
      <c r="G1289">
        <v>5.52</v>
      </c>
      <c r="H1289" t="s">
        <v>41</v>
      </c>
      <c r="I1289" t="s">
        <v>42</v>
      </c>
      <c r="M1289">
        <f>VLOOKUP(H1289,'Stage Order'!$A$2:$B$8,2,FALSE)</f>
        <v>2</v>
      </c>
      <c r="N1289" t="str">
        <f t="shared" si="40"/>
        <v>2. 1-24 hours</v>
      </c>
      <c r="O1289" t="str">
        <f t="shared" si="41"/>
        <v>2025-08</v>
      </c>
    </row>
    <row r="1290" spans="1:15" x14ac:dyDescent="0.3">
      <c r="A1290" t="s">
        <v>3086</v>
      </c>
      <c r="B1290" t="s">
        <v>3087</v>
      </c>
      <c r="C1290" t="s">
        <v>125</v>
      </c>
      <c r="D1290" t="s">
        <v>54</v>
      </c>
      <c r="E1290" t="s">
        <v>45</v>
      </c>
      <c r="F1290" t="s">
        <v>94</v>
      </c>
      <c r="G1290">
        <v>0.89</v>
      </c>
      <c r="H1290" t="s">
        <v>41</v>
      </c>
      <c r="I1290" t="s">
        <v>42</v>
      </c>
      <c r="M1290">
        <f>VLOOKUP(H1290,'Stage Order'!$A$2:$B$8,2,FALSE)</f>
        <v>2</v>
      </c>
      <c r="N1290" t="str">
        <f t="shared" si="40"/>
        <v>1. Under 1 hour</v>
      </c>
      <c r="O1290" t="str">
        <f t="shared" si="41"/>
        <v>2025-04</v>
      </c>
    </row>
    <row r="1291" spans="1:15" x14ac:dyDescent="0.3">
      <c r="A1291" t="s">
        <v>3088</v>
      </c>
      <c r="B1291" t="s">
        <v>2839</v>
      </c>
      <c r="C1291" t="s">
        <v>125</v>
      </c>
      <c r="D1291" t="s">
        <v>29</v>
      </c>
      <c r="E1291" t="s">
        <v>39</v>
      </c>
      <c r="F1291" t="s">
        <v>40</v>
      </c>
      <c r="G1291">
        <v>1.1000000000000001</v>
      </c>
      <c r="H1291" t="s">
        <v>61</v>
      </c>
      <c r="I1291" t="s">
        <v>42</v>
      </c>
      <c r="M1291">
        <f>VLOOKUP(H1291,'Stage Order'!$A$2:$B$8,2,FALSE)</f>
        <v>1</v>
      </c>
      <c r="N1291" t="str">
        <f t="shared" si="40"/>
        <v>2. 1-24 hours</v>
      </c>
      <c r="O1291" t="str">
        <f t="shared" si="41"/>
        <v>2025-09</v>
      </c>
    </row>
    <row r="1292" spans="1:15" x14ac:dyDescent="0.3">
      <c r="A1292" t="s">
        <v>3089</v>
      </c>
      <c r="B1292" t="s">
        <v>3090</v>
      </c>
      <c r="C1292" t="s">
        <v>37</v>
      </c>
      <c r="D1292" t="s">
        <v>38</v>
      </c>
      <c r="E1292" t="s">
        <v>45</v>
      </c>
      <c r="F1292" t="s">
        <v>55</v>
      </c>
      <c r="G1292">
        <v>7.51</v>
      </c>
      <c r="H1292" t="s">
        <v>41</v>
      </c>
      <c r="I1292" t="s">
        <v>42</v>
      </c>
      <c r="M1292">
        <f>VLOOKUP(H1292,'Stage Order'!$A$2:$B$8,2,FALSE)</f>
        <v>2</v>
      </c>
      <c r="N1292" t="str">
        <f t="shared" si="40"/>
        <v>2. 1-24 hours</v>
      </c>
      <c r="O1292" t="str">
        <f t="shared" si="41"/>
        <v>2025-01</v>
      </c>
    </row>
    <row r="1293" spans="1:15" x14ac:dyDescent="0.3">
      <c r="A1293" t="s">
        <v>3091</v>
      </c>
      <c r="B1293" t="s">
        <v>3092</v>
      </c>
      <c r="C1293" t="s">
        <v>81</v>
      </c>
      <c r="D1293" t="s">
        <v>29</v>
      </c>
      <c r="E1293" t="s">
        <v>39</v>
      </c>
      <c r="F1293" t="s">
        <v>40</v>
      </c>
      <c r="G1293">
        <v>2.2400000000000002</v>
      </c>
      <c r="H1293" t="s">
        <v>61</v>
      </c>
      <c r="I1293" t="s">
        <v>42</v>
      </c>
      <c r="M1293">
        <f>VLOOKUP(H1293,'Stage Order'!$A$2:$B$8,2,FALSE)</f>
        <v>1</v>
      </c>
      <c r="N1293" t="str">
        <f t="shared" si="40"/>
        <v>2. 1-24 hours</v>
      </c>
      <c r="O1293" t="str">
        <f t="shared" si="41"/>
        <v>2026-02</v>
      </c>
    </row>
    <row r="1294" spans="1:15" x14ac:dyDescent="0.3">
      <c r="A1294" t="s">
        <v>3093</v>
      </c>
      <c r="B1294" t="s">
        <v>3094</v>
      </c>
      <c r="C1294" t="s">
        <v>37</v>
      </c>
      <c r="D1294" t="s">
        <v>77</v>
      </c>
      <c r="E1294" t="s">
        <v>45</v>
      </c>
      <c r="F1294" t="s">
        <v>46</v>
      </c>
      <c r="G1294">
        <v>13.9</v>
      </c>
      <c r="H1294" t="s">
        <v>138</v>
      </c>
      <c r="I1294" t="s">
        <v>48</v>
      </c>
      <c r="J1294" t="s">
        <v>98</v>
      </c>
      <c r="K1294">
        <v>863.77</v>
      </c>
      <c r="L1294" t="s">
        <v>3095</v>
      </c>
      <c r="M1294">
        <f>VLOOKUP(H1294,'Stage Order'!$A$2:$B$8,2,FALSE)</f>
        <v>6</v>
      </c>
      <c r="N1294" t="str">
        <f t="shared" si="40"/>
        <v>2. 1-24 hours</v>
      </c>
      <c r="O1294" t="str">
        <f t="shared" si="41"/>
        <v>2025-11</v>
      </c>
    </row>
    <row r="1295" spans="1:15" x14ac:dyDescent="0.3">
      <c r="A1295" t="s">
        <v>3096</v>
      </c>
      <c r="B1295" t="s">
        <v>3097</v>
      </c>
      <c r="C1295" t="s">
        <v>53</v>
      </c>
      <c r="D1295" t="s">
        <v>54</v>
      </c>
      <c r="E1295" t="s">
        <v>59</v>
      </c>
      <c r="F1295" t="s">
        <v>137</v>
      </c>
      <c r="G1295">
        <v>0.62</v>
      </c>
      <c r="H1295" t="s">
        <v>41</v>
      </c>
      <c r="I1295" t="s">
        <v>42</v>
      </c>
      <c r="M1295">
        <f>VLOOKUP(H1295,'Stage Order'!$A$2:$B$8,2,FALSE)</f>
        <v>2</v>
      </c>
      <c r="N1295" t="str">
        <f t="shared" si="40"/>
        <v>1. Under 1 hour</v>
      </c>
      <c r="O1295" t="str">
        <f t="shared" si="41"/>
        <v>2026-06</v>
      </c>
    </row>
    <row r="1296" spans="1:15" x14ac:dyDescent="0.3">
      <c r="A1296" t="s">
        <v>3098</v>
      </c>
      <c r="B1296" t="s">
        <v>3099</v>
      </c>
      <c r="C1296" t="s">
        <v>28</v>
      </c>
      <c r="D1296" t="s">
        <v>77</v>
      </c>
      <c r="E1296" t="s">
        <v>59</v>
      </c>
      <c r="F1296" t="s">
        <v>117</v>
      </c>
      <c r="G1296">
        <v>2.09</v>
      </c>
      <c r="H1296" t="s">
        <v>41</v>
      </c>
      <c r="I1296" t="s">
        <v>42</v>
      </c>
      <c r="M1296">
        <f>VLOOKUP(H1296,'Stage Order'!$A$2:$B$8,2,FALSE)</f>
        <v>2</v>
      </c>
      <c r="N1296" t="str">
        <f t="shared" si="40"/>
        <v>2. 1-24 hours</v>
      </c>
      <c r="O1296" t="str">
        <f t="shared" si="41"/>
        <v>2026-04</v>
      </c>
    </row>
    <row r="1297" spans="1:15" x14ac:dyDescent="0.3">
      <c r="A1297" t="s">
        <v>3100</v>
      </c>
      <c r="B1297" t="s">
        <v>3101</v>
      </c>
      <c r="C1297" t="s">
        <v>37</v>
      </c>
      <c r="D1297" t="s">
        <v>29</v>
      </c>
      <c r="E1297" t="s">
        <v>45</v>
      </c>
      <c r="F1297" t="s">
        <v>94</v>
      </c>
      <c r="G1297">
        <v>0.53</v>
      </c>
      <c r="H1297" t="s">
        <v>41</v>
      </c>
      <c r="I1297" t="s">
        <v>42</v>
      </c>
      <c r="M1297">
        <f>VLOOKUP(H1297,'Stage Order'!$A$2:$B$8,2,FALSE)</f>
        <v>2</v>
      </c>
      <c r="N1297" t="str">
        <f t="shared" si="40"/>
        <v>1. Under 1 hour</v>
      </c>
      <c r="O1297" t="str">
        <f t="shared" si="41"/>
        <v>2026-06</v>
      </c>
    </row>
    <row r="1298" spans="1:15" x14ac:dyDescent="0.3">
      <c r="A1298" t="s">
        <v>3102</v>
      </c>
      <c r="B1298" t="s">
        <v>3103</v>
      </c>
      <c r="C1298" t="s">
        <v>125</v>
      </c>
      <c r="D1298" t="s">
        <v>54</v>
      </c>
      <c r="E1298" t="s">
        <v>45</v>
      </c>
      <c r="F1298" t="s">
        <v>46</v>
      </c>
      <c r="G1298">
        <v>2</v>
      </c>
      <c r="H1298" t="s">
        <v>41</v>
      </c>
      <c r="I1298" t="s">
        <v>42</v>
      </c>
      <c r="M1298">
        <f>VLOOKUP(H1298,'Stage Order'!$A$2:$B$8,2,FALSE)</f>
        <v>2</v>
      </c>
      <c r="N1298" t="str">
        <f t="shared" si="40"/>
        <v>2. 1-24 hours</v>
      </c>
      <c r="O1298" t="str">
        <f t="shared" si="41"/>
        <v>2025-03</v>
      </c>
    </row>
    <row r="1299" spans="1:15" x14ac:dyDescent="0.3">
      <c r="A1299" t="s">
        <v>3104</v>
      </c>
      <c r="B1299" t="s">
        <v>3105</v>
      </c>
      <c r="C1299" t="s">
        <v>58</v>
      </c>
      <c r="D1299" t="s">
        <v>29</v>
      </c>
      <c r="E1299" t="s">
        <v>59</v>
      </c>
      <c r="F1299" t="s">
        <v>117</v>
      </c>
      <c r="G1299">
        <v>4.2</v>
      </c>
      <c r="H1299" t="s">
        <v>47</v>
      </c>
      <c r="I1299" t="s">
        <v>48</v>
      </c>
      <c r="J1299" t="s">
        <v>98</v>
      </c>
      <c r="K1299">
        <v>566.16999999999996</v>
      </c>
      <c r="L1299" t="s">
        <v>3106</v>
      </c>
      <c r="M1299">
        <f>VLOOKUP(H1299,'Stage Order'!$A$2:$B$8,2,FALSE)</f>
        <v>4</v>
      </c>
      <c r="N1299" t="str">
        <f t="shared" si="40"/>
        <v>2. 1-24 hours</v>
      </c>
      <c r="O1299" t="str">
        <f t="shared" si="41"/>
        <v>2025-02</v>
      </c>
    </row>
    <row r="1300" spans="1:15" x14ac:dyDescent="0.3">
      <c r="A1300" t="s">
        <v>3107</v>
      </c>
      <c r="B1300" t="s">
        <v>3108</v>
      </c>
      <c r="C1300" t="s">
        <v>58</v>
      </c>
      <c r="D1300" t="s">
        <v>54</v>
      </c>
      <c r="E1300" t="s">
        <v>39</v>
      </c>
      <c r="F1300" t="s">
        <v>40</v>
      </c>
      <c r="G1300">
        <v>4.55</v>
      </c>
      <c r="H1300" t="s">
        <v>47</v>
      </c>
      <c r="I1300" t="s">
        <v>48</v>
      </c>
      <c r="J1300" t="s">
        <v>742</v>
      </c>
      <c r="K1300">
        <v>509.8</v>
      </c>
      <c r="L1300" t="s">
        <v>3109</v>
      </c>
      <c r="M1300">
        <f>VLOOKUP(H1300,'Stage Order'!$A$2:$B$8,2,FALSE)</f>
        <v>4</v>
      </c>
      <c r="N1300" t="str">
        <f t="shared" si="40"/>
        <v>2. 1-24 hours</v>
      </c>
      <c r="O1300" t="str">
        <f t="shared" si="41"/>
        <v>2025-06</v>
      </c>
    </row>
    <row r="1301" spans="1:15" x14ac:dyDescent="0.3">
      <c r="A1301" t="s">
        <v>3110</v>
      </c>
      <c r="B1301" t="s">
        <v>3111</v>
      </c>
      <c r="C1301" t="s">
        <v>53</v>
      </c>
      <c r="D1301" t="s">
        <v>77</v>
      </c>
      <c r="E1301" t="s">
        <v>59</v>
      </c>
      <c r="F1301" t="s">
        <v>117</v>
      </c>
      <c r="G1301">
        <v>1.47</v>
      </c>
      <c r="H1301" t="s">
        <v>32</v>
      </c>
      <c r="I1301" t="s">
        <v>33</v>
      </c>
      <c r="K1301">
        <v>1174.1500000000001</v>
      </c>
      <c r="L1301" t="s">
        <v>3112</v>
      </c>
      <c r="M1301">
        <f>VLOOKUP(H1301,'Stage Order'!$A$2:$B$8,2,FALSE)</f>
        <v>7</v>
      </c>
      <c r="N1301" t="str">
        <f t="shared" si="40"/>
        <v>2. 1-24 hours</v>
      </c>
      <c r="O1301" t="str">
        <f t="shared" si="41"/>
        <v>2026-05</v>
      </c>
    </row>
    <row r="1302" spans="1:15" x14ac:dyDescent="0.3">
      <c r="A1302" t="s">
        <v>3113</v>
      </c>
      <c r="B1302" t="s">
        <v>3114</v>
      </c>
      <c r="C1302" t="s">
        <v>125</v>
      </c>
      <c r="D1302" t="s">
        <v>29</v>
      </c>
      <c r="E1302" t="s">
        <v>59</v>
      </c>
      <c r="F1302" t="s">
        <v>60</v>
      </c>
      <c r="G1302">
        <v>6.57</v>
      </c>
      <c r="H1302" t="s">
        <v>41</v>
      </c>
      <c r="I1302" t="s">
        <v>42</v>
      </c>
      <c r="M1302">
        <f>VLOOKUP(H1302,'Stage Order'!$A$2:$B$8,2,FALSE)</f>
        <v>2</v>
      </c>
      <c r="N1302" t="str">
        <f t="shared" si="40"/>
        <v>2. 1-24 hours</v>
      </c>
      <c r="O1302" t="str">
        <f t="shared" si="41"/>
        <v>2025-03</v>
      </c>
    </row>
    <row r="1303" spans="1:15" x14ac:dyDescent="0.3">
      <c r="A1303" t="s">
        <v>3115</v>
      </c>
      <c r="B1303" t="s">
        <v>3116</v>
      </c>
      <c r="C1303" t="s">
        <v>125</v>
      </c>
      <c r="D1303" t="s">
        <v>97</v>
      </c>
      <c r="E1303" t="s">
        <v>39</v>
      </c>
      <c r="F1303" t="s">
        <v>66</v>
      </c>
      <c r="G1303">
        <v>11.22</v>
      </c>
      <c r="H1303" t="s">
        <v>61</v>
      </c>
      <c r="I1303" t="s">
        <v>42</v>
      </c>
      <c r="M1303">
        <f>VLOOKUP(H1303,'Stage Order'!$A$2:$B$8,2,FALSE)</f>
        <v>1</v>
      </c>
      <c r="N1303" t="str">
        <f t="shared" si="40"/>
        <v>2. 1-24 hours</v>
      </c>
      <c r="O1303" t="str">
        <f t="shared" si="41"/>
        <v>2025-09</v>
      </c>
    </row>
    <row r="1304" spans="1:15" x14ac:dyDescent="0.3">
      <c r="A1304" t="s">
        <v>3117</v>
      </c>
      <c r="B1304" t="s">
        <v>3118</v>
      </c>
      <c r="C1304" t="s">
        <v>58</v>
      </c>
      <c r="D1304" t="s">
        <v>77</v>
      </c>
      <c r="E1304" t="s">
        <v>39</v>
      </c>
      <c r="F1304" t="s">
        <v>66</v>
      </c>
      <c r="G1304">
        <v>2.9</v>
      </c>
      <c r="H1304" t="s">
        <v>41</v>
      </c>
      <c r="I1304" t="s">
        <v>42</v>
      </c>
      <c r="M1304">
        <f>VLOOKUP(H1304,'Stage Order'!$A$2:$B$8,2,FALSE)</f>
        <v>2</v>
      </c>
      <c r="N1304" t="str">
        <f t="shared" si="40"/>
        <v>2. 1-24 hours</v>
      </c>
      <c r="O1304" t="str">
        <f t="shared" si="41"/>
        <v>2026-04</v>
      </c>
    </row>
    <row r="1305" spans="1:15" x14ac:dyDescent="0.3">
      <c r="A1305" t="s">
        <v>3119</v>
      </c>
      <c r="B1305" t="s">
        <v>3120</v>
      </c>
      <c r="C1305" t="s">
        <v>53</v>
      </c>
      <c r="D1305" t="s">
        <v>29</v>
      </c>
      <c r="E1305" t="s">
        <v>30</v>
      </c>
      <c r="F1305" t="s">
        <v>78</v>
      </c>
      <c r="G1305">
        <v>2.52</v>
      </c>
      <c r="H1305" t="s">
        <v>138</v>
      </c>
      <c r="I1305" t="s">
        <v>48</v>
      </c>
      <c r="J1305" t="s">
        <v>49</v>
      </c>
      <c r="K1305">
        <v>669.98</v>
      </c>
      <c r="L1305" t="s">
        <v>3121</v>
      </c>
      <c r="M1305">
        <f>VLOOKUP(H1305,'Stage Order'!$A$2:$B$8,2,FALSE)</f>
        <v>6</v>
      </c>
      <c r="N1305" t="str">
        <f t="shared" si="40"/>
        <v>2. 1-24 hours</v>
      </c>
      <c r="O1305" t="str">
        <f t="shared" si="41"/>
        <v>2025-03</v>
      </c>
    </row>
    <row r="1306" spans="1:15" x14ac:dyDescent="0.3">
      <c r="A1306" t="s">
        <v>3122</v>
      </c>
      <c r="B1306" t="s">
        <v>3123</v>
      </c>
      <c r="C1306" t="s">
        <v>58</v>
      </c>
      <c r="D1306" t="s">
        <v>77</v>
      </c>
      <c r="E1306" t="s">
        <v>90</v>
      </c>
      <c r="F1306" t="s">
        <v>145</v>
      </c>
      <c r="G1306">
        <v>1.21</v>
      </c>
      <c r="H1306" t="s">
        <v>47</v>
      </c>
      <c r="I1306" t="s">
        <v>48</v>
      </c>
      <c r="J1306" t="s">
        <v>139</v>
      </c>
      <c r="K1306">
        <v>1135.19</v>
      </c>
      <c r="L1306" t="s">
        <v>3124</v>
      </c>
      <c r="M1306">
        <f>VLOOKUP(H1306,'Stage Order'!$A$2:$B$8,2,FALSE)</f>
        <v>4</v>
      </c>
      <c r="N1306" t="str">
        <f t="shared" si="40"/>
        <v>2. 1-24 hours</v>
      </c>
      <c r="O1306" t="str">
        <f t="shared" si="41"/>
        <v>2025-11</v>
      </c>
    </row>
    <row r="1307" spans="1:15" x14ac:dyDescent="0.3">
      <c r="A1307" t="s">
        <v>3125</v>
      </c>
      <c r="B1307" t="s">
        <v>3126</v>
      </c>
      <c r="C1307" t="s">
        <v>28</v>
      </c>
      <c r="D1307" t="s">
        <v>54</v>
      </c>
      <c r="E1307" t="s">
        <v>45</v>
      </c>
      <c r="F1307" t="s">
        <v>94</v>
      </c>
      <c r="G1307">
        <v>17.07</v>
      </c>
      <c r="H1307" t="s">
        <v>32</v>
      </c>
      <c r="I1307" t="s">
        <v>33</v>
      </c>
      <c r="K1307">
        <v>425.37</v>
      </c>
      <c r="L1307" t="s">
        <v>3127</v>
      </c>
      <c r="M1307">
        <f>VLOOKUP(H1307,'Stage Order'!$A$2:$B$8,2,FALSE)</f>
        <v>7</v>
      </c>
      <c r="N1307" t="str">
        <f t="shared" si="40"/>
        <v>2. 1-24 hours</v>
      </c>
      <c r="O1307" t="str">
        <f t="shared" si="41"/>
        <v>2025-07</v>
      </c>
    </row>
    <row r="1308" spans="1:15" x14ac:dyDescent="0.3">
      <c r="A1308" t="s">
        <v>3128</v>
      </c>
      <c r="B1308" t="s">
        <v>3129</v>
      </c>
      <c r="C1308" t="s">
        <v>81</v>
      </c>
      <c r="D1308" t="s">
        <v>29</v>
      </c>
      <c r="E1308" t="s">
        <v>90</v>
      </c>
      <c r="F1308" t="s">
        <v>145</v>
      </c>
      <c r="G1308">
        <v>22.52</v>
      </c>
      <c r="H1308" t="s">
        <v>41</v>
      </c>
      <c r="I1308" t="s">
        <v>42</v>
      </c>
      <c r="M1308">
        <f>VLOOKUP(H1308,'Stage Order'!$A$2:$B$8,2,FALSE)</f>
        <v>2</v>
      </c>
      <c r="N1308" t="str">
        <f t="shared" si="40"/>
        <v>2. 1-24 hours</v>
      </c>
      <c r="O1308" t="str">
        <f t="shared" si="41"/>
        <v>2026-04</v>
      </c>
    </row>
    <row r="1309" spans="1:15" x14ac:dyDescent="0.3">
      <c r="A1309" t="s">
        <v>3130</v>
      </c>
      <c r="B1309" t="s">
        <v>3131</v>
      </c>
      <c r="C1309" t="s">
        <v>76</v>
      </c>
      <c r="D1309" t="s">
        <v>54</v>
      </c>
      <c r="E1309" t="s">
        <v>30</v>
      </c>
      <c r="F1309" t="s">
        <v>78</v>
      </c>
      <c r="G1309">
        <v>5.59</v>
      </c>
      <c r="H1309" t="s">
        <v>146</v>
      </c>
      <c r="I1309" t="s">
        <v>48</v>
      </c>
      <c r="J1309" t="s">
        <v>113</v>
      </c>
      <c r="K1309">
        <v>553.79</v>
      </c>
      <c r="L1309" t="s">
        <v>3132</v>
      </c>
      <c r="M1309">
        <f>VLOOKUP(H1309,'Stage Order'!$A$2:$B$8,2,FALSE)</f>
        <v>5</v>
      </c>
      <c r="N1309" t="str">
        <f t="shared" si="40"/>
        <v>2. 1-24 hours</v>
      </c>
      <c r="O1309" t="str">
        <f t="shared" si="41"/>
        <v>2026-06</v>
      </c>
    </row>
    <row r="1310" spans="1:15" x14ac:dyDescent="0.3">
      <c r="A1310" t="s">
        <v>3133</v>
      </c>
      <c r="B1310" t="s">
        <v>3134</v>
      </c>
      <c r="C1310" t="s">
        <v>28</v>
      </c>
      <c r="D1310" t="s">
        <v>54</v>
      </c>
      <c r="E1310" t="s">
        <v>59</v>
      </c>
      <c r="F1310" t="s">
        <v>117</v>
      </c>
      <c r="G1310">
        <v>3.92</v>
      </c>
      <c r="H1310" t="s">
        <v>32</v>
      </c>
      <c r="I1310" t="s">
        <v>33</v>
      </c>
      <c r="K1310">
        <v>473.37</v>
      </c>
      <c r="L1310" t="s">
        <v>3135</v>
      </c>
      <c r="M1310">
        <f>VLOOKUP(H1310,'Stage Order'!$A$2:$B$8,2,FALSE)</f>
        <v>7</v>
      </c>
      <c r="N1310" t="str">
        <f t="shared" si="40"/>
        <v>2. 1-24 hours</v>
      </c>
      <c r="O1310" t="str">
        <f t="shared" si="41"/>
        <v>2026-04</v>
      </c>
    </row>
    <row r="1311" spans="1:15" x14ac:dyDescent="0.3">
      <c r="A1311" t="s">
        <v>3136</v>
      </c>
      <c r="B1311" t="s">
        <v>3137</v>
      </c>
      <c r="C1311" t="s">
        <v>81</v>
      </c>
      <c r="D1311" t="s">
        <v>38</v>
      </c>
      <c r="E1311" t="s">
        <v>30</v>
      </c>
      <c r="F1311" t="s">
        <v>31</v>
      </c>
      <c r="G1311">
        <v>1.91</v>
      </c>
      <c r="H1311" t="s">
        <v>61</v>
      </c>
      <c r="I1311" t="s">
        <v>42</v>
      </c>
      <c r="M1311">
        <f>VLOOKUP(H1311,'Stage Order'!$A$2:$B$8,2,FALSE)</f>
        <v>1</v>
      </c>
      <c r="N1311" t="str">
        <f t="shared" si="40"/>
        <v>2. 1-24 hours</v>
      </c>
      <c r="O1311" t="str">
        <f t="shared" si="41"/>
        <v>2025-11</v>
      </c>
    </row>
    <row r="1312" spans="1:15" x14ac:dyDescent="0.3">
      <c r="A1312" t="s">
        <v>3138</v>
      </c>
      <c r="B1312" t="s">
        <v>3139</v>
      </c>
      <c r="C1312" t="s">
        <v>53</v>
      </c>
      <c r="D1312" t="s">
        <v>54</v>
      </c>
      <c r="E1312" t="s">
        <v>45</v>
      </c>
      <c r="F1312" t="s">
        <v>46</v>
      </c>
      <c r="G1312">
        <v>3.37</v>
      </c>
      <c r="H1312" t="s">
        <v>32</v>
      </c>
      <c r="I1312" t="s">
        <v>33</v>
      </c>
      <c r="K1312">
        <v>483.45</v>
      </c>
      <c r="L1312" t="s">
        <v>3140</v>
      </c>
      <c r="M1312">
        <f>VLOOKUP(H1312,'Stage Order'!$A$2:$B$8,2,FALSE)</f>
        <v>7</v>
      </c>
      <c r="N1312" t="str">
        <f t="shared" si="40"/>
        <v>2. 1-24 hours</v>
      </c>
      <c r="O1312" t="str">
        <f t="shared" si="41"/>
        <v>2025-11</v>
      </c>
    </row>
    <row r="1313" spans="1:15" x14ac:dyDescent="0.3">
      <c r="A1313" t="s">
        <v>3141</v>
      </c>
      <c r="B1313" t="s">
        <v>3142</v>
      </c>
      <c r="C1313" t="s">
        <v>81</v>
      </c>
      <c r="D1313" t="s">
        <v>54</v>
      </c>
      <c r="E1313" t="s">
        <v>45</v>
      </c>
      <c r="F1313" t="s">
        <v>55</v>
      </c>
      <c r="G1313">
        <v>0.34</v>
      </c>
      <c r="H1313" t="s">
        <v>41</v>
      </c>
      <c r="I1313" t="s">
        <v>42</v>
      </c>
      <c r="M1313">
        <f>VLOOKUP(H1313,'Stage Order'!$A$2:$B$8,2,FALSE)</f>
        <v>2</v>
      </c>
      <c r="N1313" t="str">
        <f t="shared" si="40"/>
        <v>1. Under 1 hour</v>
      </c>
      <c r="O1313" t="str">
        <f t="shared" si="41"/>
        <v>2026-06</v>
      </c>
    </row>
    <row r="1314" spans="1:15" x14ac:dyDescent="0.3">
      <c r="A1314" t="s">
        <v>3143</v>
      </c>
      <c r="B1314" t="s">
        <v>3144</v>
      </c>
      <c r="C1314" t="s">
        <v>58</v>
      </c>
      <c r="D1314" t="s">
        <v>97</v>
      </c>
      <c r="E1314" t="s">
        <v>45</v>
      </c>
      <c r="F1314" t="s">
        <v>94</v>
      </c>
      <c r="G1314">
        <v>2.5499999999999998</v>
      </c>
      <c r="H1314" t="s">
        <v>41</v>
      </c>
      <c r="I1314" t="s">
        <v>42</v>
      </c>
      <c r="M1314">
        <f>VLOOKUP(H1314,'Stage Order'!$A$2:$B$8,2,FALSE)</f>
        <v>2</v>
      </c>
      <c r="N1314" t="str">
        <f t="shared" si="40"/>
        <v>2. 1-24 hours</v>
      </c>
      <c r="O1314" t="str">
        <f t="shared" si="41"/>
        <v>2025-08</v>
      </c>
    </row>
    <row r="1315" spans="1:15" x14ac:dyDescent="0.3">
      <c r="A1315" t="s">
        <v>3145</v>
      </c>
      <c r="B1315" t="s">
        <v>3146</v>
      </c>
      <c r="C1315" t="s">
        <v>37</v>
      </c>
      <c r="D1315" t="s">
        <v>38</v>
      </c>
      <c r="E1315" t="s">
        <v>30</v>
      </c>
      <c r="F1315" t="s">
        <v>82</v>
      </c>
      <c r="G1315">
        <v>6.02</v>
      </c>
      <c r="H1315" t="s">
        <v>61</v>
      </c>
      <c r="I1315" t="s">
        <v>42</v>
      </c>
      <c r="M1315">
        <f>VLOOKUP(H1315,'Stage Order'!$A$2:$B$8,2,FALSE)</f>
        <v>1</v>
      </c>
      <c r="N1315" t="str">
        <f t="shared" si="40"/>
        <v>2. 1-24 hours</v>
      </c>
      <c r="O1315" t="str">
        <f t="shared" si="41"/>
        <v>2025-04</v>
      </c>
    </row>
    <row r="1316" spans="1:15" x14ac:dyDescent="0.3">
      <c r="A1316" t="s">
        <v>3147</v>
      </c>
      <c r="B1316" t="s">
        <v>3148</v>
      </c>
      <c r="C1316" t="s">
        <v>28</v>
      </c>
      <c r="D1316" t="s">
        <v>97</v>
      </c>
      <c r="E1316" t="s">
        <v>45</v>
      </c>
      <c r="F1316" t="s">
        <v>94</v>
      </c>
      <c r="G1316">
        <v>2</v>
      </c>
      <c r="H1316" t="s">
        <v>41</v>
      </c>
      <c r="I1316" t="s">
        <v>42</v>
      </c>
      <c r="M1316">
        <f>VLOOKUP(H1316,'Stage Order'!$A$2:$B$8,2,FALSE)</f>
        <v>2</v>
      </c>
      <c r="N1316" t="str">
        <f t="shared" si="40"/>
        <v>2. 1-24 hours</v>
      </c>
      <c r="O1316" t="str">
        <f t="shared" si="41"/>
        <v>2026-02</v>
      </c>
    </row>
    <row r="1317" spans="1:15" x14ac:dyDescent="0.3">
      <c r="A1317" t="s">
        <v>3149</v>
      </c>
      <c r="B1317" t="s">
        <v>3150</v>
      </c>
      <c r="C1317" t="s">
        <v>125</v>
      </c>
      <c r="D1317" t="s">
        <v>54</v>
      </c>
      <c r="E1317" t="s">
        <v>59</v>
      </c>
      <c r="F1317" t="s">
        <v>137</v>
      </c>
      <c r="G1317">
        <v>1.36</v>
      </c>
      <c r="H1317" t="s">
        <v>41</v>
      </c>
      <c r="I1317" t="s">
        <v>42</v>
      </c>
      <c r="M1317">
        <f>VLOOKUP(H1317,'Stage Order'!$A$2:$B$8,2,FALSE)</f>
        <v>2</v>
      </c>
      <c r="N1317" t="str">
        <f t="shared" si="40"/>
        <v>2. 1-24 hours</v>
      </c>
      <c r="O1317" t="str">
        <f t="shared" si="41"/>
        <v>2025-02</v>
      </c>
    </row>
    <row r="1318" spans="1:15" x14ac:dyDescent="0.3">
      <c r="A1318" t="s">
        <v>3151</v>
      </c>
      <c r="B1318" t="s">
        <v>3152</v>
      </c>
      <c r="C1318" t="s">
        <v>81</v>
      </c>
      <c r="D1318" t="s">
        <v>38</v>
      </c>
      <c r="E1318" t="s">
        <v>59</v>
      </c>
      <c r="F1318" t="s">
        <v>117</v>
      </c>
      <c r="G1318">
        <v>7.16</v>
      </c>
      <c r="H1318" t="s">
        <v>41</v>
      </c>
      <c r="I1318" t="s">
        <v>42</v>
      </c>
      <c r="M1318">
        <f>VLOOKUP(H1318,'Stage Order'!$A$2:$B$8,2,FALSE)</f>
        <v>2</v>
      </c>
      <c r="N1318" t="str">
        <f t="shared" si="40"/>
        <v>2. 1-24 hours</v>
      </c>
      <c r="O1318" t="str">
        <f t="shared" si="41"/>
        <v>2026-05</v>
      </c>
    </row>
    <row r="1319" spans="1:15" x14ac:dyDescent="0.3">
      <c r="A1319" t="s">
        <v>3153</v>
      </c>
      <c r="B1319" t="s">
        <v>3154</v>
      </c>
      <c r="C1319" t="s">
        <v>125</v>
      </c>
      <c r="D1319" t="s">
        <v>97</v>
      </c>
      <c r="E1319" t="s">
        <v>45</v>
      </c>
      <c r="F1319" t="s">
        <v>94</v>
      </c>
      <c r="G1319">
        <v>9.36</v>
      </c>
      <c r="H1319" t="s">
        <v>61</v>
      </c>
      <c r="I1319" t="s">
        <v>42</v>
      </c>
      <c r="M1319">
        <f>VLOOKUP(H1319,'Stage Order'!$A$2:$B$8,2,FALSE)</f>
        <v>1</v>
      </c>
      <c r="N1319" t="str">
        <f t="shared" si="40"/>
        <v>2. 1-24 hours</v>
      </c>
      <c r="O1319" t="str">
        <f t="shared" si="41"/>
        <v>2025-11</v>
      </c>
    </row>
    <row r="1320" spans="1:15" x14ac:dyDescent="0.3">
      <c r="A1320" t="s">
        <v>3155</v>
      </c>
      <c r="B1320" t="s">
        <v>3156</v>
      </c>
      <c r="C1320" t="s">
        <v>125</v>
      </c>
      <c r="D1320" t="s">
        <v>54</v>
      </c>
      <c r="E1320" t="s">
        <v>30</v>
      </c>
      <c r="F1320" t="s">
        <v>31</v>
      </c>
      <c r="G1320">
        <v>3.4</v>
      </c>
      <c r="H1320" t="s">
        <v>41</v>
      </c>
      <c r="I1320" t="s">
        <v>42</v>
      </c>
      <c r="M1320">
        <f>VLOOKUP(H1320,'Stage Order'!$A$2:$B$8,2,FALSE)</f>
        <v>2</v>
      </c>
      <c r="N1320" t="str">
        <f t="shared" si="40"/>
        <v>2. 1-24 hours</v>
      </c>
      <c r="O1320" t="str">
        <f t="shared" si="41"/>
        <v>2025-09</v>
      </c>
    </row>
    <row r="1321" spans="1:15" x14ac:dyDescent="0.3">
      <c r="A1321" t="s">
        <v>3157</v>
      </c>
      <c r="B1321" t="s">
        <v>3158</v>
      </c>
      <c r="C1321" t="s">
        <v>125</v>
      </c>
      <c r="D1321" t="s">
        <v>77</v>
      </c>
      <c r="E1321" t="s">
        <v>30</v>
      </c>
      <c r="F1321" t="s">
        <v>82</v>
      </c>
      <c r="G1321">
        <v>2.0499999999999998</v>
      </c>
      <c r="H1321" t="s">
        <v>41</v>
      </c>
      <c r="I1321" t="s">
        <v>42</v>
      </c>
      <c r="M1321">
        <f>VLOOKUP(H1321,'Stage Order'!$A$2:$B$8,2,FALSE)</f>
        <v>2</v>
      </c>
      <c r="N1321" t="str">
        <f t="shared" si="40"/>
        <v>2. 1-24 hours</v>
      </c>
      <c r="O1321" t="str">
        <f t="shared" si="41"/>
        <v>2025-06</v>
      </c>
    </row>
    <row r="1322" spans="1:15" x14ac:dyDescent="0.3">
      <c r="A1322" t="s">
        <v>3159</v>
      </c>
      <c r="B1322" t="s">
        <v>3160</v>
      </c>
      <c r="C1322" t="s">
        <v>58</v>
      </c>
      <c r="D1322" t="s">
        <v>77</v>
      </c>
      <c r="E1322" t="s">
        <v>39</v>
      </c>
      <c r="F1322" t="s">
        <v>66</v>
      </c>
      <c r="G1322">
        <v>14.5</v>
      </c>
      <c r="H1322" t="s">
        <v>41</v>
      </c>
      <c r="I1322" t="s">
        <v>42</v>
      </c>
      <c r="M1322">
        <f>VLOOKUP(H1322,'Stage Order'!$A$2:$B$8,2,FALSE)</f>
        <v>2</v>
      </c>
      <c r="N1322" t="str">
        <f t="shared" si="40"/>
        <v>2. 1-24 hours</v>
      </c>
      <c r="O1322" t="str">
        <f t="shared" si="41"/>
        <v>2025-11</v>
      </c>
    </row>
    <row r="1323" spans="1:15" x14ac:dyDescent="0.3">
      <c r="A1323" t="s">
        <v>3161</v>
      </c>
      <c r="B1323" t="s">
        <v>3162</v>
      </c>
      <c r="C1323" t="s">
        <v>125</v>
      </c>
      <c r="D1323" t="s">
        <v>29</v>
      </c>
      <c r="E1323" t="s">
        <v>39</v>
      </c>
      <c r="F1323" t="s">
        <v>40</v>
      </c>
      <c r="G1323">
        <v>2.4</v>
      </c>
      <c r="H1323" t="s">
        <v>41</v>
      </c>
      <c r="I1323" t="s">
        <v>42</v>
      </c>
      <c r="M1323">
        <f>VLOOKUP(H1323,'Stage Order'!$A$2:$B$8,2,FALSE)</f>
        <v>2</v>
      </c>
      <c r="N1323" t="str">
        <f t="shared" si="40"/>
        <v>2. 1-24 hours</v>
      </c>
      <c r="O1323" t="str">
        <f t="shared" si="41"/>
        <v>2026-01</v>
      </c>
    </row>
    <row r="1324" spans="1:15" x14ac:dyDescent="0.3">
      <c r="A1324" t="s">
        <v>3163</v>
      </c>
      <c r="B1324" t="s">
        <v>3164</v>
      </c>
      <c r="C1324" t="s">
        <v>125</v>
      </c>
      <c r="D1324" t="s">
        <v>54</v>
      </c>
      <c r="E1324" t="s">
        <v>90</v>
      </c>
      <c r="F1324" t="s">
        <v>112</v>
      </c>
      <c r="G1324">
        <v>5.66</v>
      </c>
      <c r="H1324" t="s">
        <v>41</v>
      </c>
      <c r="I1324" t="s">
        <v>42</v>
      </c>
      <c r="M1324">
        <f>VLOOKUP(H1324,'Stage Order'!$A$2:$B$8,2,FALSE)</f>
        <v>2</v>
      </c>
      <c r="N1324" t="str">
        <f t="shared" si="40"/>
        <v>2. 1-24 hours</v>
      </c>
      <c r="O1324" t="str">
        <f t="shared" si="41"/>
        <v>2026-05</v>
      </c>
    </row>
    <row r="1325" spans="1:15" x14ac:dyDescent="0.3">
      <c r="A1325" t="s">
        <v>3165</v>
      </c>
      <c r="B1325" t="s">
        <v>3166</v>
      </c>
      <c r="C1325" t="s">
        <v>28</v>
      </c>
      <c r="D1325" t="s">
        <v>54</v>
      </c>
      <c r="E1325" t="s">
        <v>39</v>
      </c>
      <c r="F1325" t="s">
        <v>40</v>
      </c>
      <c r="G1325">
        <v>7.61</v>
      </c>
      <c r="H1325" t="s">
        <v>41</v>
      </c>
      <c r="I1325" t="s">
        <v>42</v>
      </c>
      <c r="M1325">
        <f>VLOOKUP(H1325,'Stage Order'!$A$2:$B$8,2,FALSE)</f>
        <v>2</v>
      </c>
      <c r="N1325" t="str">
        <f t="shared" si="40"/>
        <v>2. 1-24 hours</v>
      </c>
      <c r="O1325" t="str">
        <f t="shared" si="41"/>
        <v>2026-04</v>
      </c>
    </row>
    <row r="1326" spans="1:15" x14ac:dyDescent="0.3">
      <c r="A1326" t="s">
        <v>3167</v>
      </c>
      <c r="B1326" t="s">
        <v>3168</v>
      </c>
      <c r="C1326" t="s">
        <v>37</v>
      </c>
      <c r="D1326" t="s">
        <v>38</v>
      </c>
      <c r="E1326" t="s">
        <v>39</v>
      </c>
      <c r="F1326" t="s">
        <v>66</v>
      </c>
      <c r="G1326">
        <v>8.6</v>
      </c>
      <c r="H1326" t="s">
        <v>41</v>
      </c>
      <c r="I1326" t="s">
        <v>42</v>
      </c>
      <c r="M1326">
        <f>VLOOKUP(H1326,'Stage Order'!$A$2:$B$8,2,FALSE)</f>
        <v>2</v>
      </c>
      <c r="N1326" t="str">
        <f t="shared" si="40"/>
        <v>2. 1-24 hours</v>
      </c>
      <c r="O1326" t="str">
        <f t="shared" si="41"/>
        <v>2025-09</v>
      </c>
    </row>
    <row r="1327" spans="1:15" x14ac:dyDescent="0.3">
      <c r="A1327" t="s">
        <v>3169</v>
      </c>
      <c r="B1327" t="s">
        <v>3170</v>
      </c>
      <c r="C1327" t="s">
        <v>125</v>
      </c>
      <c r="D1327" t="s">
        <v>38</v>
      </c>
      <c r="E1327" t="s">
        <v>59</v>
      </c>
      <c r="F1327" t="s">
        <v>137</v>
      </c>
      <c r="G1327">
        <v>7.91</v>
      </c>
      <c r="H1327" t="s">
        <v>41</v>
      </c>
      <c r="I1327" t="s">
        <v>42</v>
      </c>
      <c r="M1327">
        <f>VLOOKUP(H1327,'Stage Order'!$A$2:$B$8,2,FALSE)</f>
        <v>2</v>
      </c>
      <c r="N1327" t="str">
        <f t="shared" si="40"/>
        <v>2. 1-24 hours</v>
      </c>
      <c r="O1327" t="str">
        <f t="shared" si="41"/>
        <v>2026-02</v>
      </c>
    </row>
    <row r="1328" spans="1:15" x14ac:dyDescent="0.3">
      <c r="A1328" t="s">
        <v>3171</v>
      </c>
      <c r="B1328" t="s">
        <v>3172</v>
      </c>
      <c r="C1328" t="s">
        <v>76</v>
      </c>
      <c r="D1328" t="s">
        <v>77</v>
      </c>
      <c r="E1328" t="s">
        <v>39</v>
      </c>
      <c r="F1328" t="s">
        <v>106</v>
      </c>
      <c r="G1328">
        <v>4.8600000000000003</v>
      </c>
      <c r="H1328" t="s">
        <v>41</v>
      </c>
      <c r="I1328" t="s">
        <v>42</v>
      </c>
      <c r="M1328">
        <f>VLOOKUP(H1328,'Stage Order'!$A$2:$B$8,2,FALSE)</f>
        <v>2</v>
      </c>
      <c r="N1328" t="str">
        <f t="shared" si="40"/>
        <v>2. 1-24 hours</v>
      </c>
      <c r="O1328" t="str">
        <f t="shared" si="41"/>
        <v>2026-05</v>
      </c>
    </row>
    <row r="1329" spans="1:15" x14ac:dyDescent="0.3">
      <c r="A1329" t="s">
        <v>3173</v>
      </c>
      <c r="B1329" t="s">
        <v>3174</v>
      </c>
      <c r="C1329" t="s">
        <v>125</v>
      </c>
      <c r="D1329" t="s">
        <v>54</v>
      </c>
      <c r="E1329" t="s">
        <v>30</v>
      </c>
      <c r="F1329" t="s">
        <v>31</v>
      </c>
      <c r="G1329">
        <v>59.8</v>
      </c>
      <c r="H1329" t="s">
        <v>61</v>
      </c>
      <c r="I1329" t="s">
        <v>42</v>
      </c>
      <c r="M1329">
        <f>VLOOKUP(H1329,'Stage Order'!$A$2:$B$8,2,FALSE)</f>
        <v>1</v>
      </c>
      <c r="N1329" t="str">
        <f t="shared" si="40"/>
        <v>3. 1-3 days</v>
      </c>
      <c r="O1329" t="str">
        <f t="shared" si="41"/>
        <v>2025-11</v>
      </c>
    </row>
    <row r="1330" spans="1:15" x14ac:dyDescent="0.3">
      <c r="A1330" t="s">
        <v>3175</v>
      </c>
      <c r="B1330" t="s">
        <v>3176</v>
      </c>
      <c r="C1330" t="s">
        <v>125</v>
      </c>
      <c r="D1330" t="s">
        <v>54</v>
      </c>
      <c r="E1330" t="s">
        <v>90</v>
      </c>
      <c r="F1330" t="s">
        <v>112</v>
      </c>
      <c r="G1330">
        <v>0.82</v>
      </c>
      <c r="H1330" t="s">
        <v>41</v>
      </c>
      <c r="I1330" t="s">
        <v>42</v>
      </c>
      <c r="M1330">
        <f>VLOOKUP(H1330,'Stage Order'!$A$2:$B$8,2,FALSE)</f>
        <v>2</v>
      </c>
      <c r="N1330" t="str">
        <f t="shared" si="40"/>
        <v>1. Under 1 hour</v>
      </c>
      <c r="O1330" t="str">
        <f t="shared" si="41"/>
        <v>2026-01</v>
      </c>
    </row>
    <row r="1331" spans="1:15" x14ac:dyDescent="0.3">
      <c r="A1331" t="s">
        <v>3177</v>
      </c>
      <c r="B1331" t="s">
        <v>3178</v>
      </c>
      <c r="C1331" t="s">
        <v>58</v>
      </c>
      <c r="D1331" t="s">
        <v>77</v>
      </c>
      <c r="E1331" t="s">
        <v>45</v>
      </c>
      <c r="F1331" t="s">
        <v>94</v>
      </c>
      <c r="G1331">
        <v>8.4600000000000009</v>
      </c>
      <c r="H1331" t="s">
        <v>47</v>
      </c>
      <c r="I1331" t="s">
        <v>48</v>
      </c>
      <c r="J1331" t="s">
        <v>98</v>
      </c>
      <c r="K1331">
        <v>1165.26</v>
      </c>
      <c r="L1331" t="s">
        <v>3179</v>
      </c>
      <c r="M1331">
        <f>VLOOKUP(H1331,'Stage Order'!$A$2:$B$8,2,FALSE)</f>
        <v>4</v>
      </c>
      <c r="N1331" t="str">
        <f t="shared" si="40"/>
        <v>2. 1-24 hours</v>
      </c>
      <c r="O1331" t="str">
        <f t="shared" si="41"/>
        <v>2025-04</v>
      </c>
    </row>
    <row r="1332" spans="1:15" x14ac:dyDescent="0.3">
      <c r="A1332" t="s">
        <v>3180</v>
      </c>
      <c r="B1332" t="s">
        <v>3181</v>
      </c>
      <c r="C1332" t="s">
        <v>28</v>
      </c>
      <c r="D1332" t="s">
        <v>97</v>
      </c>
      <c r="E1332" t="s">
        <v>45</v>
      </c>
      <c r="F1332" t="s">
        <v>46</v>
      </c>
      <c r="G1332">
        <v>0.81</v>
      </c>
      <c r="H1332" t="s">
        <v>41</v>
      </c>
      <c r="I1332" t="s">
        <v>42</v>
      </c>
      <c r="M1332">
        <f>VLOOKUP(H1332,'Stage Order'!$A$2:$B$8,2,FALSE)</f>
        <v>2</v>
      </c>
      <c r="N1332" t="str">
        <f t="shared" si="40"/>
        <v>1. Under 1 hour</v>
      </c>
      <c r="O1332" t="str">
        <f t="shared" si="41"/>
        <v>2025-12</v>
      </c>
    </row>
    <row r="1333" spans="1:15" x14ac:dyDescent="0.3">
      <c r="A1333" t="s">
        <v>3182</v>
      </c>
      <c r="B1333" t="s">
        <v>3183</v>
      </c>
      <c r="C1333" t="s">
        <v>58</v>
      </c>
      <c r="D1333" t="s">
        <v>77</v>
      </c>
      <c r="E1333" t="s">
        <v>45</v>
      </c>
      <c r="F1333" t="s">
        <v>55</v>
      </c>
      <c r="G1333">
        <v>0.93</v>
      </c>
      <c r="H1333" t="s">
        <v>41</v>
      </c>
      <c r="I1333" t="s">
        <v>42</v>
      </c>
      <c r="M1333">
        <f>VLOOKUP(H1333,'Stage Order'!$A$2:$B$8,2,FALSE)</f>
        <v>2</v>
      </c>
      <c r="N1333" t="str">
        <f t="shared" si="40"/>
        <v>1. Under 1 hour</v>
      </c>
      <c r="O1333" t="str">
        <f t="shared" si="41"/>
        <v>2026-06</v>
      </c>
    </row>
    <row r="1334" spans="1:15" x14ac:dyDescent="0.3">
      <c r="A1334" t="s">
        <v>3184</v>
      </c>
      <c r="B1334" t="s">
        <v>3185</v>
      </c>
      <c r="C1334" t="s">
        <v>58</v>
      </c>
      <c r="D1334" t="s">
        <v>38</v>
      </c>
      <c r="E1334" t="s">
        <v>39</v>
      </c>
      <c r="F1334" t="s">
        <v>40</v>
      </c>
      <c r="G1334">
        <v>1.2</v>
      </c>
      <c r="H1334" t="s">
        <v>41</v>
      </c>
      <c r="I1334" t="s">
        <v>42</v>
      </c>
      <c r="M1334">
        <f>VLOOKUP(H1334,'Stage Order'!$A$2:$B$8,2,FALSE)</f>
        <v>2</v>
      </c>
      <c r="N1334" t="str">
        <f t="shared" si="40"/>
        <v>2. 1-24 hours</v>
      </c>
      <c r="O1334" t="str">
        <f t="shared" si="41"/>
        <v>2025-02</v>
      </c>
    </row>
    <row r="1335" spans="1:15" x14ac:dyDescent="0.3">
      <c r="A1335" t="s">
        <v>3186</v>
      </c>
      <c r="B1335" t="s">
        <v>3187</v>
      </c>
      <c r="C1335" t="s">
        <v>58</v>
      </c>
      <c r="D1335" t="s">
        <v>54</v>
      </c>
      <c r="E1335" t="s">
        <v>39</v>
      </c>
      <c r="F1335" t="s">
        <v>40</v>
      </c>
      <c r="G1335">
        <v>1.54</v>
      </c>
      <c r="H1335" t="s">
        <v>32</v>
      </c>
      <c r="I1335" t="s">
        <v>33</v>
      </c>
      <c r="K1335">
        <v>582.89</v>
      </c>
      <c r="L1335" t="s">
        <v>3188</v>
      </c>
      <c r="M1335">
        <f>VLOOKUP(H1335,'Stage Order'!$A$2:$B$8,2,FALSE)</f>
        <v>7</v>
      </c>
      <c r="N1335" t="str">
        <f t="shared" si="40"/>
        <v>2. 1-24 hours</v>
      </c>
      <c r="O1335" t="str">
        <f t="shared" si="41"/>
        <v>2025-03</v>
      </c>
    </row>
    <row r="1336" spans="1:15" x14ac:dyDescent="0.3">
      <c r="A1336" t="s">
        <v>3189</v>
      </c>
      <c r="B1336" t="s">
        <v>3190</v>
      </c>
      <c r="C1336" t="s">
        <v>28</v>
      </c>
      <c r="D1336" t="s">
        <v>54</v>
      </c>
      <c r="E1336" t="s">
        <v>45</v>
      </c>
      <c r="F1336" t="s">
        <v>94</v>
      </c>
      <c r="G1336">
        <v>1.73</v>
      </c>
      <c r="H1336" t="s">
        <v>146</v>
      </c>
      <c r="I1336" t="s">
        <v>48</v>
      </c>
      <c r="J1336" t="s">
        <v>113</v>
      </c>
      <c r="K1336">
        <v>579.61</v>
      </c>
      <c r="L1336" t="s">
        <v>3191</v>
      </c>
      <c r="M1336">
        <f>VLOOKUP(H1336,'Stage Order'!$A$2:$B$8,2,FALSE)</f>
        <v>5</v>
      </c>
      <c r="N1336" t="str">
        <f t="shared" si="40"/>
        <v>2. 1-24 hours</v>
      </c>
      <c r="O1336" t="str">
        <f t="shared" si="41"/>
        <v>2025-04</v>
      </c>
    </row>
    <row r="1337" spans="1:15" x14ac:dyDescent="0.3">
      <c r="A1337" t="s">
        <v>3192</v>
      </c>
      <c r="B1337" t="s">
        <v>3193</v>
      </c>
      <c r="C1337" t="s">
        <v>81</v>
      </c>
      <c r="D1337" t="s">
        <v>29</v>
      </c>
      <c r="E1337" t="s">
        <v>45</v>
      </c>
      <c r="F1337" t="s">
        <v>55</v>
      </c>
      <c r="G1337">
        <v>3.79</v>
      </c>
      <c r="H1337" t="s">
        <v>61</v>
      </c>
      <c r="I1337" t="s">
        <v>42</v>
      </c>
      <c r="M1337">
        <f>VLOOKUP(H1337,'Stage Order'!$A$2:$B$8,2,FALSE)</f>
        <v>1</v>
      </c>
      <c r="N1337" t="str">
        <f t="shared" si="40"/>
        <v>2. 1-24 hours</v>
      </c>
      <c r="O1337" t="str">
        <f t="shared" si="41"/>
        <v>2025-10</v>
      </c>
    </row>
    <row r="1338" spans="1:15" x14ac:dyDescent="0.3">
      <c r="A1338" t="s">
        <v>3194</v>
      </c>
      <c r="B1338" t="s">
        <v>3195</v>
      </c>
      <c r="C1338" t="s">
        <v>28</v>
      </c>
      <c r="D1338" t="s">
        <v>54</v>
      </c>
      <c r="E1338" t="s">
        <v>90</v>
      </c>
      <c r="F1338" t="s">
        <v>145</v>
      </c>
      <c r="G1338">
        <v>1.46</v>
      </c>
      <c r="H1338" t="s">
        <v>61</v>
      </c>
      <c r="I1338" t="s">
        <v>42</v>
      </c>
      <c r="M1338">
        <f>VLOOKUP(H1338,'Stage Order'!$A$2:$B$8,2,FALSE)</f>
        <v>1</v>
      </c>
      <c r="N1338" t="str">
        <f t="shared" si="40"/>
        <v>2. 1-24 hours</v>
      </c>
      <c r="O1338" t="str">
        <f t="shared" si="41"/>
        <v>2026-01</v>
      </c>
    </row>
    <row r="1339" spans="1:15" x14ac:dyDescent="0.3">
      <c r="A1339" t="s">
        <v>3196</v>
      </c>
      <c r="B1339" t="s">
        <v>3197</v>
      </c>
      <c r="C1339" t="s">
        <v>58</v>
      </c>
      <c r="D1339" t="s">
        <v>38</v>
      </c>
      <c r="E1339" t="s">
        <v>59</v>
      </c>
      <c r="F1339" t="s">
        <v>137</v>
      </c>
      <c r="G1339">
        <v>5</v>
      </c>
      <c r="H1339" t="s">
        <v>41</v>
      </c>
      <c r="I1339" t="s">
        <v>42</v>
      </c>
      <c r="M1339">
        <f>VLOOKUP(H1339,'Stage Order'!$A$2:$B$8,2,FALSE)</f>
        <v>2</v>
      </c>
      <c r="N1339" t="str">
        <f t="shared" si="40"/>
        <v>2. 1-24 hours</v>
      </c>
      <c r="O1339" t="str">
        <f t="shared" si="41"/>
        <v>2025-02</v>
      </c>
    </row>
    <row r="1340" spans="1:15" x14ac:dyDescent="0.3">
      <c r="A1340" t="s">
        <v>3198</v>
      </c>
      <c r="B1340" t="s">
        <v>3199</v>
      </c>
      <c r="C1340" t="s">
        <v>81</v>
      </c>
      <c r="D1340" t="s">
        <v>77</v>
      </c>
      <c r="E1340" t="s">
        <v>45</v>
      </c>
      <c r="F1340" t="s">
        <v>55</v>
      </c>
      <c r="G1340">
        <v>4.91</v>
      </c>
      <c r="H1340" t="s">
        <v>61</v>
      </c>
      <c r="I1340" t="s">
        <v>42</v>
      </c>
      <c r="M1340">
        <f>VLOOKUP(H1340,'Stage Order'!$A$2:$B$8,2,FALSE)</f>
        <v>1</v>
      </c>
      <c r="N1340" t="str">
        <f t="shared" si="40"/>
        <v>2. 1-24 hours</v>
      </c>
      <c r="O1340" t="str">
        <f t="shared" si="41"/>
        <v>2025-09</v>
      </c>
    </row>
    <row r="1341" spans="1:15" x14ac:dyDescent="0.3">
      <c r="A1341" t="s">
        <v>3200</v>
      </c>
      <c r="B1341" t="s">
        <v>3201</v>
      </c>
      <c r="C1341" t="s">
        <v>37</v>
      </c>
      <c r="D1341" t="s">
        <v>29</v>
      </c>
      <c r="E1341" t="s">
        <v>39</v>
      </c>
      <c r="F1341" t="s">
        <v>106</v>
      </c>
      <c r="G1341">
        <v>4.8899999999999997</v>
      </c>
      <c r="H1341" t="s">
        <v>146</v>
      </c>
      <c r="I1341" t="s">
        <v>48</v>
      </c>
      <c r="J1341" t="s">
        <v>139</v>
      </c>
      <c r="K1341">
        <v>723.77</v>
      </c>
      <c r="L1341" t="s">
        <v>3202</v>
      </c>
      <c r="M1341">
        <f>VLOOKUP(H1341,'Stage Order'!$A$2:$B$8,2,FALSE)</f>
        <v>5</v>
      </c>
      <c r="N1341" t="str">
        <f t="shared" si="40"/>
        <v>2. 1-24 hours</v>
      </c>
      <c r="O1341" t="str">
        <f t="shared" si="41"/>
        <v>2026-04</v>
      </c>
    </row>
    <row r="1342" spans="1:15" x14ac:dyDescent="0.3">
      <c r="A1342" t="s">
        <v>3203</v>
      </c>
      <c r="B1342" t="s">
        <v>3204</v>
      </c>
      <c r="C1342" t="s">
        <v>125</v>
      </c>
      <c r="D1342" t="s">
        <v>29</v>
      </c>
      <c r="E1342" t="s">
        <v>59</v>
      </c>
      <c r="F1342" t="s">
        <v>137</v>
      </c>
      <c r="G1342">
        <v>4.63</v>
      </c>
      <c r="H1342" t="s">
        <v>41</v>
      </c>
      <c r="I1342" t="s">
        <v>42</v>
      </c>
      <c r="M1342">
        <f>VLOOKUP(H1342,'Stage Order'!$A$2:$B$8,2,FALSE)</f>
        <v>2</v>
      </c>
      <c r="N1342" t="str">
        <f t="shared" si="40"/>
        <v>2. 1-24 hours</v>
      </c>
      <c r="O1342" t="str">
        <f t="shared" si="41"/>
        <v>2026-04</v>
      </c>
    </row>
    <row r="1343" spans="1:15" x14ac:dyDescent="0.3">
      <c r="A1343" t="s">
        <v>3205</v>
      </c>
      <c r="B1343" t="s">
        <v>3206</v>
      </c>
      <c r="C1343" t="s">
        <v>58</v>
      </c>
      <c r="D1343" t="s">
        <v>54</v>
      </c>
      <c r="E1343" t="s">
        <v>59</v>
      </c>
      <c r="F1343" t="s">
        <v>60</v>
      </c>
      <c r="G1343">
        <v>3.93</v>
      </c>
      <c r="H1343" t="s">
        <v>41</v>
      </c>
      <c r="I1343" t="s">
        <v>42</v>
      </c>
      <c r="M1343">
        <f>VLOOKUP(H1343,'Stage Order'!$A$2:$B$8,2,FALSE)</f>
        <v>2</v>
      </c>
      <c r="N1343" t="str">
        <f t="shared" si="40"/>
        <v>2. 1-24 hours</v>
      </c>
      <c r="O1343" t="str">
        <f t="shared" si="41"/>
        <v>2025-11</v>
      </c>
    </row>
    <row r="1344" spans="1:15" x14ac:dyDescent="0.3">
      <c r="A1344" t="s">
        <v>3207</v>
      </c>
      <c r="B1344" t="s">
        <v>3208</v>
      </c>
      <c r="C1344" t="s">
        <v>125</v>
      </c>
      <c r="D1344" t="s">
        <v>54</v>
      </c>
      <c r="E1344" t="s">
        <v>45</v>
      </c>
      <c r="F1344" t="s">
        <v>94</v>
      </c>
      <c r="G1344">
        <v>10.08</v>
      </c>
      <c r="H1344" t="s">
        <v>41</v>
      </c>
      <c r="I1344" t="s">
        <v>42</v>
      </c>
      <c r="M1344">
        <f>VLOOKUP(H1344,'Stage Order'!$A$2:$B$8,2,FALSE)</f>
        <v>2</v>
      </c>
      <c r="N1344" t="str">
        <f t="shared" si="40"/>
        <v>2. 1-24 hours</v>
      </c>
      <c r="O1344" t="str">
        <f t="shared" si="41"/>
        <v>2025-05</v>
      </c>
    </row>
    <row r="1345" spans="1:15" x14ac:dyDescent="0.3">
      <c r="A1345" t="s">
        <v>3209</v>
      </c>
      <c r="B1345" t="s">
        <v>3210</v>
      </c>
      <c r="C1345" t="s">
        <v>76</v>
      </c>
      <c r="D1345" t="s">
        <v>54</v>
      </c>
      <c r="E1345" t="s">
        <v>45</v>
      </c>
      <c r="F1345" t="s">
        <v>55</v>
      </c>
      <c r="G1345">
        <v>1.76</v>
      </c>
      <c r="H1345" t="s">
        <v>41</v>
      </c>
      <c r="I1345" t="s">
        <v>42</v>
      </c>
      <c r="M1345">
        <f>VLOOKUP(H1345,'Stage Order'!$A$2:$B$8,2,FALSE)</f>
        <v>2</v>
      </c>
      <c r="N1345" t="str">
        <f t="shared" si="40"/>
        <v>2. 1-24 hours</v>
      </c>
      <c r="O1345" t="str">
        <f t="shared" si="41"/>
        <v>2025-03</v>
      </c>
    </row>
    <row r="1346" spans="1:15" x14ac:dyDescent="0.3">
      <c r="A1346" t="s">
        <v>3211</v>
      </c>
      <c r="B1346" t="s">
        <v>3212</v>
      </c>
      <c r="C1346" t="s">
        <v>37</v>
      </c>
      <c r="D1346" t="s">
        <v>97</v>
      </c>
      <c r="E1346" t="s">
        <v>39</v>
      </c>
      <c r="F1346" t="s">
        <v>40</v>
      </c>
      <c r="G1346">
        <v>1.28</v>
      </c>
      <c r="H1346" t="s">
        <v>41</v>
      </c>
      <c r="I1346" t="s">
        <v>42</v>
      </c>
      <c r="M1346">
        <f>VLOOKUP(H1346,'Stage Order'!$A$2:$B$8,2,FALSE)</f>
        <v>2</v>
      </c>
      <c r="N1346" t="str">
        <f t="shared" ref="N1346:N1409" si="42">IF(G1346&lt;=1,"1. Under 1 hour",IF(G1346&lt;=24,"2. 1-24 hours",IF(G1346&lt;=72,"3. 1-3 days","4. Over 3 days")))</f>
        <v>2. 1-24 hours</v>
      </c>
      <c r="O1346" t="str">
        <f t="shared" ref="O1346:O1409" si="43">TEXT(B1346,"YYYY-MM")</f>
        <v>2026-03</v>
      </c>
    </row>
    <row r="1347" spans="1:15" x14ac:dyDescent="0.3">
      <c r="A1347" t="s">
        <v>3213</v>
      </c>
      <c r="B1347" t="s">
        <v>3214</v>
      </c>
      <c r="C1347" t="s">
        <v>81</v>
      </c>
      <c r="D1347" t="s">
        <v>97</v>
      </c>
      <c r="E1347" t="s">
        <v>39</v>
      </c>
      <c r="F1347" t="s">
        <v>106</v>
      </c>
      <c r="G1347">
        <v>3.22</v>
      </c>
      <c r="H1347" t="s">
        <v>61</v>
      </c>
      <c r="I1347" t="s">
        <v>42</v>
      </c>
      <c r="M1347">
        <f>VLOOKUP(H1347,'Stage Order'!$A$2:$B$8,2,FALSE)</f>
        <v>1</v>
      </c>
      <c r="N1347" t="str">
        <f t="shared" si="42"/>
        <v>2. 1-24 hours</v>
      </c>
      <c r="O1347" t="str">
        <f t="shared" si="43"/>
        <v>2026-01</v>
      </c>
    </row>
    <row r="1348" spans="1:15" x14ac:dyDescent="0.3">
      <c r="A1348" t="s">
        <v>3215</v>
      </c>
      <c r="B1348" t="s">
        <v>3216</v>
      </c>
      <c r="C1348" t="s">
        <v>53</v>
      </c>
      <c r="D1348" t="s">
        <v>29</v>
      </c>
      <c r="E1348" t="s">
        <v>45</v>
      </c>
      <c r="F1348" t="s">
        <v>94</v>
      </c>
      <c r="G1348">
        <v>4.4400000000000004</v>
      </c>
      <c r="H1348" t="s">
        <v>61</v>
      </c>
      <c r="I1348" t="s">
        <v>42</v>
      </c>
      <c r="M1348">
        <f>VLOOKUP(H1348,'Stage Order'!$A$2:$B$8,2,FALSE)</f>
        <v>1</v>
      </c>
      <c r="N1348" t="str">
        <f t="shared" si="42"/>
        <v>2. 1-24 hours</v>
      </c>
      <c r="O1348" t="str">
        <f t="shared" si="43"/>
        <v>2025-06</v>
      </c>
    </row>
    <row r="1349" spans="1:15" x14ac:dyDescent="0.3">
      <c r="A1349" t="s">
        <v>3217</v>
      </c>
      <c r="B1349" t="s">
        <v>3218</v>
      </c>
      <c r="C1349" t="s">
        <v>28</v>
      </c>
      <c r="D1349" t="s">
        <v>38</v>
      </c>
      <c r="E1349" t="s">
        <v>45</v>
      </c>
      <c r="F1349" t="s">
        <v>94</v>
      </c>
      <c r="G1349">
        <v>6.49</v>
      </c>
      <c r="H1349" t="s">
        <v>41</v>
      </c>
      <c r="I1349" t="s">
        <v>42</v>
      </c>
      <c r="M1349">
        <f>VLOOKUP(H1349,'Stage Order'!$A$2:$B$8,2,FALSE)</f>
        <v>2</v>
      </c>
      <c r="N1349" t="str">
        <f t="shared" si="42"/>
        <v>2. 1-24 hours</v>
      </c>
      <c r="O1349" t="str">
        <f t="shared" si="43"/>
        <v>2025-04</v>
      </c>
    </row>
    <row r="1350" spans="1:15" x14ac:dyDescent="0.3">
      <c r="A1350" t="s">
        <v>3219</v>
      </c>
      <c r="B1350" t="s">
        <v>3220</v>
      </c>
      <c r="C1350" t="s">
        <v>58</v>
      </c>
      <c r="D1350" t="s">
        <v>29</v>
      </c>
      <c r="E1350" t="s">
        <v>45</v>
      </c>
      <c r="F1350" t="s">
        <v>94</v>
      </c>
      <c r="G1350">
        <v>11.77</v>
      </c>
      <c r="H1350" t="s">
        <v>41</v>
      </c>
      <c r="I1350" t="s">
        <v>42</v>
      </c>
      <c r="M1350">
        <f>VLOOKUP(H1350,'Stage Order'!$A$2:$B$8,2,FALSE)</f>
        <v>2</v>
      </c>
      <c r="N1350" t="str">
        <f t="shared" si="42"/>
        <v>2. 1-24 hours</v>
      </c>
      <c r="O1350" t="str">
        <f t="shared" si="43"/>
        <v>2026-01</v>
      </c>
    </row>
    <row r="1351" spans="1:15" x14ac:dyDescent="0.3">
      <c r="A1351" t="s">
        <v>3221</v>
      </c>
      <c r="B1351" t="s">
        <v>3222</v>
      </c>
      <c r="C1351" t="s">
        <v>37</v>
      </c>
      <c r="D1351" t="s">
        <v>77</v>
      </c>
      <c r="E1351" t="s">
        <v>39</v>
      </c>
      <c r="F1351" t="s">
        <v>66</v>
      </c>
      <c r="G1351">
        <v>0.43</v>
      </c>
      <c r="H1351" t="s">
        <v>138</v>
      </c>
      <c r="I1351" t="s">
        <v>48</v>
      </c>
      <c r="J1351" t="s">
        <v>742</v>
      </c>
      <c r="K1351">
        <v>984.97</v>
      </c>
      <c r="L1351" t="s">
        <v>3223</v>
      </c>
      <c r="M1351">
        <f>VLOOKUP(H1351,'Stage Order'!$A$2:$B$8,2,FALSE)</f>
        <v>6</v>
      </c>
      <c r="N1351" t="str">
        <f t="shared" si="42"/>
        <v>1. Under 1 hour</v>
      </c>
      <c r="O1351" t="str">
        <f t="shared" si="43"/>
        <v>2025-07</v>
      </c>
    </row>
    <row r="1352" spans="1:15" x14ac:dyDescent="0.3">
      <c r="A1352" t="s">
        <v>3224</v>
      </c>
      <c r="B1352" t="s">
        <v>3225</v>
      </c>
      <c r="C1352" t="s">
        <v>58</v>
      </c>
      <c r="D1352" t="s">
        <v>54</v>
      </c>
      <c r="E1352" t="s">
        <v>59</v>
      </c>
      <c r="F1352" t="s">
        <v>117</v>
      </c>
      <c r="G1352">
        <v>5.39</v>
      </c>
      <c r="H1352" t="s">
        <v>41</v>
      </c>
      <c r="I1352" t="s">
        <v>42</v>
      </c>
      <c r="M1352">
        <f>VLOOKUP(H1352,'Stage Order'!$A$2:$B$8,2,FALSE)</f>
        <v>2</v>
      </c>
      <c r="N1352" t="str">
        <f t="shared" si="42"/>
        <v>2. 1-24 hours</v>
      </c>
      <c r="O1352" t="str">
        <f t="shared" si="43"/>
        <v>2025-10</v>
      </c>
    </row>
    <row r="1353" spans="1:15" x14ac:dyDescent="0.3">
      <c r="A1353" t="s">
        <v>3226</v>
      </c>
      <c r="B1353" t="s">
        <v>3227</v>
      </c>
      <c r="C1353" t="s">
        <v>76</v>
      </c>
      <c r="D1353" t="s">
        <v>54</v>
      </c>
      <c r="E1353" t="s">
        <v>90</v>
      </c>
      <c r="F1353" t="s">
        <v>112</v>
      </c>
      <c r="G1353">
        <v>2.5099999999999998</v>
      </c>
      <c r="H1353" t="s">
        <v>41</v>
      </c>
      <c r="I1353" t="s">
        <v>42</v>
      </c>
      <c r="M1353">
        <f>VLOOKUP(H1353,'Stage Order'!$A$2:$B$8,2,FALSE)</f>
        <v>2</v>
      </c>
      <c r="N1353" t="str">
        <f t="shared" si="42"/>
        <v>2. 1-24 hours</v>
      </c>
      <c r="O1353" t="str">
        <f t="shared" si="43"/>
        <v>2025-02</v>
      </c>
    </row>
    <row r="1354" spans="1:15" x14ac:dyDescent="0.3">
      <c r="A1354" t="s">
        <v>3228</v>
      </c>
      <c r="B1354" t="s">
        <v>3229</v>
      </c>
      <c r="C1354" t="s">
        <v>81</v>
      </c>
      <c r="D1354" t="s">
        <v>97</v>
      </c>
      <c r="E1354" t="s">
        <v>39</v>
      </c>
      <c r="F1354" t="s">
        <v>40</v>
      </c>
      <c r="G1354">
        <v>6.03</v>
      </c>
      <c r="H1354" t="s">
        <v>61</v>
      </c>
      <c r="I1354" t="s">
        <v>42</v>
      </c>
      <c r="M1354">
        <f>VLOOKUP(H1354,'Stage Order'!$A$2:$B$8,2,FALSE)</f>
        <v>1</v>
      </c>
      <c r="N1354" t="str">
        <f t="shared" si="42"/>
        <v>2. 1-24 hours</v>
      </c>
      <c r="O1354" t="str">
        <f t="shared" si="43"/>
        <v>2026-05</v>
      </c>
    </row>
    <row r="1355" spans="1:15" x14ac:dyDescent="0.3">
      <c r="A1355" t="s">
        <v>3230</v>
      </c>
      <c r="B1355" t="s">
        <v>3231</v>
      </c>
      <c r="C1355" t="s">
        <v>76</v>
      </c>
      <c r="D1355" t="s">
        <v>54</v>
      </c>
      <c r="E1355" t="s">
        <v>90</v>
      </c>
      <c r="F1355" t="s">
        <v>91</v>
      </c>
      <c r="G1355">
        <v>1.59</v>
      </c>
      <c r="H1355" t="s">
        <v>41</v>
      </c>
      <c r="I1355" t="s">
        <v>42</v>
      </c>
      <c r="M1355">
        <f>VLOOKUP(H1355,'Stage Order'!$A$2:$B$8,2,FALSE)</f>
        <v>2</v>
      </c>
      <c r="N1355" t="str">
        <f t="shared" si="42"/>
        <v>2. 1-24 hours</v>
      </c>
      <c r="O1355" t="str">
        <f t="shared" si="43"/>
        <v>2026-02</v>
      </c>
    </row>
    <row r="1356" spans="1:15" x14ac:dyDescent="0.3">
      <c r="A1356" t="s">
        <v>3232</v>
      </c>
      <c r="B1356" t="s">
        <v>3233</v>
      </c>
      <c r="C1356" t="s">
        <v>28</v>
      </c>
      <c r="D1356" t="s">
        <v>77</v>
      </c>
      <c r="E1356" t="s">
        <v>39</v>
      </c>
      <c r="F1356" t="s">
        <v>40</v>
      </c>
      <c r="G1356">
        <v>2.12</v>
      </c>
      <c r="H1356" t="s">
        <v>138</v>
      </c>
      <c r="I1356" t="s">
        <v>48</v>
      </c>
      <c r="J1356" t="s">
        <v>113</v>
      </c>
      <c r="K1356">
        <v>887.46</v>
      </c>
      <c r="L1356" t="s">
        <v>3234</v>
      </c>
      <c r="M1356">
        <f>VLOOKUP(H1356,'Stage Order'!$A$2:$B$8,2,FALSE)</f>
        <v>6</v>
      </c>
      <c r="N1356" t="str">
        <f t="shared" si="42"/>
        <v>2. 1-24 hours</v>
      </c>
      <c r="O1356" t="str">
        <f t="shared" si="43"/>
        <v>2025-06</v>
      </c>
    </row>
    <row r="1357" spans="1:15" x14ac:dyDescent="0.3">
      <c r="A1357" t="s">
        <v>3235</v>
      </c>
      <c r="B1357" t="s">
        <v>3236</v>
      </c>
      <c r="C1357" t="s">
        <v>76</v>
      </c>
      <c r="D1357" t="s">
        <v>77</v>
      </c>
      <c r="E1357" t="s">
        <v>39</v>
      </c>
      <c r="F1357" t="s">
        <v>106</v>
      </c>
      <c r="G1357">
        <v>1.43</v>
      </c>
      <c r="H1357" t="s">
        <v>146</v>
      </c>
      <c r="I1357" t="s">
        <v>48</v>
      </c>
      <c r="J1357" t="s">
        <v>98</v>
      </c>
      <c r="K1357">
        <v>825.71</v>
      </c>
      <c r="L1357" t="s">
        <v>3237</v>
      </c>
      <c r="M1357">
        <f>VLOOKUP(H1357,'Stage Order'!$A$2:$B$8,2,FALSE)</f>
        <v>5</v>
      </c>
      <c r="N1357" t="str">
        <f t="shared" si="42"/>
        <v>2. 1-24 hours</v>
      </c>
      <c r="O1357" t="str">
        <f t="shared" si="43"/>
        <v>2026-04</v>
      </c>
    </row>
    <row r="1358" spans="1:15" x14ac:dyDescent="0.3">
      <c r="A1358" t="s">
        <v>3238</v>
      </c>
      <c r="B1358" t="s">
        <v>3239</v>
      </c>
      <c r="C1358" t="s">
        <v>58</v>
      </c>
      <c r="D1358" t="s">
        <v>54</v>
      </c>
      <c r="E1358" t="s">
        <v>45</v>
      </c>
      <c r="F1358" t="s">
        <v>94</v>
      </c>
      <c r="G1358">
        <v>0.56999999999999995</v>
      </c>
      <c r="H1358" t="s">
        <v>41</v>
      </c>
      <c r="I1358" t="s">
        <v>42</v>
      </c>
      <c r="M1358">
        <f>VLOOKUP(H1358,'Stage Order'!$A$2:$B$8,2,FALSE)</f>
        <v>2</v>
      </c>
      <c r="N1358" t="str">
        <f t="shared" si="42"/>
        <v>1. Under 1 hour</v>
      </c>
      <c r="O1358" t="str">
        <f t="shared" si="43"/>
        <v>2026-05</v>
      </c>
    </row>
    <row r="1359" spans="1:15" x14ac:dyDescent="0.3">
      <c r="A1359" t="s">
        <v>3240</v>
      </c>
      <c r="B1359" t="s">
        <v>3241</v>
      </c>
      <c r="C1359" t="s">
        <v>37</v>
      </c>
      <c r="D1359" t="s">
        <v>54</v>
      </c>
      <c r="E1359" t="s">
        <v>59</v>
      </c>
      <c r="F1359" t="s">
        <v>60</v>
      </c>
      <c r="G1359">
        <v>9.74</v>
      </c>
      <c r="H1359" t="s">
        <v>41</v>
      </c>
      <c r="I1359" t="s">
        <v>42</v>
      </c>
      <c r="M1359">
        <f>VLOOKUP(H1359,'Stage Order'!$A$2:$B$8,2,FALSE)</f>
        <v>2</v>
      </c>
      <c r="N1359" t="str">
        <f t="shared" si="42"/>
        <v>2. 1-24 hours</v>
      </c>
      <c r="O1359" t="str">
        <f t="shared" si="43"/>
        <v>2025-02</v>
      </c>
    </row>
    <row r="1360" spans="1:15" x14ac:dyDescent="0.3">
      <c r="A1360" t="s">
        <v>3242</v>
      </c>
      <c r="B1360" t="s">
        <v>3243</v>
      </c>
      <c r="C1360" t="s">
        <v>76</v>
      </c>
      <c r="D1360" t="s">
        <v>54</v>
      </c>
      <c r="E1360" t="s">
        <v>59</v>
      </c>
      <c r="F1360" t="s">
        <v>137</v>
      </c>
      <c r="G1360">
        <v>4.96</v>
      </c>
      <c r="H1360" t="s">
        <v>41</v>
      </c>
      <c r="I1360" t="s">
        <v>42</v>
      </c>
      <c r="M1360">
        <f>VLOOKUP(H1360,'Stage Order'!$A$2:$B$8,2,FALSE)</f>
        <v>2</v>
      </c>
      <c r="N1360" t="str">
        <f t="shared" si="42"/>
        <v>2. 1-24 hours</v>
      </c>
      <c r="O1360" t="str">
        <f t="shared" si="43"/>
        <v>2025-07</v>
      </c>
    </row>
    <row r="1361" spans="1:15" x14ac:dyDescent="0.3">
      <c r="A1361" t="s">
        <v>3244</v>
      </c>
      <c r="B1361" t="s">
        <v>3245</v>
      </c>
      <c r="C1361" t="s">
        <v>76</v>
      </c>
      <c r="D1361" t="s">
        <v>77</v>
      </c>
      <c r="E1361" t="s">
        <v>39</v>
      </c>
      <c r="F1361" t="s">
        <v>40</v>
      </c>
      <c r="G1361">
        <v>1.68</v>
      </c>
      <c r="H1361" t="s">
        <v>138</v>
      </c>
      <c r="I1361" t="s">
        <v>48</v>
      </c>
      <c r="J1361" t="s">
        <v>98</v>
      </c>
      <c r="K1361">
        <v>970.72</v>
      </c>
      <c r="L1361" t="s">
        <v>3246</v>
      </c>
      <c r="M1361">
        <f>VLOOKUP(H1361,'Stage Order'!$A$2:$B$8,2,FALSE)</f>
        <v>6</v>
      </c>
      <c r="N1361" t="str">
        <f t="shared" si="42"/>
        <v>2. 1-24 hours</v>
      </c>
      <c r="O1361" t="str">
        <f t="shared" si="43"/>
        <v>2026-04</v>
      </c>
    </row>
    <row r="1362" spans="1:15" x14ac:dyDescent="0.3">
      <c r="A1362" t="s">
        <v>3247</v>
      </c>
      <c r="B1362" t="s">
        <v>3248</v>
      </c>
      <c r="C1362" t="s">
        <v>76</v>
      </c>
      <c r="D1362" t="s">
        <v>29</v>
      </c>
      <c r="E1362" t="s">
        <v>45</v>
      </c>
      <c r="F1362" t="s">
        <v>94</v>
      </c>
      <c r="G1362">
        <v>4.2300000000000004</v>
      </c>
      <c r="H1362" t="s">
        <v>146</v>
      </c>
      <c r="I1362" t="s">
        <v>48</v>
      </c>
      <c r="J1362" t="s">
        <v>139</v>
      </c>
      <c r="K1362">
        <v>733.46</v>
      </c>
      <c r="L1362" t="s">
        <v>3249</v>
      </c>
      <c r="M1362">
        <f>VLOOKUP(H1362,'Stage Order'!$A$2:$B$8,2,FALSE)</f>
        <v>5</v>
      </c>
      <c r="N1362" t="str">
        <f t="shared" si="42"/>
        <v>2. 1-24 hours</v>
      </c>
      <c r="O1362" t="str">
        <f t="shared" si="43"/>
        <v>2025-06</v>
      </c>
    </row>
    <row r="1363" spans="1:15" x14ac:dyDescent="0.3">
      <c r="A1363" t="s">
        <v>3250</v>
      </c>
      <c r="B1363" t="s">
        <v>3251</v>
      </c>
      <c r="C1363" t="s">
        <v>37</v>
      </c>
      <c r="D1363" t="s">
        <v>29</v>
      </c>
      <c r="E1363" t="s">
        <v>90</v>
      </c>
      <c r="F1363" t="s">
        <v>145</v>
      </c>
      <c r="G1363">
        <v>4.04</v>
      </c>
      <c r="H1363" t="s">
        <v>41</v>
      </c>
      <c r="I1363" t="s">
        <v>42</v>
      </c>
      <c r="M1363">
        <f>VLOOKUP(H1363,'Stage Order'!$A$2:$B$8,2,FALSE)</f>
        <v>2</v>
      </c>
      <c r="N1363" t="str">
        <f t="shared" si="42"/>
        <v>2. 1-24 hours</v>
      </c>
      <c r="O1363" t="str">
        <f t="shared" si="43"/>
        <v>2026-05</v>
      </c>
    </row>
    <row r="1364" spans="1:15" x14ac:dyDescent="0.3">
      <c r="A1364" t="s">
        <v>3252</v>
      </c>
      <c r="B1364" t="s">
        <v>3253</v>
      </c>
      <c r="C1364" t="s">
        <v>125</v>
      </c>
      <c r="D1364" t="s">
        <v>77</v>
      </c>
      <c r="E1364" t="s">
        <v>30</v>
      </c>
      <c r="F1364" t="s">
        <v>31</v>
      </c>
      <c r="G1364">
        <v>2.76</v>
      </c>
      <c r="H1364" t="s">
        <v>32</v>
      </c>
      <c r="I1364" t="s">
        <v>33</v>
      </c>
      <c r="K1364">
        <v>1126.9100000000001</v>
      </c>
      <c r="L1364" t="s">
        <v>3254</v>
      </c>
      <c r="M1364">
        <f>VLOOKUP(H1364,'Stage Order'!$A$2:$B$8,2,FALSE)</f>
        <v>7</v>
      </c>
      <c r="N1364" t="str">
        <f t="shared" si="42"/>
        <v>2. 1-24 hours</v>
      </c>
      <c r="O1364" t="str">
        <f t="shared" si="43"/>
        <v>2025-07</v>
      </c>
    </row>
    <row r="1365" spans="1:15" x14ac:dyDescent="0.3">
      <c r="A1365" t="s">
        <v>3255</v>
      </c>
      <c r="B1365" t="s">
        <v>3256</v>
      </c>
      <c r="C1365" t="s">
        <v>81</v>
      </c>
      <c r="D1365" t="s">
        <v>77</v>
      </c>
      <c r="E1365" t="s">
        <v>39</v>
      </c>
      <c r="F1365" t="s">
        <v>40</v>
      </c>
      <c r="G1365">
        <v>3.17</v>
      </c>
      <c r="H1365" t="s">
        <v>61</v>
      </c>
      <c r="I1365" t="s">
        <v>42</v>
      </c>
      <c r="M1365">
        <f>VLOOKUP(H1365,'Stage Order'!$A$2:$B$8,2,FALSE)</f>
        <v>1</v>
      </c>
      <c r="N1365" t="str">
        <f t="shared" si="42"/>
        <v>2. 1-24 hours</v>
      </c>
      <c r="O1365" t="str">
        <f t="shared" si="43"/>
        <v>2025-11</v>
      </c>
    </row>
    <row r="1366" spans="1:15" x14ac:dyDescent="0.3">
      <c r="A1366" t="s">
        <v>3257</v>
      </c>
      <c r="B1366" t="s">
        <v>3258</v>
      </c>
      <c r="C1366" t="s">
        <v>76</v>
      </c>
      <c r="D1366" t="s">
        <v>77</v>
      </c>
      <c r="E1366" t="s">
        <v>90</v>
      </c>
      <c r="F1366" t="s">
        <v>112</v>
      </c>
      <c r="G1366">
        <v>2.0099999999999998</v>
      </c>
      <c r="H1366" t="s">
        <v>41</v>
      </c>
      <c r="I1366" t="s">
        <v>42</v>
      </c>
      <c r="M1366">
        <f>VLOOKUP(H1366,'Stage Order'!$A$2:$B$8,2,FALSE)</f>
        <v>2</v>
      </c>
      <c r="N1366" t="str">
        <f t="shared" si="42"/>
        <v>2. 1-24 hours</v>
      </c>
      <c r="O1366" t="str">
        <f t="shared" si="43"/>
        <v>2025-05</v>
      </c>
    </row>
    <row r="1367" spans="1:15" x14ac:dyDescent="0.3">
      <c r="A1367" t="s">
        <v>3259</v>
      </c>
      <c r="B1367" t="s">
        <v>3260</v>
      </c>
      <c r="C1367" t="s">
        <v>37</v>
      </c>
      <c r="D1367" t="s">
        <v>77</v>
      </c>
      <c r="E1367" t="s">
        <v>45</v>
      </c>
      <c r="F1367" t="s">
        <v>94</v>
      </c>
      <c r="G1367">
        <v>2.59</v>
      </c>
      <c r="H1367" t="s">
        <v>41</v>
      </c>
      <c r="I1367" t="s">
        <v>42</v>
      </c>
      <c r="M1367">
        <f>VLOOKUP(H1367,'Stage Order'!$A$2:$B$8,2,FALSE)</f>
        <v>2</v>
      </c>
      <c r="N1367" t="str">
        <f t="shared" si="42"/>
        <v>2. 1-24 hours</v>
      </c>
      <c r="O1367" t="str">
        <f t="shared" si="43"/>
        <v>2026-04</v>
      </c>
    </row>
    <row r="1368" spans="1:15" x14ac:dyDescent="0.3">
      <c r="A1368" t="s">
        <v>3261</v>
      </c>
      <c r="B1368" t="s">
        <v>3262</v>
      </c>
      <c r="C1368" t="s">
        <v>37</v>
      </c>
      <c r="D1368" t="s">
        <v>54</v>
      </c>
      <c r="E1368" t="s">
        <v>59</v>
      </c>
      <c r="F1368" t="s">
        <v>137</v>
      </c>
      <c r="G1368">
        <v>5.57</v>
      </c>
      <c r="H1368" t="s">
        <v>138</v>
      </c>
      <c r="I1368" t="s">
        <v>48</v>
      </c>
      <c r="J1368" t="s">
        <v>139</v>
      </c>
      <c r="K1368">
        <v>485.08</v>
      </c>
      <c r="L1368" t="s">
        <v>3263</v>
      </c>
      <c r="M1368">
        <f>VLOOKUP(H1368,'Stage Order'!$A$2:$B$8,2,FALSE)</f>
        <v>6</v>
      </c>
      <c r="N1368" t="str">
        <f t="shared" si="42"/>
        <v>2. 1-24 hours</v>
      </c>
      <c r="O1368" t="str">
        <f t="shared" si="43"/>
        <v>2026-05</v>
      </c>
    </row>
    <row r="1369" spans="1:15" x14ac:dyDescent="0.3">
      <c r="A1369" t="s">
        <v>3264</v>
      </c>
      <c r="B1369" t="s">
        <v>3265</v>
      </c>
      <c r="C1369" t="s">
        <v>53</v>
      </c>
      <c r="D1369" t="s">
        <v>77</v>
      </c>
      <c r="E1369" t="s">
        <v>59</v>
      </c>
      <c r="F1369" t="s">
        <v>117</v>
      </c>
      <c r="G1369">
        <v>0.73</v>
      </c>
      <c r="H1369" t="s">
        <v>32</v>
      </c>
      <c r="I1369" t="s">
        <v>33</v>
      </c>
      <c r="K1369">
        <v>867.07</v>
      </c>
      <c r="L1369" t="s">
        <v>3266</v>
      </c>
      <c r="M1369">
        <f>VLOOKUP(H1369,'Stage Order'!$A$2:$B$8,2,FALSE)</f>
        <v>7</v>
      </c>
      <c r="N1369" t="str">
        <f t="shared" si="42"/>
        <v>1. Under 1 hour</v>
      </c>
      <c r="O1369" t="str">
        <f t="shared" si="43"/>
        <v>2026-01</v>
      </c>
    </row>
    <row r="1370" spans="1:15" x14ac:dyDescent="0.3">
      <c r="A1370" t="s">
        <v>3267</v>
      </c>
      <c r="B1370" t="s">
        <v>3268</v>
      </c>
      <c r="C1370" t="s">
        <v>37</v>
      </c>
      <c r="D1370" t="s">
        <v>54</v>
      </c>
      <c r="E1370" t="s">
        <v>59</v>
      </c>
      <c r="F1370" t="s">
        <v>137</v>
      </c>
      <c r="G1370">
        <v>4.82</v>
      </c>
      <c r="H1370" t="s">
        <v>47</v>
      </c>
      <c r="I1370" t="s">
        <v>48</v>
      </c>
      <c r="J1370" t="s">
        <v>98</v>
      </c>
      <c r="K1370">
        <v>487.5</v>
      </c>
      <c r="L1370" t="s">
        <v>3269</v>
      </c>
      <c r="M1370">
        <f>VLOOKUP(H1370,'Stage Order'!$A$2:$B$8,2,FALSE)</f>
        <v>4</v>
      </c>
      <c r="N1370" t="str">
        <f t="shared" si="42"/>
        <v>2. 1-24 hours</v>
      </c>
      <c r="O1370" t="str">
        <f t="shared" si="43"/>
        <v>2025-07</v>
      </c>
    </row>
    <row r="1371" spans="1:15" x14ac:dyDescent="0.3">
      <c r="A1371" t="s">
        <v>3270</v>
      </c>
      <c r="B1371" t="s">
        <v>3271</v>
      </c>
      <c r="C1371" t="s">
        <v>81</v>
      </c>
      <c r="D1371" t="s">
        <v>77</v>
      </c>
      <c r="E1371" t="s">
        <v>45</v>
      </c>
      <c r="F1371" t="s">
        <v>94</v>
      </c>
      <c r="G1371">
        <v>6.3</v>
      </c>
      <c r="H1371" t="s">
        <v>41</v>
      </c>
      <c r="I1371" t="s">
        <v>42</v>
      </c>
      <c r="M1371">
        <f>VLOOKUP(H1371,'Stage Order'!$A$2:$B$8,2,FALSE)</f>
        <v>2</v>
      </c>
      <c r="N1371" t="str">
        <f t="shared" si="42"/>
        <v>2. 1-24 hours</v>
      </c>
      <c r="O1371" t="str">
        <f t="shared" si="43"/>
        <v>2025-04</v>
      </c>
    </row>
    <row r="1372" spans="1:15" x14ac:dyDescent="0.3">
      <c r="A1372" t="s">
        <v>3272</v>
      </c>
      <c r="B1372" t="s">
        <v>3273</v>
      </c>
      <c r="C1372" t="s">
        <v>81</v>
      </c>
      <c r="D1372" t="s">
        <v>54</v>
      </c>
      <c r="E1372" t="s">
        <v>45</v>
      </c>
      <c r="F1372" t="s">
        <v>94</v>
      </c>
      <c r="G1372">
        <v>0.56999999999999995</v>
      </c>
      <c r="H1372" t="s">
        <v>41</v>
      </c>
      <c r="I1372" t="s">
        <v>42</v>
      </c>
      <c r="M1372">
        <f>VLOOKUP(H1372,'Stage Order'!$A$2:$B$8,2,FALSE)</f>
        <v>2</v>
      </c>
      <c r="N1372" t="str">
        <f t="shared" si="42"/>
        <v>1. Under 1 hour</v>
      </c>
      <c r="O1372" t="str">
        <f t="shared" si="43"/>
        <v>2025-12</v>
      </c>
    </row>
    <row r="1373" spans="1:15" x14ac:dyDescent="0.3">
      <c r="A1373" t="s">
        <v>3274</v>
      </c>
      <c r="B1373" t="s">
        <v>3275</v>
      </c>
      <c r="C1373" t="s">
        <v>53</v>
      </c>
      <c r="D1373" t="s">
        <v>38</v>
      </c>
      <c r="E1373" t="s">
        <v>45</v>
      </c>
      <c r="F1373" t="s">
        <v>55</v>
      </c>
      <c r="G1373">
        <v>3.52</v>
      </c>
      <c r="H1373" t="s">
        <v>32</v>
      </c>
      <c r="I1373" t="s">
        <v>33</v>
      </c>
      <c r="K1373">
        <v>378.19</v>
      </c>
      <c r="L1373" t="s">
        <v>3276</v>
      </c>
      <c r="M1373">
        <f>VLOOKUP(H1373,'Stage Order'!$A$2:$B$8,2,FALSE)</f>
        <v>7</v>
      </c>
      <c r="N1373" t="str">
        <f t="shared" si="42"/>
        <v>2. 1-24 hours</v>
      </c>
      <c r="O1373" t="str">
        <f t="shared" si="43"/>
        <v>2025-10</v>
      </c>
    </row>
    <row r="1374" spans="1:15" x14ac:dyDescent="0.3">
      <c r="A1374" t="s">
        <v>3277</v>
      </c>
      <c r="B1374" t="s">
        <v>3278</v>
      </c>
      <c r="C1374" t="s">
        <v>58</v>
      </c>
      <c r="D1374" t="s">
        <v>38</v>
      </c>
      <c r="E1374" t="s">
        <v>30</v>
      </c>
      <c r="F1374" t="s">
        <v>31</v>
      </c>
      <c r="G1374">
        <v>2.41</v>
      </c>
      <c r="H1374" t="s">
        <v>61</v>
      </c>
      <c r="I1374" t="s">
        <v>42</v>
      </c>
      <c r="M1374">
        <f>VLOOKUP(H1374,'Stage Order'!$A$2:$B$8,2,FALSE)</f>
        <v>1</v>
      </c>
      <c r="N1374" t="str">
        <f t="shared" si="42"/>
        <v>2. 1-24 hours</v>
      </c>
      <c r="O1374" t="str">
        <f t="shared" si="43"/>
        <v>2026-01</v>
      </c>
    </row>
    <row r="1375" spans="1:15" x14ac:dyDescent="0.3">
      <c r="A1375" t="s">
        <v>3279</v>
      </c>
      <c r="B1375" t="s">
        <v>3280</v>
      </c>
      <c r="C1375" t="s">
        <v>125</v>
      </c>
      <c r="D1375" t="s">
        <v>38</v>
      </c>
      <c r="E1375" t="s">
        <v>30</v>
      </c>
      <c r="F1375" t="s">
        <v>31</v>
      </c>
      <c r="G1375">
        <v>17.34</v>
      </c>
      <c r="H1375" t="s">
        <v>41</v>
      </c>
      <c r="I1375" t="s">
        <v>42</v>
      </c>
      <c r="M1375">
        <f>VLOOKUP(H1375,'Stage Order'!$A$2:$B$8,2,FALSE)</f>
        <v>2</v>
      </c>
      <c r="N1375" t="str">
        <f t="shared" si="42"/>
        <v>2. 1-24 hours</v>
      </c>
      <c r="O1375" t="str">
        <f t="shared" si="43"/>
        <v>2025-11</v>
      </c>
    </row>
    <row r="1376" spans="1:15" x14ac:dyDescent="0.3">
      <c r="A1376" t="s">
        <v>3281</v>
      </c>
      <c r="B1376" t="s">
        <v>3282</v>
      </c>
      <c r="C1376" t="s">
        <v>37</v>
      </c>
      <c r="D1376" t="s">
        <v>54</v>
      </c>
      <c r="E1376" t="s">
        <v>90</v>
      </c>
      <c r="F1376" t="s">
        <v>112</v>
      </c>
      <c r="G1376">
        <v>4.03</v>
      </c>
      <c r="H1376" t="s">
        <v>41</v>
      </c>
      <c r="I1376" t="s">
        <v>42</v>
      </c>
      <c r="M1376">
        <f>VLOOKUP(H1376,'Stage Order'!$A$2:$B$8,2,FALSE)</f>
        <v>2</v>
      </c>
      <c r="N1376" t="str">
        <f t="shared" si="42"/>
        <v>2. 1-24 hours</v>
      </c>
      <c r="O1376" t="str">
        <f t="shared" si="43"/>
        <v>2025-06</v>
      </c>
    </row>
    <row r="1377" spans="1:15" x14ac:dyDescent="0.3">
      <c r="A1377" t="s">
        <v>3283</v>
      </c>
      <c r="B1377" t="s">
        <v>3284</v>
      </c>
      <c r="C1377" t="s">
        <v>58</v>
      </c>
      <c r="D1377" t="s">
        <v>77</v>
      </c>
      <c r="E1377" t="s">
        <v>30</v>
      </c>
      <c r="F1377" t="s">
        <v>31</v>
      </c>
      <c r="G1377">
        <v>7.08</v>
      </c>
      <c r="H1377" t="s">
        <v>128</v>
      </c>
      <c r="I1377" t="s">
        <v>42</v>
      </c>
      <c r="M1377">
        <f>VLOOKUP(H1377,'Stage Order'!$A$2:$B$8,2,FALSE)</f>
        <v>3</v>
      </c>
      <c r="N1377" t="str">
        <f t="shared" si="42"/>
        <v>2. 1-24 hours</v>
      </c>
      <c r="O1377" t="str">
        <f t="shared" si="43"/>
        <v>2025-10</v>
      </c>
    </row>
    <row r="1378" spans="1:15" x14ac:dyDescent="0.3">
      <c r="A1378" t="s">
        <v>3285</v>
      </c>
      <c r="B1378" t="s">
        <v>3286</v>
      </c>
      <c r="C1378" t="s">
        <v>28</v>
      </c>
      <c r="D1378" t="s">
        <v>29</v>
      </c>
      <c r="E1378" t="s">
        <v>59</v>
      </c>
      <c r="F1378" t="s">
        <v>137</v>
      </c>
      <c r="G1378">
        <v>1.54</v>
      </c>
      <c r="H1378" t="s">
        <v>41</v>
      </c>
      <c r="I1378" t="s">
        <v>42</v>
      </c>
      <c r="M1378">
        <f>VLOOKUP(H1378,'Stage Order'!$A$2:$B$8,2,FALSE)</f>
        <v>2</v>
      </c>
      <c r="N1378" t="str">
        <f t="shared" si="42"/>
        <v>2. 1-24 hours</v>
      </c>
      <c r="O1378" t="str">
        <f t="shared" si="43"/>
        <v>2026-04</v>
      </c>
    </row>
    <row r="1379" spans="1:15" x14ac:dyDescent="0.3">
      <c r="A1379" t="s">
        <v>3287</v>
      </c>
      <c r="B1379" t="s">
        <v>3288</v>
      </c>
      <c r="C1379" t="s">
        <v>58</v>
      </c>
      <c r="D1379" t="s">
        <v>77</v>
      </c>
      <c r="E1379" t="s">
        <v>45</v>
      </c>
      <c r="F1379" t="s">
        <v>55</v>
      </c>
      <c r="G1379">
        <v>7.15</v>
      </c>
      <c r="H1379" t="s">
        <v>138</v>
      </c>
      <c r="I1379" t="s">
        <v>48</v>
      </c>
      <c r="J1379" t="s">
        <v>49</v>
      </c>
      <c r="K1379">
        <v>837.62</v>
      </c>
      <c r="L1379" t="s">
        <v>3289</v>
      </c>
      <c r="M1379">
        <f>VLOOKUP(H1379,'Stage Order'!$A$2:$B$8,2,FALSE)</f>
        <v>6</v>
      </c>
      <c r="N1379" t="str">
        <f t="shared" si="42"/>
        <v>2. 1-24 hours</v>
      </c>
      <c r="O1379" t="str">
        <f t="shared" si="43"/>
        <v>2025-05</v>
      </c>
    </row>
    <row r="1380" spans="1:15" x14ac:dyDescent="0.3">
      <c r="A1380" t="s">
        <v>3290</v>
      </c>
      <c r="B1380" t="s">
        <v>3291</v>
      </c>
      <c r="C1380" t="s">
        <v>37</v>
      </c>
      <c r="D1380" t="s">
        <v>54</v>
      </c>
      <c r="E1380" t="s">
        <v>45</v>
      </c>
      <c r="F1380" t="s">
        <v>55</v>
      </c>
      <c r="G1380">
        <v>18.39</v>
      </c>
      <c r="H1380" t="s">
        <v>138</v>
      </c>
      <c r="I1380" t="s">
        <v>48</v>
      </c>
      <c r="J1380" t="s">
        <v>113</v>
      </c>
      <c r="K1380">
        <v>448.14</v>
      </c>
      <c r="L1380" t="s">
        <v>3292</v>
      </c>
      <c r="M1380">
        <f>VLOOKUP(H1380,'Stage Order'!$A$2:$B$8,2,FALSE)</f>
        <v>6</v>
      </c>
      <c r="N1380" t="str">
        <f t="shared" si="42"/>
        <v>2. 1-24 hours</v>
      </c>
      <c r="O1380" t="str">
        <f t="shared" si="43"/>
        <v>2025-02</v>
      </c>
    </row>
    <row r="1381" spans="1:15" x14ac:dyDescent="0.3">
      <c r="A1381" t="s">
        <v>3293</v>
      </c>
      <c r="B1381" t="s">
        <v>3294</v>
      </c>
      <c r="C1381" t="s">
        <v>76</v>
      </c>
      <c r="D1381" t="s">
        <v>29</v>
      </c>
      <c r="E1381" t="s">
        <v>45</v>
      </c>
      <c r="F1381" t="s">
        <v>94</v>
      </c>
      <c r="G1381">
        <v>0.92</v>
      </c>
      <c r="H1381" t="s">
        <v>41</v>
      </c>
      <c r="I1381" t="s">
        <v>42</v>
      </c>
      <c r="M1381">
        <f>VLOOKUP(H1381,'Stage Order'!$A$2:$B$8,2,FALSE)</f>
        <v>2</v>
      </c>
      <c r="N1381" t="str">
        <f t="shared" si="42"/>
        <v>1. Under 1 hour</v>
      </c>
      <c r="O1381" t="str">
        <f t="shared" si="43"/>
        <v>2025-07</v>
      </c>
    </row>
    <row r="1382" spans="1:15" x14ac:dyDescent="0.3">
      <c r="A1382" t="s">
        <v>3295</v>
      </c>
      <c r="B1382" t="s">
        <v>3296</v>
      </c>
      <c r="C1382" t="s">
        <v>125</v>
      </c>
      <c r="D1382" t="s">
        <v>77</v>
      </c>
      <c r="E1382" t="s">
        <v>59</v>
      </c>
      <c r="F1382" t="s">
        <v>137</v>
      </c>
      <c r="G1382">
        <v>3.77</v>
      </c>
      <c r="H1382" t="s">
        <v>41</v>
      </c>
      <c r="I1382" t="s">
        <v>42</v>
      </c>
      <c r="M1382">
        <f>VLOOKUP(H1382,'Stage Order'!$A$2:$B$8,2,FALSE)</f>
        <v>2</v>
      </c>
      <c r="N1382" t="str">
        <f t="shared" si="42"/>
        <v>2. 1-24 hours</v>
      </c>
      <c r="O1382" t="str">
        <f t="shared" si="43"/>
        <v>2025-12</v>
      </c>
    </row>
    <row r="1383" spans="1:15" x14ac:dyDescent="0.3">
      <c r="A1383" t="s">
        <v>3297</v>
      </c>
      <c r="B1383" t="s">
        <v>3298</v>
      </c>
      <c r="C1383" t="s">
        <v>58</v>
      </c>
      <c r="D1383" t="s">
        <v>77</v>
      </c>
      <c r="E1383" t="s">
        <v>59</v>
      </c>
      <c r="F1383" t="s">
        <v>137</v>
      </c>
      <c r="G1383">
        <v>11.64</v>
      </c>
      <c r="H1383" t="s">
        <v>41</v>
      </c>
      <c r="I1383" t="s">
        <v>42</v>
      </c>
      <c r="M1383">
        <f>VLOOKUP(H1383,'Stage Order'!$A$2:$B$8,2,FALSE)</f>
        <v>2</v>
      </c>
      <c r="N1383" t="str">
        <f t="shared" si="42"/>
        <v>2. 1-24 hours</v>
      </c>
      <c r="O1383" t="str">
        <f t="shared" si="43"/>
        <v>2025-07</v>
      </c>
    </row>
    <row r="1384" spans="1:15" x14ac:dyDescent="0.3">
      <c r="A1384" t="s">
        <v>3299</v>
      </c>
      <c r="B1384" t="s">
        <v>3300</v>
      </c>
      <c r="C1384" t="s">
        <v>81</v>
      </c>
      <c r="D1384" t="s">
        <v>29</v>
      </c>
      <c r="E1384" t="s">
        <v>45</v>
      </c>
      <c r="F1384" t="s">
        <v>55</v>
      </c>
      <c r="G1384">
        <v>2.2200000000000002</v>
      </c>
      <c r="H1384" t="s">
        <v>61</v>
      </c>
      <c r="I1384" t="s">
        <v>42</v>
      </c>
      <c r="M1384">
        <f>VLOOKUP(H1384,'Stage Order'!$A$2:$B$8,2,FALSE)</f>
        <v>1</v>
      </c>
      <c r="N1384" t="str">
        <f t="shared" si="42"/>
        <v>2. 1-24 hours</v>
      </c>
      <c r="O1384" t="str">
        <f t="shared" si="43"/>
        <v>2025-07</v>
      </c>
    </row>
    <row r="1385" spans="1:15" x14ac:dyDescent="0.3">
      <c r="A1385" t="s">
        <v>3301</v>
      </c>
      <c r="B1385" t="s">
        <v>3302</v>
      </c>
      <c r="C1385" t="s">
        <v>58</v>
      </c>
      <c r="D1385" t="s">
        <v>54</v>
      </c>
      <c r="E1385" t="s">
        <v>39</v>
      </c>
      <c r="F1385" t="s">
        <v>40</v>
      </c>
      <c r="G1385">
        <v>1.62</v>
      </c>
      <c r="H1385" t="s">
        <v>41</v>
      </c>
      <c r="I1385" t="s">
        <v>42</v>
      </c>
      <c r="M1385">
        <f>VLOOKUP(H1385,'Stage Order'!$A$2:$B$8,2,FALSE)</f>
        <v>2</v>
      </c>
      <c r="N1385" t="str">
        <f t="shared" si="42"/>
        <v>2. 1-24 hours</v>
      </c>
      <c r="O1385" t="str">
        <f t="shared" si="43"/>
        <v>2026-06</v>
      </c>
    </row>
    <row r="1386" spans="1:15" x14ac:dyDescent="0.3">
      <c r="A1386" t="s">
        <v>3303</v>
      </c>
      <c r="B1386" t="s">
        <v>3304</v>
      </c>
      <c r="C1386" t="s">
        <v>37</v>
      </c>
      <c r="D1386" t="s">
        <v>54</v>
      </c>
      <c r="E1386" t="s">
        <v>59</v>
      </c>
      <c r="F1386" t="s">
        <v>137</v>
      </c>
      <c r="G1386">
        <v>4.03</v>
      </c>
      <c r="H1386" t="s">
        <v>146</v>
      </c>
      <c r="I1386" t="s">
        <v>48</v>
      </c>
      <c r="J1386" t="s">
        <v>139</v>
      </c>
      <c r="K1386">
        <v>514.6</v>
      </c>
      <c r="L1386" t="s">
        <v>3305</v>
      </c>
      <c r="M1386">
        <f>VLOOKUP(H1386,'Stage Order'!$A$2:$B$8,2,FALSE)</f>
        <v>5</v>
      </c>
      <c r="N1386" t="str">
        <f t="shared" si="42"/>
        <v>2. 1-24 hours</v>
      </c>
      <c r="O1386" t="str">
        <f t="shared" si="43"/>
        <v>2025-12</v>
      </c>
    </row>
    <row r="1387" spans="1:15" x14ac:dyDescent="0.3">
      <c r="A1387" t="s">
        <v>3306</v>
      </c>
      <c r="B1387" t="s">
        <v>3307</v>
      </c>
      <c r="C1387" t="s">
        <v>125</v>
      </c>
      <c r="D1387" t="s">
        <v>77</v>
      </c>
      <c r="E1387" t="s">
        <v>45</v>
      </c>
      <c r="F1387" t="s">
        <v>46</v>
      </c>
      <c r="G1387">
        <v>10.9</v>
      </c>
      <c r="H1387" t="s">
        <v>41</v>
      </c>
      <c r="I1387" t="s">
        <v>42</v>
      </c>
      <c r="M1387">
        <f>VLOOKUP(H1387,'Stage Order'!$A$2:$B$8,2,FALSE)</f>
        <v>2</v>
      </c>
      <c r="N1387" t="str">
        <f t="shared" si="42"/>
        <v>2. 1-24 hours</v>
      </c>
      <c r="O1387" t="str">
        <f t="shared" si="43"/>
        <v>2026-01</v>
      </c>
    </row>
    <row r="1388" spans="1:15" x14ac:dyDescent="0.3">
      <c r="A1388" t="s">
        <v>3308</v>
      </c>
      <c r="B1388" t="s">
        <v>3309</v>
      </c>
      <c r="C1388" t="s">
        <v>53</v>
      </c>
      <c r="D1388" t="s">
        <v>77</v>
      </c>
      <c r="E1388" t="s">
        <v>59</v>
      </c>
      <c r="F1388" t="s">
        <v>117</v>
      </c>
      <c r="G1388">
        <v>2.73</v>
      </c>
      <c r="H1388" t="s">
        <v>138</v>
      </c>
      <c r="I1388" t="s">
        <v>48</v>
      </c>
      <c r="J1388" t="s">
        <v>139</v>
      </c>
      <c r="K1388">
        <v>972.35</v>
      </c>
      <c r="L1388" t="s">
        <v>3310</v>
      </c>
      <c r="M1388">
        <f>VLOOKUP(H1388,'Stage Order'!$A$2:$B$8,2,FALSE)</f>
        <v>6</v>
      </c>
      <c r="N1388" t="str">
        <f t="shared" si="42"/>
        <v>2. 1-24 hours</v>
      </c>
      <c r="O1388" t="str">
        <f t="shared" si="43"/>
        <v>2026-03</v>
      </c>
    </row>
    <row r="1389" spans="1:15" x14ac:dyDescent="0.3">
      <c r="A1389" t="s">
        <v>3311</v>
      </c>
      <c r="B1389" t="s">
        <v>3312</v>
      </c>
      <c r="C1389" t="s">
        <v>37</v>
      </c>
      <c r="D1389" t="s">
        <v>77</v>
      </c>
      <c r="E1389" t="s">
        <v>45</v>
      </c>
      <c r="F1389" t="s">
        <v>94</v>
      </c>
      <c r="G1389">
        <v>3.21</v>
      </c>
      <c r="H1389" t="s">
        <v>32</v>
      </c>
      <c r="I1389" t="s">
        <v>33</v>
      </c>
      <c r="K1389">
        <v>1030.8</v>
      </c>
      <c r="L1389" t="s">
        <v>3313</v>
      </c>
      <c r="M1389">
        <f>VLOOKUP(H1389,'Stage Order'!$A$2:$B$8,2,FALSE)</f>
        <v>7</v>
      </c>
      <c r="N1389" t="str">
        <f t="shared" si="42"/>
        <v>2. 1-24 hours</v>
      </c>
      <c r="O1389" t="str">
        <f t="shared" si="43"/>
        <v>2025-11</v>
      </c>
    </row>
    <row r="1390" spans="1:15" x14ac:dyDescent="0.3">
      <c r="A1390" t="s">
        <v>3314</v>
      </c>
      <c r="B1390" t="s">
        <v>3315</v>
      </c>
      <c r="C1390" t="s">
        <v>28</v>
      </c>
      <c r="D1390" t="s">
        <v>54</v>
      </c>
      <c r="E1390" t="s">
        <v>90</v>
      </c>
      <c r="F1390" t="s">
        <v>145</v>
      </c>
      <c r="G1390">
        <v>4.53</v>
      </c>
      <c r="H1390" t="s">
        <v>41</v>
      </c>
      <c r="I1390" t="s">
        <v>42</v>
      </c>
      <c r="M1390">
        <f>VLOOKUP(H1390,'Stage Order'!$A$2:$B$8,2,FALSE)</f>
        <v>2</v>
      </c>
      <c r="N1390" t="str">
        <f t="shared" si="42"/>
        <v>2. 1-24 hours</v>
      </c>
      <c r="O1390" t="str">
        <f t="shared" si="43"/>
        <v>2026-06</v>
      </c>
    </row>
    <row r="1391" spans="1:15" x14ac:dyDescent="0.3">
      <c r="A1391" t="s">
        <v>3316</v>
      </c>
      <c r="B1391" t="s">
        <v>3317</v>
      </c>
      <c r="C1391" t="s">
        <v>53</v>
      </c>
      <c r="D1391" t="s">
        <v>54</v>
      </c>
      <c r="E1391" t="s">
        <v>45</v>
      </c>
      <c r="F1391" t="s">
        <v>55</v>
      </c>
      <c r="G1391">
        <v>0.61</v>
      </c>
      <c r="H1391" t="s">
        <v>41</v>
      </c>
      <c r="I1391" t="s">
        <v>42</v>
      </c>
      <c r="M1391">
        <f>VLOOKUP(H1391,'Stage Order'!$A$2:$B$8,2,FALSE)</f>
        <v>2</v>
      </c>
      <c r="N1391" t="str">
        <f t="shared" si="42"/>
        <v>1. Under 1 hour</v>
      </c>
      <c r="O1391" t="str">
        <f t="shared" si="43"/>
        <v>2025-11</v>
      </c>
    </row>
    <row r="1392" spans="1:15" x14ac:dyDescent="0.3">
      <c r="A1392" t="s">
        <v>3318</v>
      </c>
      <c r="B1392" t="s">
        <v>3319</v>
      </c>
      <c r="C1392" t="s">
        <v>58</v>
      </c>
      <c r="D1392" t="s">
        <v>77</v>
      </c>
      <c r="E1392" t="s">
        <v>45</v>
      </c>
      <c r="F1392" t="s">
        <v>94</v>
      </c>
      <c r="G1392">
        <v>0.76</v>
      </c>
      <c r="H1392" t="s">
        <v>41</v>
      </c>
      <c r="I1392" t="s">
        <v>42</v>
      </c>
      <c r="M1392">
        <f>VLOOKUP(H1392,'Stage Order'!$A$2:$B$8,2,FALSE)</f>
        <v>2</v>
      </c>
      <c r="N1392" t="str">
        <f t="shared" si="42"/>
        <v>1. Under 1 hour</v>
      </c>
      <c r="O1392" t="str">
        <f t="shared" si="43"/>
        <v>2025-01</v>
      </c>
    </row>
    <row r="1393" spans="1:15" x14ac:dyDescent="0.3">
      <c r="A1393" t="s">
        <v>3320</v>
      </c>
      <c r="B1393" t="s">
        <v>3321</v>
      </c>
      <c r="C1393" t="s">
        <v>58</v>
      </c>
      <c r="D1393" t="s">
        <v>77</v>
      </c>
      <c r="E1393" t="s">
        <v>90</v>
      </c>
      <c r="F1393" t="s">
        <v>91</v>
      </c>
      <c r="G1393">
        <v>2.14</v>
      </c>
      <c r="H1393" t="s">
        <v>41</v>
      </c>
      <c r="I1393" t="s">
        <v>42</v>
      </c>
      <c r="M1393">
        <f>VLOOKUP(H1393,'Stage Order'!$A$2:$B$8,2,FALSE)</f>
        <v>2</v>
      </c>
      <c r="N1393" t="str">
        <f t="shared" si="42"/>
        <v>2. 1-24 hours</v>
      </c>
      <c r="O1393" t="str">
        <f t="shared" si="43"/>
        <v>2025-08</v>
      </c>
    </row>
    <row r="1394" spans="1:15" x14ac:dyDescent="0.3">
      <c r="A1394" t="s">
        <v>3322</v>
      </c>
      <c r="B1394" t="s">
        <v>3323</v>
      </c>
      <c r="C1394" t="s">
        <v>58</v>
      </c>
      <c r="D1394" t="s">
        <v>29</v>
      </c>
      <c r="E1394" t="s">
        <v>45</v>
      </c>
      <c r="F1394" t="s">
        <v>55</v>
      </c>
      <c r="G1394">
        <v>0.57999999999999996</v>
      </c>
      <c r="H1394" t="s">
        <v>146</v>
      </c>
      <c r="I1394" t="s">
        <v>48</v>
      </c>
      <c r="J1394" t="s">
        <v>98</v>
      </c>
      <c r="K1394">
        <v>751.53</v>
      </c>
      <c r="L1394" t="s">
        <v>3324</v>
      </c>
      <c r="M1394">
        <f>VLOOKUP(H1394,'Stage Order'!$A$2:$B$8,2,FALSE)</f>
        <v>5</v>
      </c>
      <c r="N1394" t="str">
        <f t="shared" si="42"/>
        <v>1. Under 1 hour</v>
      </c>
      <c r="O1394" t="str">
        <f t="shared" si="43"/>
        <v>2026-06</v>
      </c>
    </row>
    <row r="1395" spans="1:15" x14ac:dyDescent="0.3">
      <c r="A1395" t="s">
        <v>3325</v>
      </c>
      <c r="B1395" t="s">
        <v>3326</v>
      </c>
      <c r="C1395" t="s">
        <v>28</v>
      </c>
      <c r="D1395" t="s">
        <v>97</v>
      </c>
      <c r="E1395" t="s">
        <v>59</v>
      </c>
      <c r="F1395" t="s">
        <v>117</v>
      </c>
      <c r="G1395">
        <v>2.2400000000000002</v>
      </c>
      <c r="H1395" t="s">
        <v>41</v>
      </c>
      <c r="I1395" t="s">
        <v>42</v>
      </c>
      <c r="M1395">
        <f>VLOOKUP(H1395,'Stage Order'!$A$2:$B$8,2,FALSE)</f>
        <v>2</v>
      </c>
      <c r="N1395" t="str">
        <f t="shared" si="42"/>
        <v>2. 1-24 hours</v>
      </c>
      <c r="O1395" t="str">
        <f t="shared" si="43"/>
        <v>2025-04</v>
      </c>
    </row>
    <row r="1396" spans="1:15" x14ac:dyDescent="0.3">
      <c r="A1396" t="s">
        <v>3327</v>
      </c>
      <c r="B1396" t="s">
        <v>3328</v>
      </c>
      <c r="C1396" t="s">
        <v>37</v>
      </c>
      <c r="D1396" t="s">
        <v>97</v>
      </c>
      <c r="E1396" t="s">
        <v>90</v>
      </c>
      <c r="F1396" t="s">
        <v>112</v>
      </c>
      <c r="G1396">
        <v>7.22</v>
      </c>
      <c r="H1396" t="s">
        <v>138</v>
      </c>
      <c r="I1396" t="s">
        <v>48</v>
      </c>
      <c r="J1396" t="s">
        <v>98</v>
      </c>
      <c r="K1396">
        <v>1555.63</v>
      </c>
      <c r="L1396" t="s">
        <v>3329</v>
      </c>
      <c r="M1396">
        <f>VLOOKUP(H1396,'Stage Order'!$A$2:$B$8,2,FALSE)</f>
        <v>6</v>
      </c>
      <c r="N1396" t="str">
        <f t="shared" si="42"/>
        <v>2. 1-24 hours</v>
      </c>
      <c r="O1396" t="str">
        <f t="shared" si="43"/>
        <v>2025-08</v>
      </c>
    </row>
    <row r="1397" spans="1:15" x14ac:dyDescent="0.3">
      <c r="A1397" t="s">
        <v>3330</v>
      </c>
      <c r="B1397" t="s">
        <v>3331</v>
      </c>
      <c r="C1397" t="s">
        <v>125</v>
      </c>
      <c r="D1397" t="s">
        <v>29</v>
      </c>
      <c r="E1397" t="s">
        <v>39</v>
      </c>
      <c r="F1397" t="s">
        <v>66</v>
      </c>
      <c r="G1397">
        <v>12</v>
      </c>
      <c r="H1397" t="s">
        <v>61</v>
      </c>
      <c r="I1397" t="s">
        <v>42</v>
      </c>
      <c r="M1397">
        <f>VLOOKUP(H1397,'Stage Order'!$A$2:$B$8,2,FALSE)</f>
        <v>1</v>
      </c>
      <c r="N1397" t="str">
        <f t="shared" si="42"/>
        <v>2. 1-24 hours</v>
      </c>
      <c r="O1397" t="str">
        <f t="shared" si="43"/>
        <v>2025-02</v>
      </c>
    </row>
    <row r="1398" spans="1:15" x14ac:dyDescent="0.3">
      <c r="A1398" t="s">
        <v>3332</v>
      </c>
      <c r="B1398" t="s">
        <v>3333</v>
      </c>
      <c r="C1398" t="s">
        <v>58</v>
      </c>
      <c r="D1398" t="s">
        <v>29</v>
      </c>
      <c r="E1398" t="s">
        <v>39</v>
      </c>
      <c r="F1398" t="s">
        <v>40</v>
      </c>
      <c r="G1398">
        <v>1.93</v>
      </c>
      <c r="H1398" t="s">
        <v>146</v>
      </c>
      <c r="I1398" t="s">
        <v>48</v>
      </c>
      <c r="J1398" t="s">
        <v>139</v>
      </c>
      <c r="K1398">
        <v>652.4</v>
      </c>
      <c r="L1398" t="s">
        <v>3334</v>
      </c>
      <c r="M1398">
        <f>VLOOKUP(H1398,'Stage Order'!$A$2:$B$8,2,FALSE)</f>
        <v>5</v>
      </c>
      <c r="N1398" t="str">
        <f t="shared" si="42"/>
        <v>2. 1-24 hours</v>
      </c>
      <c r="O1398" t="str">
        <f t="shared" si="43"/>
        <v>2026-06</v>
      </c>
    </row>
    <row r="1399" spans="1:15" x14ac:dyDescent="0.3">
      <c r="A1399" t="s">
        <v>3335</v>
      </c>
      <c r="B1399" t="s">
        <v>3336</v>
      </c>
      <c r="C1399" t="s">
        <v>125</v>
      </c>
      <c r="D1399" t="s">
        <v>29</v>
      </c>
      <c r="E1399" t="s">
        <v>59</v>
      </c>
      <c r="F1399" t="s">
        <v>137</v>
      </c>
      <c r="G1399">
        <v>1.61</v>
      </c>
      <c r="H1399" t="s">
        <v>41</v>
      </c>
      <c r="I1399" t="s">
        <v>42</v>
      </c>
      <c r="M1399">
        <f>VLOOKUP(H1399,'Stage Order'!$A$2:$B$8,2,FALSE)</f>
        <v>2</v>
      </c>
      <c r="N1399" t="str">
        <f t="shared" si="42"/>
        <v>2. 1-24 hours</v>
      </c>
      <c r="O1399" t="str">
        <f t="shared" si="43"/>
        <v>2026-05</v>
      </c>
    </row>
    <row r="1400" spans="1:15" x14ac:dyDescent="0.3">
      <c r="A1400" t="s">
        <v>3337</v>
      </c>
      <c r="B1400" t="s">
        <v>3338</v>
      </c>
      <c r="C1400" t="s">
        <v>53</v>
      </c>
      <c r="D1400" t="s">
        <v>77</v>
      </c>
      <c r="E1400" t="s">
        <v>90</v>
      </c>
      <c r="F1400" t="s">
        <v>112</v>
      </c>
      <c r="G1400">
        <v>4.01</v>
      </c>
      <c r="H1400" t="s">
        <v>146</v>
      </c>
      <c r="I1400" t="s">
        <v>48</v>
      </c>
      <c r="J1400" t="s">
        <v>113</v>
      </c>
      <c r="K1400">
        <v>884.74</v>
      </c>
      <c r="L1400" t="s">
        <v>3339</v>
      </c>
      <c r="M1400">
        <f>VLOOKUP(H1400,'Stage Order'!$A$2:$B$8,2,FALSE)</f>
        <v>5</v>
      </c>
      <c r="N1400" t="str">
        <f t="shared" si="42"/>
        <v>2. 1-24 hours</v>
      </c>
      <c r="O1400" t="str">
        <f t="shared" si="43"/>
        <v>2025-06</v>
      </c>
    </row>
    <row r="1401" spans="1:15" x14ac:dyDescent="0.3">
      <c r="A1401" t="s">
        <v>3340</v>
      </c>
      <c r="B1401" t="s">
        <v>3341</v>
      </c>
      <c r="C1401" t="s">
        <v>53</v>
      </c>
      <c r="D1401" t="s">
        <v>38</v>
      </c>
      <c r="E1401" t="s">
        <v>39</v>
      </c>
      <c r="F1401" t="s">
        <v>40</v>
      </c>
      <c r="G1401">
        <v>1.34</v>
      </c>
      <c r="H1401" t="s">
        <v>146</v>
      </c>
      <c r="I1401" t="s">
        <v>48</v>
      </c>
      <c r="J1401" t="s">
        <v>742</v>
      </c>
      <c r="K1401">
        <v>305.42</v>
      </c>
      <c r="L1401" t="s">
        <v>3342</v>
      </c>
      <c r="M1401">
        <f>VLOOKUP(H1401,'Stage Order'!$A$2:$B$8,2,FALSE)</f>
        <v>5</v>
      </c>
      <c r="N1401" t="str">
        <f t="shared" si="42"/>
        <v>2. 1-24 hours</v>
      </c>
      <c r="O1401" t="str">
        <f t="shared" si="43"/>
        <v>2025-05</v>
      </c>
    </row>
    <row r="1402" spans="1:15" x14ac:dyDescent="0.3">
      <c r="A1402" t="s">
        <v>3343</v>
      </c>
      <c r="B1402" t="s">
        <v>3344</v>
      </c>
      <c r="C1402" t="s">
        <v>81</v>
      </c>
      <c r="D1402" t="s">
        <v>38</v>
      </c>
      <c r="E1402" t="s">
        <v>45</v>
      </c>
      <c r="F1402" t="s">
        <v>55</v>
      </c>
      <c r="G1402">
        <v>10.63</v>
      </c>
      <c r="H1402" t="s">
        <v>61</v>
      </c>
      <c r="I1402" t="s">
        <v>42</v>
      </c>
      <c r="M1402">
        <f>VLOOKUP(H1402,'Stage Order'!$A$2:$B$8,2,FALSE)</f>
        <v>1</v>
      </c>
      <c r="N1402" t="str">
        <f t="shared" si="42"/>
        <v>2. 1-24 hours</v>
      </c>
      <c r="O1402" t="str">
        <f t="shared" si="43"/>
        <v>2025-09</v>
      </c>
    </row>
    <row r="1403" spans="1:15" x14ac:dyDescent="0.3">
      <c r="A1403" t="s">
        <v>3345</v>
      </c>
      <c r="B1403" t="s">
        <v>3346</v>
      </c>
      <c r="C1403" t="s">
        <v>81</v>
      </c>
      <c r="D1403" t="s">
        <v>77</v>
      </c>
      <c r="E1403" t="s">
        <v>90</v>
      </c>
      <c r="F1403" t="s">
        <v>112</v>
      </c>
      <c r="G1403">
        <v>4.95</v>
      </c>
      <c r="H1403" t="s">
        <v>41</v>
      </c>
      <c r="I1403" t="s">
        <v>42</v>
      </c>
      <c r="M1403">
        <f>VLOOKUP(H1403,'Stage Order'!$A$2:$B$8,2,FALSE)</f>
        <v>2</v>
      </c>
      <c r="N1403" t="str">
        <f t="shared" si="42"/>
        <v>2. 1-24 hours</v>
      </c>
      <c r="O1403" t="str">
        <f t="shared" si="43"/>
        <v>2025-11</v>
      </c>
    </row>
    <row r="1404" spans="1:15" x14ac:dyDescent="0.3">
      <c r="A1404" t="s">
        <v>3347</v>
      </c>
      <c r="B1404" t="s">
        <v>3348</v>
      </c>
      <c r="C1404" t="s">
        <v>53</v>
      </c>
      <c r="D1404" t="s">
        <v>54</v>
      </c>
      <c r="E1404" t="s">
        <v>39</v>
      </c>
      <c r="F1404" t="s">
        <v>106</v>
      </c>
      <c r="G1404">
        <v>0.57999999999999996</v>
      </c>
      <c r="H1404" t="s">
        <v>32</v>
      </c>
      <c r="I1404" t="s">
        <v>33</v>
      </c>
      <c r="K1404">
        <v>500.48</v>
      </c>
      <c r="L1404" t="s">
        <v>3349</v>
      </c>
      <c r="M1404">
        <f>VLOOKUP(H1404,'Stage Order'!$A$2:$B$8,2,FALSE)</f>
        <v>7</v>
      </c>
      <c r="N1404" t="str">
        <f t="shared" si="42"/>
        <v>1. Under 1 hour</v>
      </c>
      <c r="O1404" t="str">
        <f t="shared" si="43"/>
        <v>2026-03</v>
      </c>
    </row>
    <row r="1405" spans="1:15" x14ac:dyDescent="0.3">
      <c r="A1405" t="s">
        <v>3350</v>
      </c>
      <c r="B1405" t="s">
        <v>3351</v>
      </c>
      <c r="C1405" t="s">
        <v>37</v>
      </c>
      <c r="D1405" t="s">
        <v>29</v>
      </c>
      <c r="E1405" t="s">
        <v>90</v>
      </c>
      <c r="F1405" t="s">
        <v>112</v>
      </c>
      <c r="G1405">
        <v>5.62</v>
      </c>
      <c r="H1405" t="s">
        <v>41</v>
      </c>
      <c r="I1405" t="s">
        <v>42</v>
      </c>
      <c r="M1405">
        <f>VLOOKUP(H1405,'Stage Order'!$A$2:$B$8,2,FALSE)</f>
        <v>2</v>
      </c>
      <c r="N1405" t="str">
        <f t="shared" si="42"/>
        <v>2. 1-24 hours</v>
      </c>
      <c r="O1405" t="str">
        <f t="shared" si="43"/>
        <v>2025-07</v>
      </c>
    </row>
    <row r="1406" spans="1:15" x14ac:dyDescent="0.3">
      <c r="A1406" t="s">
        <v>3352</v>
      </c>
      <c r="B1406" t="s">
        <v>3353</v>
      </c>
      <c r="C1406" t="s">
        <v>81</v>
      </c>
      <c r="D1406" t="s">
        <v>77</v>
      </c>
      <c r="E1406" t="s">
        <v>45</v>
      </c>
      <c r="F1406" t="s">
        <v>46</v>
      </c>
      <c r="G1406">
        <v>1.76</v>
      </c>
      <c r="H1406" t="s">
        <v>61</v>
      </c>
      <c r="I1406" t="s">
        <v>42</v>
      </c>
      <c r="M1406">
        <f>VLOOKUP(H1406,'Stage Order'!$A$2:$B$8,2,FALSE)</f>
        <v>1</v>
      </c>
      <c r="N1406" t="str">
        <f t="shared" si="42"/>
        <v>2. 1-24 hours</v>
      </c>
      <c r="O1406" t="str">
        <f t="shared" si="43"/>
        <v>2025-04</v>
      </c>
    </row>
    <row r="1407" spans="1:15" x14ac:dyDescent="0.3">
      <c r="A1407" t="s">
        <v>3354</v>
      </c>
      <c r="B1407" t="s">
        <v>3355</v>
      </c>
      <c r="C1407" t="s">
        <v>37</v>
      </c>
      <c r="D1407" t="s">
        <v>54</v>
      </c>
      <c r="E1407" t="s">
        <v>90</v>
      </c>
      <c r="F1407" t="s">
        <v>145</v>
      </c>
      <c r="G1407">
        <v>10.3</v>
      </c>
      <c r="H1407" t="s">
        <v>128</v>
      </c>
      <c r="I1407" t="s">
        <v>42</v>
      </c>
      <c r="M1407">
        <f>VLOOKUP(H1407,'Stage Order'!$A$2:$B$8,2,FALSE)</f>
        <v>3</v>
      </c>
      <c r="N1407" t="str">
        <f t="shared" si="42"/>
        <v>2. 1-24 hours</v>
      </c>
      <c r="O1407" t="str">
        <f t="shared" si="43"/>
        <v>2026-05</v>
      </c>
    </row>
    <row r="1408" spans="1:15" x14ac:dyDescent="0.3">
      <c r="A1408" t="s">
        <v>3356</v>
      </c>
      <c r="B1408" t="s">
        <v>3357</v>
      </c>
      <c r="C1408" t="s">
        <v>37</v>
      </c>
      <c r="D1408" t="s">
        <v>29</v>
      </c>
      <c r="E1408" t="s">
        <v>90</v>
      </c>
      <c r="F1408" t="s">
        <v>112</v>
      </c>
      <c r="G1408">
        <v>1.97</v>
      </c>
      <c r="H1408" t="s">
        <v>32</v>
      </c>
      <c r="I1408" t="s">
        <v>33</v>
      </c>
      <c r="K1408">
        <v>711.07</v>
      </c>
      <c r="L1408" t="s">
        <v>3358</v>
      </c>
      <c r="M1408">
        <f>VLOOKUP(H1408,'Stage Order'!$A$2:$B$8,2,FALSE)</f>
        <v>7</v>
      </c>
      <c r="N1408" t="str">
        <f t="shared" si="42"/>
        <v>2. 1-24 hours</v>
      </c>
      <c r="O1408" t="str">
        <f t="shared" si="43"/>
        <v>2025-01</v>
      </c>
    </row>
    <row r="1409" spans="1:15" x14ac:dyDescent="0.3">
      <c r="A1409" t="s">
        <v>3359</v>
      </c>
      <c r="B1409" t="s">
        <v>3360</v>
      </c>
      <c r="C1409" t="s">
        <v>37</v>
      </c>
      <c r="D1409" t="s">
        <v>38</v>
      </c>
      <c r="E1409" t="s">
        <v>39</v>
      </c>
      <c r="F1409" t="s">
        <v>66</v>
      </c>
      <c r="G1409">
        <v>3.23</v>
      </c>
      <c r="H1409" t="s">
        <v>41</v>
      </c>
      <c r="I1409" t="s">
        <v>42</v>
      </c>
      <c r="M1409">
        <f>VLOOKUP(H1409,'Stage Order'!$A$2:$B$8,2,FALSE)</f>
        <v>2</v>
      </c>
      <c r="N1409" t="str">
        <f t="shared" si="42"/>
        <v>2. 1-24 hours</v>
      </c>
      <c r="O1409" t="str">
        <f t="shared" si="43"/>
        <v>2025-09</v>
      </c>
    </row>
    <row r="1410" spans="1:15" x14ac:dyDescent="0.3">
      <c r="A1410" t="s">
        <v>3361</v>
      </c>
      <c r="B1410" t="s">
        <v>3362</v>
      </c>
      <c r="C1410" t="s">
        <v>37</v>
      </c>
      <c r="D1410" t="s">
        <v>54</v>
      </c>
      <c r="E1410" t="s">
        <v>90</v>
      </c>
      <c r="F1410" t="s">
        <v>91</v>
      </c>
      <c r="G1410">
        <v>6.51</v>
      </c>
      <c r="H1410" t="s">
        <v>61</v>
      </c>
      <c r="I1410" t="s">
        <v>42</v>
      </c>
      <c r="M1410">
        <f>VLOOKUP(H1410,'Stage Order'!$A$2:$B$8,2,FALSE)</f>
        <v>1</v>
      </c>
      <c r="N1410" t="str">
        <f t="shared" ref="N1410:N1473" si="44">IF(G1410&lt;=1,"1. Under 1 hour",IF(G1410&lt;=24,"2. 1-24 hours",IF(G1410&lt;=72,"3. 1-3 days","4. Over 3 days")))</f>
        <v>2. 1-24 hours</v>
      </c>
      <c r="O1410" t="str">
        <f t="shared" ref="O1410:O1473" si="45">TEXT(B1410,"YYYY-MM")</f>
        <v>2025-01</v>
      </c>
    </row>
    <row r="1411" spans="1:15" x14ac:dyDescent="0.3">
      <c r="A1411" t="s">
        <v>3363</v>
      </c>
      <c r="B1411" t="s">
        <v>3364</v>
      </c>
      <c r="C1411" t="s">
        <v>37</v>
      </c>
      <c r="D1411" t="s">
        <v>38</v>
      </c>
      <c r="E1411" t="s">
        <v>45</v>
      </c>
      <c r="F1411" t="s">
        <v>46</v>
      </c>
      <c r="G1411">
        <v>3.33</v>
      </c>
      <c r="H1411" t="s">
        <v>41</v>
      </c>
      <c r="I1411" t="s">
        <v>42</v>
      </c>
      <c r="M1411">
        <f>VLOOKUP(H1411,'Stage Order'!$A$2:$B$8,2,FALSE)</f>
        <v>2</v>
      </c>
      <c r="N1411" t="str">
        <f t="shared" si="44"/>
        <v>2. 1-24 hours</v>
      </c>
      <c r="O1411" t="str">
        <f t="shared" si="45"/>
        <v>2026-02</v>
      </c>
    </row>
    <row r="1412" spans="1:15" x14ac:dyDescent="0.3">
      <c r="A1412" t="s">
        <v>3365</v>
      </c>
      <c r="B1412" t="s">
        <v>3366</v>
      </c>
      <c r="C1412" t="s">
        <v>37</v>
      </c>
      <c r="D1412" t="s">
        <v>38</v>
      </c>
      <c r="E1412" t="s">
        <v>90</v>
      </c>
      <c r="F1412" t="s">
        <v>91</v>
      </c>
      <c r="G1412">
        <v>4.8499999999999996</v>
      </c>
      <c r="H1412" t="s">
        <v>41</v>
      </c>
      <c r="I1412" t="s">
        <v>42</v>
      </c>
      <c r="M1412">
        <f>VLOOKUP(H1412,'Stage Order'!$A$2:$B$8,2,FALSE)</f>
        <v>2</v>
      </c>
      <c r="N1412" t="str">
        <f t="shared" si="44"/>
        <v>2. 1-24 hours</v>
      </c>
      <c r="O1412" t="str">
        <f t="shared" si="45"/>
        <v>2025-07</v>
      </c>
    </row>
    <row r="1413" spans="1:15" x14ac:dyDescent="0.3">
      <c r="A1413" t="s">
        <v>3367</v>
      </c>
      <c r="B1413" t="s">
        <v>3368</v>
      </c>
      <c r="C1413" t="s">
        <v>76</v>
      </c>
      <c r="D1413" t="s">
        <v>29</v>
      </c>
      <c r="E1413" t="s">
        <v>39</v>
      </c>
      <c r="F1413" t="s">
        <v>66</v>
      </c>
      <c r="G1413">
        <v>3.32</v>
      </c>
      <c r="H1413" t="s">
        <v>146</v>
      </c>
      <c r="I1413" t="s">
        <v>48</v>
      </c>
      <c r="J1413" t="s">
        <v>139</v>
      </c>
      <c r="K1413">
        <v>557.03</v>
      </c>
      <c r="L1413" t="s">
        <v>3369</v>
      </c>
      <c r="M1413">
        <f>VLOOKUP(H1413,'Stage Order'!$A$2:$B$8,2,FALSE)</f>
        <v>5</v>
      </c>
      <c r="N1413" t="str">
        <f t="shared" si="44"/>
        <v>2. 1-24 hours</v>
      </c>
      <c r="O1413" t="str">
        <f t="shared" si="45"/>
        <v>2026-04</v>
      </c>
    </row>
    <row r="1414" spans="1:15" x14ac:dyDescent="0.3">
      <c r="A1414" t="s">
        <v>3370</v>
      </c>
      <c r="B1414" t="s">
        <v>3371</v>
      </c>
      <c r="C1414" t="s">
        <v>76</v>
      </c>
      <c r="D1414" t="s">
        <v>38</v>
      </c>
      <c r="E1414" t="s">
        <v>30</v>
      </c>
      <c r="F1414" t="s">
        <v>82</v>
      </c>
      <c r="G1414">
        <v>4.22</v>
      </c>
      <c r="H1414" t="s">
        <v>41</v>
      </c>
      <c r="I1414" t="s">
        <v>42</v>
      </c>
      <c r="M1414">
        <f>VLOOKUP(H1414,'Stage Order'!$A$2:$B$8,2,FALSE)</f>
        <v>2</v>
      </c>
      <c r="N1414" t="str">
        <f t="shared" si="44"/>
        <v>2. 1-24 hours</v>
      </c>
      <c r="O1414" t="str">
        <f t="shared" si="45"/>
        <v>2026-04</v>
      </c>
    </row>
    <row r="1415" spans="1:15" x14ac:dyDescent="0.3">
      <c r="A1415" t="s">
        <v>3372</v>
      </c>
      <c r="B1415" t="s">
        <v>3373</v>
      </c>
      <c r="C1415" t="s">
        <v>58</v>
      </c>
      <c r="D1415" t="s">
        <v>29</v>
      </c>
      <c r="E1415" t="s">
        <v>90</v>
      </c>
      <c r="F1415" t="s">
        <v>112</v>
      </c>
      <c r="G1415">
        <v>1.77</v>
      </c>
      <c r="H1415" t="s">
        <v>61</v>
      </c>
      <c r="I1415" t="s">
        <v>42</v>
      </c>
      <c r="M1415">
        <f>VLOOKUP(H1415,'Stage Order'!$A$2:$B$8,2,FALSE)</f>
        <v>1</v>
      </c>
      <c r="N1415" t="str">
        <f t="shared" si="44"/>
        <v>2. 1-24 hours</v>
      </c>
      <c r="O1415" t="str">
        <f t="shared" si="45"/>
        <v>2025-11</v>
      </c>
    </row>
    <row r="1416" spans="1:15" x14ac:dyDescent="0.3">
      <c r="A1416" t="s">
        <v>3374</v>
      </c>
      <c r="B1416" t="s">
        <v>3375</v>
      </c>
      <c r="C1416" t="s">
        <v>37</v>
      </c>
      <c r="D1416" t="s">
        <v>77</v>
      </c>
      <c r="E1416" t="s">
        <v>90</v>
      </c>
      <c r="F1416" t="s">
        <v>91</v>
      </c>
      <c r="G1416">
        <v>14.31</v>
      </c>
      <c r="H1416" t="s">
        <v>61</v>
      </c>
      <c r="I1416" t="s">
        <v>42</v>
      </c>
      <c r="M1416">
        <f>VLOOKUP(H1416,'Stage Order'!$A$2:$B$8,2,FALSE)</f>
        <v>1</v>
      </c>
      <c r="N1416" t="str">
        <f t="shared" si="44"/>
        <v>2. 1-24 hours</v>
      </c>
      <c r="O1416" t="str">
        <f t="shared" si="45"/>
        <v>2026-03</v>
      </c>
    </row>
    <row r="1417" spans="1:15" x14ac:dyDescent="0.3">
      <c r="A1417" t="s">
        <v>3376</v>
      </c>
      <c r="B1417" t="s">
        <v>3377</v>
      </c>
      <c r="C1417" t="s">
        <v>37</v>
      </c>
      <c r="D1417" t="s">
        <v>77</v>
      </c>
      <c r="E1417" t="s">
        <v>59</v>
      </c>
      <c r="F1417" t="s">
        <v>60</v>
      </c>
      <c r="G1417">
        <v>11.82</v>
      </c>
      <c r="H1417" t="s">
        <v>32</v>
      </c>
      <c r="I1417" t="s">
        <v>33</v>
      </c>
      <c r="K1417">
        <v>830.57</v>
      </c>
      <c r="L1417" t="s">
        <v>3378</v>
      </c>
      <c r="M1417">
        <f>VLOOKUP(H1417,'Stage Order'!$A$2:$B$8,2,FALSE)</f>
        <v>7</v>
      </c>
      <c r="N1417" t="str">
        <f t="shared" si="44"/>
        <v>2. 1-24 hours</v>
      </c>
      <c r="O1417" t="str">
        <f t="shared" si="45"/>
        <v>2025-07</v>
      </c>
    </row>
    <row r="1418" spans="1:15" x14ac:dyDescent="0.3">
      <c r="A1418" t="s">
        <v>3379</v>
      </c>
      <c r="B1418" t="s">
        <v>3380</v>
      </c>
      <c r="C1418" t="s">
        <v>37</v>
      </c>
      <c r="D1418" t="s">
        <v>54</v>
      </c>
      <c r="E1418" t="s">
        <v>90</v>
      </c>
      <c r="F1418" t="s">
        <v>145</v>
      </c>
      <c r="G1418">
        <v>18.920000000000002</v>
      </c>
      <c r="H1418" t="s">
        <v>41</v>
      </c>
      <c r="I1418" t="s">
        <v>42</v>
      </c>
      <c r="M1418">
        <f>VLOOKUP(H1418,'Stage Order'!$A$2:$B$8,2,FALSE)</f>
        <v>2</v>
      </c>
      <c r="N1418" t="str">
        <f t="shared" si="44"/>
        <v>2. 1-24 hours</v>
      </c>
      <c r="O1418" t="str">
        <f t="shared" si="45"/>
        <v>2025-09</v>
      </c>
    </row>
    <row r="1419" spans="1:15" x14ac:dyDescent="0.3">
      <c r="A1419" t="s">
        <v>3381</v>
      </c>
      <c r="B1419" t="s">
        <v>3382</v>
      </c>
      <c r="C1419" t="s">
        <v>53</v>
      </c>
      <c r="D1419" t="s">
        <v>38</v>
      </c>
      <c r="E1419" t="s">
        <v>45</v>
      </c>
      <c r="F1419" t="s">
        <v>94</v>
      </c>
      <c r="G1419">
        <v>1.31</v>
      </c>
      <c r="H1419" t="s">
        <v>32</v>
      </c>
      <c r="I1419" t="s">
        <v>33</v>
      </c>
      <c r="K1419">
        <v>361.42</v>
      </c>
      <c r="L1419" t="s">
        <v>3383</v>
      </c>
      <c r="M1419">
        <f>VLOOKUP(H1419,'Stage Order'!$A$2:$B$8,2,FALSE)</f>
        <v>7</v>
      </c>
      <c r="N1419" t="str">
        <f t="shared" si="44"/>
        <v>2. 1-24 hours</v>
      </c>
      <c r="O1419" t="str">
        <f t="shared" si="45"/>
        <v>2026-01</v>
      </c>
    </row>
    <row r="1420" spans="1:15" x14ac:dyDescent="0.3">
      <c r="A1420" t="s">
        <v>3384</v>
      </c>
      <c r="B1420" t="s">
        <v>3385</v>
      </c>
      <c r="C1420" t="s">
        <v>125</v>
      </c>
      <c r="D1420" t="s">
        <v>54</v>
      </c>
      <c r="E1420" t="s">
        <v>45</v>
      </c>
      <c r="F1420" t="s">
        <v>94</v>
      </c>
      <c r="G1420">
        <v>3.95</v>
      </c>
      <c r="H1420" t="s">
        <v>61</v>
      </c>
      <c r="I1420" t="s">
        <v>42</v>
      </c>
      <c r="M1420">
        <f>VLOOKUP(H1420,'Stage Order'!$A$2:$B$8,2,FALSE)</f>
        <v>1</v>
      </c>
      <c r="N1420" t="str">
        <f t="shared" si="44"/>
        <v>2. 1-24 hours</v>
      </c>
      <c r="O1420" t="str">
        <f t="shared" si="45"/>
        <v>2025-11</v>
      </c>
    </row>
    <row r="1421" spans="1:15" x14ac:dyDescent="0.3">
      <c r="A1421" t="s">
        <v>3386</v>
      </c>
      <c r="B1421" t="s">
        <v>3387</v>
      </c>
      <c r="C1421" t="s">
        <v>53</v>
      </c>
      <c r="D1421" t="s">
        <v>54</v>
      </c>
      <c r="E1421" t="s">
        <v>39</v>
      </c>
      <c r="F1421" t="s">
        <v>66</v>
      </c>
      <c r="G1421">
        <v>1.36</v>
      </c>
      <c r="H1421" t="s">
        <v>146</v>
      </c>
      <c r="I1421" t="s">
        <v>48</v>
      </c>
      <c r="J1421" t="s">
        <v>49</v>
      </c>
      <c r="K1421">
        <v>429.5</v>
      </c>
      <c r="L1421" t="s">
        <v>3388</v>
      </c>
      <c r="M1421">
        <f>VLOOKUP(H1421,'Stage Order'!$A$2:$B$8,2,FALSE)</f>
        <v>5</v>
      </c>
      <c r="N1421" t="str">
        <f t="shared" si="44"/>
        <v>2. 1-24 hours</v>
      </c>
      <c r="O1421" t="str">
        <f t="shared" si="45"/>
        <v>2026-02</v>
      </c>
    </row>
    <row r="1422" spans="1:15" x14ac:dyDescent="0.3">
      <c r="A1422" t="s">
        <v>3389</v>
      </c>
      <c r="B1422" t="s">
        <v>3390</v>
      </c>
      <c r="C1422" t="s">
        <v>53</v>
      </c>
      <c r="D1422" t="s">
        <v>54</v>
      </c>
      <c r="E1422" t="s">
        <v>90</v>
      </c>
      <c r="F1422" t="s">
        <v>112</v>
      </c>
      <c r="G1422">
        <v>1.37</v>
      </c>
      <c r="H1422" t="s">
        <v>41</v>
      </c>
      <c r="I1422" t="s">
        <v>42</v>
      </c>
      <c r="M1422">
        <f>VLOOKUP(H1422,'Stage Order'!$A$2:$B$8,2,FALSE)</f>
        <v>2</v>
      </c>
      <c r="N1422" t="str">
        <f t="shared" si="44"/>
        <v>2. 1-24 hours</v>
      </c>
      <c r="O1422" t="str">
        <f t="shared" si="45"/>
        <v>2025-04</v>
      </c>
    </row>
    <row r="1423" spans="1:15" x14ac:dyDescent="0.3">
      <c r="A1423" t="s">
        <v>3391</v>
      </c>
      <c r="B1423" t="s">
        <v>3392</v>
      </c>
      <c r="C1423" t="s">
        <v>81</v>
      </c>
      <c r="D1423" t="s">
        <v>29</v>
      </c>
      <c r="E1423" t="s">
        <v>39</v>
      </c>
      <c r="F1423" t="s">
        <v>66</v>
      </c>
      <c r="G1423">
        <v>1.79</v>
      </c>
      <c r="H1423" t="s">
        <v>61</v>
      </c>
      <c r="I1423" t="s">
        <v>42</v>
      </c>
      <c r="M1423">
        <f>VLOOKUP(H1423,'Stage Order'!$A$2:$B$8,2,FALSE)</f>
        <v>1</v>
      </c>
      <c r="N1423" t="str">
        <f t="shared" si="44"/>
        <v>2. 1-24 hours</v>
      </c>
      <c r="O1423" t="str">
        <f t="shared" si="45"/>
        <v>2026-02</v>
      </c>
    </row>
    <row r="1424" spans="1:15" x14ac:dyDescent="0.3">
      <c r="A1424" t="s">
        <v>3393</v>
      </c>
      <c r="B1424" t="s">
        <v>3394</v>
      </c>
      <c r="C1424" t="s">
        <v>28</v>
      </c>
      <c r="D1424" t="s">
        <v>54</v>
      </c>
      <c r="E1424" t="s">
        <v>39</v>
      </c>
      <c r="F1424" t="s">
        <v>40</v>
      </c>
      <c r="G1424">
        <v>5.09</v>
      </c>
      <c r="H1424" t="s">
        <v>41</v>
      </c>
      <c r="I1424" t="s">
        <v>42</v>
      </c>
      <c r="M1424">
        <f>VLOOKUP(H1424,'Stage Order'!$A$2:$B$8,2,FALSE)</f>
        <v>2</v>
      </c>
      <c r="N1424" t="str">
        <f t="shared" si="44"/>
        <v>2. 1-24 hours</v>
      </c>
      <c r="O1424" t="str">
        <f t="shared" si="45"/>
        <v>2025-01</v>
      </c>
    </row>
    <row r="1425" spans="1:15" x14ac:dyDescent="0.3">
      <c r="A1425" t="s">
        <v>3395</v>
      </c>
      <c r="B1425" t="s">
        <v>3396</v>
      </c>
      <c r="C1425" t="s">
        <v>37</v>
      </c>
      <c r="D1425" t="s">
        <v>77</v>
      </c>
      <c r="E1425" t="s">
        <v>39</v>
      </c>
      <c r="F1425" t="s">
        <v>106</v>
      </c>
      <c r="G1425">
        <v>0.77</v>
      </c>
      <c r="H1425" t="s">
        <v>138</v>
      </c>
      <c r="I1425" t="s">
        <v>48</v>
      </c>
      <c r="J1425" t="s">
        <v>49</v>
      </c>
      <c r="K1425">
        <v>1000.29</v>
      </c>
      <c r="L1425" t="s">
        <v>3397</v>
      </c>
      <c r="M1425">
        <f>VLOOKUP(H1425,'Stage Order'!$A$2:$B$8,2,FALSE)</f>
        <v>6</v>
      </c>
      <c r="N1425" t="str">
        <f t="shared" si="44"/>
        <v>1. Under 1 hour</v>
      </c>
      <c r="O1425" t="str">
        <f t="shared" si="45"/>
        <v>2025-08</v>
      </c>
    </row>
    <row r="1426" spans="1:15" x14ac:dyDescent="0.3">
      <c r="A1426" t="s">
        <v>3398</v>
      </c>
      <c r="B1426" t="s">
        <v>3399</v>
      </c>
      <c r="C1426" t="s">
        <v>81</v>
      </c>
      <c r="D1426" t="s">
        <v>29</v>
      </c>
      <c r="E1426" t="s">
        <v>59</v>
      </c>
      <c r="F1426" t="s">
        <v>117</v>
      </c>
      <c r="G1426">
        <v>2.63</v>
      </c>
      <c r="H1426" t="s">
        <v>61</v>
      </c>
      <c r="I1426" t="s">
        <v>42</v>
      </c>
      <c r="M1426">
        <f>VLOOKUP(H1426,'Stage Order'!$A$2:$B$8,2,FALSE)</f>
        <v>1</v>
      </c>
      <c r="N1426" t="str">
        <f t="shared" si="44"/>
        <v>2. 1-24 hours</v>
      </c>
      <c r="O1426" t="str">
        <f t="shared" si="45"/>
        <v>2026-02</v>
      </c>
    </row>
    <row r="1427" spans="1:15" x14ac:dyDescent="0.3">
      <c r="A1427" t="s">
        <v>3400</v>
      </c>
      <c r="B1427" t="s">
        <v>3401</v>
      </c>
      <c r="C1427" t="s">
        <v>53</v>
      </c>
      <c r="D1427" t="s">
        <v>97</v>
      </c>
      <c r="E1427" t="s">
        <v>45</v>
      </c>
      <c r="F1427" t="s">
        <v>46</v>
      </c>
      <c r="G1427">
        <v>3.8</v>
      </c>
      <c r="H1427" t="s">
        <v>32</v>
      </c>
      <c r="I1427" t="s">
        <v>33</v>
      </c>
      <c r="K1427">
        <v>1556.88</v>
      </c>
      <c r="L1427" t="s">
        <v>3402</v>
      </c>
      <c r="M1427">
        <f>VLOOKUP(H1427,'Stage Order'!$A$2:$B$8,2,FALSE)</f>
        <v>7</v>
      </c>
      <c r="N1427" t="str">
        <f t="shared" si="44"/>
        <v>2. 1-24 hours</v>
      </c>
      <c r="O1427" t="str">
        <f t="shared" si="45"/>
        <v>2025-07</v>
      </c>
    </row>
    <row r="1428" spans="1:15" x14ac:dyDescent="0.3">
      <c r="A1428" t="s">
        <v>3403</v>
      </c>
      <c r="B1428" t="s">
        <v>3404</v>
      </c>
      <c r="C1428" t="s">
        <v>28</v>
      </c>
      <c r="D1428" t="s">
        <v>77</v>
      </c>
      <c r="E1428" t="s">
        <v>59</v>
      </c>
      <c r="F1428" t="s">
        <v>137</v>
      </c>
      <c r="G1428">
        <v>7.71</v>
      </c>
      <c r="H1428" t="s">
        <v>146</v>
      </c>
      <c r="I1428" t="s">
        <v>48</v>
      </c>
      <c r="J1428" t="s">
        <v>139</v>
      </c>
      <c r="K1428">
        <v>1131.72</v>
      </c>
      <c r="L1428" t="s">
        <v>3405</v>
      </c>
      <c r="M1428">
        <f>VLOOKUP(H1428,'Stage Order'!$A$2:$B$8,2,FALSE)</f>
        <v>5</v>
      </c>
      <c r="N1428" t="str">
        <f t="shared" si="44"/>
        <v>2. 1-24 hours</v>
      </c>
      <c r="O1428" t="str">
        <f t="shared" si="45"/>
        <v>2026-03</v>
      </c>
    </row>
    <row r="1429" spans="1:15" x14ac:dyDescent="0.3">
      <c r="A1429" t="s">
        <v>3406</v>
      </c>
      <c r="B1429" t="s">
        <v>3407</v>
      </c>
      <c r="C1429" t="s">
        <v>28</v>
      </c>
      <c r="D1429" t="s">
        <v>38</v>
      </c>
      <c r="E1429" t="s">
        <v>90</v>
      </c>
      <c r="F1429" t="s">
        <v>91</v>
      </c>
      <c r="G1429">
        <v>1.08</v>
      </c>
      <c r="H1429" t="s">
        <v>41</v>
      </c>
      <c r="I1429" t="s">
        <v>42</v>
      </c>
      <c r="M1429">
        <f>VLOOKUP(H1429,'Stage Order'!$A$2:$B$8,2,FALSE)</f>
        <v>2</v>
      </c>
      <c r="N1429" t="str">
        <f t="shared" si="44"/>
        <v>2. 1-24 hours</v>
      </c>
      <c r="O1429" t="str">
        <f t="shared" si="45"/>
        <v>2025-11</v>
      </c>
    </row>
    <row r="1430" spans="1:15" x14ac:dyDescent="0.3">
      <c r="A1430" t="s">
        <v>3408</v>
      </c>
      <c r="B1430" t="s">
        <v>3409</v>
      </c>
      <c r="C1430" t="s">
        <v>37</v>
      </c>
      <c r="D1430" t="s">
        <v>97</v>
      </c>
      <c r="E1430" t="s">
        <v>45</v>
      </c>
      <c r="F1430" t="s">
        <v>46</v>
      </c>
      <c r="G1430">
        <v>2.96</v>
      </c>
      <c r="H1430" t="s">
        <v>138</v>
      </c>
      <c r="I1430" t="s">
        <v>48</v>
      </c>
      <c r="J1430" t="s">
        <v>49</v>
      </c>
      <c r="K1430">
        <v>1294.8599999999999</v>
      </c>
      <c r="L1430" t="s">
        <v>3410</v>
      </c>
      <c r="M1430">
        <f>VLOOKUP(H1430,'Stage Order'!$A$2:$B$8,2,FALSE)</f>
        <v>6</v>
      </c>
      <c r="N1430" t="str">
        <f t="shared" si="44"/>
        <v>2. 1-24 hours</v>
      </c>
      <c r="O1430" t="str">
        <f t="shared" si="45"/>
        <v>2025-10</v>
      </c>
    </row>
    <row r="1431" spans="1:15" x14ac:dyDescent="0.3">
      <c r="A1431" t="s">
        <v>3411</v>
      </c>
      <c r="B1431" t="s">
        <v>3412</v>
      </c>
      <c r="C1431" t="s">
        <v>58</v>
      </c>
      <c r="D1431" t="s">
        <v>29</v>
      </c>
      <c r="E1431" t="s">
        <v>45</v>
      </c>
      <c r="F1431" t="s">
        <v>46</v>
      </c>
      <c r="G1431">
        <v>2.65</v>
      </c>
      <c r="H1431" t="s">
        <v>61</v>
      </c>
      <c r="I1431" t="s">
        <v>42</v>
      </c>
      <c r="M1431">
        <f>VLOOKUP(H1431,'Stage Order'!$A$2:$B$8,2,FALSE)</f>
        <v>1</v>
      </c>
      <c r="N1431" t="str">
        <f t="shared" si="44"/>
        <v>2. 1-24 hours</v>
      </c>
      <c r="O1431" t="str">
        <f t="shared" si="45"/>
        <v>2025-01</v>
      </c>
    </row>
    <row r="1432" spans="1:15" x14ac:dyDescent="0.3">
      <c r="A1432" t="s">
        <v>3413</v>
      </c>
      <c r="B1432" t="s">
        <v>3414</v>
      </c>
      <c r="C1432" t="s">
        <v>28</v>
      </c>
      <c r="D1432" t="s">
        <v>77</v>
      </c>
      <c r="E1432" t="s">
        <v>45</v>
      </c>
      <c r="F1432" t="s">
        <v>46</v>
      </c>
      <c r="G1432">
        <v>1.25</v>
      </c>
      <c r="H1432" t="s">
        <v>32</v>
      </c>
      <c r="I1432" t="s">
        <v>33</v>
      </c>
      <c r="K1432">
        <v>1055.3499999999999</v>
      </c>
      <c r="L1432" t="s">
        <v>3415</v>
      </c>
      <c r="M1432">
        <f>VLOOKUP(H1432,'Stage Order'!$A$2:$B$8,2,FALSE)</f>
        <v>7</v>
      </c>
      <c r="N1432" t="str">
        <f t="shared" si="44"/>
        <v>2. 1-24 hours</v>
      </c>
      <c r="O1432" t="str">
        <f t="shared" si="45"/>
        <v>2025-02</v>
      </c>
    </row>
    <row r="1433" spans="1:15" x14ac:dyDescent="0.3">
      <c r="A1433" t="s">
        <v>3416</v>
      </c>
      <c r="B1433" t="s">
        <v>3417</v>
      </c>
      <c r="C1433" t="s">
        <v>28</v>
      </c>
      <c r="D1433" t="s">
        <v>29</v>
      </c>
      <c r="E1433" t="s">
        <v>45</v>
      </c>
      <c r="F1433" t="s">
        <v>94</v>
      </c>
      <c r="G1433">
        <v>1.42</v>
      </c>
      <c r="H1433" t="s">
        <v>41</v>
      </c>
      <c r="I1433" t="s">
        <v>42</v>
      </c>
      <c r="M1433">
        <f>VLOOKUP(H1433,'Stage Order'!$A$2:$B$8,2,FALSE)</f>
        <v>2</v>
      </c>
      <c r="N1433" t="str">
        <f t="shared" si="44"/>
        <v>2. 1-24 hours</v>
      </c>
      <c r="O1433" t="str">
        <f t="shared" si="45"/>
        <v>2025-02</v>
      </c>
    </row>
    <row r="1434" spans="1:15" x14ac:dyDescent="0.3">
      <c r="A1434" t="s">
        <v>3418</v>
      </c>
      <c r="B1434" t="s">
        <v>3419</v>
      </c>
      <c r="C1434" t="s">
        <v>58</v>
      </c>
      <c r="D1434" t="s">
        <v>54</v>
      </c>
      <c r="E1434" t="s">
        <v>45</v>
      </c>
      <c r="F1434" t="s">
        <v>55</v>
      </c>
      <c r="G1434">
        <v>5.12</v>
      </c>
      <c r="H1434" t="s">
        <v>41</v>
      </c>
      <c r="I1434" t="s">
        <v>42</v>
      </c>
      <c r="M1434">
        <f>VLOOKUP(H1434,'Stage Order'!$A$2:$B$8,2,FALSE)</f>
        <v>2</v>
      </c>
      <c r="N1434" t="str">
        <f t="shared" si="44"/>
        <v>2. 1-24 hours</v>
      </c>
      <c r="O1434" t="str">
        <f t="shared" si="45"/>
        <v>2025-12</v>
      </c>
    </row>
    <row r="1435" spans="1:15" x14ac:dyDescent="0.3">
      <c r="A1435" t="s">
        <v>3420</v>
      </c>
      <c r="B1435" t="s">
        <v>3421</v>
      </c>
      <c r="C1435" t="s">
        <v>58</v>
      </c>
      <c r="D1435" t="s">
        <v>97</v>
      </c>
      <c r="E1435" t="s">
        <v>39</v>
      </c>
      <c r="F1435" t="s">
        <v>40</v>
      </c>
      <c r="G1435">
        <v>9.57</v>
      </c>
      <c r="H1435" t="s">
        <v>32</v>
      </c>
      <c r="I1435" t="s">
        <v>33</v>
      </c>
      <c r="K1435">
        <v>1490.29</v>
      </c>
      <c r="L1435" t="s">
        <v>3422</v>
      </c>
      <c r="M1435">
        <f>VLOOKUP(H1435,'Stage Order'!$A$2:$B$8,2,FALSE)</f>
        <v>7</v>
      </c>
      <c r="N1435" t="str">
        <f t="shared" si="44"/>
        <v>2. 1-24 hours</v>
      </c>
      <c r="O1435" t="str">
        <f t="shared" si="45"/>
        <v>2025-08</v>
      </c>
    </row>
    <row r="1436" spans="1:15" x14ac:dyDescent="0.3">
      <c r="A1436" t="s">
        <v>3423</v>
      </c>
      <c r="B1436" t="s">
        <v>3424</v>
      </c>
      <c r="C1436" t="s">
        <v>81</v>
      </c>
      <c r="D1436" t="s">
        <v>54</v>
      </c>
      <c r="E1436" t="s">
        <v>30</v>
      </c>
      <c r="F1436" t="s">
        <v>78</v>
      </c>
      <c r="G1436">
        <v>2.36</v>
      </c>
      <c r="H1436" t="s">
        <v>61</v>
      </c>
      <c r="I1436" t="s">
        <v>42</v>
      </c>
      <c r="M1436">
        <f>VLOOKUP(H1436,'Stage Order'!$A$2:$B$8,2,FALSE)</f>
        <v>1</v>
      </c>
      <c r="N1436" t="str">
        <f t="shared" si="44"/>
        <v>2. 1-24 hours</v>
      </c>
      <c r="O1436" t="str">
        <f t="shared" si="45"/>
        <v>2025-12</v>
      </c>
    </row>
    <row r="1437" spans="1:15" x14ac:dyDescent="0.3">
      <c r="A1437" t="s">
        <v>3425</v>
      </c>
      <c r="B1437" t="s">
        <v>3426</v>
      </c>
      <c r="C1437" t="s">
        <v>28</v>
      </c>
      <c r="D1437" t="s">
        <v>29</v>
      </c>
      <c r="E1437" t="s">
        <v>59</v>
      </c>
      <c r="F1437" t="s">
        <v>137</v>
      </c>
      <c r="G1437">
        <v>7.57</v>
      </c>
      <c r="H1437" t="s">
        <v>41</v>
      </c>
      <c r="I1437" t="s">
        <v>42</v>
      </c>
      <c r="M1437">
        <f>VLOOKUP(H1437,'Stage Order'!$A$2:$B$8,2,FALSE)</f>
        <v>2</v>
      </c>
      <c r="N1437" t="str">
        <f t="shared" si="44"/>
        <v>2. 1-24 hours</v>
      </c>
      <c r="O1437" t="str">
        <f t="shared" si="45"/>
        <v>2026-06</v>
      </c>
    </row>
    <row r="1438" spans="1:15" x14ac:dyDescent="0.3">
      <c r="A1438" t="s">
        <v>3427</v>
      </c>
      <c r="B1438" t="s">
        <v>3428</v>
      </c>
      <c r="C1438" t="s">
        <v>28</v>
      </c>
      <c r="D1438" t="s">
        <v>38</v>
      </c>
      <c r="E1438" t="s">
        <v>90</v>
      </c>
      <c r="F1438" t="s">
        <v>112</v>
      </c>
      <c r="G1438">
        <v>9.7899999999999991</v>
      </c>
      <c r="H1438" t="s">
        <v>41</v>
      </c>
      <c r="I1438" t="s">
        <v>42</v>
      </c>
      <c r="M1438">
        <f>VLOOKUP(H1438,'Stage Order'!$A$2:$B$8,2,FALSE)</f>
        <v>2</v>
      </c>
      <c r="N1438" t="str">
        <f t="shared" si="44"/>
        <v>2. 1-24 hours</v>
      </c>
      <c r="O1438" t="str">
        <f t="shared" si="45"/>
        <v>2026-01</v>
      </c>
    </row>
    <row r="1439" spans="1:15" x14ac:dyDescent="0.3">
      <c r="A1439" t="s">
        <v>3429</v>
      </c>
      <c r="B1439" t="s">
        <v>3430</v>
      </c>
      <c r="C1439" t="s">
        <v>125</v>
      </c>
      <c r="D1439" t="s">
        <v>77</v>
      </c>
      <c r="E1439" t="s">
        <v>39</v>
      </c>
      <c r="F1439" t="s">
        <v>66</v>
      </c>
      <c r="G1439">
        <v>7.68</v>
      </c>
      <c r="H1439" t="s">
        <v>41</v>
      </c>
      <c r="I1439" t="s">
        <v>42</v>
      </c>
      <c r="M1439">
        <f>VLOOKUP(H1439,'Stage Order'!$A$2:$B$8,2,FALSE)</f>
        <v>2</v>
      </c>
      <c r="N1439" t="str">
        <f t="shared" si="44"/>
        <v>2. 1-24 hours</v>
      </c>
      <c r="O1439" t="str">
        <f t="shared" si="45"/>
        <v>2025-12</v>
      </c>
    </row>
    <row r="1440" spans="1:15" x14ac:dyDescent="0.3">
      <c r="A1440" t="s">
        <v>3431</v>
      </c>
      <c r="B1440" t="s">
        <v>3432</v>
      </c>
      <c r="C1440" t="s">
        <v>58</v>
      </c>
      <c r="D1440" t="s">
        <v>77</v>
      </c>
      <c r="E1440" t="s">
        <v>59</v>
      </c>
      <c r="F1440" t="s">
        <v>137</v>
      </c>
      <c r="G1440">
        <v>0.26</v>
      </c>
      <c r="H1440" t="s">
        <v>61</v>
      </c>
      <c r="I1440" t="s">
        <v>42</v>
      </c>
      <c r="M1440">
        <f>VLOOKUP(H1440,'Stage Order'!$A$2:$B$8,2,FALSE)</f>
        <v>1</v>
      </c>
      <c r="N1440" t="str">
        <f t="shared" si="44"/>
        <v>1. Under 1 hour</v>
      </c>
      <c r="O1440" t="str">
        <f t="shared" si="45"/>
        <v>2026-05</v>
      </c>
    </row>
    <row r="1441" spans="1:15" x14ac:dyDescent="0.3">
      <c r="A1441" t="s">
        <v>3433</v>
      </c>
      <c r="B1441" t="s">
        <v>3434</v>
      </c>
      <c r="C1441" t="s">
        <v>76</v>
      </c>
      <c r="D1441" t="s">
        <v>77</v>
      </c>
      <c r="E1441" t="s">
        <v>45</v>
      </c>
      <c r="F1441" t="s">
        <v>94</v>
      </c>
      <c r="G1441">
        <v>1.77</v>
      </c>
      <c r="H1441" t="s">
        <v>41</v>
      </c>
      <c r="I1441" t="s">
        <v>42</v>
      </c>
      <c r="M1441">
        <f>VLOOKUP(H1441,'Stage Order'!$A$2:$B$8,2,FALSE)</f>
        <v>2</v>
      </c>
      <c r="N1441" t="str">
        <f t="shared" si="44"/>
        <v>2. 1-24 hours</v>
      </c>
      <c r="O1441" t="str">
        <f t="shared" si="45"/>
        <v>2025-06</v>
      </c>
    </row>
    <row r="1442" spans="1:15" x14ac:dyDescent="0.3">
      <c r="A1442" t="s">
        <v>3435</v>
      </c>
      <c r="B1442" t="s">
        <v>3436</v>
      </c>
      <c r="C1442" t="s">
        <v>37</v>
      </c>
      <c r="D1442" t="s">
        <v>54</v>
      </c>
      <c r="E1442" t="s">
        <v>39</v>
      </c>
      <c r="F1442" t="s">
        <v>40</v>
      </c>
      <c r="G1442">
        <v>8.77</v>
      </c>
      <c r="H1442" t="s">
        <v>47</v>
      </c>
      <c r="I1442" t="s">
        <v>48</v>
      </c>
      <c r="J1442" t="s">
        <v>113</v>
      </c>
      <c r="K1442">
        <v>506.42</v>
      </c>
      <c r="L1442" t="s">
        <v>3437</v>
      </c>
      <c r="M1442">
        <f>VLOOKUP(H1442,'Stage Order'!$A$2:$B$8,2,FALSE)</f>
        <v>4</v>
      </c>
      <c r="N1442" t="str">
        <f t="shared" si="44"/>
        <v>2. 1-24 hours</v>
      </c>
      <c r="O1442" t="str">
        <f t="shared" si="45"/>
        <v>2025-10</v>
      </c>
    </row>
    <row r="1443" spans="1:15" x14ac:dyDescent="0.3">
      <c r="A1443" t="s">
        <v>3438</v>
      </c>
      <c r="B1443" t="s">
        <v>3439</v>
      </c>
      <c r="C1443" t="s">
        <v>76</v>
      </c>
      <c r="D1443" t="s">
        <v>38</v>
      </c>
      <c r="E1443" t="s">
        <v>59</v>
      </c>
      <c r="F1443" t="s">
        <v>60</v>
      </c>
      <c r="G1443">
        <v>4.8899999999999997</v>
      </c>
      <c r="H1443" t="s">
        <v>32</v>
      </c>
      <c r="I1443" t="s">
        <v>33</v>
      </c>
      <c r="K1443">
        <v>366.62</v>
      </c>
      <c r="L1443" t="s">
        <v>3440</v>
      </c>
      <c r="M1443">
        <f>VLOOKUP(H1443,'Stage Order'!$A$2:$B$8,2,FALSE)</f>
        <v>7</v>
      </c>
      <c r="N1443" t="str">
        <f t="shared" si="44"/>
        <v>2. 1-24 hours</v>
      </c>
      <c r="O1443" t="str">
        <f t="shared" si="45"/>
        <v>2025-12</v>
      </c>
    </row>
    <row r="1444" spans="1:15" x14ac:dyDescent="0.3">
      <c r="A1444" t="s">
        <v>3441</v>
      </c>
      <c r="B1444" t="s">
        <v>3442</v>
      </c>
      <c r="C1444" t="s">
        <v>58</v>
      </c>
      <c r="D1444" t="s">
        <v>29</v>
      </c>
      <c r="E1444" t="s">
        <v>59</v>
      </c>
      <c r="F1444" t="s">
        <v>117</v>
      </c>
      <c r="G1444">
        <v>1.54</v>
      </c>
      <c r="H1444" t="s">
        <v>41</v>
      </c>
      <c r="I1444" t="s">
        <v>42</v>
      </c>
      <c r="M1444">
        <f>VLOOKUP(H1444,'Stage Order'!$A$2:$B$8,2,FALSE)</f>
        <v>2</v>
      </c>
      <c r="N1444" t="str">
        <f t="shared" si="44"/>
        <v>2. 1-24 hours</v>
      </c>
      <c r="O1444" t="str">
        <f t="shared" si="45"/>
        <v>2025-01</v>
      </c>
    </row>
    <row r="1445" spans="1:15" x14ac:dyDescent="0.3">
      <c r="A1445" t="s">
        <v>3443</v>
      </c>
      <c r="B1445" t="s">
        <v>3444</v>
      </c>
      <c r="C1445" t="s">
        <v>37</v>
      </c>
      <c r="D1445" t="s">
        <v>77</v>
      </c>
      <c r="E1445" t="s">
        <v>39</v>
      </c>
      <c r="F1445" t="s">
        <v>66</v>
      </c>
      <c r="G1445">
        <v>2.57</v>
      </c>
      <c r="H1445" t="s">
        <v>61</v>
      </c>
      <c r="I1445" t="s">
        <v>42</v>
      </c>
      <c r="M1445">
        <f>VLOOKUP(H1445,'Stage Order'!$A$2:$B$8,2,FALSE)</f>
        <v>1</v>
      </c>
      <c r="N1445" t="str">
        <f t="shared" si="44"/>
        <v>2. 1-24 hours</v>
      </c>
      <c r="O1445" t="str">
        <f t="shared" si="45"/>
        <v>2026-05</v>
      </c>
    </row>
    <row r="1446" spans="1:15" x14ac:dyDescent="0.3">
      <c r="A1446" t="s">
        <v>3445</v>
      </c>
      <c r="B1446" t="s">
        <v>3446</v>
      </c>
      <c r="C1446" t="s">
        <v>37</v>
      </c>
      <c r="D1446" t="s">
        <v>29</v>
      </c>
      <c r="E1446" t="s">
        <v>45</v>
      </c>
      <c r="F1446" t="s">
        <v>94</v>
      </c>
      <c r="G1446">
        <v>2.31</v>
      </c>
      <c r="H1446" t="s">
        <v>41</v>
      </c>
      <c r="I1446" t="s">
        <v>42</v>
      </c>
      <c r="M1446">
        <f>VLOOKUP(H1446,'Stage Order'!$A$2:$B$8,2,FALSE)</f>
        <v>2</v>
      </c>
      <c r="N1446" t="str">
        <f t="shared" si="44"/>
        <v>2. 1-24 hours</v>
      </c>
      <c r="O1446" t="str">
        <f t="shared" si="45"/>
        <v>2026-05</v>
      </c>
    </row>
    <row r="1447" spans="1:15" x14ac:dyDescent="0.3">
      <c r="A1447" t="s">
        <v>3447</v>
      </c>
      <c r="B1447" t="s">
        <v>3448</v>
      </c>
      <c r="C1447" t="s">
        <v>125</v>
      </c>
      <c r="D1447" t="s">
        <v>77</v>
      </c>
      <c r="E1447" t="s">
        <v>59</v>
      </c>
      <c r="F1447" t="s">
        <v>137</v>
      </c>
      <c r="G1447">
        <v>1.07</v>
      </c>
      <c r="H1447" t="s">
        <v>41</v>
      </c>
      <c r="I1447" t="s">
        <v>42</v>
      </c>
      <c r="M1447">
        <f>VLOOKUP(H1447,'Stage Order'!$A$2:$B$8,2,FALSE)</f>
        <v>2</v>
      </c>
      <c r="N1447" t="str">
        <f t="shared" si="44"/>
        <v>2. 1-24 hours</v>
      </c>
      <c r="O1447" t="str">
        <f t="shared" si="45"/>
        <v>2026-04</v>
      </c>
    </row>
    <row r="1448" spans="1:15" x14ac:dyDescent="0.3">
      <c r="A1448" t="s">
        <v>3449</v>
      </c>
      <c r="B1448" t="s">
        <v>3450</v>
      </c>
      <c r="C1448" t="s">
        <v>53</v>
      </c>
      <c r="D1448" t="s">
        <v>54</v>
      </c>
      <c r="E1448" t="s">
        <v>45</v>
      </c>
      <c r="F1448" t="s">
        <v>46</v>
      </c>
      <c r="G1448">
        <v>2.63</v>
      </c>
      <c r="H1448" t="s">
        <v>32</v>
      </c>
      <c r="I1448" t="s">
        <v>33</v>
      </c>
      <c r="K1448">
        <v>485.28</v>
      </c>
      <c r="L1448" t="s">
        <v>3451</v>
      </c>
      <c r="M1448">
        <f>VLOOKUP(H1448,'Stage Order'!$A$2:$B$8,2,FALSE)</f>
        <v>7</v>
      </c>
      <c r="N1448" t="str">
        <f t="shared" si="44"/>
        <v>2. 1-24 hours</v>
      </c>
      <c r="O1448" t="str">
        <f t="shared" si="45"/>
        <v>2025-12</v>
      </c>
    </row>
    <row r="1449" spans="1:15" x14ac:dyDescent="0.3">
      <c r="A1449" t="s">
        <v>3452</v>
      </c>
      <c r="B1449" t="s">
        <v>3453</v>
      </c>
      <c r="C1449" t="s">
        <v>125</v>
      </c>
      <c r="D1449" t="s">
        <v>54</v>
      </c>
      <c r="E1449" t="s">
        <v>45</v>
      </c>
      <c r="F1449" t="s">
        <v>55</v>
      </c>
      <c r="G1449">
        <v>1.59</v>
      </c>
      <c r="H1449" t="s">
        <v>61</v>
      </c>
      <c r="I1449" t="s">
        <v>42</v>
      </c>
      <c r="M1449">
        <f>VLOOKUP(H1449,'Stage Order'!$A$2:$B$8,2,FALSE)</f>
        <v>1</v>
      </c>
      <c r="N1449" t="str">
        <f t="shared" si="44"/>
        <v>2. 1-24 hours</v>
      </c>
      <c r="O1449" t="str">
        <f t="shared" si="45"/>
        <v>2026-01</v>
      </c>
    </row>
    <row r="1450" spans="1:15" x14ac:dyDescent="0.3">
      <c r="A1450" t="s">
        <v>3454</v>
      </c>
      <c r="B1450" t="s">
        <v>3455</v>
      </c>
      <c r="C1450" t="s">
        <v>37</v>
      </c>
      <c r="D1450" t="s">
        <v>77</v>
      </c>
      <c r="E1450" t="s">
        <v>45</v>
      </c>
      <c r="F1450" t="s">
        <v>55</v>
      </c>
      <c r="G1450">
        <v>0.71</v>
      </c>
      <c r="H1450" t="s">
        <v>41</v>
      </c>
      <c r="I1450" t="s">
        <v>42</v>
      </c>
      <c r="M1450">
        <f>VLOOKUP(H1450,'Stage Order'!$A$2:$B$8,2,FALSE)</f>
        <v>2</v>
      </c>
      <c r="N1450" t="str">
        <f t="shared" si="44"/>
        <v>1. Under 1 hour</v>
      </c>
      <c r="O1450" t="str">
        <f t="shared" si="45"/>
        <v>2026-03</v>
      </c>
    </row>
    <row r="1451" spans="1:15" x14ac:dyDescent="0.3">
      <c r="A1451" t="s">
        <v>3456</v>
      </c>
      <c r="B1451" t="s">
        <v>3457</v>
      </c>
      <c r="C1451" t="s">
        <v>58</v>
      </c>
      <c r="D1451" t="s">
        <v>54</v>
      </c>
      <c r="E1451" t="s">
        <v>59</v>
      </c>
      <c r="F1451" t="s">
        <v>60</v>
      </c>
      <c r="G1451">
        <v>1.46</v>
      </c>
      <c r="H1451" t="s">
        <v>61</v>
      </c>
      <c r="I1451" t="s">
        <v>42</v>
      </c>
      <c r="M1451">
        <f>VLOOKUP(H1451,'Stage Order'!$A$2:$B$8,2,FALSE)</f>
        <v>1</v>
      </c>
      <c r="N1451" t="str">
        <f t="shared" si="44"/>
        <v>2. 1-24 hours</v>
      </c>
      <c r="O1451" t="str">
        <f t="shared" si="45"/>
        <v>2025-02</v>
      </c>
    </row>
    <row r="1452" spans="1:15" x14ac:dyDescent="0.3">
      <c r="A1452" t="s">
        <v>3458</v>
      </c>
      <c r="B1452" t="s">
        <v>3459</v>
      </c>
      <c r="C1452" t="s">
        <v>53</v>
      </c>
      <c r="D1452" t="s">
        <v>77</v>
      </c>
      <c r="E1452" t="s">
        <v>39</v>
      </c>
      <c r="F1452" t="s">
        <v>40</v>
      </c>
      <c r="G1452">
        <v>3.73</v>
      </c>
      <c r="H1452" t="s">
        <v>41</v>
      </c>
      <c r="I1452" t="s">
        <v>42</v>
      </c>
      <c r="M1452">
        <f>VLOOKUP(H1452,'Stage Order'!$A$2:$B$8,2,FALSE)</f>
        <v>2</v>
      </c>
      <c r="N1452" t="str">
        <f t="shared" si="44"/>
        <v>2. 1-24 hours</v>
      </c>
      <c r="O1452" t="str">
        <f t="shared" si="45"/>
        <v>2025-06</v>
      </c>
    </row>
    <row r="1453" spans="1:15" x14ac:dyDescent="0.3">
      <c r="A1453" t="s">
        <v>3460</v>
      </c>
      <c r="B1453" t="s">
        <v>3461</v>
      </c>
      <c r="C1453" t="s">
        <v>37</v>
      </c>
      <c r="D1453" t="s">
        <v>29</v>
      </c>
      <c r="E1453" t="s">
        <v>39</v>
      </c>
      <c r="F1453" t="s">
        <v>40</v>
      </c>
      <c r="G1453">
        <v>0.88</v>
      </c>
      <c r="H1453" t="s">
        <v>41</v>
      </c>
      <c r="I1453" t="s">
        <v>42</v>
      </c>
      <c r="M1453">
        <f>VLOOKUP(H1453,'Stage Order'!$A$2:$B$8,2,FALSE)</f>
        <v>2</v>
      </c>
      <c r="N1453" t="str">
        <f t="shared" si="44"/>
        <v>1. Under 1 hour</v>
      </c>
      <c r="O1453" t="str">
        <f t="shared" si="45"/>
        <v>2025-11</v>
      </c>
    </row>
    <row r="1454" spans="1:15" x14ac:dyDescent="0.3">
      <c r="A1454" t="s">
        <v>3462</v>
      </c>
      <c r="B1454" t="s">
        <v>3463</v>
      </c>
      <c r="C1454" t="s">
        <v>28</v>
      </c>
      <c r="D1454" t="s">
        <v>38</v>
      </c>
      <c r="E1454" t="s">
        <v>39</v>
      </c>
      <c r="F1454" t="s">
        <v>40</v>
      </c>
      <c r="G1454">
        <v>0.66</v>
      </c>
      <c r="H1454" t="s">
        <v>128</v>
      </c>
      <c r="I1454" t="s">
        <v>42</v>
      </c>
      <c r="M1454">
        <f>VLOOKUP(H1454,'Stage Order'!$A$2:$B$8,2,FALSE)</f>
        <v>3</v>
      </c>
      <c r="N1454" t="str">
        <f t="shared" si="44"/>
        <v>1. Under 1 hour</v>
      </c>
      <c r="O1454" t="str">
        <f t="shared" si="45"/>
        <v>2025-10</v>
      </c>
    </row>
    <row r="1455" spans="1:15" x14ac:dyDescent="0.3">
      <c r="A1455" t="s">
        <v>3464</v>
      </c>
      <c r="B1455" t="s">
        <v>3465</v>
      </c>
      <c r="C1455" t="s">
        <v>81</v>
      </c>
      <c r="D1455" t="s">
        <v>54</v>
      </c>
      <c r="E1455" t="s">
        <v>39</v>
      </c>
      <c r="F1455" t="s">
        <v>106</v>
      </c>
      <c r="G1455">
        <v>3.05</v>
      </c>
      <c r="H1455" t="s">
        <v>41</v>
      </c>
      <c r="I1455" t="s">
        <v>42</v>
      </c>
      <c r="M1455">
        <f>VLOOKUP(H1455,'Stage Order'!$A$2:$B$8,2,FALSE)</f>
        <v>2</v>
      </c>
      <c r="N1455" t="str">
        <f t="shared" si="44"/>
        <v>2. 1-24 hours</v>
      </c>
      <c r="O1455" t="str">
        <f t="shared" si="45"/>
        <v>2025-11</v>
      </c>
    </row>
    <row r="1456" spans="1:15" x14ac:dyDescent="0.3">
      <c r="A1456" t="s">
        <v>3466</v>
      </c>
      <c r="B1456" t="s">
        <v>3467</v>
      </c>
      <c r="C1456" t="s">
        <v>37</v>
      </c>
      <c r="D1456" t="s">
        <v>54</v>
      </c>
      <c r="E1456" t="s">
        <v>59</v>
      </c>
      <c r="F1456" t="s">
        <v>137</v>
      </c>
      <c r="G1456">
        <v>2.17</v>
      </c>
      <c r="H1456" t="s">
        <v>41</v>
      </c>
      <c r="I1456" t="s">
        <v>42</v>
      </c>
      <c r="M1456">
        <f>VLOOKUP(H1456,'Stage Order'!$A$2:$B$8,2,FALSE)</f>
        <v>2</v>
      </c>
      <c r="N1456" t="str">
        <f t="shared" si="44"/>
        <v>2. 1-24 hours</v>
      </c>
      <c r="O1456" t="str">
        <f t="shared" si="45"/>
        <v>2025-03</v>
      </c>
    </row>
    <row r="1457" spans="1:15" x14ac:dyDescent="0.3">
      <c r="A1457" t="s">
        <v>3468</v>
      </c>
      <c r="B1457" t="s">
        <v>3469</v>
      </c>
      <c r="C1457" t="s">
        <v>58</v>
      </c>
      <c r="D1457" t="s">
        <v>38</v>
      </c>
      <c r="E1457" t="s">
        <v>30</v>
      </c>
      <c r="F1457" t="s">
        <v>78</v>
      </c>
      <c r="G1457">
        <v>3.96</v>
      </c>
      <c r="H1457" t="s">
        <v>41</v>
      </c>
      <c r="I1457" t="s">
        <v>42</v>
      </c>
      <c r="M1457">
        <f>VLOOKUP(H1457,'Stage Order'!$A$2:$B$8,2,FALSE)</f>
        <v>2</v>
      </c>
      <c r="N1457" t="str">
        <f t="shared" si="44"/>
        <v>2. 1-24 hours</v>
      </c>
      <c r="O1457" t="str">
        <f t="shared" si="45"/>
        <v>2025-12</v>
      </c>
    </row>
    <row r="1458" spans="1:15" x14ac:dyDescent="0.3">
      <c r="A1458" t="s">
        <v>3470</v>
      </c>
      <c r="B1458" t="s">
        <v>3471</v>
      </c>
      <c r="C1458" t="s">
        <v>58</v>
      </c>
      <c r="D1458" t="s">
        <v>29</v>
      </c>
      <c r="E1458" t="s">
        <v>90</v>
      </c>
      <c r="F1458" t="s">
        <v>145</v>
      </c>
      <c r="G1458">
        <v>4.12</v>
      </c>
      <c r="H1458" t="s">
        <v>41</v>
      </c>
      <c r="I1458" t="s">
        <v>42</v>
      </c>
      <c r="M1458">
        <f>VLOOKUP(H1458,'Stage Order'!$A$2:$B$8,2,FALSE)</f>
        <v>2</v>
      </c>
      <c r="N1458" t="str">
        <f t="shared" si="44"/>
        <v>2. 1-24 hours</v>
      </c>
      <c r="O1458" t="str">
        <f t="shared" si="45"/>
        <v>2025-08</v>
      </c>
    </row>
    <row r="1459" spans="1:15" x14ac:dyDescent="0.3">
      <c r="A1459" t="s">
        <v>3472</v>
      </c>
      <c r="B1459" t="s">
        <v>3473</v>
      </c>
      <c r="C1459" t="s">
        <v>28</v>
      </c>
      <c r="D1459" t="s">
        <v>38</v>
      </c>
      <c r="E1459" t="s">
        <v>39</v>
      </c>
      <c r="F1459" t="s">
        <v>40</v>
      </c>
      <c r="G1459">
        <v>3.41</v>
      </c>
      <c r="H1459" t="s">
        <v>41</v>
      </c>
      <c r="I1459" t="s">
        <v>42</v>
      </c>
      <c r="M1459">
        <f>VLOOKUP(H1459,'Stage Order'!$A$2:$B$8,2,FALSE)</f>
        <v>2</v>
      </c>
      <c r="N1459" t="str">
        <f t="shared" si="44"/>
        <v>2. 1-24 hours</v>
      </c>
      <c r="O1459" t="str">
        <f t="shared" si="45"/>
        <v>2025-03</v>
      </c>
    </row>
    <row r="1460" spans="1:15" x14ac:dyDescent="0.3">
      <c r="A1460" t="s">
        <v>3474</v>
      </c>
      <c r="B1460" t="s">
        <v>3475</v>
      </c>
      <c r="C1460" t="s">
        <v>58</v>
      </c>
      <c r="D1460" t="s">
        <v>38</v>
      </c>
      <c r="E1460" t="s">
        <v>45</v>
      </c>
      <c r="F1460" t="s">
        <v>55</v>
      </c>
      <c r="G1460">
        <v>9.31</v>
      </c>
      <c r="H1460" t="s">
        <v>41</v>
      </c>
      <c r="I1460" t="s">
        <v>42</v>
      </c>
      <c r="M1460">
        <f>VLOOKUP(H1460,'Stage Order'!$A$2:$B$8,2,FALSE)</f>
        <v>2</v>
      </c>
      <c r="N1460" t="str">
        <f t="shared" si="44"/>
        <v>2. 1-24 hours</v>
      </c>
      <c r="O1460" t="str">
        <f t="shared" si="45"/>
        <v>2025-04</v>
      </c>
    </row>
    <row r="1461" spans="1:15" x14ac:dyDescent="0.3">
      <c r="A1461" t="s">
        <v>3476</v>
      </c>
      <c r="B1461" t="s">
        <v>3477</v>
      </c>
      <c r="C1461" t="s">
        <v>81</v>
      </c>
      <c r="D1461" t="s">
        <v>97</v>
      </c>
      <c r="E1461" t="s">
        <v>45</v>
      </c>
      <c r="F1461" t="s">
        <v>94</v>
      </c>
      <c r="G1461">
        <v>19.18</v>
      </c>
      <c r="H1461" t="s">
        <v>61</v>
      </c>
      <c r="I1461" t="s">
        <v>42</v>
      </c>
      <c r="M1461">
        <f>VLOOKUP(H1461,'Stage Order'!$A$2:$B$8,2,FALSE)</f>
        <v>1</v>
      </c>
      <c r="N1461" t="str">
        <f t="shared" si="44"/>
        <v>2. 1-24 hours</v>
      </c>
      <c r="O1461" t="str">
        <f t="shared" si="45"/>
        <v>2025-09</v>
      </c>
    </row>
    <row r="1462" spans="1:15" x14ac:dyDescent="0.3">
      <c r="A1462" t="s">
        <v>3478</v>
      </c>
      <c r="B1462" t="s">
        <v>3479</v>
      </c>
      <c r="C1462" t="s">
        <v>58</v>
      </c>
      <c r="D1462" t="s">
        <v>38</v>
      </c>
      <c r="E1462" t="s">
        <v>45</v>
      </c>
      <c r="F1462" t="s">
        <v>55</v>
      </c>
      <c r="G1462">
        <v>10.77</v>
      </c>
      <c r="H1462" t="s">
        <v>61</v>
      </c>
      <c r="I1462" t="s">
        <v>42</v>
      </c>
      <c r="M1462">
        <f>VLOOKUP(H1462,'Stage Order'!$A$2:$B$8,2,FALSE)</f>
        <v>1</v>
      </c>
      <c r="N1462" t="str">
        <f t="shared" si="44"/>
        <v>2. 1-24 hours</v>
      </c>
      <c r="O1462" t="str">
        <f t="shared" si="45"/>
        <v>2026-02</v>
      </c>
    </row>
    <row r="1463" spans="1:15" x14ac:dyDescent="0.3">
      <c r="A1463" t="s">
        <v>3480</v>
      </c>
      <c r="B1463" t="s">
        <v>861</v>
      </c>
      <c r="C1463" t="s">
        <v>53</v>
      </c>
      <c r="D1463" t="s">
        <v>54</v>
      </c>
      <c r="E1463" t="s">
        <v>30</v>
      </c>
      <c r="F1463" t="s">
        <v>82</v>
      </c>
      <c r="G1463">
        <v>1.88</v>
      </c>
      <c r="H1463" t="s">
        <v>146</v>
      </c>
      <c r="I1463" t="s">
        <v>48</v>
      </c>
      <c r="J1463" t="s">
        <v>113</v>
      </c>
      <c r="K1463">
        <v>592.20000000000005</v>
      </c>
      <c r="L1463" t="s">
        <v>3481</v>
      </c>
      <c r="M1463">
        <f>VLOOKUP(H1463,'Stage Order'!$A$2:$B$8,2,FALSE)</f>
        <v>5</v>
      </c>
      <c r="N1463" t="str">
        <f t="shared" si="44"/>
        <v>2. 1-24 hours</v>
      </c>
      <c r="O1463" t="str">
        <f t="shared" si="45"/>
        <v>2026-06</v>
      </c>
    </row>
    <row r="1464" spans="1:15" x14ac:dyDescent="0.3">
      <c r="A1464" t="s">
        <v>3482</v>
      </c>
      <c r="B1464" t="s">
        <v>3483</v>
      </c>
      <c r="C1464" t="s">
        <v>125</v>
      </c>
      <c r="D1464" t="s">
        <v>29</v>
      </c>
      <c r="E1464" t="s">
        <v>59</v>
      </c>
      <c r="F1464" t="s">
        <v>117</v>
      </c>
      <c r="G1464">
        <v>5.15</v>
      </c>
      <c r="H1464" t="s">
        <v>47</v>
      </c>
      <c r="I1464" t="s">
        <v>48</v>
      </c>
      <c r="J1464" t="s">
        <v>113</v>
      </c>
      <c r="K1464">
        <v>633.21</v>
      </c>
      <c r="L1464" t="s">
        <v>3484</v>
      </c>
      <c r="M1464">
        <f>VLOOKUP(H1464,'Stage Order'!$A$2:$B$8,2,FALSE)</f>
        <v>4</v>
      </c>
      <c r="N1464" t="str">
        <f t="shared" si="44"/>
        <v>2. 1-24 hours</v>
      </c>
      <c r="O1464" t="str">
        <f t="shared" si="45"/>
        <v>2025-09</v>
      </c>
    </row>
    <row r="1465" spans="1:15" x14ac:dyDescent="0.3">
      <c r="A1465" t="s">
        <v>3485</v>
      </c>
      <c r="B1465" t="s">
        <v>3486</v>
      </c>
      <c r="C1465" t="s">
        <v>58</v>
      </c>
      <c r="D1465" t="s">
        <v>38</v>
      </c>
      <c r="E1465" t="s">
        <v>45</v>
      </c>
      <c r="F1465" t="s">
        <v>46</v>
      </c>
      <c r="G1465">
        <v>1.87</v>
      </c>
      <c r="H1465" t="s">
        <v>47</v>
      </c>
      <c r="I1465" t="s">
        <v>48</v>
      </c>
      <c r="J1465" t="s">
        <v>98</v>
      </c>
      <c r="K1465">
        <v>362.86</v>
      </c>
      <c r="L1465" t="s">
        <v>3487</v>
      </c>
      <c r="M1465">
        <f>VLOOKUP(H1465,'Stage Order'!$A$2:$B$8,2,FALSE)</f>
        <v>4</v>
      </c>
      <c r="N1465" t="str">
        <f t="shared" si="44"/>
        <v>2. 1-24 hours</v>
      </c>
      <c r="O1465" t="str">
        <f t="shared" si="45"/>
        <v>2025-02</v>
      </c>
    </row>
    <row r="1466" spans="1:15" x14ac:dyDescent="0.3">
      <c r="A1466" t="s">
        <v>3488</v>
      </c>
      <c r="B1466" t="s">
        <v>3489</v>
      </c>
      <c r="C1466" t="s">
        <v>37</v>
      </c>
      <c r="D1466" t="s">
        <v>29</v>
      </c>
      <c r="E1466" t="s">
        <v>59</v>
      </c>
      <c r="F1466" t="s">
        <v>137</v>
      </c>
      <c r="G1466">
        <v>4.0599999999999996</v>
      </c>
      <c r="H1466" t="s">
        <v>128</v>
      </c>
      <c r="I1466" t="s">
        <v>42</v>
      </c>
      <c r="M1466">
        <f>VLOOKUP(H1466,'Stage Order'!$A$2:$B$8,2,FALSE)</f>
        <v>3</v>
      </c>
      <c r="N1466" t="str">
        <f t="shared" si="44"/>
        <v>2. 1-24 hours</v>
      </c>
      <c r="O1466" t="str">
        <f t="shared" si="45"/>
        <v>2025-12</v>
      </c>
    </row>
    <row r="1467" spans="1:15" x14ac:dyDescent="0.3">
      <c r="A1467" t="s">
        <v>3490</v>
      </c>
      <c r="B1467" t="s">
        <v>3491</v>
      </c>
      <c r="C1467" t="s">
        <v>53</v>
      </c>
      <c r="D1467" t="s">
        <v>54</v>
      </c>
      <c r="E1467" t="s">
        <v>90</v>
      </c>
      <c r="F1467" t="s">
        <v>112</v>
      </c>
      <c r="G1467">
        <v>1.0900000000000001</v>
      </c>
      <c r="H1467" t="s">
        <v>41</v>
      </c>
      <c r="I1467" t="s">
        <v>42</v>
      </c>
      <c r="M1467">
        <f>VLOOKUP(H1467,'Stage Order'!$A$2:$B$8,2,FALSE)</f>
        <v>2</v>
      </c>
      <c r="N1467" t="str">
        <f t="shared" si="44"/>
        <v>2. 1-24 hours</v>
      </c>
      <c r="O1467" t="str">
        <f t="shared" si="45"/>
        <v>2026-02</v>
      </c>
    </row>
    <row r="1468" spans="1:15" x14ac:dyDescent="0.3">
      <c r="A1468" t="s">
        <v>3492</v>
      </c>
      <c r="B1468" t="s">
        <v>3493</v>
      </c>
      <c r="C1468" t="s">
        <v>76</v>
      </c>
      <c r="D1468" t="s">
        <v>38</v>
      </c>
      <c r="E1468" t="s">
        <v>45</v>
      </c>
      <c r="F1468" t="s">
        <v>94</v>
      </c>
      <c r="G1468">
        <v>2.78</v>
      </c>
      <c r="H1468" t="s">
        <v>41</v>
      </c>
      <c r="I1468" t="s">
        <v>42</v>
      </c>
      <c r="M1468">
        <f>VLOOKUP(H1468,'Stage Order'!$A$2:$B$8,2,FALSE)</f>
        <v>2</v>
      </c>
      <c r="N1468" t="str">
        <f t="shared" si="44"/>
        <v>2. 1-24 hours</v>
      </c>
      <c r="O1468" t="str">
        <f t="shared" si="45"/>
        <v>2025-06</v>
      </c>
    </row>
    <row r="1469" spans="1:15" x14ac:dyDescent="0.3">
      <c r="A1469" t="s">
        <v>3494</v>
      </c>
      <c r="B1469" t="s">
        <v>3495</v>
      </c>
      <c r="C1469" t="s">
        <v>58</v>
      </c>
      <c r="D1469" t="s">
        <v>77</v>
      </c>
      <c r="E1469" t="s">
        <v>39</v>
      </c>
      <c r="F1469" t="s">
        <v>106</v>
      </c>
      <c r="G1469">
        <v>10.07</v>
      </c>
      <c r="H1469" t="s">
        <v>41</v>
      </c>
      <c r="I1469" t="s">
        <v>42</v>
      </c>
      <c r="M1469">
        <f>VLOOKUP(H1469,'Stage Order'!$A$2:$B$8,2,FALSE)</f>
        <v>2</v>
      </c>
      <c r="N1469" t="str">
        <f t="shared" si="44"/>
        <v>2. 1-24 hours</v>
      </c>
      <c r="O1469" t="str">
        <f t="shared" si="45"/>
        <v>2025-05</v>
      </c>
    </row>
    <row r="1470" spans="1:15" x14ac:dyDescent="0.3">
      <c r="A1470" t="s">
        <v>3496</v>
      </c>
      <c r="B1470" t="s">
        <v>3497</v>
      </c>
      <c r="C1470" t="s">
        <v>125</v>
      </c>
      <c r="D1470" t="s">
        <v>54</v>
      </c>
      <c r="E1470" t="s">
        <v>45</v>
      </c>
      <c r="F1470" t="s">
        <v>55</v>
      </c>
      <c r="G1470">
        <v>1.5</v>
      </c>
      <c r="H1470" t="s">
        <v>41</v>
      </c>
      <c r="I1470" t="s">
        <v>42</v>
      </c>
      <c r="M1470">
        <f>VLOOKUP(H1470,'Stage Order'!$A$2:$B$8,2,FALSE)</f>
        <v>2</v>
      </c>
      <c r="N1470" t="str">
        <f t="shared" si="44"/>
        <v>2. 1-24 hours</v>
      </c>
      <c r="O1470" t="str">
        <f t="shared" si="45"/>
        <v>2026-06</v>
      </c>
    </row>
    <row r="1471" spans="1:15" x14ac:dyDescent="0.3">
      <c r="A1471" t="s">
        <v>3498</v>
      </c>
      <c r="B1471" t="s">
        <v>3499</v>
      </c>
      <c r="C1471" t="s">
        <v>58</v>
      </c>
      <c r="D1471" t="s">
        <v>77</v>
      </c>
      <c r="E1471" t="s">
        <v>39</v>
      </c>
      <c r="F1471" t="s">
        <v>106</v>
      </c>
      <c r="G1471">
        <v>9.34</v>
      </c>
      <c r="H1471" t="s">
        <v>32</v>
      </c>
      <c r="I1471" t="s">
        <v>33</v>
      </c>
      <c r="K1471">
        <v>1137.79</v>
      </c>
      <c r="L1471" t="s">
        <v>3500</v>
      </c>
      <c r="M1471">
        <f>VLOOKUP(H1471,'Stage Order'!$A$2:$B$8,2,FALSE)</f>
        <v>7</v>
      </c>
      <c r="N1471" t="str">
        <f t="shared" si="44"/>
        <v>2. 1-24 hours</v>
      </c>
      <c r="O1471" t="str">
        <f t="shared" si="45"/>
        <v>2026-02</v>
      </c>
    </row>
    <row r="1472" spans="1:15" x14ac:dyDescent="0.3">
      <c r="A1472" t="s">
        <v>3501</v>
      </c>
      <c r="B1472" t="s">
        <v>3502</v>
      </c>
      <c r="C1472" t="s">
        <v>81</v>
      </c>
      <c r="D1472" t="s">
        <v>54</v>
      </c>
      <c r="E1472" t="s">
        <v>90</v>
      </c>
      <c r="F1472" t="s">
        <v>112</v>
      </c>
      <c r="G1472">
        <v>6.39</v>
      </c>
      <c r="H1472" t="s">
        <v>61</v>
      </c>
      <c r="I1472" t="s">
        <v>42</v>
      </c>
      <c r="M1472">
        <f>VLOOKUP(H1472,'Stage Order'!$A$2:$B$8,2,FALSE)</f>
        <v>1</v>
      </c>
      <c r="N1472" t="str">
        <f t="shared" si="44"/>
        <v>2. 1-24 hours</v>
      </c>
      <c r="O1472" t="str">
        <f t="shared" si="45"/>
        <v>2025-02</v>
      </c>
    </row>
    <row r="1473" spans="1:15" x14ac:dyDescent="0.3">
      <c r="A1473" t="s">
        <v>3503</v>
      </c>
      <c r="B1473" t="s">
        <v>3504</v>
      </c>
      <c r="C1473" t="s">
        <v>125</v>
      </c>
      <c r="D1473" t="s">
        <v>54</v>
      </c>
      <c r="E1473" t="s">
        <v>90</v>
      </c>
      <c r="F1473" t="s">
        <v>145</v>
      </c>
      <c r="G1473">
        <v>4.47</v>
      </c>
      <c r="H1473" t="s">
        <v>47</v>
      </c>
      <c r="I1473" t="s">
        <v>48</v>
      </c>
      <c r="J1473" t="s">
        <v>139</v>
      </c>
      <c r="K1473">
        <v>461.09</v>
      </c>
      <c r="L1473" t="s">
        <v>3505</v>
      </c>
      <c r="M1473">
        <f>VLOOKUP(H1473,'Stage Order'!$A$2:$B$8,2,FALSE)</f>
        <v>4</v>
      </c>
      <c r="N1473" t="str">
        <f t="shared" si="44"/>
        <v>2. 1-24 hours</v>
      </c>
      <c r="O1473" t="str">
        <f t="shared" si="45"/>
        <v>2025-07</v>
      </c>
    </row>
    <row r="1474" spans="1:15" x14ac:dyDescent="0.3">
      <c r="A1474" t="s">
        <v>3506</v>
      </c>
      <c r="B1474" t="s">
        <v>3507</v>
      </c>
      <c r="C1474" t="s">
        <v>81</v>
      </c>
      <c r="D1474" t="s">
        <v>54</v>
      </c>
      <c r="E1474" t="s">
        <v>59</v>
      </c>
      <c r="F1474" t="s">
        <v>60</v>
      </c>
      <c r="G1474">
        <v>0.77</v>
      </c>
      <c r="H1474" t="s">
        <v>41</v>
      </c>
      <c r="I1474" t="s">
        <v>42</v>
      </c>
      <c r="M1474">
        <f>VLOOKUP(H1474,'Stage Order'!$A$2:$B$8,2,FALSE)</f>
        <v>2</v>
      </c>
      <c r="N1474" t="str">
        <f t="shared" ref="N1474:N1537" si="46">IF(G1474&lt;=1,"1. Under 1 hour",IF(G1474&lt;=24,"2. 1-24 hours",IF(G1474&lt;=72,"3. 1-3 days","4. Over 3 days")))</f>
        <v>1. Under 1 hour</v>
      </c>
      <c r="O1474" t="str">
        <f t="shared" ref="O1474:O1537" si="47">TEXT(B1474,"YYYY-MM")</f>
        <v>2025-07</v>
      </c>
    </row>
    <row r="1475" spans="1:15" x14ac:dyDescent="0.3">
      <c r="A1475" t="s">
        <v>3508</v>
      </c>
      <c r="B1475" t="s">
        <v>3509</v>
      </c>
      <c r="C1475" t="s">
        <v>58</v>
      </c>
      <c r="D1475" t="s">
        <v>77</v>
      </c>
      <c r="E1475" t="s">
        <v>45</v>
      </c>
      <c r="F1475" t="s">
        <v>46</v>
      </c>
      <c r="G1475">
        <v>3.2</v>
      </c>
      <c r="H1475" t="s">
        <v>138</v>
      </c>
      <c r="I1475" t="s">
        <v>48</v>
      </c>
      <c r="J1475" t="s">
        <v>98</v>
      </c>
      <c r="K1475">
        <v>1028</v>
      </c>
      <c r="L1475" t="s">
        <v>3510</v>
      </c>
      <c r="M1475">
        <f>VLOOKUP(H1475,'Stage Order'!$A$2:$B$8,2,FALSE)</f>
        <v>6</v>
      </c>
      <c r="N1475" t="str">
        <f t="shared" si="46"/>
        <v>2. 1-24 hours</v>
      </c>
      <c r="O1475" t="str">
        <f t="shared" si="47"/>
        <v>2025-05</v>
      </c>
    </row>
    <row r="1476" spans="1:15" x14ac:dyDescent="0.3">
      <c r="A1476" t="s">
        <v>3511</v>
      </c>
      <c r="B1476" t="s">
        <v>3512</v>
      </c>
      <c r="C1476" t="s">
        <v>125</v>
      </c>
      <c r="D1476" t="s">
        <v>54</v>
      </c>
      <c r="E1476" t="s">
        <v>90</v>
      </c>
      <c r="F1476" t="s">
        <v>145</v>
      </c>
      <c r="G1476">
        <v>2.4300000000000002</v>
      </c>
      <c r="H1476" t="s">
        <v>128</v>
      </c>
      <c r="I1476" t="s">
        <v>42</v>
      </c>
      <c r="M1476">
        <f>VLOOKUP(H1476,'Stage Order'!$A$2:$B$8,2,FALSE)</f>
        <v>3</v>
      </c>
      <c r="N1476" t="str">
        <f t="shared" si="46"/>
        <v>2. 1-24 hours</v>
      </c>
      <c r="O1476" t="str">
        <f t="shared" si="47"/>
        <v>2025-11</v>
      </c>
    </row>
    <row r="1477" spans="1:15" x14ac:dyDescent="0.3">
      <c r="A1477" t="s">
        <v>3513</v>
      </c>
      <c r="B1477" t="s">
        <v>3514</v>
      </c>
      <c r="C1477" t="s">
        <v>58</v>
      </c>
      <c r="D1477" t="s">
        <v>77</v>
      </c>
      <c r="E1477" t="s">
        <v>90</v>
      </c>
      <c r="F1477" t="s">
        <v>112</v>
      </c>
      <c r="G1477">
        <v>3.59</v>
      </c>
      <c r="H1477" t="s">
        <v>138</v>
      </c>
      <c r="I1477" t="s">
        <v>48</v>
      </c>
      <c r="J1477" t="s">
        <v>139</v>
      </c>
      <c r="K1477">
        <v>951.07</v>
      </c>
      <c r="L1477" t="s">
        <v>3515</v>
      </c>
      <c r="M1477">
        <f>VLOOKUP(H1477,'Stage Order'!$A$2:$B$8,2,FALSE)</f>
        <v>6</v>
      </c>
      <c r="N1477" t="str">
        <f t="shared" si="46"/>
        <v>2. 1-24 hours</v>
      </c>
      <c r="O1477" t="str">
        <f t="shared" si="47"/>
        <v>2025-05</v>
      </c>
    </row>
    <row r="1478" spans="1:15" x14ac:dyDescent="0.3">
      <c r="A1478" t="s">
        <v>3516</v>
      </c>
      <c r="B1478" t="s">
        <v>3517</v>
      </c>
      <c r="C1478" t="s">
        <v>37</v>
      </c>
      <c r="D1478" t="s">
        <v>77</v>
      </c>
      <c r="E1478" t="s">
        <v>45</v>
      </c>
      <c r="F1478" t="s">
        <v>55</v>
      </c>
      <c r="G1478">
        <v>0.78</v>
      </c>
      <c r="H1478" t="s">
        <v>32</v>
      </c>
      <c r="I1478" t="s">
        <v>33</v>
      </c>
      <c r="K1478">
        <v>887.77</v>
      </c>
      <c r="L1478" t="s">
        <v>3518</v>
      </c>
      <c r="M1478">
        <f>VLOOKUP(H1478,'Stage Order'!$A$2:$B$8,2,FALSE)</f>
        <v>7</v>
      </c>
      <c r="N1478" t="str">
        <f t="shared" si="46"/>
        <v>1. Under 1 hour</v>
      </c>
      <c r="O1478" t="str">
        <f t="shared" si="47"/>
        <v>2026-01</v>
      </c>
    </row>
    <row r="1479" spans="1:15" x14ac:dyDescent="0.3">
      <c r="A1479" t="s">
        <v>3519</v>
      </c>
      <c r="B1479" t="s">
        <v>3520</v>
      </c>
      <c r="C1479" t="s">
        <v>37</v>
      </c>
      <c r="D1479" t="s">
        <v>77</v>
      </c>
      <c r="E1479" t="s">
        <v>39</v>
      </c>
      <c r="F1479" t="s">
        <v>40</v>
      </c>
      <c r="G1479">
        <v>1.4</v>
      </c>
      <c r="H1479" t="s">
        <v>138</v>
      </c>
      <c r="I1479" t="s">
        <v>48</v>
      </c>
      <c r="J1479" t="s">
        <v>139</v>
      </c>
      <c r="K1479">
        <v>809.34</v>
      </c>
      <c r="L1479" t="s">
        <v>3521</v>
      </c>
      <c r="M1479">
        <f>VLOOKUP(H1479,'Stage Order'!$A$2:$B$8,2,FALSE)</f>
        <v>6</v>
      </c>
      <c r="N1479" t="str">
        <f t="shared" si="46"/>
        <v>2. 1-24 hours</v>
      </c>
      <c r="O1479" t="str">
        <f t="shared" si="47"/>
        <v>2025-07</v>
      </c>
    </row>
    <row r="1480" spans="1:15" x14ac:dyDescent="0.3">
      <c r="A1480" t="s">
        <v>3522</v>
      </c>
      <c r="B1480" t="s">
        <v>3523</v>
      </c>
      <c r="C1480" t="s">
        <v>81</v>
      </c>
      <c r="D1480" t="s">
        <v>29</v>
      </c>
      <c r="E1480" t="s">
        <v>39</v>
      </c>
      <c r="F1480" t="s">
        <v>106</v>
      </c>
      <c r="G1480">
        <v>10.52</v>
      </c>
      <c r="H1480" t="s">
        <v>61</v>
      </c>
      <c r="I1480" t="s">
        <v>42</v>
      </c>
      <c r="M1480">
        <f>VLOOKUP(H1480,'Stage Order'!$A$2:$B$8,2,FALSE)</f>
        <v>1</v>
      </c>
      <c r="N1480" t="str">
        <f t="shared" si="46"/>
        <v>2. 1-24 hours</v>
      </c>
      <c r="O1480" t="str">
        <f t="shared" si="47"/>
        <v>2025-03</v>
      </c>
    </row>
    <row r="1481" spans="1:15" x14ac:dyDescent="0.3">
      <c r="A1481" t="s">
        <v>3524</v>
      </c>
      <c r="B1481" t="s">
        <v>3525</v>
      </c>
      <c r="C1481" t="s">
        <v>76</v>
      </c>
      <c r="D1481" t="s">
        <v>29</v>
      </c>
      <c r="E1481" t="s">
        <v>39</v>
      </c>
      <c r="F1481" t="s">
        <v>40</v>
      </c>
      <c r="G1481">
        <v>1.56</v>
      </c>
      <c r="H1481" t="s">
        <v>41</v>
      </c>
      <c r="I1481" t="s">
        <v>42</v>
      </c>
      <c r="M1481">
        <f>VLOOKUP(H1481,'Stage Order'!$A$2:$B$8,2,FALSE)</f>
        <v>2</v>
      </c>
      <c r="N1481" t="str">
        <f t="shared" si="46"/>
        <v>2. 1-24 hours</v>
      </c>
      <c r="O1481" t="str">
        <f t="shared" si="47"/>
        <v>2026-06</v>
      </c>
    </row>
    <row r="1482" spans="1:15" x14ac:dyDescent="0.3">
      <c r="A1482" t="s">
        <v>3526</v>
      </c>
      <c r="B1482" t="s">
        <v>3527</v>
      </c>
      <c r="C1482" t="s">
        <v>58</v>
      </c>
      <c r="D1482" t="s">
        <v>77</v>
      </c>
      <c r="E1482" t="s">
        <v>45</v>
      </c>
      <c r="F1482" t="s">
        <v>46</v>
      </c>
      <c r="G1482">
        <v>8.44</v>
      </c>
      <c r="H1482" t="s">
        <v>41</v>
      </c>
      <c r="I1482" t="s">
        <v>42</v>
      </c>
      <c r="M1482">
        <f>VLOOKUP(H1482,'Stage Order'!$A$2:$B$8,2,FALSE)</f>
        <v>2</v>
      </c>
      <c r="N1482" t="str">
        <f t="shared" si="46"/>
        <v>2. 1-24 hours</v>
      </c>
      <c r="O1482" t="str">
        <f t="shared" si="47"/>
        <v>2026-01</v>
      </c>
    </row>
    <row r="1483" spans="1:15" x14ac:dyDescent="0.3">
      <c r="A1483" t="s">
        <v>3528</v>
      </c>
      <c r="B1483" t="s">
        <v>3529</v>
      </c>
      <c r="C1483" t="s">
        <v>37</v>
      </c>
      <c r="D1483" t="s">
        <v>29</v>
      </c>
      <c r="E1483" t="s">
        <v>45</v>
      </c>
      <c r="F1483" t="s">
        <v>46</v>
      </c>
      <c r="G1483">
        <v>2.02</v>
      </c>
      <c r="H1483" t="s">
        <v>41</v>
      </c>
      <c r="I1483" t="s">
        <v>42</v>
      </c>
      <c r="M1483">
        <f>VLOOKUP(H1483,'Stage Order'!$A$2:$B$8,2,FALSE)</f>
        <v>2</v>
      </c>
      <c r="N1483" t="str">
        <f t="shared" si="46"/>
        <v>2. 1-24 hours</v>
      </c>
      <c r="O1483" t="str">
        <f t="shared" si="47"/>
        <v>2025-11</v>
      </c>
    </row>
    <row r="1484" spans="1:15" x14ac:dyDescent="0.3">
      <c r="A1484" t="s">
        <v>3530</v>
      </c>
      <c r="B1484" t="s">
        <v>3531</v>
      </c>
      <c r="C1484" t="s">
        <v>58</v>
      </c>
      <c r="D1484" t="s">
        <v>77</v>
      </c>
      <c r="E1484" t="s">
        <v>39</v>
      </c>
      <c r="F1484" t="s">
        <v>66</v>
      </c>
      <c r="G1484">
        <v>1.63</v>
      </c>
      <c r="H1484" t="s">
        <v>128</v>
      </c>
      <c r="I1484" t="s">
        <v>42</v>
      </c>
      <c r="M1484">
        <f>VLOOKUP(H1484,'Stage Order'!$A$2:$B$8,2,FALSE)</f>
        <v>3</v>
      </c>
      <c r="N1484" t="str">
        <f t="shared" si="46"/>
        <v>2. 1-24 hours</v>
      </c>
      <c r="O1484" t="str">
        <f t="shared" si="47"/>
        <v>2026-06</v>
      </c>
    </row>
    <row r="1485" spans="1:15" x14ac:dyDescent="0.3">
      <c r="A1485" t="s">
        <v>3532</v>
      </c>
      <c r="B1485" t="s">
        <v>3533</v>
      </c>
      <c r="C1485" t="s">
        <v>58</v>
      </c>
      <c r="D1485" t="s">
        <v>54</v>
      </c>
      <c r="E1485" t="s">
        <v>59</v>
      </c>
      <c r="F1485" t="s">
        <v>60</v>
      </c>
      <c r="G1485">
        <v>6.8</v>
      </c>
      <c r="H1485" t="s">
        <v>61</v>
      </c>
      <c r="I1485" t="s">
        <v>42</v>
      </c>
      <c r="M1485">
        <f>VLOOKUP(H1485,'Stage Order'!$A$2:$B$8,2,FALSE)</f>
        <v>1</v>
      </c>
      <c r="N1485" t="str">
        <f t="shared" si="46"/>
        <v>2. 1-24 hours</v>
      </c>
      <c r="O1485" t="str">
        <f t="shared" si="47"/>
        <v>2026-04</v>
      </c>
    </row>
    <row r="1486" spans="1:15" x14ac:dyDescent="0.3">
      <c r="A1486" t="s">
        <v>3534</v>
      </c>
      <c r="B1486" t="s">
        <v>3535</v>
      </c>
      <c r="C1486" t="s">
        <v>58</v>
      </c>
      <c r="D1486" t="s">
        <v>38</v>
      </c>
      <c r="E1486" t="s">
        <v>30</v>
      </c>
      <c r="F1486" t="s">
        <v>31</v>
      </c>
      <c r="G1486">
        <v>7.29</v>
      </c>
      <c r="H1486" t="s">
        <v>32</v>
      </c>
      <c r="I1486" t="s">
        <v>33</v>
      </c>
      <c r="K1486">
        <v>308.88</v>
      </c>
      <c r="L1486" t="s">
        <v>3536</v>
      </c>
      <c r="M1486">
        <f>VLOOKUP(H1486,'Stage Order'!$A$2:$B$8,2,FALSE)</f>
        <v>7</v>
      </c>
      <c r="N1486" t="str">
        <f t="shared" si="46"/>
        <v>2. 1-24 hours</v>
      </c>
      <c r="O1486" t="str">
        <f t="shared" si="47"/>
        <v>2025-04</v>
      </c>
    </row>
    <row r="1487" spans="1:15" x14ac:dyDescent="0.3">
      <c r="A1487" t="s">
        <v>3537</v>
      </c>
      <c r="B1487" t="s">
        <v>3538</v>
      </c>
      <c r="C1487" t="s">
        <v>125</v>
      </c>
      <c r="D1487" t="s">
        <v>77</v>
      </c>
      <c r="E1487" t="s">
        <v>30</v>
      </c>
      <c r="F1487" t="s">
        <v>78</v>
      </c>
      <c r="G1487">
        <v>7.17</v>
      </c>
      <c r="H1487" t="s">
        <v>41</v>
      </c>
      <c r="I1487" t="s">
        <v>42</v>
      </c>
      <c r="M1487">
        <f>VLOOKUP(H1487,'Stage Order'!$A$2:$B$8,2,FALSE)</f>
        <v>2</v>
      </c>
      <c r="N1487" t="str">
        <f t="shared" si="46"/>
        <v>2. 1-24 hours</v>
      </c>
      <c r="O1487" t="str">
        <f t="shared" si="47"/>
        <v>2026-04</v>
      </c>
    </row>
    <row r="1488" spans="1:15" x14ac:dyDescent="0.3">
      <c r="A1488" t="s">
        <v>3539</v>
      </c>
      <c r="B1488" t="s">
        <v>3540</v>
      </c>
      <c r="C1488" t="s">
        <v>37</v>
      </c>
      <c r="D1488" t="s">
        <v>38</v>
      </c>
      <c r="E1488" t="s">
        <v>59</v>
      </c>
      <c r="F1488" t="s">
        <v>60</v>
      </c>
      <c r="G1488">
        <v>0.98</v>
      </c>
      <c r="H1488" t="s">
        <v>41</v>
      </c>
      <c r="I1488" t="s">
        <v>42</v>
      </c>
      <c r="M1488">
        <f>VLOOKUP(H1488,'Stage Order'!$A$2:$B$8,2,FALSE)</f>
        <v>2</v>
      </c>
      <c r="N1488" t="str">
        <f t="shared" si="46"/>
        <v>1. Under 1 hour</v>
      </c>
      <c r="O1488" t="str">
        <f t="shared" si="47"/>
        <v>2025-02</v>
      </c>
    </row>
    <row r="1489" spans="1:15" x14ac:dyDescent="0.3">
      <c r="A1489" t="s">
        <v>3541</v>
      </c>
      <c r="B1489" t="s">
        <v>3542</v>
      </c>
      <c r="C1489" t="s">
        <v>81</v>
      </c>
      <c r="D1489" t="s">
        <v>29</v>
      </c>
      <c r="E1489" t="s">
        <v>45</v>
      </c>
      <c r="F1489" t="s">
        <v>55</v>
      </c>
      <c r="G1489">
        <v>2.11</v>
      </c>
      <c r="H1489" t="s">
        <v>61</v>
      </c>
      <c r="I1489" t="s">
        <v>42</v>
      </c>
      <c r="M1489">
        <f>VLOOKUP(H1489,'Stage Order'!$A$2:$B$8,2,FALSE)</f>
        <v>1</v>
      </c>
      <c r="N1489" t="str">
        <f t="shared" si="46"/>
        <v>2. 1-24 hours</v>
      </c>
      <c r="O1489" t="str">
        <f t="shared" si="47"/>
        <v>2025-07</v>
      </c>
    </row>
    <row r="1490" spans="1:15" x14ac:dyDescent="0.3">
      <c r="A1490" t="s">
        <v>3543</v>
      </c>
      <c r="B1490" t="s">
        <v>3544</v>
      </c>
      <c r="C1490" t="s">
        <v>28</v>
      </c>
      <c r="D1490" t="s">
        <v>77</v>
      </c>
      <c r="E1490" t="s">
        <v>39</v>
      </c>
      <c r="F1490" t="s">
        <v>66</v>
      </c>
      <c r="G1490">
        <v>5.37</v>
      </c>
      <c r="H1490" t="s">
        <v>138</v>
      </c>
      <c r="I1490" t="s">
        <v>48</v>
      </c>
      <c r="J1490" t="s">
        <v>113</v>
      </c>
      <c r="K1490">
        <v>827.18</v>
      </c>
      <c r="L1490" t="s">
        <v>3545</v>
      </c>
      <c r="M1490">
        <f>VLOOKUP(H1490,'Stage Order'!$A$2:$B$8,2,FALSE)</f>
        <v>6</v>
      </c>
      <c r="N1490" t="str">
        <f t="shared" si="46"/>
        <v>2. 1-24 hours</v>
      </c>
      <c r="O1490" t="str">
        <f t="shared" si="47"/>
        <v>2026-04</v>
      </c>
    </row>
    <row r="1491" spans="1:15" x14ac:dyDescent="0.3">
      <c r="A1491" t="s">
        <v>3546</v>
      </c>
      <c r="B1491" t="s">
        <v>3547</v>
      </c>
      <c r="C1491" t="s">
        <v>76</v>
      </c>
      <c r="D1491" t="s">
        <v>77</v>
      </c>
      <c r="E1491" t="s">
        <v>59</v>
      </c>
      <c r="F1491" t="s">
        <v>117</v>
      </c>
      <c r="G1491">
        <v>4.99</v>
      </c>
      <c r="H1491" t="s">
        <v>138</v>
      </c>
      <c r="I1491" t="s">
        <v>48</v>
      </c>
      <c r="J1491" t="s">
        <v>49</v>
      </c>
      <c r="K1491">
        <v>915.47</v>
      </c>
      <c r="L1491" t="s">
        <v>3548</v>
      </c>
      <c r="M1491">
        <f>VLOOKUP(H1491,'Stage Order'!$A$2:$B$8,2,FALSE)</f>
        <v>6</v>
      </c>
      <c r="N1491" t="str">
        <f t="shared" si="46"/>
        <v>2. 1-24 hours</v>
      </c>
      <c r="O1491" t="str">
        <f t="shared" si="47"/>
        <v>2025-02</v>
      </c>
    </row>
    <row r="1492" spans="1:15" x14ac:dyDescent="0.3">
      <c r="A1492" t="s">
        <v>3549</v>
      </c>
      <c r="B1492" t="s">
        <v>3550</v>
      </c>
      <c r="C1492" t="s">
        <v>81</v>
      </c>
      <c r="D1492" t="s">
        <v>29</v>
      </c>
      <c r="E1492" t="s">
        <v>90</v>
      </c>
      <c r="F1492" t="s">
        <v>145</v>
      </c>
      <c r="G1492">
        <v>3.03</v>
      </c>
      <c r="H1492" t="s">
        <v>61</v>
      </c>
      <c r="I1492" t="s">
        <v>42</v>
      </c>
      <c r="M1492">
        <f>VLOOKUP(H1492,'Stage Order'!$A$2:$B$8,2,FALSE)</f>
        <v>1</v>
      </c>
      <c r="N1492" t="str">
        <f t="shared" si="46"/>
        <v>2. 1-24 hours</v>
      </c>
      <c r="O1492" t="str">
        <f t="shared" si="47"/>
        <v>2026-05</v>
      </c>
    </row>
    <row r="1493" spans="1:15" x14ac:dyDescent="0.3">
      <c r="A1493" t="s">
        <v>3551</v>
      </c>
      <c r="B1493" t="s">
        <v>3552</v>
      </c>
      <c r="C1493" t="s">
        <v>37</v>
      </c>
      <c r="D1493" t="s">
        <v>54</v>
      </c>
      <c r="E1493" t="s">
        <v>59</v>
      </c>
      <c r="F1493" t="s">
        <v>137</v>
      </c>
      <c r="G1493">
        <v>1.57</v>
      </c>
      <c r="H1493" t="s">
        <v>61</v>
      </c>
      <c r="I1493" t="s">
        <v>42</v>
      </c>
      <c r="M1493">
        <f>VLOOKUP(H1493,'Stage Order'!$A$2:$B$8,2,FALSE)</f>
        <v>1</v>
      </c>
      <c r="N1493" t="str">
        <f t="shared" si="46"/>
        <v>2. 1-24 hours</v>
      </c>
      <c r="O1493" t="str">
        <f t="shared" si="47"/>
        <v>2025-07</v>
      </c>
    </row>
    <row r="1494" spans="1:15" x14ac:dyDescent="0.3">
      <c r="A1494" t="s">
        <v>3553</v>
      </c>
      <c r="B1494" t="s">
        <v>3554</v>
      </c>
      <c r="C1494" t="s">
        <v>58</v>
      </c>
      <c r="D1494" t="s">
        <v>54</v>
      </c>
      <c r="E1494" t="s">
        <v>90</v>
      </c>
      <c r="F1494" t="s">
        <v>145</v>
      </c>
      <c r="G1494">
        <v>10.79</v>
      </c>
      <c r="H1494" t="s">
        <v>128</v>
      </c>
      <c r="I1494" t="s">
        <v>42</v>
      </c>
      <c r="M1494">
        <f>VLOOKUP(H1494,'Stage Order'!$A$2:$B$8,2,FALSE)</f>
        <v>3</v>
      </c>
      <c r="N1494" t="str">
        <f t="shared" si="46"/>
        <v>2. 1-24 hours</v>
      </c>
      <c r="O1494" t="str">
        <f t="shared" si="47"/>
        <v>2025-06</v>
      </c>
    </row>
    <row r="1495" spans="1:15" x14ac:dyDescent="0.3">
      <c r="A1495" t="s">
        <v>3555</v>
      </c>
      <c r="B1495" t="s">
        <v>3556</v>
      </c>
      <c r="C1495" t="s">
        <v>81</v>
      </c>
      <c r="D1495" t="s">
        <v>54</v>
      </c>
      <c r="E1495" t="s">
        <v>45</v>
      </c>
      <c r="F1495" t="s">
        <v>94</v>
      </c>
      <c r="G1495">
        <v>3.02</v>
      </c>
      <c r="H1495" t="s">
        <v>61</v>
      </c>
      <c r="I1495" t="s">
        <v>42</v>
      </c>
      <c r="M1495">
        <f>VLOOKUP(H1495,'Stage Order'!$A$2:$B$8,2,FALSE)</f>
        <v>1</v>
      </c>
      <c r="N1495" t="str">
        <f t="shared" si="46"/>
        <v>2. 1-24 hours</v>
      </c>
      <c r="O1495" t="str">
        <f t="shared" si="47"/>
        <v>2025-06</v>
      </c>
    </row>
    <row r="1496" spans="1:15" x14ac:dyDescent="0.3">
      <c r="A1496" t="s">
        <v>3557</v>
      </c>
      <c r="B1496" t="s">
        <v>3558</v>
      </c>
      <c r="C1496" t="s">
        <v>53</v>
      </c>
      <c r="D1496" t="s">
        <v>77</v>
      </c>
      <c r="E1496" t="s">
        <v>45</v>
      </c>
      <c r="F1496" t="s">
        <v>46</v>
      </c>
      <c r="G1496">
        <v>3.68</v>
      </c>
      <c r="H1496" t="s">
        <v>41</v>
      </c>
      <c r="I1496" t="s">
        <v>42</v>
      </c>
      <c r="M1496">
        <f>VLOOKUP(H1496,'Stage Order'!$A$2:$B$8,2,FALSE)</f>
        <v>2</v>
      </c>
      <c r="N1496" t="str">
        <f t="shared" si="46"/>
        <v>2. 1-24 hours</v>
      </c>
      <c r="O1496" t="str">
        <f t="shared" si="47"/>
        <v>2025-09</v>
      </c>
    </row>
    <row r="1497" spans="1:15" x14ac:dyDescent="0.3">
      <c r="A1497" t="s">
        <v>3559</v>
      </c>
      <c r="B1497" t="s">
        <v>3560</v>
      </c>
      <c r="C1497" t="s">
        <v>58</v>
      </c>
      <c r="D1497" t="s">
        <v>29</v>
      </c>
      <c r="E1497" t="s">
        <v>39</v>
      </c>
      <c r="F1497" t="s">
        <v>106</v>
      </c>
      <c r="G1497">
        <v>3.55</v>
      </c>
      <c r="H1497" t="s">
        <v>41</v>
      </c>
      <c r="I1497" t="s">
        <v>42</v>
      </c>
      <c r="M1497">
        <f>VLOOKUP(H1497,'Stage Order'!$A$2:$B$8,2,FALSE)</f>
        <v>2</v>
      </c>
      <c r="N1497" t="str">
        <f t="shared" si="46"/>
        <v>2. 1-24 hours</v>
      </c>
      <c r="O1497" t="str">
        <f t="shared" si="47"/>
        <v>2025-03</v>
      </c>
    </row>
    <row r="1498" spans="1:15" x14ac:dyDescent="0.3">
      <c r="A1498" t="s">
        <v>3561</v>
      </c>
      <c r="B1498" t="s">
        <v>3562</v>
      </c>
      <c r="C1498" t="s">
        <v>81</v>
      </c>
      <c r="D1498" t="s">
        <v>38</v>
      </c>
      <c r="E1498" t="s">
        <v>45</v>
      </c>
      <c r="F1498" t="s">
        <v>94</v>
      </c>
      <c r="G1498">
        <v>1.78</v>
      </c>
      <c r="H1498" t="s">
        <v>41</v>
      </c>
      <c r="I1498" t="s">
        <v>42</v>
      </c>
      <c r="M1498">
        <f>VLOOKUP(H1498,'Stage Order'!$A$2:$B$8,2,FALSE)</f>
        <v>2</v>
      </c>
      <c r="N1498" t="str">
        <f t="shared" si="46"/>
        <v>2. 1-24 hours</v>
      </c>
      <c r="O1498" t="str">
        <f t="shared" si="47"/>
        <v>2026-04</v>
      </c>
    </row>
    <row r="1499" spans="1:15" x14ac:dyDescent="0.3">
      <c r="A1499" t="s">
        <v>3563</v>
      </c>
      <c r="B1499" t="s">
        <v>3564</v>
      </c>
      <c r="C1499" t="s">
        <v>81</v>
      </c>
      <c r="D1499" t="s">
        <v>29</v>
      </c>
      <c r="E1499" t="s">
        <v>39</v>
      </c>
      <c r="F1499" t="s">
        <v>40</v>
      </c>
      <c r="G1499">
        <v>2.33</v>
      </c>
      <c r="H1499" t="s">
        <v>61</v>
      </c>
      <c r="I1499" t="s">
        <v>42</v>
      </c>
      <c r="M1499">
        <f>VLOOKUP(H1499,'Stage Order'!$A$2:$B$8,2,FALSE)</f>
        <v>1</v>
      </c>
      <c r="N1499" t="str">
        <f t="shared" si="46"/>
        <v>2. 1-24 hours</v>
      </c>
      <c r="O1499" t="str">
        <f t="shared" si="47"/>
        <v>2025-05</v>
      </c>
    </row>
    <row r="1500" spans="1:15" x14ac:dyDescent="0.3">
      <c r="A1500" t="s">
        <v>3565</v>
      </c>
      <c r="B1500" t="s">
        <v>3566</v>
      </c>
      <c r="C1500" t="s">
        <v>37</v>
      </c>
      <c r="D1500" t="s">
        <v>54</v>
      </c>
      <c r="E1500" t="s">
        <v>30</v>
      </c>
      <c r="F1500" t="s">
        <v>31</v>
      </c>
      <c r="G1500">
        <v>31.4</v>
      </c>
      <c r="H1500" t="s">
        <v>146</v>
      </c>
      <c r="I1500" t="s">
        <v>48</v>
      </c>
      <c r="J1500" t="s">
        <v>98</v>
      </c>
      <c r="K1500">
        <v>499.5</v>
      </c>
      <c r="L1500" t="s">
        <v>3567</v>
      </c>
      <c r="M1500">
        <f>VLOOKUP(H1500,'Stage Order'!$A$2:$B$8,2,FALSE)</f>
        <v>5</v>
      </c>
      <c r="N1500" t="str">
        <f t="shared" si="46"/>
        <v>3. 1-3 days</v>
      </c>
      <c r="O1500" t="str">
        <f t="shared" si="47"/>
        <v>2025-05</v>
      </c>
    </row>
    <row r="1501" spans="1:15" x14ac:dyDescent="0.3">
      <c r="A1501" t="s">
        <v>3568</v>
      </c>
      <c r="B1501" t="s">
        <v>3569</v>
      </c>
      <c r="C1501" t="s">
        <v>37</v>
      </c>
      <c r="D1501" t="s">
        <v>29</v>
      </c>
      <c r="E1501" t="s">
        <v>90</v>
      </c>
      <c r="F1501" t="s">
        <v>145</v>
      </c>
      <c r="G1501">
        <v>4.82</v>
      </c>
      <c r="H1501" t="s">
        <v>47</v>
      </c>
      <c r="I1501" t="s">
        <v>48</v>
      </c>
      <c r="J1501" t="s">
        <v>139</v>
      </c>
      <c r="K1501">
        <v>700.76</v>
      </c>
      <c r="L1501" t="s">
        <v>3570</v>
      </c>
      <c r="M1501">
        <f>VLOOKUP(H1501,'Stage Order'!$A$2:$B$8,2,FALSE)</f>
        <v>4</v>
      </c>
      <c r="N1501" t="str">
        <f t="shared" si="46"/>
        <v>2. 1-24 hours</v>
      </c>
      <c r="O1501" t="str">
        <f t="shared" si="47"/>
        <v>2026-04</v>
      </c>
    </row>
    <row r="1502" spans="1:15" x14ac:dyDescent="0.3">
      <c r="A1502" t="s">
        <v>3571</v>
      </c>
      <c r="B1502" t="s">
        <v>3572</v>
      </c>
      <c r="C1502" t="s">
        <v>37</v>
      </c>
      <c r="D1502" t="s">
        <v>54</v>
      </c>
      <c r="E1502" t="s">
        <v>45</v>
      </c>
      <c r="F1502" t="s">
        <v>55</v>
      </c>
      <c r="G1502">
        <v>2.41</v>
      </c>
      <c r="H1502" t="s">
        <v>41</v>
      </c>
      <c r="I1502" t="s">
        <v>42</v>
      </c>
      <c r="M1502">
        <f>VLOOKUP(H1502,'Stage Order'!$A$2:$B$8,2,FALSE)</f>
        <v>2</v>
      </c>
      <c r="N1502" t="str">
        <f t="shared" si="46"/>
        <v>2. 1-24 hours</v>
      </c>
      <c r="O1502" t="str">
        <f t="shared" si="47"/>
        <v>2026-06</v>
      </c>
    </row>
    <row r="1503" spans="1:15" x14ac:dyDescent="0.3">
      <c r="A1503" t="s">
        <v>3573</v>
      </c>
      <c r="B1503" t="s">
        <v>3574</v>
      </c>
      <c r="C1503" t="s">
        <v>76</v>
      </c>
      <c r="D1503" t="s">
        <v>77</v>
      </c>
      <c r="E1503" t="s">
        <v>90</v>
      </c>
      <c r="F1503" t="s">
        <v>91</v>
      </c>
      <c r="G1503">
        <v>1.17</v>
      </c>
      <c r="H1503" t="s">
        <v>41</v>
      </c>
      <c r="I1503" t="s">
        <v>42</v>
      </c>
      <c r="M1503">
        <f>VLOOKUP(H1503,'Stage Order'!$A$2:$B$8,2,FALSE)</f>
        <v>2</v>
      </c>
      <c r="N1503" t="str">
        <f t="shared" si="46"/>
        <v>2. 1-24 hours</v>
      </c>
      <c r="O1503" t="str">
        <f t="shared" si="47"/>
        <v>2025-05</v>
      </c>
    </row>
    <row r="1504" spans="1:15" x14ac:dyDescent="0.3">
      <c r="A1504" t="s">
        <v>3575</v>
      </c>
      <c r="B1504" t="s">
        <v>3576</v>
      </c>
      <c r="C1504" t="s">
        <v>53</v>
      </c>
      <c r="D1504" t="s">
        <v>97</v>
      </c>
      <c r="E1504" t="s">
        <v>39</v>
      </c>
      <c r="F1504" t="s">
        <v>106</v>
      </c>
      <c r="G1504">
        <v>0.62</v>
      </c>
      <c r="H1504" t="s">
        <v>32</v>
      </c>
      <c r="I1504" t="s">
        <v>33</v>
      </c>
      <c r="K1504">
        <v>1502.9</v>
      </c>
      <c r="L1504" t="s">
        <v>3577</v>
      </c>
      <c r="M1504">
        <f>VLOOKUP(H1504,'Stage Order'!$A$2:$B$8,2,FALSE)</f>
        <v>7</v>
      </c>
      <c r="N1504" t="str">
        <f t="shared" si="46"/>
        <v>1. Under 1 hour</v>
      </c>
      <c r="O1504" t="str">
        <f t="shared" si="47"/>
        <v>2025-10</v>
      </c>
    </row>
    <row r="1505" spans="1:15" x14ac:dyDescent="0.3">
      <c r="A1505" t="s">
        <v>3578</v>
      </c>
      <c r="B1505" t="s">
        <v>3579</v>
      </c>
      <c r="C1505" t="s">
        <v>28</v>
      </c>
      <c r="D1505" t="s">
        <v>54</v>
      </c>
      <c r="E1505" t="s">
        <v>39</v>
      </c>
      <c r="F1505" t="s">
        <v>106</v>
      </c>
      <c r="G1505">
        <v>0.48</v>
      </c>
      <c r="H1505" t="s">
        <v>32</v>
      </c>
      <c r="I1505" t="s">
        <v>33</v>
      </c>
      <c r="K1505">
        <v>450.09</v>
      </c>
      <c r="L1505" t="s">
        <v>3580</v>
      </c>
      <c r="M1505">
        <f>VLOOKUP(H1505,'Stage Order'!$A$2:$B$8,2,FALSE)</f>
        <v>7</v>
      </c>
      <c r="N1505" t="str">
        <f t="shared" si="46"/>
        <v>1. Under 1 hour</v>
      </c>
      <c r="O1505" t="str">
        <f t="shared" si="47"/>
        <v>2025-05</v>
      </c>
    </row>
    <row r="1506" spans="1:15" x14ac:dyDescent="0.3">
      <c r="A1506" t="s">
        <v>3581</v>
      </c>
      <c r="B1506" t="s">
        <v>3582</v>
      </c>
      <c r="C1506" t="s">
        <v>53</v>
      </c>
      <c r="D1506" t="s">
        <v>29</v>
      </c>
      <c r="E1506" t="s">
        <v>45</v>
      </c>
      <c r="F1506" t="s">
        <v>55</v>
      </c>
      <c r="G1506">
        <v>3.38</v>
      </c>
      <c r="H1506" t="s">
        <v>41</v>
      </c>
      <c r="I1506" t="s">
        <v>42</v>
      </c>
      <c r="M1506">
        <f>VLOOKUP(H1506,'Stage Order'!$A$2:$B$8,2,FALSE)</f>
        <v>2</v>
      </c>
      <c r="N1506" t="str">
        <f t="shared" si="46"/>
        <v>2. 1-24 hours</v>
      </c>
      <c r="O1506" t="str">
        <f t="shared" si="47"/>
        <v>2025-04</v>
      </c>
    </row>
    <row r="1507" spans="1:15" x14ac:dyDescent="0.3">
      <c r="A1507" t="s">
        <v>3583</v>
      </c>
      <c r="B1507" t="s">
        <v>3584</v>
      </c>
      <c r="C1507" t="s">
        <v>125</v>
      </c>
      <c r="D1507" t="s">
        <v>77</v>
      </c>
      <c r="E1507" t="s">
        <v>39</v>
      </c>
      <c r="F1507" t="s">
        <v>106</v>
      </c>
      <c r="G1507">
        <v>19.260000000000002</v>
      </c>
      <c r="H1507" t="s">
        <v>47</v>
      </c>
      <c r="I1507" t="s">
        <v>48</v>
      </c>
      <c r="J1507" t="s">
        <v>139</v>
      </c>
      <c r="K1507">
        <v>1141.71</v>
      </c>
      <c r="L1507" t="s">
        <v>3585</v>
      </c>
      <c r="M1507">
        <f>VLOOKUP(H1507,'Stage Order'!$A$2:$B$8,2,FALSE)</f>
        <v>4</v>
      </c>
      <c r="N1507" t="str">
        <f t="shared" si="46"/>
        <v>2. 1-24 hours</v>
      </c>
      <c r="O1507" t="str">
        <f t="shared" si="47"/>
        <v>2025-02</v>
      </c>
    </row>
    <row r="1508" spans="1:15" x14ac:dyDescent="0.3">
      <c r="A1508" t="s">
        <v>3586</v>
      </c>
      <c r="B1508" t="s">
        <v>3587</v>
      </c>
      <c r="C1508" t="s">
        <v>37</v>
      </c>
      <c r="D1508" t="s">
        <v>38</v>
      </c>
      <c r="E1508" t="s">
        <v>59</v>
      </c>
      <c r="F1508" t="s">
        <v>60</v>
      </c>
      <c r="G1508">
        <v>4.97</v>
      </c>
      <c r="H1508" t="s">
        <v>41</v>
      </c>
      <c r="I1508" t="s">
        <v>42</v>
      </c>
      <c r="M1508">
        <f>VLOOKUP(H1508,'Stage Order'!$A$2:$B$8,2,FALSE)</f>
        <v>2</v>
      </c>
      <c r="N1508" t="str">
        <f t="shared" si="46"/>
        <v>2. 1-24 hours</v>
      </c>
      <c r="O1508" t="str">
        <f t="shared" si="47"/>
        <v>2025-01</v>
      </c>
    </row>
    <row r="1509" spans="1:15" x14ac:dyDescent="0.3">
      <c r="A1509" t="s">
        <v>3588</v>
      </c>
      <c r="B1509" t="s">
        <v>3589</v>
      </c>
      <c r="C1509" t="s">
        <v>81</v>
      </c>
      <c r="D1509" t="s">
        <v>54</v>
      </c>
      <c r="E1509" t="s">
        <v>59</v>
      </c>
      <c r="F1509" t="s">
        <v>60</v>
      </c>
      <c r="G1509">
        <v>7.15</v>
      </c>
      <c r="H1509" t="s">
        <v>41</v>
      </c>
      <c r="I1509" t="s">
        <v>42</v>
      </c>
      <c r="M1509">
        <f>VLOOKUP(H1509,'Stage Order'!$A$2:$B$8,2,FALSE)</f>
        <v>2</v>
      </c>
      <c r="N1509" t="str">
        <f t="shared" si="46"/>
        <v>2. 1-24 hours</v>
      </c>
      <c r="O1509" t="str">
        <f t="shared" si="47"/>
        <v>2026-05</v>
      </c>
    </row>
    <row r="1510" spans="1:15" x14ac:dyDescent="0.3">
      <c r="A1510" t="s">
        <v>3590</v>
      </c>
      <c r="B1510" t="s">
        <v>3591</v>
      </c>
      <c r="C1510" t="s">
        <v>81</v>
      </c>
      <c r="D1510" t="s">
        <v>38</v>
      </c>
      <c r="E1510" t="s">
        <v>30</v>
      </c>
      <c r="F1510" t="s">
        <v>82</v>
      </c>
      <c r="G1510">
        <v>23.27</v>
      </c>
      <c r="H1510" t="s">
        <v>41</v>
      </c>
      <c r="I1510" t="s">
        <v>42</v>
      </c>
      <c r="M1510">
        <f>VLOOKUP(H1510,'Stage Order'!$A$2:$B$8,2,FALSE)</f>
        <v>2</v>
      </c>
      <c r="N1510" t="str">
        <f t="shared" si="46"/>
        <v>2. 1-24 hours</v>
      </c>
      <c r="O1510" t="str">
        <f t="shared" si="47"/>
        <v>2026-06</v>
      </c>
    </row>
    <row r="1511" spans="1:15" x14ac:dyDescent="0.3">
      <c r="A1511" t="s">
        <v>3592</v>
      </c>
      <c r="B1511" t="s">
        <v>3593</v>
      </c>
      <c r="C1511" t="s">
        <v>53</v>
      </c>
      <c r="D1511" t="s">
        <v>29</v>
      </c>
      <c r="E1511" t="s">
        <v>39</v>
      </c>
      <c r="F1511" t="s">
        <v>66</v>
      </c>
      <c r="G1511">
        <v>1.24</v>
      </c>
      <c r="H1511" t="s">
        <v>146</v>
      </c>
      <c r="I1511" t="s">
        <v>48</v>
      </c>
      <c r="J1511" t="s">
        <v>139</v>
      </c>
      <c r="K1511">
        <v>625.47</v>
      </c>
      <c r="L1511" t="s">
        <v>3594</v>
      </c>
      <c r="M1511">
        <f>VLOOKUP(H1511,'Stage Order'!$A$2:$B$8,2,FALSE)</f>
        <v>5</v>
      </c>
      <c r="N1511" t="str">
        <f t="shared" si="46"/>
        <v>2. 1-24 hours</v>
      </c>
      <c r="O1511" t="str">
        <f t="shared" si="47"/>
        <v>2025-06</v>
      </c>
    </row>
    <row r="1512" spans="1:15" x14ac:dyDescent="0.3">
      <c r="A1512" t="s">
        <v>3595</v>
      </c>
      <c r="B1512" t="s">
        <v>3596</v>
      </c>
      <c r="C1512" t="s">
        <v>28</v>
      </c>
      <c r="D1512" t="s">
        <v>77</v>
      </c>
      <c r="E1512" t="s">
        <v>39</v>
      </c>
      <c r="F1512" t="s">
        <v>40</v>
      </c>
      <c r="G1512">
        <v>5.26</v>
      </c>
      <c r="H1512" t="s">
        <v>146</v>
      </c>
      <c r="I1512" t="s">
        <v>48</v>
      </c>
      <c r="J1512" t="s">
        <v>113</v>
      </c>
      <c r="K1512">
        <v>931.02</v>
      </c>
      <c r="L1512" t="s">
        <v>3597</v>
      </c>
      <c r="M1512">
        <f>VLOOKUP(H1512,'Stage Order'!$A$2:$B$8,2,FALSE)</f>
        <v>5</v>
      </c>
      <c r="N1512" t="str">
        <f t="shared" si="46"/>
        <v>2. 1-24 hours</v>
      </c>
      <c r="O1512" t="str">
        <f t="shared" si="47"/>
        <v>2026-02</v>
      </c>
    </row>
    <row r="1513" spans="1:15" x14ac:dyDescent="0.3">
      <c r="A1513" t="s">
        <v>3598</v>
      </c>
      <c r="B1513" t="s">
        <v>3599</v>
      </c>
      <c r="C1513" t="s">
        <v>125</v>
      </c>
      <c r="D1513" t="s">
        <v>29</v>
      </c>
      <c r="E1513" t="s">
        <v>45</v>
      </c>
      <c r="F1513" t="s">
        <v>55</v>
      </c>
      <c r="G1513">
        <v>5.36</v>
      </c>
      <c r="H1513" t="s">
        <v>41</v>
      </c>
      <c r="I1513" t="s">
        <v>42</v>
      </c>
      <c r="M1513">
        <f>VLOOKUP(H1513,'Stage Order'!$A$2:$B$8,2,FALSE)</f>
        <v>2</v>
      </c>
      <c r="N1513" t="str">
        <f t="shared" si="46"/>
        <v>2. 1-24 hours</v>
      </c>
      <c r="O1513" t="str">
        <f t="shared" si="47"/>
        <v>2025-04</v>
      </c>
    </row>
    <row r="1514" spans="1:15" x14ac:dyDescent="0.3">
      <c r="A1514" t="s">
        <v>3600</v>
      </c>
      <c r="B1514" t="s">
        <v>3601</v>
      </c>
      <c r="C1514" t="s">
        <v>37</v>
      </c>
      <c r="D1514" t="s">
        <v>77</v>
      </c>
      <c r="E1514" t="s">
        <v>45</v>
      </c>
      <c r="F1514" t="s">
        <v>46</v>
      </c>
      <c r="G1514">
        <v>6.03</v>
      </c>
      <c r="H1514" t="s">
        <v>41</v>
      </c>
      <c r="I1514" t="s">
        <v>42</v>
      </c>
      <c r="M1514">
        <f>VLOOKUP(H1514,'Stage Order'!$A$2:$B$8,2,FALSE)</f>
        <v>2</v>
      </c>
      <c r="N1514" t="str">
        <f t="shared" si="46"/>
        <v>2. 1-24 hours</v>
      </c>
      <c r="O1514" t="str">
        <f t="shared" si="47"/>
        <v>2025-03</v>
      </c>
    </row>
    <row r="1515" spans="1:15" x14ac:dyDescent="0.3">
      <c r="A1515" t="s">
        <v>3602</v>
      </c>
      <c r="B1515" t="s">
        <v>3603</v>
      </c>
      <c r="C1515" t="s">
        <v>53</v>
      </c>
      <c r="D1515" t="s">
        <v>77</v>
      </c>
      <c r="E1515" t="s">
        <v>59</v>
      </c>
      <c r="F1515" t="s">
        <v>60</v>
      </c>
      <c r="G1515">
        <v>1.06</v>
      </c>
      <c r="H1515" t="s">
        <v>32</v>
      </c>
      <c r="I1515" t="s">
        <v>33</v>
      </c>
      <c r="K1515">
        <v>1053.9100000000001</v>
      </c>
      <c r="L1515" t="s">
        <v>3604</v>
      </c>
      <c r="M1515">
        <f>VLOOKUP(H1515,'Stage Order'!$A$2:$B$8,2,FALSE)</f>
        <v>7</v>
      </c>
      <c r="N1515" t="str">
        <f t="shared" si="46"/>
        <v>2. 1-24 hours</v>
      </c>
      <c r="O1515" t="str">
        <f t="shared" si="47"/>
        <v>2025-10</v>
      </c>
    </row>
    <row r="1516" spans="1:15" x14ac:dyDescent="0.3">
      <c r="A1516" t="s">
        <v>3605</v>
      </c>
      <c r="B1516" t="s">
        <v>3606</v>
      </c>
      <c r="C1516" t="s">
        <v>125</v>
      </c>
      <c r="D1516" t="s">
        <v>38</v>
      </c>
      <c r="E1516" t="s">
        <v>45</v>
      </c>
      <c r="F1516" t="s">
        <v>46</v>
      </c>
      <c r="G1516">
        <v>1.6</v>
      </c>
      <c r="H1516" t="s">
        <v>41</v>
      </c>
      <c r="I1516" t="s">
        <v>42</v>
      </c>
      <c r="M1516">
        <f>VLOOKUP(H1516,'Stage Order'!$A$2:$B$8,2,FALSE)</f>
        <v>2</v>
      </c>
      <c r="N1516" t="str">
        <f t="shared" si="46"/>
        <v>2. 1-24 hours</v>
      </c>
      <c r="O1516" t="str">
        <f t="shared" si="47"/>
        <v>2026-02</v>
      </c>
    </row>
    <row r="1517" spans="1:15" x14ac:dyDescent="0.3">
      <c r="A1517" t="s">
        <v>3607</v>
      </c>
      <c r="B1517" t="s">
        <v>3608</v>
      </c>
      <c r="C1517" t="s">
        <v>53</v>
      </c>
      <c r="D1517" t="s">
        <v>97</v>
      </c>
      <c r="E1517" t="s">
        <v>59</v>
      </c>
      <c r="F1517" t="s">
        <v>60</v>
      </c>
      <c r="G1517">
        <v>1.67</v>
      </c>
      <c r="H1517" t="s">
        <v>32</v>
      </c>
      <c r="I1517" t="s">
        <v>33</v>
      </c>
      <c r="K1517">
        <v>1190.68</v>
      </c>
      <c r="L1517" t="s">
        <v>3609</v>
      </c>
      <c r="M1517">
        <f>VLOOKUP(H1517,'Stage Order'!$A$2:$B$8,2,FALSE)</f>
        <v>7</v>
      </c>
      <c r="N1517" t="str">
        <f t="shared" si="46"/>
        <v>2. 1-24 hours</v>
      </c>
      <c r="O1517" t="str">
        <f t="shared" si="47"/>
        <v>2026-02</v>
      </c>
    </row>
    <row r="1518" spans="1:15" x14ac:dyDescent="0.3">
      <c r="A1518" t="s">
        <v>3610</v>
      </c>
      <c r="B1518" t="s">
        <v>3611</v>
      </c>
      <c r="C1518" t="s">
        <v>37</v>
      </c>
      <c r="D1518" t="s">
        <v>38</v>
      </c>
      <c r="E1518" t="s">
        <v>39</v>
      </c>
      <c r="F1518" t="s">
        <v>40</v>
      </c>
      <c r="G1518">
        <v>4.67</v>
      </c>
      <c r="H1518" t="s">
        <v>41</v>
      </c>
      <c r="I1518" t="s">
        <v>42</v>
      </c>
      <c r="M1518">
        <f>VLOOKUP(H1518,'Stage Order'!$A$2:$B$8,2,FALSE)</f>
        <v>2</v>
      </c>
      <c r="N1518" t="str">
        <f t="shared" si="46"/>
        <v>2. 1-24 hours</v>
      </c>
      <c r="O1518" t="str">
        <f t="shared" si="47"/>
        <v>2025-12</v>
      </c>
    </row>
    <row r="1519" spans="1:15" x14ac:dyDescent="0.3">
      <c r="A1519" t="s">
        <v>3612</v>
      </c>
      <c r="B1519" t="s">
        <v>3613</v>
      </c>
      <c r="C1519" t="s">
        <v>81</v>
      </c>
      <c r="D1519" t="s">
        <v>54</v>
      </c>
      <c r="E1519" t="s">
        <v>30</v>
      </c>
      <c r="F1519" t="s">
        <v>82</v>
      </c>
      <c r="G1519">
        <v>12.13</v>
      </c>
      <c r="H1519" t="s">
        <v>41</v>
      </c>
      <c r="I1519" t="s">
        <v>42</v>
      </c>
      <c r="M1519">
        <f>VLOOKUP(H1519,'Stage Order'!$A$2:$B$8,2,FALSE)</f>
        <v>2</v>
      </c>
      <c r="N1519" t="str">
        <f t="shared" si="46"/>
        <v>2. 1-24 hours</v>
      </c>
      <c r="O1519" t="str">
        <f t="shared" si="47"/>
        <v>2025-06</v>
      </c>
    </row>
    <row r="1520" spans="1:15" x14ac:dyDescent="0.3">
      <c r="A1520" t="s">
        <v>3614</v>
      </c>
      <c r="B1520" t="s">
        <v>3615</v>
      </c>
      <c r="C1520" t="s">
        <v>53</v>
      </c>
      <c r="D1520" t="s">
        <v>29</v>
      </c>
      <c r="E1520" t="s">
        <v>30</v>
      </c>
      <c r="F1520" t="s">
        <v>78</v>
      </c>
      <c r="G1520">
        <v>0.41</v>
      </c>
      <c r="H1520" t="s">
        <v>32</v>
      </c>
      <c r="I1520" t="s">
        <v>33</v>
      </c>
      <c r="K1520">
        <v>744.94</v>
      </c>
      <c r="L1520" t="s">
        <v>3616</v>
      </c>
      <c r="M1520">
        <f>VLOOKUP(H1520,'Stage Order'!$A$2:$B$8,2,FALSE)</f>
        <v>7</v>
      </c>
      <c r="N1520" t="str">
        <f t="shared" si="46"/>
        <v>1. Under 1 hour</v>
      </c>
      <c r="O1520" t="str">
        <f t="shared" si="47"/>
        <v>2025-05</v>
      </c>
    </row>
    <row r="1521" spans="1:15" x14ac:dyDescent="0.3">
      <c r="A1521" t="s">
        <v>3617</v>
      </c>
      <c r="B1521" t="s">
        <v>3618</v>
      </c>
      <c r="C1521" t="s">
        <v>125</v>
      </c>
      <c r="D1521" t="s">
        <v>77</v>
      </c>
      <c r="E1521" t="s">
        <v>45</v>
      </c>
      <c r="F1521" t="s">
        <v>55</v>
      </c>
      <c r="G1521">
        <v>1.03</v>
      </c>
      <c r="H1521" t="s">
        <v>61</v>
      </c>
      <c r="I1521" t="s">
        <v>42</v>
      </c>
      <c r="M1521">
        <f>VLOOKUP(H1521,'Stage Order'!$A$2:$B$8,2,FALSE)</f>
        <v>1</v>
      </c>
      <c r="N1521" t="str">
        <f t="shared" si="46"/>
        <v>2. 1-24 hours</v>
      </c>
      <c r="O1521" t="str">
        <f t="shared" si="47"/>
        <v>2026-06</v>
      </c>
    </row>
    <row r="1522" spans="1:15" x14ac:dyDescent="0.3">
      <c r="A1522" t="s">
        <v>3619</v>
      </c>
      <c r="B1522" t="s">
        <v>3620</v>
      </c>
      <c r="C1522" t="s">
        <v>53</v>
      </c>
      <c r="D1522" t="s">
        <v>77</v>
      </c>
      <c r="E1522" t="s">
        <v>90</v>
      </c>
      <c r="F1522" t="s">
        <v>91</v>
      </c>
      <c r="G1522">
        <v>3.46</v>
      </c>
      <c r="H1522" t="s">
        <v>41</v>
      </c>
      <c r="I1522" t="s">
        <v>42</v>
      </c>
      <c r="M1522">
        <f>VLOOKUP(H1522,'Stage Order'!$A$2:$B$8,2,FALSE)</f>
        <v>2</v>
      </c>
      <c r="N1522" t="str">
        <f t="shared" si="46"/>
        <v>2. 1-24 hours</v>
      </c>
      <c r="O1522" t="str">
        <f t="shared" si="47"/>
        <v>2026-02</v>
      </c>
    </row>
    <row r="1523" spans="1:15" x14ac:dyDescent="0.3">
      <c r="A1523" t="s">
        <v>3621</v>
      </c>
      <c r="B1523" t="s">
        <v>3622</v>
      </c>
      <c r="C1523" t="s">
        <v>81</v>
      </c>
      <c r="D1523" t="s">
        <v>54</v>
      </c>
      <c r="E1523" t="s">
        <v>59</v>
      </c>
      <c r="F1523" t="s">
        <v>137</v>
      </c>
      <c r="G1523">
        <v>7.81</v>
      </c>
      <c r="H1523" t="s">
        <v>61</v>
      </c>
      <c r="I1523" t="s">
        <v>42</v>
      </c>
      <c r="M1523">
        <f>VLOOKUP(H1523,'Stage Order'!$A$2:$B$8,2,FALSE)</f>
        <v>1</v>
      </c>
      <c r="N1523" t="str">
        <f t="shared" si="46"/>
        <v>2. 1-24 hours</v>
      </c>
      <c r="O1523" t="str">
        <f t="shared" si="47"/>
        <v>2025-05</v>
      </c>
    </row>
    <row r="1524" spans="1:15" x14ac:dyDescent="0.3">
      <c r="A1524" t="s">
        <v>3623</v>
      </c>
      <c r="B1524" t="s">
        <v>3624</v>
      </c>
      <c r="C1524" t="s">
        <v>58</v>
      </c>
      <c r="D1524" t="s">
        <v>54</v>
      </c>
      <c r="E1524" t="s">
        <v>59</v>
      </c>
      <c r="F1524" t="s">
        <v>137</v>
      </c>
      <c r="G1524">
        <v>2.1</v>
      </c>
      <c r="H1524" t="s">
        <v>146</v>
      </c>
      <c r="I1524" t="s">
        <v>48</v>
      </c>
      <c r="J1524" t="s">
        <v>113</v>
      </c>
      <c r="K1524">
        <v>563.79999999999995</v>
      </c>
      <c r="L1524" t="s">
        <v>3625</v>
      </c>
      <c r="M1524">
        <f>VLOOKUP(H1524,'Stage Order'!$A$2:$B$8,2,FALSE)</f>
        <v>5</v>
      </c>
      <c r="N1524" t="str">
        <f t="shared" si="46"/>
        <v>2. 1-24 hours</v>
      </c>
      <c r="O1524" t="str">
        <f t="shared" si="47"/>
        <v>2025-01</v>
      </c>
    </row>
    <row r="1525" spans="1:15" x14ac:dyDescent="0.3">
      <c r="A1525" t="s">
        <v>3626</v>
      </c>
      <c r="B1525" t="s">
        <v>3627</v>
      </c>
      <c r="C1525" t="s">
        <v>76</v>
      </c>
      <c r="D1525" t="s">
        <v>54</v>
      </c>
      <c r="E1525" t="s">
        <v>39</v>
      </c>
      <c r="F1525" t="s">
        <v>106</v>
      </c>
      <c r="G1525">
        <v>3.42</v>
      </c>
      <c r="H1525" t="s">
        <v>41</v>
      </c>
      <c r="I1525" t="s">
        <v>42</v>
      </c>
      <c r="M1525">
        <f>VLOOKUP(H1525,'Stage Order'!$A$2:$B$8,2,FALSE)</f>
        <v>2</v>
      </c>
      <c r="N1525" t="str">
        <f t="shared" si="46"/>
        <v>2. 1-24 hours</v>
      </c>
      <c r="O1525" t="str">
        <f t="shared" si="47"/>
        <v>2025-10</v>
      </c>
    </row>
    <row r="1526" spans="1:15" x14ac:dyDescent="0.3">
      <c r="A1526" t="s">
        <v>3628</v>
      </c>
      <c r="B1526" t="s">
        <v>3629</v>
      </c>
      <c r="C1526" t="s">
        <v>76</v>
      </c>
      <c r="D1526" t="s">
        <v>29</v>
      </c>
      <c r="E1526" t="s">
        <v>39</v>
      </c>
      <c r="F1526" t="s">
        <v>40</v>
      </c>
      <c r="G1526">
        <v>4.17</v>
      </c>
      <c r="H1526" t="s">
        <v>47</v>
      </c>
      <c r="I1526" t="s">
        <v>48</v>
      </c>
      <c r="J1526" t="s">
        <v>742</v>
      </c>
      <c r="K1526">
        <v>555.82000000000005</v>
      </c>
      <c r="L1526" t="s">
        <v>3630</v>
      </c>
      <c r="M1526">
        <f>VLOOKUP(H1526,'Stage Order'!$A$2:$B$8,2,FALSE)</f>
        <v>4</v>
      </c>
      <c r="N1526" t="str">
        <f t="shared" si="46"/>
        <v>2. 1-24 hours</v>
      </c>
      <c r="O1526" t="str">
        <f t="shared" si="47"/>
        <v>2025-08</v>
      </c>
    </row>
    <row r="1527" spans="1:15" x14ac:dyDescent="0.3">
      <c r="A1527" t="s">
        <v>3631</v>
      </c>
      <c r="B1527" t="s">
        <v>3632</v>
      </c>
      <c r="C1527" t="s">
        <v>76</v>
      </c>
      <c r="D1527" t="s">
        <v>38</v>
      </c>
      <c r="E1527" t="s">
        <v>39</v>
      </c>
      <c r="F1527" t="s">
        <v>106</v>
      </c>
      <c r="G1527">
        <v>7.9</v>
      </c>
      <c r="H1527" t="s">
        <v>32</v>
      </c>
      <c r="I1527" t="s">
        <v>33</v>
      </c>
      <c r="K1527">
        <v>312.41000000000003</v>
      </c>
      <c r="L1527" t="s">
        <v>3633</v>
      </c>
      <c r="M1527">
        <f>VLOOKUP(H1527,'Stage Order'!$A$2:$B$8,2,FALSE)</f>
        <v>7</v>
      </c>
      <c r="N1527" t="str">
        <f t="shared" si="46"/>
        <v>2. 1-24 hours</v>
      </c>
      <c r="O1527" t="str">
        <f t="shared" si="47"/>
        <v>2026-02</v>
      </c>
    </row>
    <row r="1528" spans="1:15" x14ac:dyDescent="0.3">
      <c r="A1528" t="s">
        <v>3634</v>
      </c>
      <c r="B1528" t="s">
        <v>3635</v>
      </c>
      <c r="C1528" t="s">
        <v>37</v>
      </c>
      <c r="D1528" t="s">
        <v>38</v>
      </c>
      <c r="E1528" t="s">
        <v>39</v>
      </c>
      <c r="F1528" t="s">
        <v>106</v>
      </c>
      <c r="G1528">
        <v>8.73</v>
      </c>
      <c r="H1528" t="s">
        <v>138</v>
      </c>
      <c r="I1528" t="s">
        <v>48</v>
      </c>
      <c r="J1528" t="s">
        <v>113</v>
      </c>
      <c r="K1528">
        <v>365.61</v>
      </c>
      <c r="L1528" t="s">
        <v>3636</v>
      </c>
      <c r="M1528">
        <f>VLOOKUP(H1528,'Stage Order'!$A$2:$B$8,2,FALSE)</f>
        <v>6</v>
      </c>
      <c r="N1528" t="str">
        <f t="shared" si="46"/>
        <v>2. 1-24 hours</v>
      </c>
      <c r="O1528" t="str">
        <f t="shared" si="47"/>
        <v>2025-05</v>
      </c>
    </row>
    <row r="1529" spans="1:15" x14ac:dyDescent="0.3">
      <c r="A1529" t="s">
        <v>3637</v>
      </c>
      <c r="B1529" t="s">
        <v>3638</v>
      </c>
      <c r="C1529" t="s">
        <v>125</v>
      </c>
      <c r="D1529" t="s">
        <v>38</v>
      </c>
      <c r="E1529" t="s">
        <v>39</v>
      </c>
      <c r="F1529" t="s">
        <v>106</v>
      </c>
      <c r="G1529">
        <v>10.15</v>
      </c>
      <c r="H1529" t="s">
        <v>41</v>
      </c>
      <c r="I1529" t="s">
        <v>42</v>
      </c>
      <c r="M1529">
        <f>VLOOKUP(H1529,'Stage Order'!$A$2:$B$8,2,FALSE)</f>
        <v>2</v>
      </c>
      <c r="N1529" t="str">
        <f t="shared" si="46"/>
        <v>2. 1-24 hours</v>
      </c>
      <c r="O1529" t="str">
        <f t="shared" si="47"/>
        <v>2025-11</v>
      </c>
    </row>
    <row r="1530" spans="1:15" x14ac:dyDescent="0.3">
      <c r="A1530" t="s">
        <v>3639</v>
      </c>
      <c r="B1530" t="s">
        <v>3640</v>
      </c>
      <c r="C1530" t="s">
        <v>125</v>
      </c>
      <c r="D1530" t="s">
        <v>54</v>
      </c>
      <c r="E1530" t="s">
        <v>59</v>
      </c>
      <c r="F1530" t="s">
        <v>60</v>
      </c>
      <c r="G1530">
        <v>3.93</v>
      </c>
      <c r="H1530" t="s">
        <v>41</v>
      </c>
      <c r="I1530" t="s">
        <v>42</v>
      </c>
      <c r="M1530">
        <f>VLOOKUP(H1530,'Stage Order'!$A$2:$B$8,2,FALSE)</f>
        <v>2</v>
      </c>
      <c r="N1530" t="str">
        <f t="shared" si="46"/>
        <v>2. 1-24 hours</v>
      </c>
      <c r="O1530" t="str">
        <f t="shared" si="47"/>
        <v>2025-11</v>
      </c>
    </row>
    <row r="1531" spans="1:15" x14ac:dyDescent="0.3">
      <c r="A1531" t="s">
        <v>3641</v>
      </c>
      <c r="B1531" t="s">
        <v>3642</v>
      </c>
      <c r="C1531" t="s">
        <v>53</v>
      </c>
      <c r="D1531" t="s">
        <v>77</v>
      </c>
      <c r="E1531" t="s">
        <v>39</v>
      </c>
      <c r="F1531" t="s">
        <v>106</v>
      </c>
      <c r="G1531">
        <v>6.51</v>
      </c>
      <c r="H1531" t="s">
        <v>32</v>
      </c>
      <c r="I1531" t="s">
        <v>33</v>
      </c>
      <c r="K1531">
        <v>1048.0999999999999</v>
      </c>
      <c r="L1531" t="s">
        <v>3643</v>
      </c>
      <c r="M1531">
        <f>VLOOKUP(H1531,'Stage Order'!$A$2:$B$8,2,FALSE)</f>
        <v>7</v>
      </c>
      <c r="N1531" t="str">
        <f t="shared" si="46"/>
        <v>2. 1-24 hours</v>
      </c>
      <c r="O1531" t="str">
        <f t="shared" si="47"/>
        <v>2025-01</v>
      </c>
    </row>
    <row r="1532" spans="1:15" x14ac:dyDescent="0.3">
      <c r="A1532" t="s">
        <v>3644</v>
      </c>
      <c r="B1532" t="s">
        <v>3645</v>
      </c>
      <c r="C1532" t="s">
        <v>28</v>
      </c>
      <c r="D1532" t="s">
        <v>38</v>
      </c>
      <c r="E1532" t="s">
        <v>39</v>
      </c>
      <c r="F1532" t="s">
        <v>66</v>
      </c>
      <c r="G1532">
        <v>2.69</v>
      </c>
      <c r="H1532" t="s">
        <v>41</v>
      </c>
      <c r="I1532" t="s">
        <v>42</v>
      </c>
      <c r="M1532">
        <f>VLOOKUP(H1532,'Stage Order'!$A$2:$B$8,2,FALSE)</f>
        <v>2</v>
      </c>
      <c r="N1532" t="str">
        <f t="shared" si="46"/>
        <v>2. 1-24 hours</v>
      </c>
      <c r="O1532" t="str">
        <f t="shared" si="47"/>
        <v>2025-07</v>
      </c>
    </row>
    <row r="1533" spans="1:15" x14ac:dyDescent="0.3">
      <c r="A1533" t="s">
        <v>3646</v>
      </c>
      <c r="B1533" t="s">
        <v>3647</v>
      </c>
      <c r="C1533" t="s">
        <v>81</v>
      </c>
      <c r="D1533" t="s">
        <v>38</v>
      </c>
      <c r="E1533" t="s">
        <v>90</v>
      </c>
      <c r="F1533" t="s">
        <v>112</v>
      </c>
      <c r="G1533">
        <v>1.94</v>
      </c>
      <c r="H1533" t="s">
        <v>41</v>
      </c>
      <c r="I1533" t="s">
        <v>42</v>
      </c>
      <c r="M1533">
        <f>VLOOKUP(H1533,'Stage Order'!$A$2:$B$8,2,FALSE)</f>
        <v>2</v>
      </c>
      <c r="N1533" t="str">
        <f t="shared" si="46"/>
        <v>2. 1-24 hours</v>
      </c>
      <c r="O1533" t="str">
        <f t="shared" si="47"/>
        <v>2025-03</v>
      </c>
    </row>
    <row r="1534" spans="1:15" x14ac:dyDescent="0.3">
      <c r="A1534" t="s">
        <v>3648</v>
      </c>
      <c r="B1534" t="s">
        <v>3649</v>
      </c>
      <c r="C1534" t="s">
        <v>76</v>
      </c>
      <c r="D1534" t="s">
        <v>29</v>
      </c>
      <c r="E1534" t="s">
        <v>30</v>
      </c>
      <c r="F1534" t="s">
        <v>31</v>
      </c>
      <c r="G1534">
        <v>6.35</v>
      </c>
      <c r="H1534" t="s">
        <v>138</v>
      </c>
      <c r="I1534" t="s">
        <v>48</v>
      </c>
      <c r="J1534" t="s">
        <v>49</v>
      </c>
      <c r="K1534">
        <v>666.43</v>
      </c>
      <c r="L1534" t="s">
        <v>3650</v>
      </c>
      <c r="M1534">
        <f>VLOOKUP(H1534,'Stage Order'!$A$2:$B$8,2,FALSE)</f>
        <v>6</v>
      </c>
      <c r="N1534" t="str">
        <f t="shared" si="46"/>
        <v>2. 1-24 hours</v>
      </c>
      <c r="O1534" t="str">
        <f t="shared" si="47"/>
        <v>2025-02</v>
      </c>
    </row>
    <row r="1535" spans="1:15" x14ac:dyDescent="0.3">
      <c r="A1535" t="s">
        <v>3651</v>
      </c>
      <c r="B1535" t="s">
        <v>3652</v>
      </c>
      <c r="C1535" t="s">
        <v>58</v>
      </c>
      <c r="D1535" t="s">
        <v>77</v>
      </c>
      <c r="E1535" t="s">
        <v>59</v>
      </c>
      <c r="F1535" t="s">
        <v>117</v>
      </c>
      <c r="G1535">
        <v>10.52</v>
      </c>
      <c r="H1535" t="s">
        <v>138</v>
      </c>
      <c r="I1535" t="s">
        <v>48</v>
      </c>
      <c r="J1535" t="s">
        <v>139</v>
      </c>
      <c r="K1535">
        <v>1017.87</v>
      </c>
      <c r="L1535" t="s">
        <v>3653</v>
      </c>
      <c r="M1535">
        <f>VLOOKUP(H1535,'Stage Order'!$A$2:$B$8,2,FALSE)</f>
        <v>6</v>
      </c>
      <c r="N1535" t="str">
        <f t="shared" si="46"/>
        <v>2. 1-24 hours</v>
      </c>
      <c r="O1535" t="str">
        <f t="shared" si="47"/>
        <v>2025-04</v>
      </c>
    </row>
    <row r="1536" spans="1:15" x14ac:dyDescent="0.3">
      <c r="A1536" t="s">
        <v>3654</v>
      </c>
      <c r="B1536" t="s">
        <v>3655</v>
      </c>
      <c r="C1536" t="s">
        <v>125</v>
      </c>
      <c r="D1536" t="s">
        <v>29</v>
      </c>
      <c r="E1536" t="s">
        <v>39</v>
      </c>
      <c r="F1536" t="s">
        <v>106</v>
      </c>
      <c r="G1536">
        <v>8.82</v>
      </c>
      <c r="H1536" t="s">
        <v>41</v>
      </c>
      <c r="I1536" t="s">
        <v>42</v>
      </c>
      <c r="M1536">
        <f>VLOOKUP(H1536,'Stage Order'!$A$2:$B$8,2,FALSE)</f>
        <v>2</v>
      </c>
      <c r="N1536" t="str">
        <f t="shared" si="46"/>
        <v>2. 1-24 hours</v>
      </c>
      <c r="O1536" t="str">
        <f t="shared" si="47"/>
        <v>2025-10</v>
      </c>
    </row>
    <row r="1537" spans="1:15" x14ac:dyDescent="0.3">
      <c r="A1537" t="s">
        <v>3656</v>
      </c>
      <c r="B1537" t="s">
        <v>3657</v>
      </c>
      <c r="C1537" t="s">
        <v>37</v>
      </c>
      <c r="D1537" t="s">
        <v>38</v>
      </c>
      <c r="E1537" t="s">
        <v>90</v>
      </c>
      <c r="F1537" t="s">
        <v>91</v>
      </c>
      <c r="G1537">
        <v>9.48</v>
      </c>
      <c r="H1537" t="s">
        <v>128</v>
      </c>
      <c r="I1537" t="s">
        <v>42</v>
      </c>
      <c r="M1537">
        <f>VLOOKUP(H1537,'Stage Order'!$A$2:$B$8,2,FALSE)</f>
        <v>3</v>
      </c>
      <c r="N1537" t="str">
        <f t="shared" si="46"/>
        <v>2. 1-24 hours</v>
      </c>
      <c r="O1537" t="str">
        <f t="shared" si="47"/>
        <v>2026-05</v>
      </c>
    </row>
    <row r="1538" spans="1:15" x14ac:dyDescent="0.3">
      <c r="A1538" t="s">
        <v>3658</v>
      </c>
      <c r="B1538" t="s">
        <v>3659</v>
      </c>
      <c r="C1538" t="s">
        <v>37</v>
      </c>
      <c r="D1538" t="s">
        <v>97</v>
      </c>
      <c r="E1538" t="s">
        <v>39</v>
      </c>
      <c r="F1538" t="s">
        <v>40</v>
      </c>
      <c r="G1538">
        <v>1.72</v>
      </c>
      <c r="H1538" t="s">
        <v>146</v>
      </c>
      <c r="I1538" t="s">
        <v>48</v>
      </c>
      <c r="J1538" t="s">
        <v>113</v>
      </c>
      <c r="K1538">
        <v>1604.51</v>
      </c>
      <c r="L1538" t="s">
        <v>3660</v>
      </c>
      <c r="M1538">
        <f>VLOOKUP(H1538,'Stage Order'!$A$2:$B$8,2,FALSE)</f>
        <v>5</v>
      </c>
      <c r="N1538" t="str">
        <f t="shared" ref="N1538:N1601" si="48">IF(G1538&lt;=1,"1. Under 1 hour",IF(G1538&lt;=24,"2. 1-24 hours",IF(G1538&lt;=72,"3. 1-3 days","4. Over 3 days")))</f>
        <v>2. 1-24 hours</v>
      </c>
      <c r="O1538" t="str">
        <f t="shared" ref="O1538:O1601" si="49">TEXT(B1538,"YYYY-MM")</f>
        <v>2026-02</v>
      </c>
    </row>
    <row r="1539" spans="1:15" x14ac:dyDescent="0.3">
      <c r="A1539" t="s">
        <v>3661</v>
      </c>
      <c r="B1539" t="s">
        <v>3662</v>
      </c>
      <c r="C1539" t="s">
        <v>37</v>
      </c>
      <c r="D1539" t="s">
        <v>54</v>
      </c>
      <c r="E1539" t="s">
        <v>45</v>
      </c>
      <c r="F1539" t="s">
        <v>94</v>
      </c>
      <c r="G1539">
        <v>1.97</v>
      </c>
      <c r="H1539" t="s">
        <v>41</v>
      </c>
      <c r="I1539" t="s">
        <v>42</v>
      </c>
      <c r="M1539">
        <f>VLOOKUP(H1539,'Stage Order'!$A$2:$B$8,2,FALSE)</f>
        <v>2</v>
      </c>
      <c r="N1539" t="str">
        <f t="shared" si="48"/>
        <v>2. 1-24 hours</v>
      </c>
      <c r="O1539" t="str">
        <f t="shared" si="49"/>
        <v>2025-12</v>
      </c>
    </row>
    <row r="1540" spans="1:15" x14ac:dyDescent="0.3">
      <c r="A1540" t="s">
        <v>3663</v>
      </c>
      <c r="B1540" t="s">
        <v>3664</v>
      </c>
      <c r="C1540" t="s">
        <v>125</v>
      </c>
      <c r="D1540" t="s">
        <v>38</v>
      </c>
      <c r="E1540" t="s">
        <v>45</v>
      </c>
      <c r="F1540" t="s">
        <v>55</v>
      </c>
      <c r="G1540">
        <v>2.09</v>
      </c>
      <c r="H1540" t="s">
        <v>41</v>
      </c>
      <c r="I1540" t="s">
        <v>42</v>
      </c>
      <c r="M1540">
        <f>VLOOKUP(H1540,'Stage Order'!$A$2:$B$8,2,FALSE)</f>
        <v>2</v>
      </c>
      <c r="N1540" t="str">
        <f t="shared" si="48"/>
        <v>2. 1-24 hours</v>
      </c>
      <c r="O1540" t="str">
        <f t="shared" si="49"/>
        <v>2025-11</v>
      </c>
    </row>
    <row r="1541" spans="1:15" x14ac:dyDescent="0.3">
      <c r="A1541" t="s">
        <v>3665</v>
      </c>
      <c r="B1541" t="s">
        <v>1821</v>
      </c>
      <c r="C1541" t="s">
        <v>53</v>
      </c>
      <c r="D1541" t="s">
        <v>54</v>
      </c>
      <c r="E1541" t="s">
        <v>30</v>
      </c>
      <c r="F1541" t="s">
        <v>82</v>
      </c>
      <c r="G1541">
        <v>9.49</v>
      </c>
      <c r="H1541" t="s">
        <v>41</v>
      </c>
      <c r="I1541" t="s">
        <v>42</v>
      </c>
      <c r="M1541">
        <f>VLOOKUP(H1541,'Stage Order'!$A$2:$B$8,2,FALSE)</f>
        <v>2</v>
      </c>
      <c r="N1541" t="str">
        <f t="shared" si="48"/>
        <v>2. 1-24 hours</v>
      </c>
      <c r="O1541" t="str">
        <f t="shared" si="49"/>
        <v>2025-04</v>
      </c>
    </row>
    <row r="1542" spans="1:15" x14ac:dyDescent="0.3">
      <c r="A1542" t="s">
        <v>3666</v>
      </c>
      <c r="B1542" t="s">
        <v>3667</v>
      </c>
      <c r="C1542" t="s">
        <v>28</v>
      </c>
      <c r="D1542" t="s">
        <v>38</v>
      </c>
      <c r="E1542" t="s">
        <v>39</v>
      </c>
      <c r="F1542" t="s">
        <v>40</v>
      </c>
      <c r="G1542">
        <v>3.57</v>
      </c>
      <c r="H1542" t="s">
        <v>32</v>
      </c>
      <c r="I1542" t="s">
        <v>33</v>
      </c>
      <c r="K1542">
        <v>388.88</v>
      </c>
      <c r="L1542" t="s">
        <v>3668</v>
      </c>
      <c r="M1542">
        <f>VLOOKUP(H1542,'Stage Order'!$A$2:$B$8,2,FALSE)</f>
        <v>7</v>
      </c>
      <c r="N1542" t="str">
        <f t="shared" si="48"/>
        <v>2. 1-24 hours</v>
      </c>
      <c r="O1542" t="str">
        <f t="shared" si="49"/>
        <v>2025-11</v>
      </c>
    </row>
    <row r="1543" spans="1:15" x14ac:dyDescent="0.3">
      <c r="A1543" t="s">
        <v>3669</v>
      </c>
      <c r="B1543" t="s">
        <v>3670</v>
      </c>
      <c r="C1543" t="s">
        <v>58</v>
      </c>
      <c r="D1543" t="s">
        <v>54</v>
      </c>
      <c r="E1543" t="s">
        <v>90</v>
      </c>
      <c r="F1543" t="s">
        <v>112</v>
      </c>
      <c r="G1543">
        <v>6.19</v>
      </c>
      <c r="H1543" t="s">
        <v>41</v>
      </c>
      <c r="I1543" t="s">
        <v>42</v>
      </c>
      <c r="M1543">
        <f>VLOOKUP(H1543,'Stage Order'!$A$2:$B$8,2,FALSE)</f>
        <v>2</v>
      </c>
      <c r="N1543" t="str">
        <f t="shared" si="48"/>
        <v>2. 1-24 hours</v>
      </c>
      <c r="O1543" t="str">
        <f t="shared" si="49"/>
        <v>2025-04</v>
      </c>
    </row>
    <row r="1544" spans="1:15" x14ac:dyDescent="0.3">
      <c r="A1544" t="s">
        <v>3671</v>
      </c>
      <c r="B1544" t="s">
        <v>3672</v>
      </c>
      <c r="C1544" t="s">
        <v>58</v>
      </c>
      <c r="D1544" t="s">
        <v>38</v>
      </c>
      <c r="E1544" t="s">
        <v>30</v>
      </c>
      <c r="F1544" t="s">
        <v>78</v>
      </c>
      <c r="G1544">
        <v>10.98</v>
      </c>
      <c r="H1544" t="s">
        <v>61</v>
      </c>
      <c r="I1544" t="s">
        <v>42</v>
      </c>
      <c r="M1544">
        <f>VLOOKUP(H1544,'Stage Order'!$A$2:$B$8,2,FALSE)</f>
        <v>1</v>
      </c>
      <c r="N1544" t="str">
        <f t="shared" si="48"/>
        <v>2. 1-24 hours</v>
      </c>
      <c r="O1544" t="str">
        <f t="shared" si="49"/>
        <v>2026-03</v>
      </c>
    </row>
    <row r="1545" spans="1:15" x14ac:dyDescent="0.3">
      <c r="A1545" t="s">
        <v>3673</v>
      </c>
      <c r="B1545" t="s">
        <v>3674</v>
      </c>
      <c r="C1545" t="s">
        <v>76</v>
      </c>
      <c r="D1545" t="s">
        <v>54</v>
      </c>
      <c r="E1545" t="s">
        <v>45</v>
      </c>
      <c r="F1545" t="s">
        <v>94</v>
      </c>
      <c r="G1545">
        <v>3.34</v>
      </c>
      <c r="H1545" t="s">
        <v>138</v>
      </c>
      <c r="I1545" t="s">
        <v>48</v>
      </c>
      <c r="J1545" t="s">
        <v>98</v>
      </c>
      <c r="K1545">
        <v>468.43</v>
      </c>
      <c r="L1545" t="s">
        <v>3675</v>
      </c>
      <c r="M1545">
        <f>VLOOKUP(H1545,'Stage Order'!$A$2:$B$8,2,FALSE)</f>
        <v>6</v>
      </c>
      <c r="N1545" t="str">
        <f t="shared" si="48"/>
        <v>2. 1-24 hours</v>
      </c>
      <c r="O1545" t="str">
        <f t="shared" si="49"/>
        <v>2026-04</v>
      </c>
    </row>
    <row r="1546" spans="1:15" x14ac:dyDescent="0.3">
      <c r="A1546" t="s">
        <v>3676</v>
      </c>
      <c r="B1546" t="s">
        <v>3677</v>
      </c>
      <c r="C1546" t="s">
        <v>37</v>
      </c>
      <c r="D1546" t="s">
        <v>54</v>
      </c>
      <c r="E1546" t="s">
        <v>90</v>
      </c>
      <c r="F1546" t="s">
        <v>145</v>
      </c>
      <c r="G1546">
        <v>11.16</v>
      </c>
      <c r="H1546" t="s">
        <v>41</v>
      </c>
      <c r="I1546" t="s">
        <v>42</v>
      </c>
      <c r="M1546">
        <f>VLOOKUP(H1546,'Stage Order'!$A$2:$B$8,2,FALSE)</f>
        <v>2</v>
      </c>
      <c r="N1546" t="str">
        <f t="shared" si="48"/>
        <v>2. 1-24 hours</v>
      </c>
      <c r="O1546" t="str">
        <f t="shared" si="49"/>
        <v>2025-01</v>
      </c>
    </row>
    <row r="1547" spans="1:15" x14ac:dyDescent="0.3">
      <c r="A1547" t="s">
        <v>3678</v>
      </c>
      <c r="B1547" t="s">
        <v>3679</v>
      </c>
      <c r="C1547" t="s">
        <v>37</v>
      </c>
      <c r="D1547" t="s">
        <v>77</v>
      </c>
      <c r="E1547" t="s">
        <v>39</v>
      </c>
      <c r="F1547" t="s">
        <v>66</v>
      </c>
      <c r="G1547">
        <v>2.58</v>
      </c>
      <c r="H1547" t="s">
        <v>41</v>
      </c>
      <c r="I1547" t="s">
        <v>42</v>
      </c>
      <c r="M1547">
        <f>VLOOKUP(H1547,'Stage Order'!$A$2:$B$8,2,FALSE)</f>
        <v>2</v>
      </c>
      <c r="N1547" t="str">
        <f t="shared" si="48"/>
        <v>2. 1-24 hours</v>
      </c>
      <c r="O1547" t="str">
        <f t="shared" si="49"/>
        <v>2026-05</v>
      </c>
    </row>
    <row r="1548" spans="1:15" x14ac:dyDescent="0.3">
      <c r="A1548" t="s">
        <v>3680</v>
      </c>
      <c r="B1548" t="s">
        <v>3681</v>
      </c>
      <c r="C1548" t="s">
        <v>81</v>
      </c>
      <c r="D1548" t="s">
        <v>54</v>
      </c>
      <c r="E1548" t="s">
        <v>59</v>
      </c>
      <c r="F1548" t="s">
        <v>137</v>
      </c>
      <c r="G1548">
        <v>2.4500000000000002</v>
      </c>
      <c r="H1548" t="s">
        <v>61</v>
      </c>
      <c r="I1548" t="s">
        <v>42</v>
      </c>
      <c r="M1548">
        <f>VLOOKUP(H1548,'Stage Order'!$A$2:$B$8,2,FALSE)</f>
        <v>1</v>
      </c>
      <c r="N1548" t="str">
        <f t="shared" si="48"/>
        <v>2. 1-24 hours</v>
      </c>
      <c r="O1548" t="str">
        <f t="shared" si="49"/>
        <v>2025-02</v>
      </c>
    </row>
    <row r="1549" spans="1:15" x14ac:dyDescent="0.3">
      <c r="A1549" t="s">
        <v>3682</v>
      </c>
      <c r="B1549" t="s">
        <v>3683</v>
      </c>
      <c r="C1549" t="s">
        <v>125</v>
      </c>
      <c r="D1549" t="s">
        <v>54</v>
      </c>
      <c r="E1549" t="s">
        <v>45</v>
      </c>
      <c r="F1549" t="s">
        <v>55</v>
      </c>
      <c r="G1549">
        <v>2.38</v>
      </c>
      <c r="H1549" t="s">
        <v>138</v>
      </c>
      <c r="I1549" t="s">
        <v>48</v>
      </c>
      <c r="J1549" t="s">
        <v>139</v>
      </c>
      <c r="K1549">
        <v>582.82000000000005</v>
      </c>
      <c r="L1549" t="s">
        <v>3684</v>
      </c>
      <c r="M1549">
        <f>VLOOKUP(H1549,'Stage Order'!$A$2:$B$8,2,FALSE)</f>
        <v>6</v>
      </c>
      <c r="N1549" t="str">
        <f t="shared" si="48"/>
        <v>2. 1-24 hours</v>
      </c>
      <c r="O1549" t="str">
        <f t="shared" si="49"/>
        <v>2026-03</v>
      </c>
    </row>
    <row r="1550" spans="1:15" x14ac:dyDescent="0.3">
      <c r="A1550" t="s">
        <v>3685</v>
      </c>
      <c r="B1550" t="s">
        <v>3686</v>
      </c>
      <c r="C1550" t="s">
        <v>81</v>
      </c>
      <c r="D1550" t="s">
        <v>38</v>
      </c>
      <c r="E1550" t="s">
        <v>30</v>
      </c>
      <c r="F1550" t="s">
        <v>78</v>
      </c>
      <c r="G1550">
        <v>2.2999999999999998</v>
      </c>
      <c r="H1550" t="s">
        <v>61</v>
      </c>
      <c r="I1550" t="s">
        <v>42</v>
      </c>
      <c r="M1550">
        <f>VLOOKUP(H1550,'Stage Order'!$A$2:$B$8,2,FALSE)</f>
        <v>1</v>
      </c>
      <c r="N1550" t="str">
        <f t="shared" si="48"/>
        <v>2. 1-24 hours</v>
      </c>
      <c r="O1550" t="str">
        <f t="shared" si="49"/>
        <v>2026-04</v>
      </c>
    </row>
    <row r="1551" spans="1:15" x14ac:dyDescent="0.3">
      <c r="A1551" t="s">
        <v>3687</v>
      </c>
      <c r="B1551" t="s">
        <v>3688</v>
      </c>
      <c r="C1551" t="s">
        <v>125</v>
      </c>
      <c r="D1551" t="s">
        <v>29</v>
      </c>
      <c r="E1551" t="s">
        <v>39</v>
      </c>
      <c r="F1551" t="s">
        <v>106</v>
      </c>
      <c r="G1551">
        <v>1.95</v>
      </c>
      <c r="H1551" t="s">
        <v>41</v>
      </c>
      <c r="I1551" t="s">
        <v>42</v>
      </c>
      <c r="M1551">
        <f>VLOOKUP(H1551,'Stage Order'!$A$2:$B$8,2,FALSE)</f>
        <v>2</v>
      </c>
      <c r="N1551" t="str">
        <f t="shared" si="48"/>
        <v>2. 1-24 hours</v>
      </c>
      <c r="O1551" t="str">
        <f t="shared" si="49"/>
        <v>2025-05</v>
      </c>
    </row>
    <row r="1552" spans="1:15" x14ac:dyDescent="0.3">
      <c r="A1552" t="s">
        <v>3689</v>
      </c>
      <c r="B1552" t="s">
        <v>3690</v>
      </c>
      <c r="C1552" t="s">
        <v>53</v>
      </c>
      <c r="D1552" t="s">
        <v>77</v>
      </c>
      <c r="E1552" t="s">
        <v>30</v>
      </c>
      <c r="F1552" t="s">
        <v>78</v>
      </c>
      <c r="G1552">
        <v>7.1</v>
      </c>
      <c r="H1552" t="s">
        <v>41</v>
      </c>
      <c r="I1552" t="s">
        <v>42</v>
      </c>
      <c r="M1552">
        <f>VLOOKUP(H1552,'Stage Order'!$A$2:$B$8,2,FALSE)</f>
        <v>2</v>
      </c>
      <c r="N1552" t="str">
        <f t="shared" si="48"/>
        <v>2. 1-24 hours</v>
      </c>
      <c r="O1552" t="str">
        <f t="shared" si="49"/>
        <v>2026-04</v>
      </c>
    </row>
    <row r="1553" spans="1:15" x14ac:dyDescent="0.3">
      <c r="A1553" t="s">
        <v>3691</v>
      </c>
      <c r="B1553" t="s">
        <v>3692</v>
      </c>
      <c r="C1553" t="s">
        <v>76</v>
      </c>
      <c r="D1553" t="s">
        <v>29</v>
      </c>
      <c r="E1553" t="s">
        <v>30</v>
      </c>
      <c r="F1553" t="s">
        <v>82</v>
      </c>
      <c r="G1553">
        <v>1.46</v>
      </c>
      <c r="H1553" t="s">
        <v>41</v>
      </c>
      <c r="I1553" t="s">
        <v>42</v>
      </c>
      <c r="M1553">
        <f>VLOOKUP(H1553,'Stage Order'!$A$2:$B$8,2,FALSE)</f>
        <v>2</v>
      </c>
      <c r="N1553" t="str">
        <f t="shared" si="48"/>
        <v>2. 1-24 hours</v>
      </c>
      <c r="O1553" t="str">
        <f t="shared" si="49"/>
        <v>2025-04</v>
      </c>
    </row>
    <row r="1554" spans="1:15" x14ac:dyDescent="0.3">
      <c r="A1554" t="s">
        <v>3693</v>
      </c>
      <c r="B1554" t="s">
        <v>3694</v>
      </c>
      <c r="C1554" t="s">
        <v>37</v>
      </c>
      <c r="D1554" t="s">
        <v>29</v>
      </c>
      <c r="E1554" t="s">
        <v>45</v>
      </c>
      <c r="F1554" t="s">
        <v>46</v>
      </c>
      <c r="G1554">
        <v>1.78</v>
      </c>
      <c r="H1554" t="s">
        <v>41</v>
      </c>
      <c r="I1554" t="s">
        <v>42</v>
      </c>
      <c r="M1554">
        <f>VLOOKUP(H1554,'Stage Order'!$A$2:$B$8,2,FALSE)</f>
        <v>2</v>
      </c>
      <c r="N1554" t="str">
        <f t="shared" si="48"/>
        <v>2. 1-24 hours</v>
      </c>
      <c r="O1554" t="str">
        <f t="shared" si="49"/>
        <v>2025-12</v>
      </c>
    </row>
    <row r="1555" spans="1:15" x14ac:dyDescent="0.3">
      <c r="A1555" t="s">
        <v>3695</v>
      </c>
      <c r="B1555" t="s">
        <v>3696</v>
      </c>
      <c r="C1555" t="s">
        <v>125</v>
      </c>
      <c r="D1555" t="s">
        <v>54</v>
      </c>
      <c r="E1555" t="s">
        <v>39</v>
      </c>
      <c r="F1555" t="s">
        <v>40</v>
      </c>
      <c r="G1555">
        <v>4.47</v>
      </c>
      <c r="H1555" t="s">
        <v>41</v>
      </c>
      <c r="I1555" t="s">
        <v>42</v>
      </c>
      <c r="M1555">
        <f>VLOOKUP(H1555,'Stage Order'!$A$2:$B$8,2,FALSE)</f>
        <v>2</v>
      </c>
      <c r="N1555" t="str">
        <f t="shared" si="48"/>
        <v>2. 1-24 hours</v>
      </c>
      <c r="O1555" t="str">
        <f t="shared" si="49"/>
        <v>2025-03</v>
      </c>
    </row>
    <row r="1556" spans="1:15" x14ac:dyDescent="0.3">
      <c r="A1556" t="s">
        <v>3697</v>
      </c>
      <c r="B1556" t="s">
        <v>3698</v>
      </c>
      <c r="C1556" t="s">
        <v>58</v>
      </c>
      <c r="D1556" t="s">
        <v>38</v>
      </c>
      <c r="E1556" t="s">
        <v>45</v>
      </c>
      <c r="F1556" t="s">
        <v>55</v>
      </c>
      <c r="G1556">
        <v>4.9400000000000004</v>
      </c>
      <c r="H1556" t="s">
        <v>47</v>
      </c>
      <c r="I1556" t="s">
        <v>48</v>
      </c>
      <c r="J1556" t="s">
        <v>113</v>
      </c>
      <c r="K1556">
        <v>382.68</v>
      </c>
      <c r="L1556" t="s">
        <v>3699</v>
      </c>
      <c r="M1556">
        <f>VLOOKUP(H1556,'Stage Order'!$A$2:$B$8,2,FALSE)</f>
        <v>4</v>
      </c>
      <c r="N1556" t="str">
        <f t="shared" si="48"/>
        <v>2. 1-24 hours</v>
      </c>
      <c r="O1556" t="str">
        <f t="shared" si="49"/>
        <v>2026-03</v>
      </c>
    </row>
    <row r="1557" spans="1:15" x14ac:dyDescent="0.3">
      <c r="A1557" t="s">
        <v>3700</v>
      </c>
      <c r="B1557" t="s">
        <v>3701</v>
      </c>
      <c r="C1557" t="s">
        <v>125</v>
      </c>
      <c r="D1557" t="s">
        <v>54</v>
      </c>
      <c r="E1557" t="s">
        <v>45</v>
      </c>
      <c r="F1557" t="s">
        <v>46</v>
      </c>
      <c r="G1557">
        <v>9.77</v>
      </c>
      <c r="H1557" t="s">
        <v>61</v>
      </c>
      <c r="I1557" t="s">
        <v>42</v>
      </c>
      <c r="M1557">
        <f>VLOOKUP(H1557,'Stage Order'!$A$2:$B$8,2,FALSE)</f>
        <v>1</v>
      </c>
      <c r="N1557" t="str">
        <f t="shared" si="48"/>
        <v>2. 1-24 hours</v>
      </c>
      <c r="O1557" t="str">
        <f t="shared" si="49"/>
        <v>2025-01</v>
      </c>
    </row>
    <row r="1558" spans="1:15" x14ac:dyDescent="0.3">
      <c r="A1558" t="s">
        <v>3702</v>
      </c>
      <c r="B1558" t="s">
        <v>3703</v>
      </c>
      <c r="C1558" t="s">
        <v>37</v>
      </c>
      <c r="D1558" t="s">
        <v>29</v>
      </c>
      <c r="E1558" t="s">
        <v>39</v>
      </c>
      <c r="F1558" t="s">
        <v>66</v>
      </c>
      <c r="G1558">
        <v>39.17</v>
      </c>
      <c r="H1558" t="s">
        <v>61</v>
      </c>
      <c r="I1558" t="s">
        <v>42</v>
      </c>
      <c r="M1558">
        <f>VLOOKUP(H1558,'Stage Order'!$A$2:$B$8,2,FALSE)</f>
        <v>1</v>
      </c>
      <c r="N1558" t="str">
        <f t="shared" si="48"/>
        <v>3. 1-3 days</v>
      </c>
      <c r="O1558" t="str">
        <f t="shared" si="49"/>
        <v>2025-08</v>
      </c>
    </row>
    <row r="1559" spans="1:15" x14ac:dyDescent="0.3">
      <c r="A1559" t="s">
        <v>3704</v>
      </c>
      <c r="B1559" t="s">
        <v>3705</v>
      </c>
      <c r="C1559" t="s">
        <v>58</v>
      </c>
      <c r="D1559" t="s">
        <v>77</v>
      </c>
      <c r="E1559" t="s">
        <v>39</v>
      </c>
      <c r="F1559" t="s">
        <v>66</v>
      </c>
      <c r="G1559">
        <v>1.82</v>
      </c>
      <c r="H1559" t="s">
        <v>41</v>
      </c>
      <c r="I1559" t="s">
        <v>42</v>
      </c>
      <c r="M1559">
        <f>VLOOKUP(H1559,'Stage Order'!$A$2:$B$8,2,FALSE)</f>
        <v>2</v>
      </c>
      <c r="N1559" t="str">
        <f t="shared" si="48"/>
        <v>2. 1-24 hours</v>
      </c>
      <c r="O1559" t="str">
        <f t="shared" si="49"/>
        <v>2025-03</v>
      </c>
    </row>
    <row r="1560" spans="1:15" x14ac:dyDescent="0.3">
      <c r="A1560" t="s">
        <v>3706</v>
      </c>
      <c r="B1560" t="s">
        <v>3707</v>
      </c>
      <c r="C1560" t="s">
        <v>58</v>
      </c>
      <c r="D1560" t="s">
        <v>77</v>
      </c>
      <c r="E1560" t="s">
        <v>45</v>
      </c>
      <c r="F1560" t="s">
        <v>55</v>
      </c>
      <c r="G1560">
        <v>10.92</v>
      </c>
      <c r="H1560" t="s">
        <v>41</v>
      </c>
      <c r="I1560" t="s">
        <v>42</v>
      </c>
      <c r="M1560">
        <f>VLOOKUP(H1560,'Stage Order'!$A$2:$B$8,2,FALSE)</f>
        <v>2</v>
      </c>
      <c r="N1560" t="str">
        <f t="shared" si="48"/>
        <v>2. 1-24 hours</v>
      </c>
      <c r="O1560" t="str">
        <f t="shared" si="49"/>
        <v>2025-01</v>
      </c>
    </row>
    <row r="1561" spans="1:15" x14ac:dyDescent="0.3">
      <c r="A1561" t="s">
        <v>3708</v>
      </c>
      <c r="B1561" t="s">
        <v>3709</v>
      </c>
      <c r="C1561" t="s">
        <v>53</v>
      </c>
      <c r="D1561" t="s">
        <v>77</v>
      </c>
      <c r="E1561" t="s">
        <v>59</v>
      </c>
      <c r="F1561" t="s">
        <v>137</v>
      </c>
      <c r="G1561">
        <v>2.41</v>
      </c>
      <c r="H1561" t="s">
        <v>32</v>
      </c>
      <c r="I1561" t="s">
        <v>33</v>
      </c>
      <c r="K1561">
        <v>1126.98</v>
      </c>
      <c r="L1561" t="s">
        <v>3710</v>
      </c>
      <c r="M1561">
        <f>VLOOKUP(H1561,'Stage Order'!$A$2:$B$8,2,FALSE)</f>
        <v>7</v>
      </c>
      <c r="N1561" t="str">
        <f t="shared" si="48"/>
        <v>2. 1-24 hours</v>
      </c>
      <c r="O1561" t="str">
        <f t="shared" si="49"/>
        <v>2025-11</v>
      </c>
    </row>
    <row r="1562" spans="1:15" x14ac:dyDescent="0.3">
      <c r="A1562" t="s">
        <v>3711</v>
      </c>
      <c r="B1562" t="s">
        <v>3712</v>
      </c>
      <c r="C1562" t="s">
        <v>37</v>
      </c>
      <c r="D1562" t="s">
        <v>97</v>
      </c>
      <c r="E1562" t="s">
        <v>45</v>
      </c>
      <c r="F1562" t="s">
        <v>46</v>
      </c>
      <c r="G1562">
        <v>6.58</v>
      </c>
      <c r="H1562" t="s">
        <v>146</v>
      </c>
      <c r="I1562" t="s">
        <v>48</v>
      </c>
      <c r="J1562" t="s">
        <v>742</v>
      </c>
      <c r="K1562">
        <v>1627.2</v>
      </c>
      <c r="L1562" t="s">
        <v>3713</v>
      </c>
      <c r="M1562">
        <f>VLOOKUP(H1562,'Stage Order'!$A$2:$B$8,2,FALSE)</f>
        <v>5</v>
      </c>
      <c r="N1562" t="str">
        <f t="shared" si="48"/>
        <v>2. 1-24 hours</v>
      </c>
      <c r="O1562" t="str">
        <f t="shared" si="49"/>
        <v>2025-04</v>
      </c>
    </row>
    <row r="1563" spans="1:15" x14ac:dyDescent="0.3">
      <c r="A1563" t="s">
        <v>3714</v>
      </c>
      <c r="B1563" t="s">
        <v>3715</v>
      </c>
      <c r="C1563" t="s">
        <v>58</v>
      </c>
      <c r="D1563" t="s">
        <v>29</v>
      </c>
      <c r="E1563" t="s">
        <v>45</v>
      </c>
      <c r="F1563" t="s">
        <v>94</v>
      </c>
      <c r="G1563">
        <v>1.51</v>
      </c>
      <c r="H1563" t="s">
        <v>61</v>
      </c>
      <c r="I1563" t="s">
        <v>42</v>
      </c>
      <c r="M1563">
        <f>VLOOKUP(H1563,'Stage Order'!$A$2:$B$8,2,FALSE)</f>
        <v>1</v>
      </c>
      <c r="N1563" t="str">
        <f t="shared" si="48"/>
        <v>2. 1-24 hours</v>
      </c>
      <c r="O1563" t="str">
        <f t="shared" si="49"/>
        <v>2025-12</v>
      </c>
    </row>
    <row r="1564" spans="1:15" x14ac:dyDescent="0.3">
      <c r="A1564" t="s">
        <v>3716</v>
      </c>
      <c r="B1564" t="s">
        <v>3717</v>
      </c>
      <c r="C1564" t="s">
        <v>58</v>
      </c>
      <c r="D1564" t="s">
        <v>38</v>
      </c>
      <c r="E1564" t="s">
        <v>39</v>
      </c>
      <c r="F1564" t="s">
        <v>106</v>
      </c>
      <c r="G1564">
        <v>0.56999999999999995</v>
      </c>
      <c r="H1564" t="s">
        <v>32</v>
      </c>
      <c r="I1564" t="s">
        <v>33</v>
      </c>
      <c r="K1564">
        <v>351.61</v>
      </c>
      <c r="L1564" t="s">
        <v>3718</v>
      </c>
      <c r="M1564">
        <f>VLOOKUP(H1564,'Stage Order'!$A$2:$B$8,2,FALSE)</f>
        <v>7</v>
      </c>
      <c r="N1564" t="str">
        <f t="shared" si="48"/>
        <v>1. Under 1 hour</v>
      </c>
      <c r="O1564" t="str">
        <f t="shared" si="49"/>
        <v>2025-01</v>
      </c>
    </row>
    <row r="1565" spans="1:15" x14ac:dyDescent="0.3">
      <c r="A1565" t="s">
        <v>3719</v>
      </c>
      <c r="B1565" t="s">
        <v>3720</v>
      </c>
      <c r="C1565" t="s">
        <v>58</v>
      </c>
      <c r="D1565" t="s">
        <v>77</v>
      </c>
      <c r="E1565" t="s">
        <v>30</v>
      </c>
      <c r="F1565" t="s">
        <v>78</v>
      </c>
      <c r="G1565">
        <v>9.14</v>
      </c>
      <c r="H1565" t="s">
        <v>61</v>
      </c>
      <c r="I1565" t="s">
        <v>42</v>
      </c>
      <c r="M1565">
        <f>VLOOKUP(H1565,'Stage Order'!$A$2:$B$8,2,FALSE)</f>
        <v>1</v>
      </c>
      <c r="N1565" t="str">
        <f t="shared" si="48"/>
        <v>2. 1-24 hours</v>
      </c>
      <c r="O1565" t="str">
        <f t="shared" si="49"/>
        <v>2025-12</v>
      </c>
    </row>
    <row r="1566" spans="1:15" x14ac:dyDescent="0.3">
      <c r="A1566" t="s">
        <v>3721</v>
      </c>
      <c r="B1566" t="s">
        <v>3722</v>
      </c>
      <c r="C1566" t="s">
        <v>37</v>
      </c>
      <c r="D1566" t="s">
        <v>38</v>
      </c>
      <c r="E1566" t="s">
        <v>45</v>
      </c>
      <c r="F1566" t="s">
        <v>46</v>
      </c>
      <c r="G1566">
        <v>3.81</v>
      </c>
      <c r="H1566" t="s">
        <v>41</v>
      </c>
      <c r="I1566" t="s">
        <v>42</v>
      </c>
      <c r="M1566">
        <f>VLOOKUP(H1566,'Stage Order'!$A$2:$B$8,2,FALSE)</f>
        <v>2</v>
      </c>
      <c r="N1566" t="str">
        <f t="shared" si="48"/>
        <v>2. 1-24 hours</v>
      </c>
      <c r="O1566" t="str">
        <f t="shared" si="49"/>
        <v>2025-03</v>
      </c>
    </row>
    <row r="1567" spans="1:15" x14ac:dyDescent="0.3">
      <c r="A1567" t="s">
        <v>3723</v>
      </c>
      <c r="B1567" t="s">
        <v>3724</v>
      </c>
      <c r="C1567" t="s">
        <v>58</v>
      </c>
      <c r="D1567" t="s">
        <v>29</v>
      </c>
      <c r="E1567" t="s">
        <v>59</v>
      </c>
      <c r="F1567" t="s">
        <v>117</v>
      </c>
      <c r="G1567">
        <v>12.55</v>
      </c>
      <c r="H1567" t="s">
        <v>41</v>
      </c>
      <c r="I1567" t="s">
        <v>42</v>
      </c>
      <c r="M1567">
        <f>VLOOKUP(H1567,'Stage Order'!$A$2:$B$8,2,FALSE)</f>
        <v>2</v>
      </c>
      <c r="N1567" t="str">
        <f t="shared" si="48"/>
        <v>2. 1-24 hours</v>
      </c>
      <c r="O1567" t="str">
        <f t="shared" si="49"/>
        <v>2025-08</v>
      </c>
    </row>
    <row r="1568" spans="1:15" x14ac:dyDescent="0.3">
      <c r="A1568" t="s">
        <v>3725</v>
      </c>
      <c r="B1568" t="s">
        <v>3726</v>
      </c>
      <c r="C1568" t="s">
        <v>58</v>
      </c>
      <c r="D1568" t="s">
        <v>29</v>
      </c>
      <c r="E1568" t="s">
        <v>39</v>
      </c>
      <c r="F1568" t="s">
        <v>66</v>
      </c>
      <c r="G1568">
        <v>8.36</v>
      </c>
      <c r="H1568" t="s">
        <v>61</v>
      </c>
      <c r="I1568" t="s">
        <v>42</v>
      </c>
      <c r="M1568">
        <f>VLOOKUP(H1568,'Stage Order'!$A$2:$B$8,2,FALSE)</f>
        <v>1</v>
      </c>
      <c r="N1568" t="str">
        <f t="shared" si="48"/>
        <v>2. 1-24 hours</v>
      </c>
      <c r="O1568" t="str">
        <f t="shared" si="49"/>
        <v>2025-05</v>
      </c>
    </row>
    <row r="1569" spans="1:15" x14ac:dyDescent="0.3">
      <c r="A1569" t="s">
        <v>3727</v>
      </c>
      <c r="B1569" t="s">
        <v>3728</v>
      </c>
      <c r="C1569" t="s">
        <v>125</v>
      </c>
      <c r="D1569" t="s">
        <v>54</v>
      </c>
      <c r="E1569" t="s">
        <v>39</v>
      </c>
      <c r="F1569" t="s">
        <v>106</v>
      </c>
      <c r="G1569">
        <v>3.43</v>
      </c>
      <c r="H1569" t="s">
        <v>47</v>
      </c>
      <c r="I1569" t="s">
        <v>48</v>
      </c>
      <c r="J1569" t="s">
        <v>49</v>
      </c>
      <c r="K1569">
        <v>535.29999999999995</v>
      </c>
      <c r="L1569" t="s">
        <v>3729</v>
      </c>
      <c r="M1569">
        <f>VLOOKUP(H1569,'Stage Order'!$A$2:$B$8,2,FALSE)</f>
        <v>4</v>
      </c>
      <c r="N1569" t="str">
        <f t="shared" si="48"/>
        <v>2. 1-24 hours</v>
      </c>
      <c r="O1569" t="str">
        <f t="shared" si="49"/>
        <v>2025-03</v>
      </c>
    </row>
    <row r="1570" spans="1:15" x14ac:dyDescent="0.3">
      <c r="A1570" t="s">
        <v>3730</v>
      </c>
      <c r="B1570" t="s">
        <v>3731</v>
      </c>
      <c r="C1570" t="s">
        <v>76</v>
      </c>
      <c r="D1570" t="s">
        <v>29</v>
      </c>
      <c r="E1570" t="s">
        <v>39</v>
      </c>
      <c r="F1570" t="s">
        <v>40</v>
      </c>
      <c r="G1570">
        <v>13.72</v>
      </c>
      <c r="H1570" t="s">
        <v>138</v>
      </c>
      <c r="I1570" t="s">
        <v>48</v>
      </c>
      <c r="J1570" t="s">
        <v>139</v>
      </c>
      <c r="K1570">
        <v>737.27</v>
      </c>
      <c r="L1570" t="s">
        <v>3732</v>
      </c>
      <c r="M1570">
        <f>VLOOKUP(H1570,'Stage Order'!$A$2:$B$8,2,FALSE)</f>
        <v>6</v>
      </c>
      <c r="N1570" t="str">
        <f t="shared" si="48"/>
        <v>2. 1-24 hours</v>
      </c>
      <c r="O1570" t="str">
        <f t="shared" si="49"/>
        <v>2025-06</v>
      </c>
    </row>
    <row r="1571" spans="1:15" x14ac:dyDescent="0.3">
      <c r="A1571" t="s">
        <v>3733</v>
      </c>
      <c r="B1571" t="s">
        <v>3734</v>
      </c>
      <c r="C1571" t="s">
        <v>58</v>
      </c>
      <c r="D1571" t="s">
        <v>29</v>
      </c>
      <c r="E1571" t="s">
        <v>39</v>
      </c>
      <c r="F1571" t="s">
        <v>40</v>
      </c>
      <c r="G1571">
        <v>12.34</v>
      </c>
      <c r="H1571" t="s">
        <v>61</v>
      </c>
      <c r="I1571" t="s">
        <v>42</v>
      </c>
      <c r="M1571">
        <f>VLOOKUP(H1571,'Stage Order'!$A$2:$B$8,2,FALSE)</f>
        <v>1</v>
      </c>
      <c r="N1571" t="str">
        <f t="shared" si="48"/>
        <v>2. 1-24 hours</v>
      </c>
      <c r="O1571" t="str">
        <f t="shared" si="49"/>
        <v>2025-02</v>
      </c>
    </row>
    <row r="1572" spans="1:15" x14ac:dyDescent="0.3">
      <c r="A1572" t="s">
        <v>3735</v>
      </c>
      <c r="B1572" t="s">
        <v>3736</v>
      </c>
      <c r="C1572" t="s">
        <v>37</v>
      </c>
      <c r="D1572" t="s">
        <v>29</v>
      </c>
      <c r="E1572" t="s">
        <v>45</v>
      </c>
      <c r="F1572" t="s">
        <v>94</v>
      </c>
      <c r="G1572">
        <v>2.2400000000000002</v>
      </c>
      <c r="H1572" t="s">
        <v>138</v>
      </c>
      <c r="I1572" t="s">
        <v>48</v>
      </c>
      <c r="J1572" t="s">
        <v>139</v>
      </c>
      <c r="K1572">
        <v>729.37</v>
      </c>
      <c r="L1572" t="s">
        <v>3737</v>
      </c>
      <c r="M1572">
        <f>VLOOKUP(H1572,'Stage Order'!$A$2:$B$8,2,FALSE)</f>
        <v>6</v>
      </c>
      <c r="N1572" t="str">
        <f t="shared" si="48"/>
        <v>2. 1-24 hours</v>
      </c>
      <c r="O1572" t="str">
        <f t="shared" si="49"/>
        <v>2025-09</v>
      </c>
    </row>
    <row r="1573" spans="1:15" x14ac:dyDescent="0.3">
      <c r="A1573" t="s">
        <v>3738</v>
      </c>
      <c r="B1573" t="s">
        <v>3739</v>
      </c>
      <c r="C1573" t="s">
        <v>37</v>
      </c>
      <c r="D1573" t="s">
        <v>77</v>
      </c>
      <c r="E1573" t="s">
        <v>39</v>
      </c>
      <c r="F1573" t="s">
        <v>40</v>
      </c>
      <c r="G1573">
        <v>6.54</v>
      </c>
      <c r="H1573" t="s">
        <v>41</v>
      </c>
      <c r="I1573" t="s">
        <v>42</v>
      </c>
      <c r="M1573">
        <f>VLOOKUP(H1573,'Stage Order'!$A$2:$B$8,2,FALSE)</f>
        <v>2</v>
      </c>
      <c r="N1573" t="str">
        <f t="shared" si="48"/>
        <v>2. 1-24 hours</v>
      </c>
      <c r="O1573" t="str">
        <f t="shared" si="49"/>
        <v>2026-01</v>
      </c>
    </row>
    <row r="1574" spans="1:15" x14ac:dyDescent="0.3">
      <c r="A1574" t="s">
        <v>3740</v>
      </c>
      <c r="B1574" t="s">
        <v>3741</v>
      </c>
      <c r="C1574" t="s">
        <v>125</v>
      </c>
      <c r="D1574" t="s">
        <v>29</v>
      </c>
      <c r="E1574" t="s">
        <v>45</v>
      </c>
      <c r="F1574" t="s">
        <v>55</v>
      </c>
      <c r="G1574">
        <v>7.87</v>
      </c>
      <c r="H1574" t="s">
        <v>47</v>
      </c>
      <c r="I1574" t="s">
        <v>48</v>
      </c>
      <c r="J1574" t="s">
        <v>98</v>
      </c>
      <c r="K1574">
        <v>749.66</v>
      </c>
      <c r="L1574" t="s">
        <v>3742</v>
      </c>
      <c r="M1574">
        <f>VLOOKUP(H1574,'Stage Order'!$A$2:$B$8,2,FALSE)</f>
        <v>4</v>
      </c>
      <c r="N1574" t="str">
        <f t="shared" si="48"/>
        <v>2. 1-24 hours</v>
      </c>
      <c r="O1574" t="str">
        <f t="shared" si="49"/>
        <v>2026-05</v>
      </c>
    </row>
    <row r="1575" spans="1:15" x14ac:dyDescent="0.3">
      <c r="A1575" t="s">
        <v>3743</v>
      </c>
      <c r="B1575" t="s">
        <v>3744</v>
      </c>
      <c r="C1575" t="s">
        <v>125</v>
      </c>
      <c r="D1575" t="s">
        <v>77</v>
      </c>
      <c r="E1575" t="s">
        <v>39</v>
      </c>
      <c r="F1575" t="s">
        <v>40</v>
      </c>
      <c r="G1575">
        <v>1.1000000000000001</v>
      </c>
      <c r="H1575" t="s">
        <v>41</v>
      </c>
      <c r="I1575" t="s">
        <v>42</v>
      </c>
      <c r="M1575">
        <f>VLOOKUP(H1575,'Stage Order'!$A$2:$B$8,2,FALSE)</f>
        <v>2</v>
      </c>
      <c r="N1575" t="str">
        <f t="shared" si="48"/>
        <v>2. 1-24 hours</v>
      </c>
      <c r="O1575" t="str">
        <f t="shared" si="49"/>
        <v>2025-10</v>
      </c>
    </row>
    <row r="1576" spans="1:15" x14ac:dyDescent="0.3">
      <c r="A1576" t="s">
        <v>3745</v>
      </c>
      <c r="B1576" t="s">
        <v>3746</v>
      </c>
      <c r="C1576" t="s">
        <v>53</v>
      </c>
      <c r="D1576" t="s">
        <v>77</v>
      </c>
      <c r="E1576" t="s">
        <v>30</v>
      </c>
      <c r="F1576" t="s">
        <v>78</v>
      </c>
      <c r="G1576">
        <v>2</v>
      </c>
      <c r="H1576" t="s">
        <v>41</v>
      </c>
      <c r="I1576" t="s">
        <v>42</v>
      </c>
      <c r="M1576">
        <f>VLOOKUP(H1576,'Stage Order'!$A$2:$B$8,2,FALSE)</f>
        <v>2</v>
      </c>
      <c r="N1576" t="str">
        <f t="shared" si="48"/>
        <v>2. 1-24 hours</v>
      </c>
      <c r="O1576" t="str">
        <f t="shared" si="49"/>
        <v>2025-09</v>
      </c>
    </row>
    <row r="1577" spans="1:15" x14ac:dyDescent="0.3">
      <c r="A1577" t="s">
        <v>3747</v>
      </c>
      <c r="B1577" t="s">
        <v>3748</v>
      </c>
      <c r="C1577" t="s">
        <v>58</v>
      </c>
      <c r="D1577" t="s">
        <v>77</v>
      </c>
      <c r="E1577" t="s">
        <v>30</v>
      </c>
      <c r="F1577" t="s">
        <v>31</v>
      </c>
      <c r="G1577">
        <v>3.64</v>
      </c>
      <c r="H1577" t="s">
        <v>61</v>
      </c>
      <c r="I1577" t="s">
        <v>42</v>
      </c>
      <c r="M1577">
        <f>VLOOKUP(H1577,'Stage Order'!$A$2:$B$8,2,FALSE)</f>
        <v>1</v>
      </c>
      <c r="N1577" t="str">
        <f t="shared" si="48"/>
        <v>2. 1-24 hours</v>
      </c>
      <c r="O1577" t="str">
        <f t="shared" si="49"/>
        <v>2026-05</v>
      </c>
    </row>
    <row r="1578" spans="1:15" x14ac:dyDescent="0.3">
      <c r="A1578" t="s">
        <v>3749</v>
      </c>
      <c r="B1578" t="s">
        <v>3750</v>
      </c>
      <c r="C1578" t="s">
        <v>125</v>
      </c>
      <c r="D1578" t="s">
        <v>54</v>
      </c>
      <c r="E1578" t="s">
        <v>59</v>
      </c>
      <c r="F1578" t="s">
        <v>137</v>
      </c>
      <c r="G1578">
        <v>1.82</v>
      </c>
      <c r="H1578" t="s">
        <v>61</v>
      </c>
      <c r="I1578" t="s">
        <v>42</v>
      </c>
      <c r="M1578">
        <f>VLOOKUP(H1578,'Stage Order'!$A$2:$B$8,2,FALSE)</f>
        <v>1</v>
      </c>
      <c r="N1578" t="str">
        <f t="shared" si="48"/>
        <v>2. 1-24 hours</v>
      </c>
      <c r="O1578" t="str">
        <f t="shared" si="49"/>
        <v>2026-03</v>
      </c>
    </row>
    <row r="1579" spans="1:15" x14ac:dyDescent="0.3">
      <c r="A1579" t="s">
        <v>3751</v>
      </c>
      <c r="B1579" t="s">
        <v>3752</v>
      </c>
      <c r="C1579" t="s">
        <v>37</v>
      </c>
      <c r="D1579" t="s">
        <v>54</v>
      </c>
      <c r="E1579" t="s">
        <v>90</v>
      </c>
      <c r="F1579" t="s">
        <v>145</v>
      </c>
      <c r="G1579">
        <v>0.95</v>
      </c>
      <c r="H1579" t="s">
        <v>41</v>
      </c>
      <c r="I1579" t="s">
        <v>42</v>
      </c>
      <c r="M1579">
        <f>VLOOKUP(H1579,'Stage Order'!$A$2:$B$8,2,FALSE)</f>
        <v>2</v>
      </c>
      <c r="N1579" t="str">
        <f t="shared" si="48"/>
        <v>1. Under 1 hour</v>
      </c>
      <c r="O1579" t="str">
        <f t="shared" si="49"/>
        <v>2025-04</v>
      </c>
    </row>
    <row r="1580" spans="1:15" x14ac:dyDescent="0.3">
      <c r="A1580" t="s">
        <v>3753</v>
      </c>
      <c r="B1580" t="s">
        <v>3754</v>
      </c>
      <c r="C1580" t="s">
        <v>125</v>
      </c>
      <c r="D1580" t="s">
        <v>77</v>
      </c>
      <c r="E1580" t="s">
        <v>39</v>
      </c>
      <c r="F1580" t="s">
        <v>66</v>
      </c>
      <c r="G1580">
        <v>2.89</v>
      </c>
      <c r="H1580" t="s">
        <v>41</v>
      </c>
      <c r="I1580" t="s">
        <v>42</v>
      </c>
      <c r="M1580">
        <f>VLOOKUP(H1580,'Stage Order'!$A$2:$B$8,2,FALSE)</f>
        <v>2</v>
      </c>
      <c r="N1580" t="str">
        <f t="shared" si="48"/>
        <v>2. 1-24 hours</v>
      </c>
      <c r="O1580" t="str">
        <f t="shared" si="49"/>
        <v>2025-06</v>
      </c>
    </row>
    <row r="1581" spans="1:15" x14ac:dyDescent="0.3">
      <c r="A1581" t="s">
        <v>3755</v>
      </c>
      <c r="B1581" t="s">
        <v>3756</v>
      </c>
      <c r="C1581" t="s">
        <v>58</v>
      </c>
      <c r="D1581" t="s">
        <v>97</v>
      </c>
      <c r="E1581" t="s">
        <v>90</v>
      </c>
      <c r="F1581" t="s">
        <v>145</v>
      </c>
      <c r="G1581">
        <v>2.54</v>
      </c>
      <c r="H1581" t="s">
        <v>41</v>
      </c>
      <c r="I1581" t="s">
        <v>42</v>
      </c>
      <c r="M1581">
        <f>VLOOKUP(H1581,'Stage Order'!$A$2:$B$8,2,FALSE)</f>
        <v>2</v>
      </c>
      <c r="N1581" t="str">
        <f t="shared" si="48"/>
        <v>2. 1-24 hours</v>
      </c>
      <c r="O1581" t="str">
        <f t="shared" si="49"/>
        <v>2025-09</v>
      </c>
    </row>
    <row r="1582" spans="1:15" x14ac:dyDescent="0.3">
      <c r="A1582" t="s">
        <v>3757</v>
      </c>
      <c r="B1582" t="s">
        <v>3758</v>
      </c>
      <c r="C1582" t="s">
        <v>37</v>
      </c>
      <c r="D1582" t="s">
        <v>38</v>
      </c>
      <c r="E1582" t="s">
        <v>45</v>
      </c>
      <c r="F1582" t="s">
        <v>94</v>
      </c>
      <c r="G1582">
        <v>20.48</v>
      </c>
      <c r="H1582" t="s">
        <v>138</v>
      </c>
      <c r="I1582" t="s">
        <v>48</v>
      </c>
      <c r="J1582" t="s">
        <v>98</v>
      </c>
      <c r="K1582">
        <v>387.96</v>
      </c>
      <c r="L1582" t="s">
        <v>3759</v>
      </c>
      <c r="M1582">
        <f>VLOOKUP(H1582,'Stage Order'!$A$2:$B$8,2,FALSE)</f>
        <v>6</v>
      </c>
      <c r="N1582" t="str">
        <f t="shared" si="48"/>
        <v>2. 1-24 hours</v>
      </c>
      <c r="O1582" t="str">
        <f t="shared" si="49"/>
        <v>2025-02</v>
      </c>
    </row>
    <row r="1583" spans="1:15" x14ac:dyDescent="0.3">
      <c r="A1583" t="s">
        <v>3760</v>
      </c>
      <c r="B1583" t="s">
        <v>3761</v>
      </c>
      <c r="C1583" t="s">
        <v>58</v>
      </c>
      <c r="D1583" t="s">
        <v>77</v>
      </c>
      <c r="E1583" t="s">
        <v>39</v>
      </c>
      <c r="F1583" t="s">
        <v>106</v>
      </c>
      <c r="G1583">
        <v>1.32</v>
      </c>
      <c r="H1583" t="s">
        <v>47</v>
      </c>
      <c r="I1583" t="s">
        <v>48</v>
      </c>
      <c r="J1583" t="s">
        <v>139</v>
      </c>
      <c r="K1583">
        <v>1106.02</v>
      </c>
      <c r="L1583" t="s">
        <v>3762</v>
      </c>
      <c r="M1583">
        <f>VLOOKUP(H1583,'Stage Order'!$A$2:$B$8,2,FALSE)</f>
        <v>4</v>
      </c>
      <c r="N1583" t="str">
        <f t="shared" si="48"/>
        <v>2. 1-24 hours</v>
      </c>
      <c r="O1583" t="str">
        <f t="shared" si="49"/>
        <v>2026-05</v>
      </c>
    </row>
    <row r="1584" spans="1:15" x14ac:dyDescent="0.3">
      <c r="A1584" t="s">
        <v>3763</v>
      </c>
      <c r="B1584" t="s">
        <v>3764</v>
      </c>
      <c r="C1584" t="s">
        <v>58</v>
      </c>
      <c r="D1584" t="s">
        <v>54</v>
      </c>
      <c r="E1584" t="s">
        <v>30</v>
      </c>
      <c r="F1584" t="s">
        <v>78</v>
      </c>
      <c r="G1584">
        <v>5.03</v>
      </c>
      <c r="H1584" t="s">
        <v>47</v>
      </c>
      <c r="I1584" t="s">
        <v>48</v>
      </c>
      <c r="J1584" t="s">
        <v>139</v>
      </c>
      <c r="K1584">
        <v>446.98</v>
      </c>
      <c r="L1584" t="s">
        <v>3765</v>
      </c>
      <c r="M1584">
        <f>VLOOKUP(H1584,'Stage Order'!$A$2:$B$8,2,FALSE)</f>
        <v>4</v>
      </c>
      <c r="N1584" t="str">
        <f t="shared" si="48"/>
        <v>2. 1-24 hours</v>
      </c>
      <c r="O1584" t="str">
        <f t="shared" si="49"/>
        <v>2025-08</v>
      </c>
    </row>
    <row r="1585" spans="1:15" x14ac:dyDescent="0.3">
      <c r="A1585" t="s">
        <v>3766</v>
      </c>
      <c r="B1585" t="s">
        <v>3767</v>
      </c>
      <c r="C1585" t="s">
        <v>53</v>
      </c>
      <c r="D1585" t="s">
        <v>29</v>
      </c>
      <c r="E1585" t="s">
        <v>45</v>
      </c>
      <c r="F1585" t="s">
        <v>55</v>
      </c>
      <c r="G1585">
        <v>2.14</v>
      </c>
      <c r="H1585" t="s">
        <v>138</v>
      </c>
      <c r="I1585" t="s">
        <v>48</v>
      </c>
      <c r="J1585" t="s">
        <v>139</v>
      </c>
      <c r="K1585">
        <v>744.47</v>
      </c>
      <c r="L1585" t="s">
        <v>3768</v>
      </c>
      <c r="M1585">
        <f>VLOOKUP(H1585,'Stage Order'!$A$2:$B$8,2,FALSE)</f>
        <v>6</v>
      </c>
      <c r="N1585" t="str">
        <f t="shared" si="48"/>
        <v>2. 1-24 hours</v>
      </c>
      <c r="O1585" t="str">
        <f t="shared" si="49"/>
        <v>2025-12</v>
      </c>
    </row>
    <row r="1586" spans="1:15" x14ac:dyDescent="0.3">
      <c r="A1586" t="s">
        <v>3769</v>
      </c>
      <c r="B1586" t="s">
        <v>3770</v>
      </c>
      <c r="C1586" t="s">
        <v>37</v>
      </c>
      <c r="D1586" t="s">
        <v>97</v>
      </c>
      <c r="E1586" t="s">
        <v>45</v>
      </c>
      <c r="F1586" t="s">
        <v>46</v>
      </c>
      <c r="G1586">
        <v>1.64</v>
      </c>
      <c r="H1586" t="s">
        <v>41</v>
      </c>
      <c r="I1586" t="s">
        <v>42</v>
      </c>
      <c r="M1586">
        <f>VLOOKUP(H1586,'Stage Order'!$A$2:$B$8,2,FALSE)</f>
        <v>2</v>
      </c>
      <c r="N1586" t="str">
        <f t="shared" si="48"/>
        <v>2. 1-24 hours</v>
      </c>
      <c r="O1586" t="str">
        <f t="shared" si="49"/>
        <v>2026-03</v>
      </c>
    </row>
    <row r="1587" spans="1:15" x14ac:dyDescent="0.3">
      <c r="A1587" t="s">
        <v>3771</v>
      </c>
      <c r="B1587" t="s">
        <v>3772</v>
      </c>
      <c r="C1587" t="s">
        <v>37</v>
      </c>
      <c r="D1587" t="s">
        <v>54</v>
      </c>
      <c r="E1587" t="s">
        <v>90</v>
      </c>
      <c r="F1587" t="s">
        <v>91</v>
      </c>
      <c r="G1587">
        <v>14.59</v>
      </c>
      <c r="H1587" t="s">
        <v>41</v>
      </c>
      <c r="I1587" t="s">
        <v>42</v>
      </c>
      <c r="M1587">
        <f>VLOOKUP(H1587,'Stage Order'!$A$2:$B$8,2,FALSE)</f>
        <v>2</v>
      </c>
      <c r="N1587" t="str">
        <f t="shared" si="48"/>
        <v>2. 1-24 hours</v>
      </c>
      <c r="O1587" t="str">
        <f t="shared" si="49"/>
        <v>2025-01</v>
      </c>
    </row>
    <row r="1588" spans="1:15" x14ac:dyDescent="0.3">
      <c r="A1588" t="s">
        <v>3773</v>
      </c>
      <c r="B1588" t="s">
        <v>3774</v>
      </c>
      <c r="C1588" t="s">
        <v>37</v>
      </c>
      <c r="D1588" t="s">
        <v>29</v>
      </c>
      <c r="E1588" t="s">
        <v>39</v>
      </c>
      <c r="F1588" t="s">
        <v>66</v>
      </c>
      <c r="G1588">
        <v>1.07</v>
      </c>
      <c r="H1588" t="s">
        <v>61</v>
      </c>
      <c r="I1588" t="s">
        <v>42</v>
      </c>
      <c r="M1588">
        <f>VLOOKUP(H1588,'Stage Order'!$A$2:$B$8,2,FALSE)</f>
        <v>1</v>
      </c>
      <c r="N1588" t="str">
        <f t="shared" si="48"/>
        <v>2. 1-24 hours</v>
      </c>
      <c r="O1588" t="str">
        <f t="shared" si="49"/>
        <v>2026-01</v>
      </c>
    </row>
    <row r="1589" spans="1:15" x14ac:dyDescent="0.3">
      <c r="A1589" t="s">
        <v>3775</v>
      </c>
      <c r="B1589" t="s">
        <v>3776</v>
      </c>
      <c r="C1589" t="s">
        <v>53</v>
      </c>
      <c r="D1589" t="s">
        <v>54</v>
      </c>
      <c r="E1589" t="s">
        <v>30</v>
      </c>
      <c r="F1589" t="s">
        <v>82</v>
      </c>
      <c r="G1589">
        <v>3.27</v>
      </c>
      <c r="H1589" t="s">
        <v>32</v>
      </c>
      <c r="I1589" t="s">
        <v>33</v>
      </c>
      <c r="K1589">
        <v>441.06</v>
      </c>
      <c r="L1589" t="s">
        <v>3777</v>
      </c>
      <c r="M1589">
        <f>VLOOKUP(H1589,'Stage Order'!$A$2:$B$8,2,FALSE)</f>
        <v>7</v>
      </c>
      <c r="N1589" t="str">
        <f t="shared" si="48"/>
        <v>2. 1-24 hours</v>
      </c>
      <c r="O1589" t="str">
        <f t="shared" si="49"/>
        <v>2025-09</v>
      </c>
    </row>
    <row r="1590" spans="1:15" x14ac:dyDescent="0.3">
      <c r="A1590" t="s">
        <v>3778</v>
      </c>
      <c r="B1590" t="s">
        <v>3779</v>
      </c>
      <c r="C1590" t="s">
        <v>81</v>
      </c>
      <c r="D1590" t="s">
        <v>38</v>
      </c>
      <c r="E1590" t="s">
        <v>59</v>
      </c>
      <c r="F1590" t="s">
        <v>117</v>
      </c>
      <c r="G1590">
        <v>2.39</v>
      </c>
      <c r="H1590" t="s">
        <v>41</v>
      </c>
      <c r="I1590" t="s">
        <v>42</v>
      </c>
      <c r="M1590">
        <f>VLOOKUP(H1590,'Stage Order'!$A$2:$B$8,2,FALSE)</f>
        <v>2</v>
      </c>
      <c r="N1590" t="str">
        <f t="shared" si="48"/>
        <v>2. 1-24 hours</v>
      </c>
      <c r="O1590" t="str">
        <f t="shared" si="49"/>
        <v>2025-04</v>
      </c>
    </row>
    <row r="1591" spans="1:15" x14ac:dyDescent="0.3">
      <c r="A1591" t="s">
        <v>3780</v>
      </c>
      <c r="B1591" t="s">
        <v>3781</v>
      </c>
      <c r="C1591" t="s">
        <v>28</v>
      </c>
      <c r="D1591" t="s">
        <v>29</v>
      </c>
      <c r="E1591" t="s">
        <v>39</v>
      </c>
      <c r="F1591" t="s">
        <v>106</v>
      </c>
      <c r="G1591">
        <v>10.88</v>
      </c>
      <c r="H1591" t="s">
        <v>138</v>
      </c>
      <c r="I1591" t="s">
        <v>48</v>
      </c>
      <c r="J1591" t="s">
        <v>139</v>
      </c>
      <c r="K1591">
        <v>731.17</v>
      </c>
      <c r="L1591" t="s">
        <v>3782</v>
      </c>
      <c r="M1591">
        <f>VLOOKUP(H1591,'Stage Order'!$A$2:$B$8,2,FALSE)</f>
        <v>6</v>
      </c>
      <c r="N1591" t="str">
        <f t="shared" si="48"/>
        <v>2. 1-24 hours</v>
      </c>
      <c r="O1591" t="str">
        <f t="shared" si="49"/>
        <v>2025-09</v>
      </c>
    </row>
    <row r="1592" spans="1:15" x14ac:dyDescent="0.3">
      <c r="A1592" t="s">
        <v>3783</v>
      </c>
      <c r="B1592" t="s">
        <v>3784</v>
      </c>
      <c r="C1592" t="s">
        <v>81</v>
      </c>
      <c r="D1592" t="s">
        <v>38</v>
      </c>
      <c r="E1592" t="s">
        <v>45</v>
      </c>
      <c r="F1592" t="s">
        <v>46</v>
      </c>
      <c r="G1592">
        <v>1.62</v>
      </c>
      <c r="H1592" t="s">
        <v>41</v>
      </c>
      <c r="I1592" t="s">
        <v>42</v>
      </c>
      <c r="M1592">
        <f>VLOOKUP(H1592,'Stage Order'!$A$2:$B$8,2,FALSE)</f>
        <v>2</v>
      </c>
      <c r="N1592" t="str">
        <f t="shared" si="48"/>
        <v>2. 1-24 hours</v>
      </c>
      <c r="O1592" t="str">
        <f t="shared" si="49"/>
        <v>2025-08</v>
      </c>
    </row>
    <row r="1593" spans="1:15" x14ac:dyDescent="0.3">
      <c r="A1593" t="s">
        <v>3785</v>
      </c>
      <c r="B1593" t="s">
        <v>3786</v>
      </c>
      <c r="C1593" t="s">
        <v>28</v>
      </c>
      <c r="D1593" t="s">
        <v>38</v>
      </c>
      <c r="E1593" t="s">
        <v>39</v>
      </c>
      <c r="F1593" t="s">
        <v>40</v>
      </c>
      <c r="G1593">
        <v>8.1199999999999992</v>
      </c>
      <c r="H1593" t="s">
        <v>146</v>
      </c>
      <c r="I1593" t="s">
        <v>48</v>
      </c>
      <c r="J1593" t="s">
        <v>113</v>
      </c>
      <c r="K1593">
        <v>321.27999999999997</v>
      </c>
      <c r="L1593" t="s">
        <v>3787</v>
      </c>
      <c r="M1593">
        <f>VLOOKUP(H1593,'Stage Order'!$A$2:$B$8,2,FALSE)</f>
        <v>5</v>
      </c>
      <c r="N1593" t="str">
        <f t="shared" si="48"/>
        <v>2. 1-24 hours</v>
      </c>
      <c r="O1593" t="str">
        <f t="shared" si="49"/>
        <v>2026-05</v>
      </c>
    </row>
    <row r="1594" spans="1:15" x14ac:dyDescent="0.3">
      <c r="A1594" t="s">
        <v>3788</v>
      </c>
      <c r="B1594" t="s">
        <v>3789</v>
      </c>
      <c r="C1594" t="s">
        <v>53</v>
      </c>
      <c r="D1594" t="s">
        <v>97</v>
      </c>
      <c r="E1594" t="s">
        <v>59</v>
      </c>
      <c r="F1594" t="s">
        <v>60</v>
      </c>
      <c r="G1594">
        <v>0.28999999999999998</v>
      </c>
      <c r="H1594" t="s">
        <v>32</v>
      </c>
      <c r="I1594" t="s">
        <v>33</v>
      </c>
      <c r="K1594">
        <v>1548.07</v>
      </c>
      <c r="L1594" t="s">
        <v>3790</v>
      </c>
      <c r="M1594">
        <f>VLOOKUP(H1594,'Stage Order'!$A$2:$B$8,2,FALSE)</f>
        <v>7</v>
      </c>
      <c r="N1594" t="str">
        <f t="shared" si="48"/>
        <v>1. Under 1 hour</v>
      </c>
      <c r="O1594" t="str">
        <f t="shared" si="49"/>
        <v>2025-03</v>
      </c>
    </row>
    <row r="1595" spans="1:15" x14ac:dyDescent="0.3">
      <c r="A1595" t="s">
        <v>3791</v>
      </c>
      <c r="B1595" t="s">
        <v>3792</v>
      </c>
      <c r="C1595" t="s">
        <v>37</v>
      </c>
      <c r="D1595" t="s">
        <v>38</v>
      </c>
      <c r="E1595" t="s">
        <v>90</v>
      </c>
      <c r="F1595" t="s">
        <v>112</v>
      </c>
      <c r="G1595">
        <v>2.75</v>
      </c>
      <c r="H1595" t="s">
        <v>146</v>
      </c>
      <c r="I1595" t="s">
        <v>48</v>
      </c>
      <c r="J1595" t="s">
        <v>49</v>
      </c>
      <c r="K1595">
        <v>303.02999999999997</v>
      </c>
      <c r="L1595" t="s">
        <v>3793</v>
      </c>
      <c r="M1595">
        <f>VLOOKUP(H1595,'Stage Order'!$A$2:$B$8,2,FALSE)</f>
        <v>5</v>
      </c>
      <c r="N1595" t="str">
        <f t="shared" si="48"/>
        <v>2. 1-24 hours</v>
      </c>
      <c r="O1595" t="str">
        <f t="shared" si="49"/>
        <v>2025-03</v>
      </c>
    </row>
    <row r="1596" spans="1:15" x14ac:dyDescent="0.3">
      <c r="A1596" t="s">
        <v>3794</v>
      </c>
      <c r="B1596" t="s">
        <v>3795</v>
      </c>
      <c r="C1596" t="s">
        <v>81</v>
      </c>
      <c r="D1596" t="s">
        <v>54</v>
      </c>
      <c r="E1596" t="s">
        <v>45</v>
      </c>
      <c r="F1596" t="s">
        <v>94</v>
      </c>
      <c r="G1596">
        <v>1.35</v>
      </c>
      <c r="H1596" t="s">
        <v>41</v>
      </c>
      <c r="I1596" t="s">
        <v>42</v>
      </c>
      <c r="M1596">
        <f>VLOOKUP(H1596,'Stage Order'!$A$2:$B$8,2,FALSE)</f>
        <v>2</v>
      </c>
      <c r="N1596" t="str">
        <f t="shared" si="48"/>
        <v>2. 1-24 hours</v>
      </c>
      <c r="O1596" t="str">
        <f t="shared" si="49"/>
        <v>2025-03</v>
      </c>
    </row>
    <row r="1597" spans="1:15" x14ac:dyDescent="0.3">
      <c r="A1597" t="s">
        <v>3796</v>
      </c>
      <c r="B1597" t="s">
        <v>3797</v>
      </c>
      <c r="C1597" t="s">
        <v>37</v>
      </c>
      <c r="D1597" t="s">
        <v>54</v>
      </c>
      <c r="E1597" t="s">
        <v>90</v>
      </c>
      <c r="F1597" t="s">
        <v>145</v>
      </c>
      <c r="G1597">
        <v>13.61</v>
      </c>
      <c r="H1597" t="s">
        <v>41</v>
      </c>
      <c r="I1597" t="s">
        <v>42</v>
      </c>
      <c r="M1597">
        <f>VLOOKUP(H1597,'Stage Order'!$A$2:$B$8,2,FALSE)</f>
        <v>2</v>
      </c>
      <c r="N1597" t="str">
        <f t="shared" si="48"/>
        <v>2. 1-24 hours</v>
      </c>
      <c r="O1597" t="str">
        <f t="shared" si="49"/>
        <v>2025-11</v>
      </c>
    </row>
    <row r="1598" spans="1:15" x14ac:dyDescent="0.3">
      <c r="A1598" t="s">
        <v>3798</v>
      </c>
      <c r="B1598" t="s">
        <v>3799</v>
      </c>
      <c r="C1598" t="s">
        <v>125</v>
      </c>
      <c r="D1598" t="s">
        <v>54</v>
      </c>
      <c r="E1598" t="s">
        <v>45</v>
      </c>
      <c r="F1598" t="s">
        <v>55</v>
      </c>
      <c r="G1598">
        <v>5.41</v>
      </c>
      <c r="H1598" t="s">
        <v>41</v>
      </c>
      <c r="I1598" t="s">
        <v>42</v>
      </c>
      <c r="M1598">
        <f>VLOOKUP(H1598,'Stage Order'!$A$2:$B$8,2,FALSE)</f>
        <v>2</v>
      </c>
      <c r="N1598" t="str">
        <f t="shared" si="48"/>
        <v>2. 1-24 hours</v>
      </c>
      <c r="O1598" t="str">
        <f t="shared" si="49"/>
        <v>2025-01</v>
      </c>
    </row>
    <row r="1599" spans="1:15" x14ac:dyDescent="0.3">
      <c r="A1599" t="s">
        <v>3800</v>
      </c>
      <c r="B1599" t="s">
        <v>3801</v>
      </c>
      <c r="C1599" t="s">
        <v>58</v>
      </c>
      <c r="D1599" t="s">
        <v>77</v>
      </c>
      <c r="E1599" t="s">
        <v>39</v>
      </c>
      <c r="F1599" t="s">
        <v>106</v>
      </c>
      <c r="G1599">
        <v>5.88</v>
      </c>
      <c r="H1599" t="s">
        <v>61</v>
      </c>
      <c r="I1599" t="s">
        <v>42</v>
      </c>
      <c r="M1599">
        <f>VLOOKUP(H1599,'Stage Order'!$A$2:$B$8,2,FALSE)</f>
        <v>1</v>
      </c>
      <c r="N1599" t="str">
        <f t="shared" si="48"/>
        <v>2. 1-24 hours</v>
      </c>
      <c r="O1599" t="str">
        <f t="shared" si="49"/>
        <v>2026-02</v>
      </c>
    </row>
    <row r="1600" spans="1:15" x14ac:dyDescent="0.3">
      <c r="A1600" t="s">
        <v>3802</v>
      </c>
      <c r="B1600" t="s">
        <v>3803</v>
      </c>
      <c r="C1600" t="s">
        <v>58</v>
      </c>
      <c r="D1600" t="s">
        <v>29</v>
      </c>
      <c r="E1600" t="s">
        <v>59</v>
      </c>
      <c r="F1600" t="s">
        <v>117</v>
      </c>
      <c r="G1600">
        <v>2.5499999999999998</v>
      </c>
      <c r="H1600" t="s">
        <v>138</v>
      </c>
      <c r="I1600" t="s">
        <v>48</v>
      </c>
      <c r="J1600" t="s">
        <v>49</v>
      </c>
      <c r="K1600">
        <v>735.56</v>
      </c>
      <c r="L1600" t="s">
        <v>3804</v>
      </c>
      <c r="M1600">
        <f>VLOOKUP(H1600,'Stage Order'!$A$2:$B$8,2,FALSE)</f>
        <v>6</v>
      </c>
      <c r="N1600" t="str">
        <f t="shared" si="48"/>
        <v>2. 1-24 hours</v>
      </c>
      <c r="O1600" t="str">
        <f t="shared" si="49"/>
        <v>2026-06</v>
      </c>
    </row>
    <row r="1601" spans="1:15" x14ac:dyDescent="0.3">
      <c r="A1601" t="s">
        <v>3805</v>
      </c>
      <c r="B1601" t="s">
        <v>3806</v>
      </c>
      <c r="C1601" t="s">
        <v>53</v>
      </c>
      <c r="D1601" t="s">
        <v>77</v>
      </c>
      <c r="E1601" t="s">
        <v>39</v>
      </c>
      <c r="F1601" t="s">
        <v>66</v>
      </c>
      <c r="G1601">
        <v>1.31</v>
      </c>
      <c r="H1601" t="s">
        <v>41</v>
      </c>
      <c r="I1601" t="s">
        <v>42</v>
      </c>
      <c r="M1601">
        <f>VLOOKUP(H1601,'Stage Order'!$A$2:$B$8,2,FALSE)</f>
        <v>2</v>
      </c>
      <c r="N1601" t="str">
        <f t="shared" si="48"/>
        <v>2. 1-24 hours</v>
      </c>
      <c r="O1601" t="str">
        <f t="shared" si="49"/>
        <v>2026-05</v>
      </c>
    </row>
    <row r="1602" spans="1:15" x14ac:dyDescent="0.3">
      <c r="A1602" t="s">
        <v>3807</v>
      </c>
      <c r="B1602" t="s">
        <v>3808</v>
      </c>
      <c r="C1602" t="s">
        <v>81</v>
      </c>
      <c r="D1602" t="s">
        <v>54</v>
      </c>
      <c r="E1602" t="s">
        <v>45</v>
      </c>
      <c r="F1602" t="s">
        <v>94</v>
      </c>
      <c r="G1602">
        <v>0.93</v>
      </c>
      <c r="H1602" t="s">
        <v>41</v>
      </c>
      <c r="I1602" t="s">
        <v>42</v>
      </c>
      <c r="M1602">
        <f>VLOOKUP(H1602,'Stage Order'!$A$2:$B$8,2,FALSE)</f>
        <v>2</v>
      </c>
      <c r="N1602" t="str">
        <f t="shared" ref="N1602:N1665" si="50">IF(G1602&lt;=1,"1. Under 1 hour",IF(G1602&lt;=24,"2. 1-24 hours",IF(G1602&lt;=72,"3. 1-3 days","4. Over 3 days")))</f>
        <v>1. Under 1 hour</v>
      </c>
      <c r="O1602" t="str">
        <f t="shared" ref="O1602:O1665" si="51">TEXT(B1602,"YYYY-MM")</f>
        <v>2026-03</v>
      </c>
    </row>
    <row r="1603" spans="1:15" x14ac:dyDescent="0.3">
      <c r="A1603" t="s">
        <v>3809</v>
      </c>
      <c r="B1603" t="s">
        <v>3810</v>
      </c>
      <c r="C1603" t="s">
        <v>76</v>
      </c>
      <c r="D1603" t="s">
        <v>38</v>
      </c>
      <c r="E1603" t="s">
        <v>45</v>
      </c>
      <c r="F1603" t="s">
        <v>94</v>
      </c>
      <c r="G1603">
        <v>2.27</v>
      </c>
      <c r="H1603" t="s">
        <v>41</v>
      </c>
      <c r="I1603" t="s">
        <v>42</v>
      </c>
      <c r="M1603">
        <f>VLOOKUP(H1603,'Stage Order'!$A$2:$B$8,2,FALSE)</f>
        <v>2</v>
      </c>
      <c r="N1603" t="str">
        <f t="shared" si="50"/>
        <v>2. 1-24 hours</v>
      </c>
      <c r="O1603" t="str">
        <f t="shared" si="51"/>
        <v>2025-12</v>
      </c>
    </row>
    <row r="1604" spans="1:15" x14ac:dyDescent="0.3">
      <c r="A1604" t="s">
        <v>3811</v>
      </c>
      <c r="B1604" t="s">
        <v>3812</v>
      </c>
      <c r="C1604" t="s">
        <v>125</v>
      </c>
      <c r="D1604" t="s">
        <v>38</v>
      </c>
      <c r="E1604" t="s">
        <v>90</v>
      </c>
      <c r="F1604" t="s">
        <v>91</v>
      </c>
      <c r="G1604">
        <v>6.65</v>
      </c>
      <c r="H1604" t="s">
        <v>61</v>
      </c>
      <c r="I1604" t="s">
        <v>42</v>
      </c>
      <c r="M1604">
        <f>VLOOKUP(H1604,'Stage Order'!$A$2:$B$8,2,FALSE)</f>
        <v>1</v>
      </c>
      <c r="N1604" t="str">
        <f t="shared" si="50"/>
        <v>2. 1-24 hours</v>
      </c>
      <c r="O1604" t="str">
        <f t="shared" si="51"/>
        <v>2026-06</v>
      </c>
    </row>
    <row r="1605" spans="1:15" x14ac:dyDescent="0.3">
      <c r="A1605" t="s">
        <v>3813</v>
      </c>
      <c r="B1605" t="s">
        <v>3814</v>
      </c>
      <c r="C1605" t="s">
        <v>37</v>
      </c>
      <c r="D1605" t="s">
        <v>38</v>
      </c>
      <c r="E1605" t="s">
        <v>59</v>
      </c>
      <c r="F1605" t="s">
        <v>60</v>
      </c>
      <c r="G1605">
        <v>6.7</v>
      </c>
      <c r="H1605" t="s">
        <v>41</v>
      </c>
      <c r="I1605" t="s">
        <v>42</v>
      </c>
      <c r="M1605">
        <f>VLOOKUP(H1605,'Stage Order'!$A$2:$B$8,2,FALSE)</f>
        <v>2</v>
      </c>
      <c r="N1605" t="str">
        <f t="shared" si="50"/>
        <v>2. 1-24 hours</v>
      </c>
      <c r="O1605" t="str">
        <f t="shared" si="51"/>
        <v>2025-08</v>
      </c>
    </row>
    <row r="1606" spans="1:15" x14ac:dyDescent="0.3">
      <c r="A1606" t="s">
        <v>3815</v>
      </c>
      <c r="B1606" t="s">
        <v>3816</v>
      </c>
      <c r="C1606" t="s">
        <v>58</v>
      </c>
      <c r="D1606" t="s">
        <v>29</v>
      </c>
      <c r="E1606" t="s">
        <v>45</v>
      </c>
      <c r="F1606" t="s">
        <v>94</v>
      </c>
      <c r="G1606">
        <v>4.5999999999999996</v>
      </c>
      <c r="H1606" t="s">
        <v>41</v>
      </c>
      <c r="I1606" t="s">
        <v>42</v>
      </c>
      <c r="M1606">
        <f>VLOOKUP(H1606,'Stage Order'!$A$2:$B$8,2,FALSE)</f>
        <v>2</v>
      </c>
      <c r="N1606" t="str">
        <f t="shared" si="50"/>
        <v>2. 1-24 hours</v>
      </c>
      <c r="O1606" t="str">
        <f t="shared" si="51"/>
        <v>2025-12</v>
      </c>
    </row>
    <row r="1607" spans="1:15" x14ac:dyDescent="0.3">
      <c r="A1607" t="s">
        <v>3817</v>
      </c>
      <c r="B1607" t="s">
        <v>3818</v>
      </c>
      <c r="C1607" t="s">
        <v>28</v>
      </c>
      <c r="D1607" t="s">
        <v>77</v>
      </c>
      <c r="E1607" t="s">
        <v>90</v>
      </c>
      <c r="F1607" t="s">
        <v>112</v>
      </c>
      <c r="G1607">
        <v>3.69</v>
      </c>
      <c r="H1607" t="s">
        <v>128</v>
      </c>
      <c r="I1607" t="s">
        <v>42</v>
      </c>
      <c r="M1607">
        <f>VLOOKUP(H1607,'Stage Order'!$A$2:$B$8,2,FALSE)</f>
        <v>3</v>
      </c>
      <c r="N1607" t="str">
        <f t="shared" si="50"/>
        <v>2. 1-24 hours</v>
      </c>
      <c r="O1607" t="str">
        <f t="shared" si="51"/>
        <v>2025-02</v>
      </c>
    </row>
    <row r="1608" spans="1:15" x14ac:dyDescent="0.3">
      <c r="A1608" t="s">
        <v>3819</v>
      </c>
      <c r="B1608" t="s">
        <v>3820</v>
      </c>
      <c r="C1608" t="s">
        <v>53</v>
      </c>
      <c r="D1608" t="s">
        <v>77</v>
      </c>
      <c r="E1608" t="s">
        <v>59</v>
      </c>
      <c r="F1608" t="s">
        <v>117</v>
      </c>
      <c r="G1608">
        <v>3.24</v>
      </c>
      <c r="H1608" t="s">
        <v>32</v>
      </c>
      <c r="I1608" t="s">
        <v>33</v>
      </c>
      <c r="K1608">
        <v>1133.32</v>
      </c>
      <c r="L1608" t="s">
        <v>3821</v>
      </c>
      <c r="M1608">
        <f>VLOOKUP(H1608,'Stage Order'!$A$2:$B$8,2,FALSE)</f>
        <v>7</v>
      </c>
      <c r="N1608" t="str">
        <f t="shared" si="50"/>
        <v>2. 1-24 hours</v>
      </c>
      <c r="O1608" t="str">
        <f t="shared" si="51"/>
        <v>2025-11</v>
      </c>
    </row>
    <row r="1609" spans="1:15" x14ac:dyDescent="0.3">
      <c r="A1609" t="s">
        <v>3822</v>
      </c>
      <c r="B1609" t="s">
        <v>3823</v>
      </c>
      <c r="C1609" t="s">
        <v>125</v>
      </c>
      <c r="D1609" t="s">
        <v>29</v>
      </c>
      <c r="E1609" t="s">
        <v>59</v>
      </c>
      <c r="F1609" t="s">
        <v>60</v>
      </c>
      <c r="G1609">
        <v>42.34</v>
      </c>
      <c r="H1609" t="s">
        <v>41</v>
      </c>
      <c r="I1609" t="s">
        <v>42</v>
      </c>
      <c r="M1609">
        <f>VLOOKUP(H1609,'Stage Order'!$A$2:$B$8,2,FALSE)</f>
        <v>2</v>
      </c>
      <c r="N1609" t="str">
        <f t="shared" si="50"/>
        <v>3. 1-3 days</v>
      </c>
      <c r="O1609" t="str">
        <f t="shared" si="51"/>
        <v>2026-04</v>
      </c>
    </row>
    <row r="1610" spans="1:15" x14ac:dyDescent="0.3">
      <c r="A1610" t="s">
        <v>3824</v>
      </c>
      <c r="B1610" t="s">
        <v>3825</v>
      </c>
      <c r="C1610" t="s">
        <v>37</v>
      </c>
      <c r="D1610" t="s">
        <v>77</v>
      </c>
      <c r="E1610" t="s">
        <v>90</v>
      </c>
      <c r="F1610" t="s">
        <v>112</v>
      </c>
      <c r="G1610">
        <v>4.37</v>
      </c>
      <c r="H1610" t="s">
        <v>41</v>
      </c>
      <c r="I1610" t="s">
        <v>42</v>
      </c>
      <c r="M1610">
        <f>VLOOKUP(H1610,'Stage Order'!$A$2:$B$8,2,FALSE)</f>
        <v>2</v>
      </c>
      <c r="N1610" t="str">
        <f t="shared" si="50"/>
        <v>2. 1-24 hours</v>
      </c>
      <c r="O1610" t="str">
        <f t="shared" si="51"/>
        <v>2025-07</v>
      </c>
    </row>
    <row r="1611" spans="1:15" x14ac:dyDescent="0.3">
      <c r="A1611" t="s">
        <v>3826</v>
      </c>
      <c r="B1611" t="s">
        <v>3827</v>
      </c>
      <c r="C1611" t="s">
        <v>81</v>
      </c>
      <c r="D1611" t="s">
        <v>38</v>
      </c>
      <c r="E1611" t="s">
        <v>45</v>
      </c>
      <c r="F1611" t="s">
        <v>55</v>
      </c>
      <c r="G1611">
        <v>3.82</v>
      </c>
      <c r="H1611" t="s">
        <v>41</v>
      </c>
      <c r="I1611" t="s">
        <v>42</v>
      </c>
      <c r="M1611">
        <f>VLOOKUP(H1611,'Stage Order'!$A$2:$B$8,2,FALSE)</f>
        <v>2</v>
      </c>
      <c r="N1611" t="str">
        <f t="shared" si="50"/>
        <v>2. 1-24 hours</v>
      </c>
      <c r="O1611" t="str">
        <f t="shared" si="51"/>
        <v>2025-06</v>
      </c>
    </row>
    <row r="1612" spans="1:15" x14ac:dyDescent="0.3">
      <c r="A1612" t="s">
        <v>3828</v>
      </c>
      <c r="B1612" t="s">
        <v>3829</v>
      </c>
      <c r="C1612" t="s">
        <v>81</v>
      </c>
      <c r="D1612" t="s">
        <v>97</v>
      </c>
      <c r="E1612" t="s">
        <v>90</v>
      </c>
      <c r="F1612" t="s">
        <v>145</v>
      </c>
      <c r="G1612">
        <v>8.09</v>
      </c>
      <c r="H1612" t="s">
        <v>41</v>
      </c>
      <c r="I1612" t="s">
        <v>42</v>
      </c>
      <c r="M1612">
        <f>VLOOKUP(H1612,'Stage Order'!$A$2:$B$8,2,FALSE)</f>
        <v>2</v>
      </c>
      <c r="N1612" t="str">
        <f t="shared" si="50"/>
        <v>2. 1-24 hours</v>
      </c>
      <c r="O1612" t="str">
        <f t="shared" si="51"/>
        <v>2026-02</v>
      </c>
    </row>
    <row r="1613" spans="1:15" x14ac:dyDescent="0.3">
      <c r="A1613" t="s">
        <v>3830</v>
      </c>
      <c r="B1613" t="s">
        <v>3831</v>
      </c>
      <c r="C1613" t="s">
        <v>37</v>
      </c>
      <c r="D1613" t="s">
        <v>29</v>
      </c>
      <c r="E1613" t="s">
        <v>45</v>
      </c>
      <c r="F1613" t="s">
        <v>94</v>
      </c>
      <c r="G1613">
        <v>3.39</v>
      </c>
      <c r="H1613" t="s">
        <v>41</v>
      </c>
      <c r="I1613" t="s">
        <v>42</v>
      </c>
      <c r="M1613">
        <f>VLOOKUP(H1613,'Stage Order'!$A$2:$B$8,2,FALSE)</f>
        <v>2</v>
      </c>
      <c r="N1613" t="str">
        <f t="shared" si="50"/>
        <v>2. 1-24 hours</v>
      </c>
      <c r="O1613" t="str">
        <f t="shared" si="51"/>
        <v>2025-07</v>
      </c>
    </row>
    <row r="1614" spans="1:15" x14ac:dyDescent="0.3">
      <c r="A1614" t="s">
        <v>3832</v>
      </c>
      <c r="B1614" t="s">
        <v>3833</v>
      </c>
      <c r="C1614" t="s">
        <v>28</v>
      </c>
      <c r="D1614" t="s">
        <v>54</v>
      </c>
      <c r="E1614" t="s">
        <v>90</v>
      </c>
      <c r="F1614" t="s">
        <v>91</v>
      </c>
      <c r="G1614">
        <v>1.48</v>
      </c>
      <c r="H1614" t="s">
        <v>41</v>
      </c>
      <c r="I1614" t="s">
        <v>42</v>
      </c>
      <c r="M1614">
        <f>VLOOKUP(H1614,'Stage Order'!$A$2:$B$8,2,FALSE)</f>
        <v>2</v>
      </c>
      <c r="N1614" t="str">
        <f t="shared" si="50"/>
        <v>2. 1-24 hours</v>
      </c>
      <c r="O1614" t="str">
        <f t="shared" si="51"/>
        <v>2025-09</v>
      </c>
    </row>
    <row r="1615" spans="1:15" x14ac:dyDescent="0.3">
      <c r="A1615" t="s">
        <v>3834</v>
      </c>
      <c r="B1615" t="s">
        <v>3835</v>
      </c>
      <c r="C1615" t="s">
        <v>76</v>
      </c>
      <c r="D1615" t="s">
        <v>54</v>
      </c>
      <c r="E1615" t="s">
        <v>39</v>
      </c>
      <c r="F1615" t="s">
        <v>106</v>
      </c>
      <c r="G1615">
        <v>0.56000000000000005</v>
      </c>
      <c r="H1615" t="s">
        <v>146</v>
      </c>
      <c r="I1615" t="s">
        <v>48</v>
      </c>
      <c r="J1615" t="s">
        <v>49</v>
      </c>
      <c r="K1615">
        <v>537.38</v>
      </c>
      <c r="L1615" t="s">
        <v>3836</v>
      </c>
      <c r="M1615">
        <f>VLOOKUP(H1615,'Stage Order'!$A$2:$B$8,2,FALSE)</f>
        <v>5</v>
      </c>
      <c r="N1615" t="str">
        <f t="shared" si="50"/>
        <v>1. Under 1 hour</v>
      </c>
      <c r="O1615" t="str">
        <f t="shared" si="51"/>
        <v>2025-07</v>
      </c>
    </row>
    <row r="1616" spans="1:15" x14ac:dyDescent="0.3">
      <c r="A1616" t="s">
        <v>3837</v>
      </c>
      <c r="B1616" t="s">
        <v>3838</v>
      </c>
      <c r="C1616" t="s">
        <v>37</v>
      </c>
      <c r="D1616" t="s">
        <v>54</v>
      </c>
      <c r="E1616" t="s">
        <v>90</v>
      </c>
      <c r="F1616" t="s">
        <v>112</v>
      </c>
      <c r="G1616">
        <v>4.33</v>
      </c>
      <c r="H1616" t="s">
        <v>41</v>
      </c>
      <c r="I1616" t="s">
        <v>42</v>
      </c>
      <c r="M1616">
        <f>VLOOKUP(H1616,'Stage Order'!$A$2:$B$8,2,FALSE)</f>
        <v>2</v>
      </c>
      <c r="N1616" t="str">
        <f t="shared" si="50"/>
        <v>2. 1-24 hours</v>
      </c>
      <c r="O1616" t="str">
        <f t="shared" si="51"/>
        <v>2026-03</v>
      </c>
    </row>
    <row r="1617" spans="1:15" x14ac:dyDescent="0.3">
      <c r="A1617" t="s">
        <v>3839</v>
      </c>
      <c r="B1617" t="s">
        <v>3840</v>
      </c>
      <c r="C1617" t="s">
        <v>81</v>
      </c>
      <c r="D1617" t="s">
        <v>97</v>
      </c>
      <c r="E1617" t="s">
        <v>30</v>
      </c>
      <c r="F1617" t="s">
        <v>31</v>
      </c>
      <c r="G1617">
        <v>0.63</v>
      </c>
      <c r="H1617" t="s">
        <v>61</v>
      </c>
      <c r="I1617" t="s">
        <v>42</v>
      </c>
      <c r="M1617">
        <f>VLOOKUP(H1617,'Stage Order'!$A$2:$B$8,2,FALSE)</f>
        <v>1</v>
      </c>
      <c r="N1617" t="str">
        <f t="shared" si="50"/>
        <v>1. Under 1 hour</v>
      </c>
      <c r="O1617" t="str">
        <f t="shared" si="51"/>
        <v>2025-01</v>
      </c>
    </row>
    <row r="1618" spans="1:15" x14ac:dyDescent="0.3">
      <c r="A1618" t="s">
        <v>3841</v>
      </c>
      <c r="B1618" t="s">
        <v>3842</v>
      </c>
      <c r="C1618" t="s">
        <v>58</v>
      </c>
      <c r="D1618" t="s">
        <v>38</v>
      </c>
      <c r="E1618" t="s">
        <v>45</v>
      </c>
      <c r="F1618" t="s">
        <v>46</v>
      </c>
      <c r="G1618">
        <v>2.14</v>
      </c>
      <c r="H1618" t="s">
        <v>41</v>
      </c>
      <c r="I1618" t="s">
        <v>42</v>
      </c>
      <c r="M1618">
        <f>VLOOKUP(H1618,'Stage Order'!$A$2:$B$8,2,FALSE)</f>
        <v>2</v>
      </c>
      <c r="N1618" t="str">
        <f t="shared" si="50"/>
        <v>2. 1-24 hours</v>
      </c>
      <c r="O1618" t="str">
        <f t="shared" si="51"/>
        <v>2026-03</v>
      </c>
    </row>
    <row r="1619" spans="1:15" x14ac:dyDescent="0.3">
      <c r="A1619" t="s">
        <v>3843</v>
      </c>
      <c r="B1619" t="s">
        <v>3844</v>
      </c>
      <c r="C1619" t="s">
        <v>28</v>
      </c>
      <c r="D1619" t="s">
        <v>77</v>
      </c>
      <c r="E1619" t="s">
        <v>45</v>
      </c>
      <c r="F1619" t="s">
        <v>94</v>
      </c>
      <c r="G1619">
        <v>1.18</v>
      </c>
      <c r="H1619" t="s">
        <v>32</v>
      </c>
      <c r="I1619" t="s">
        <v>33</v>
      </c>
      <c r="K1619">
        <v>1065.7</v>
      </c>
      <c r="L1619" t="s">
        <v>3845</v>
      </c>
      <c r="M1619">
        <f>VLOOKUP(H1619,'Stage Order'!$A$2:$B$8,2,FALSE)</f>
        <v>7</v>
      </c>
      <c r="N1619" t="str">
        <f t="shared" si="50"/>
        <v>2. 1-24 hours</v>
      </c>
      <c r="O1619" t="str">
        <f t="shared" si="51"/>
        <v>2025-01</v>
      </c>
    </row>
    <row r="1620" spans="1:15" x14ac:dyDescent="0.3">
      <c r="A1620" t="s">
        <v>3846</v>
      </c>
      <c r="B1620" t="s">
        <v>3847</v>
      </c>
      <c r="C1620" t="s">
        <v>125</v>
      </c>
      <c r="D1620" t="s">
        <v>97</v>
      </c>
      <c r="E1620" t="s">
        <v>39</v>
      </c>
      <c r="F1620" t="s">
        <v>66</v>
      </c>
      <c r="G1620">
        <v>1.06</v>
      </c>
      <c r="H1620" t="s">
        <v>41</v>
      </c>
      <c r="I1620" t="s">
        <v>42</v>
      </c>
      <c r="M1620">
        <f>VLOOKUP(H1620,'Stage Order'!$A$2:$B$8,2,FALSE)</f>
        <v>2</v>
      </c>
      <c r="N1620" t="str">
        <f t="shared" si="50"/>
        <v>2. 1-24 hours</v>
      </c>
      <c r="O1620" t="str">
        <f t="shared" si="51"/>
        <v>2025-07</v>
      </c>
    </row>
    <row r="1621" spans="1:15" x14ac:dyDescent="0.3">
      <c r="A1621" t="s">
        <v>3848</v>
      </c>
      <c r="B1621" t="s">
        <v>3849</v>
      </c>
      <c r="C1621" t="s">
        <v>37</v>
      </c>
      <c r="D1621" t="s">
        <v>38</v>
      </c>
      <c r="E1621" t="s">
        <v>45</v>
      </c>
      <c r="F1621" t="s">
        <v>46</v>
      </c>
      <c r="G1621">
        <v>3.66</v>
      </c>
      <c r="H1621" t="s">
        <v>41</v>
      </c>
      <c r="I1621" t="s">
        <v>42</v>
      </c>
      <c r="M1621">
        <f>VLOOKUP(H1621,'Stage Order'!$A$2:$B$8,2,FALSE)</f>
        <v>2</v>
      </c>
      <c r="N1621" t="str">
        <f t="shared" si="50"/>
        <v>2. 1-24 hours</v>
      </c>
      <c r="O1621" t="str">
        <f t="shared" si="51"/>
        <v>2026-03</v>
      </c>
    </row>
    <row r="1622" spans="1:15" x14ac:dyDescent="0.3">
      <c r="A1622" t="s">
        <v>3850</v>
      </c>
      <c r="B1622" t="s">
        <v>3851</v>
      </c>
      <c r="C1622" t="s">
        <v>53</v>
      </c>
      <c r="D1622" t="s">
        <v>97</v>
      </c>
      <c r="E1622" t="s">
        <v>45</v>
      </c>
      <c r="F1622" t="s">
        <v>46</v>
      </c>
      <c r="G1622">
        <v>0.53</v>
      </c>
      <c r="H1622" t="s">
        <v>32</v>
      </c>
      <c r="I1622" t="s">
        <v>33</v>
      </c>
      <c r="K1622">
        <v>1474.39</v>
      </c>
      <c r="L1622" t="s">
        <v>3852</v>
      </c>
      <c r="M1622">
        <f>VLOOKUP(H1622,'Stage Order'!$A$2:$B$8,2,FALSE)</f>
        <v>7</v>
      </c>
      <c r="N1622" t="str">
        <f t="shared" si="50"/>
        <v>1. Under 1 hour</v>
      </c>
      <c r="O1622" t="str">
        <f t="shared" si="51"/>
        <v>2026-03</v>
      </c>
    </row>
    <row r="1623" spans="1:15" x14ac:dyDescent="0.3">
      <c r="A1623" t="s">
        <v>3853</v>
      </c>
      <c r="B1623" t="s">
        <v>3854</v>
      </c>
      <c r="C1623" t="s">
        <v>37</v>
      </c>
      <c r="D1623" t="s">
        <v>97</v>
      </c>
      <c r="E1623" t="s">
        <v>90</v>
      </c>
      <c r="F1623" t="s">
        <v>145</v>
      </c>
      <c r="G1623">
        <v>8.0299999999999994</v>
      </c>
      <c r="H1623" t="s">
        <v>41</v>
      </c>
      <c r="I1623" t="s">
        <v>42</v>
      </c>
      <c r="M1623">
        <f>VLOOKUP(H1623,'Stage Order'!$A$2:$B$8,2,FALSE)</f>
        <v>2</v>
      </c>
      <c r="N1623" t="str">
        <f t="shared" si="50"/>
        <v>2. 1-24 hours</v>
      </c>
      <c r="O1623" t="str">
        <f t="shared" si="51"/>
        <v>2026-03</v>
      </c>
    </row>
    <row r="1624" spans="1:15" x14ac:dyDescent="0.3">
      <c r="A1624" t="s">
        <v>3855</v>
      </c>
      <c r="B1624" t="s">
        <v>3856</v>
      </c>
      <c r="C1624" t="s">
        <v>125</v>
      </c>
      <c r="D1624" t="s">
        <v>29</v>
      </c>
      <c r="E1624" t="s">
        <v>90</v>
      </c>
      <c r="F1624" t="s">
        <v>145</v>
      </c>
      <c r="G1624">
        <v>0.9</v>
      </c>
      <c r="H1624" t="s">
        <v>61</v>
      </c>
      <c r="I1624" t="s">
        <v>42</v>
      </c>
      <c r="M1624">
        <f>VLOOKUP(H1624,'Stage Order'!$A$2:$B$8,2,FALSE)</f>
        <v>1</v>
      </c>
      <c r="N1624" t="str">
        <f t="shared" si="50"/>
        <v>1. Under 1 hour</v>
      </c>
      <c r="O1624" t="str">
        <f t="shared" si="51"/>
        <v>2025-01</v>
      </c>
    </row>
    <row r="1625" spans="1:15" x14ac:dyDescent="0.3">
      <c r="A1625" t="s">
        <v>3857</v>
      </c>
      <c r="B1625" t="s">
        <v>3858</v>
      </c>
      <c r="C1625" t="s">
        <v>58</v>
      </c>
      <c r="D1625" t="s">
        <v>77</v>
      </c>
      <c r="E1625" t="s">
        <v>30</v>
      </c>
      <c r="F1625" t="s">
        <v>78</v>
      </c>
      <c r="G1625">
        <v>4.09</v>
      </c>
      <c r="H1625" t="s">
        <v>41</v>
      </c>
      <c r="I1625" t="s">
        <v>42</v>
      </c>
      <c r="M1625">
        <f>VLOOKUP(H1625,'Stage Order'!$A$2:$B$8,2,FALSE)</f>
        <v>2</v>
      </c>
      <c r="N1625" t="str">
        <f t="shared" si="50"/>
        <v>2. 1-24 hours</v>
      </c>
      <c r="O1625" t="str">
        <f t="shared" si="51"/>
        <v>2026-03</v>
      </c>
    </row>
    <row r="1626" spans="1:15" x14ac:dyDescent="0.3">
      <c r="A1626" t="s">
        <v>3859</v>
      </c>
      <c r="B1626" t="s">
        <v>3860</v>
      </c>
      <c r="C1626" t="s">
        <v>81</v>
      </c>
      <c r="D1626" t="s">
        <v>77</v>
      </c>
      <c r="E1626" t="s">
        <v>45</v>
      </c>
      <c r="F1626" t="s">
        <v>55</v>
      </c>
      <c r="G1626">
        <v>0.91</v>
      </c>
      <c r="H1626" t="s">
        <v>128</v>
      </c>
      <c r="I1626" t="s">
        <v>42</v>
      </c>
      <c r="M1626">
        <f>VLOOKUP(H1626,'Stage Order'!$A$2:$B$8,2,FALSE)</f>
        <v>3</v>
      </c>
      <c r="N1626" t="str">
        <f t="shared" si="50"/>
        <v>1. Under 1 hour</v>
      </c>
      <c r="O1626" t="str">
        <f t="shared" si="51"/>
        <v>2025-10</v>
      </c>
    </row>
    <row r="1627" spans="1:15" x14ac:dyDescent="0.3">
      <c r="A1627" t="s">
        <v>3861</v>
      </c>
      <c r="B1627" t="s">
        <v>3862</v>
      </c>
      <c r="C1627" t="s">
        <v>81</v>
      </c>
      <c r="D1627" t="s">
        <v>29</v>
      </c>
      <c r="E1627" t="s">
        <v>90</v>
      </c>
      <c r="F1627" t="s">
        <v>91</v>
      </c>
      <c r="G1627">
        <v>5.74</v>
      </c>
      <c r="H1627" t="s">
        <v>41</v>
      </c>
      <c r="I1627" t="s">
        <v>42</v>
      </c>
      <c r="M1627">
        <f>VLOOKUP(H1627,'Stage Order'!$A$2:$B$8,2,FALSE)</f>
        <v>2</v>
      </c>
      <c r="N1627" t="str">
        <f t="shared" si="50"/>
        <v>2. 1-24 hours</v>
      </c>
      <c r="O1627" t="str">
        <f t="shared" si="51"/>
        <v>2025-07</v>
      </c>
    </row>
    <row r="1628" spans="1:15" x14ac:dyDescent="0.3">
      <c r="A1628" t="s">
        <v>3863</v>
      </c>
      <c r="B1628" t="s">
        <v>3864</v>
      </c>
      <c r="C1628" t="s">
        <v>28</v>
      </c>
      <c r="D1628" t="s">
        <v>77</v>
      </c>
      <c r="E1628" t="s">
        <v>39</v>
      </c>
      <c r="F1628" t="s">
        <v>40</v>
      </c>
      <c r="G1628">
        <v>0.56999999999999995</v>
      </c>
      <c r="H1628" t="s">
        <v>41</v>
      </c>
      <c r="I1628" t="s">
        <v>42</v>
      </c>
      <c r="M1628">
        <f>VLOOKUP(H1628,'Stage Order'!$A$2:$B$8,2,FALSE)</f>
        <v>2</v>
      </c>
      <c r="N1628" t="str">
        <f t="shared" si="50"/>
        <v>1. Under 1 hour</v>
      </c>
      <c r="O1628" t="str">
        <f t="shared" si="51"/>
        <v>2025-05</v>
      </c>
    </row>
    <row r="1629" spans="1:15" x14ac:dyDescent="0.3">
      <c r="A1629" t="s">
        <v>3865</v>
      </c>
      <c r="B1629" t="s">
        <v>3866</v>
      </c>
      <c r="C1629" t="s">
        <v>76</v>
      </c>
      <c r="D1629" t="s">
        <v>77</v>
      </c>
      <c r="E1629" t="s">
        <v>39</v>
      </c>
      <c r="F1629" t="s">
        <v>40</v>
      </c>
      <c r="G1629">
        <v>2.0499999999999998</v>
      </c>
      <c r="H1629" t="s">
        <v>32</v>
      </c>
      <c r="I1629" t="s">
        <v>33</v>
      </c>
      <c r="K1629">
        <v>1063.04</v>
      </c>
      <c r="L1629" t="s">
        <v>3867</v>
      </c>
      <c r="M1629">
        <f>VLOOKUP(H1629,'Stage Order'!$A$2:$B$8,2,FALSE)</f>
        <v>7</v>
      </c>
      <c r="N1629" t="str">
        <f t="shared" si="50"/>
        <v>2. 1-24 hours</v>
      </c>
      <c r="O1629" t="str">
        <f t="shared" si="51"/>
        <v>2025-03</v>
      </c>
    </row>
    <row r="1630" spans="1:15" x14ac:dyDescent="0.3">
      <c r="A1630" t="s">
        <v>3868</v>
      </c>
      <c r="B1630" t="s">
        <v>3869</v>
      </c>
      <c r="C1630" t="s">
        <v>37</v>
      </c>
      <c r="D1630" t="s">
        <v>97</v>
      </c>
      <c r="E1630" t="s">
        <v>45</v>
      </c>
      <c r="F1630" t="s">
        <v>46</v>
      </c>
      <c r="G1630">
        <v>3.08</v>
      </c>
      <c r="H1630" t="s">
        <v>128</v>
      </c>
      <c r="I1630" t="s">
        <v>42</v>
      </c>
      <c r="M1630">
        <f>VLOOKUP(H1630,'Stage Order'!$A$2:$B$8,2,FALSE)</f>
        <v>3</v>
      </c>
      <c r="N1630" t="str">
        <f t="shared" si="50"/>
        <v>2. 1-24 hours</v>
      </c>
      <c r="O1630" t="str">
        <f t="shared" si="51"/>
        <v>2025-09</v>
      </c>
    </row>
    <row r="1631" spans="1:15" x14ac:dyDescent="0.3">
      <c r="A1631" t="s">
        <v>3870</v>
      </c>
      <c r="B1631" t="s">
        <v>3871</v>
      </c>
      <c r="C1631" t="s">
        <v>76</v>
      </c>
      <c r="D1631" t="s">
        <v>77</v>
      </c>
      <c r="E1631" t="s">
        <v>39</v>
      </c>
      <c r="F1631" t="s">
        <v>106</v>
      </c>
      <c r="G1631">
        <v>3.17</v>
      </c>
      <c r="H1631" t="s">
        <v>41</v>
      </c>
      <c r="I1631" t="s">
        <v>42</v>
      </c>
      <c r="M1631">
        <f>VLOOKUP(H1631,'Stage Order'!$A$2:$B$8,2,FALSE)</f>
        <v>2</v>
      </c>
      <c r="N1631" t="str">
        <f t="shared" si="50"/>
        <v>2. 1-24 hours</v>
      </c>
      <c r="O1631" t="str">
        <f t="shared" si="51"/>
        <v>2025-11</v>
      </c>
    </row>
    <row r="1632" spans="1:15" x14ac:dyDescent="0.3">
      <c r="A1632" t="s">
        <v>3872</v>
      </c>
      <c r="B1632" t="s">
        <v>3873</v>
      </c>
      <c r="C1632" t="s">
        <v>58</v>
      </c>
      <c r="D1632" t="s">
        <v>54</v>
      </c>
      <c r="E1632" t="s">
        <v>45</v>
      </c>
      <c r="F1632" t="s">
        <v>46</v>
      </c>
      <c r="G1632">
        <v>3.55</v>
      </c>
      <c r="H1632" t="s">
        <v>47</v>
      </c>
      <c r="I1632" t="s">
        <v>48</v>
      </c>
      <c r="J1632" t="s">
        <v>113</v>
      </c>
      <c r="K1632">
        <v>596.12</v>
      </c>
      <c r="L1632" t="s">
        <v>3874</v>
      </c>
      <c r="M1632">
        <f>VLOOKUP(H1632,'Stage Order'!$A$2:$B$8,2,FALSE)</f>
        <v>4</v>
      </c>
      <c r="N1632" t="str">
        <f t="shared" si="50"/>
        <v>2. 1-24 hours</v>
      </c>
      <c r="O1632" t="str">
        <f t="shared" si="51"/>
        <v>2026-04</v>
      </c>
    </row>
    <row r="1633" spans="1:15" x14ac:dyDescent="0.3">
      <c r="A1633" t="s">
        <v>3875</v>
      </c>
      <c r="B1633" t="s">
        <v>3876</v>
      </c>
      <c r="C1633" t="s">
        <v>76</v>
      </c>
      <c r="D1633" t="s">
        <v>29</v>
      </c>
      <c r="E1633" t="s">
        <v>90</v>
      </c>
      <c r="F1633" t="s">
        <v>112</v>
      </c>
      <c r="G1633">
        <v>4.1100000000000003</v>
      </c>
      <c r="H1633" t="s">
        <v>41</v>
      </c>
      <c r="I1633" t="s">
        <v>42</v>
      </c>
      <c r="M1633">
        <f>VLOOKUP(H1633,'Stage Order'!$A$2:$B$8,2,FALSE)</f>
        <v>2</v>
      </c>
      <c r="N1633" t="str">
        <f t="shared" si="50"/>
        <v>2. 1-24 hours</v>
      </c>
      <c r="O1633" t="str">
        <f t="shared" si="51"/>
        <v>2026-02</v>
      </c>
    </row>
    <row r="1634" spans="1:15" x14ac:dyDescent="0.3">
      <c r="A1634" t="s">
        <v>3877</v>
      </c>
      <c r="B1634" t="s">
        <v>3878</v>
      </c>
      <c r="C1634" t="s">
        <v>125</v>
      </c>
      <c r="D1634" t="s">
        <v>54</v>
      </c>
      <c r="E1634" t="s">
        <v>59</v>
      </c>
      <c r="F1634" t="s">
        <v>137</v>
      </c>
      <c r="G1634">
        <v>1.1399999999999999</v>
      </c>
      <c r="H1634" t="s">
        <v>47</v>
      </c>
      <c r="I1634" t="s">
        <v>48</v>
      </c>
      <c r="J1634" t="s">
        <v>49</v>
      </c>
      <c r="K1634">
        <v>423.97</v>
      </c>
      <c r="L1634" t="s">
        <v>3879</v>
      </c>
      <c r="M1634">
        <f>VLOOKUP(H1634,'Stage Order'!$A$2:$B$8,2,FALSE)</f>
        <v>4</v>
      </c>
      <c r="N1634" t="str">
        <f t="shared" si="50"/>
        <v>2. 1-24 hours</v>
      </c>
      <c r="O1634" t="str">
        <f t="shared" si="51"/>
        <v>2025-07</v>
      </c>
    </row>
    <row r="1635" spans="1:15" x14ac:dyDescent="0.3">
      <c r="A1635" t="s">
        <v>3880</v>
      </c>
      <c r="B1635" t="s">
        <v>3881</v>
      </c>
      <c r="C1635" t="s">
        <v>58</v>
      </c>
      <c r="D1635" t="s">
        <v>54</v>
      </c>
      <c r="E1635" t="s">
        <v>59</v>
      </c>
      <c r="F1635" t="s">
        <v>117</v>
      </c>
      <c r="G1635">
        <v>1.96</v>
      </c>
      <c r="H1635" t="s">
        <v>146</v>
      </c>
      <c r="I1635" t="s">
        <v>48</v>
      </c>
      <c r="J1635" t="s">
        <v>113</v>
      </c>
      <c r="K1635">
        <v>585.94000000000005</v>
      </c>
      <c r="L1635" t="s">
        <v>3882</v>
      </c>
      <c r="M1635">
        <f>VLOOKUP(H1635,'Stage Order'!$A$2:$B$8,2,FALSE)</f>
        <v>5</v>
      </c>
      <c r="N1635" t="str">
        <f t="shared" si="50"/>
        <v>2. 1-24 hours</v>
      </c>
      <c r="O1635" t="str">
        <f t="shared" si="51"/>
        <v>2026-04</v>
      </c>
    </row>
    <row r="1636" spans="1:15" x14ac:dyDescent="0.3">
      <c r="A1636" t="s">
        <v>3883</v>
      </c>
      <c r="B1636" t="s">
        <v>3884</v>
      </c>
      <c r="C1636" t="s">
        <v>81</v>
      </c>
      <c r="D1636" t="s">
        <v>38</v>
      </c>
      <c r="E1636" t="s">
        <v>59</v>
      </c>
      <c r="F1636" t="s">
        <v>117</v>
      </c>
      <c r="G1636">
        <v>3.73</v>
      </c>
      <c r="H1636" t="s">
        <v>41</v>
      </c>
      <c r="I1636" t="s">
        <v>42</v>
      </c>
      <c r="M1636">
        <f>VLOOKUP(H1636,'Stage Order'!$A$2:$B$8,2,FALSE)</f>
        <v>2</v>
      </c>
      <c r="N1636" t="str">
        <f t="shared" si="50"/>
        <v>2. 1-24 hours</v>
      </c>
      <c r="O1636" t="str">
        <f t="shared" si="51"/>
        <v>2025-12</v>
      </c>
    </row>
    <row r="1637" spans="1:15" x14ac:dyDescent="0.3">
      <c r="A1637" t="s">
        <v>3885</v>
      </c>
      <c r="B1637" t="s">
        <v>3886</v>
      </c>
      <c r="C1637" t="s">
        <v>125</v>
      </c>
      <c r="D1637" t="s">
        <v>77</v>
      </c>
      <c r="E1637" t="s">
        <v>90</v>
      </c>
      <c r="F1637" t="s">
        <v>112</v>
      </c>
      <c r="G1637">
        <v>5.49</v>
      </c>
      <c r="H1637" t="s">
        <v>41</v>
      </c>
      <c r="I1637" t="s">
        <v>42</v>
      </c>
      <c r="M1637">
        <f>VLOOKUP(H1637,'Stage Order'!$A$2:$B$8,2,FALSE)</f>
        <v>2</v>
      </c>
      <c r="N1637" t="str">
        <f t="shared" si="50"/>
        <v>2. 1-24 hours</v>
      </c>
      <c r="O1637" t="str">
        <f t="shared" si="51"/>
        <v>2026-05</v>
      </c>
    </row>
    <row r="1638" spans="1:15" x14ac:dyDescent="0.3">
      <c r="A1638" t="s">
        <v>3887</v>
      </c>
      <c r="B1638" t="s">
        <v>3888</v>
      </c>
      <c r="C1638" t="s">
        <v>125</v>
      </c>
      <c r="D1638" t="s">
        <v>97</v>
      </c>
      <c r="E1638" t="s">
        <v>90</v>
      </c>
      <c r="F1638" t="s">
        <v>145</v>
      </c>
      <c r="G1638">
        <v>13.75</v>
      </c>
      <c r="H1638" t="s">
        <v>61</v>
      </c>
      <c r="I1638" t="s">
        <v>42</v>
      </c>
      <c r="M1638">
        <f>VLOOKUP(H1638,'Stage Order'!$A$2:$B$8,2,FALSE)</f>
        <v>1</v>
      </c>
      <c r="N1638" t="str">
        <f t="shared" si="50"/>
        <v>2. 1-24 hours</v>
      </c>
      <c r="O1638" t="str">
        <f t="shared" si="51"/>
        <v>2025-09</v>
      </c>
    </row>
    <row r="1639" spans="1:15" x14ac:dyDescent="0.3">
      <c r="A1639" t="s">
        <v>3889</v>
      </c>
      <c r="B1639" t="s">
        <v>3890</v>
      </c>
      <c r="C1639" t="s">
        <v>58</v>
      </c>
      <c r="D1639" t="s">
        <v>77</v>
      </c>
      <c r="E1639" t="s">
        <v>30</v>
      </c>
      <c r="F1639" t="s">
        <v>78</v>
      </c>
      <c r="G1639">
        <v>3.67</v>
      </c>
      <c r="H1639" t="s">
        <v>41</v>
      </c>
      <c r="I1639" t="s">
        <v>42</v>
      </c>
      <c r="M1639">
        <f>VLOOKUP(H1639,'Stage Order'!$A$2:$B$8,2,FALSE)</f>
        <v>2</v>
      </c>
      <c r="N1639" t="str">
        <f t="shared" si="50"/>
        <v>2. 1-24 hours</v>
      </c>
      <c r="O1639" t="str">
        <f t="shared" si="51"/>
        <v>2025-08</v>
      </c>
    </row>
    <row r="1640" spans="1:15" x14ac:dyDescent="0.3">
      <c r="A1640" t="s">
        <v>3891</v>
      </c>
      <c r="B1640" t="s">
        <v>3892</v>
      </c>
      <c r="C1640" t="s">
        <v>58</v>
      </c>
      <c r="D1640" t="s">
        <v>29</v>
      </c>
      <c r="E1640" t="s">
        <v>39</v>
      </c>
      <c r="F1640" t="s">
        <v>66</v>
      </c>
      <c r="G1640">
        <v>4.87</v>
      </c>
      <c r="H1640" t="s">
        <v>41</v>
      </c>
      <c r="I1640" t="s">
        <v>42</v>
      </c>
      <c r="M1640">
        <f>VLOOKUP(H1640,'Stage Order'!$A$2:$B$8,2,FALSE)</f>
        <v>2</v>
      </c>
      <c r="N1640" t="str">
        <f t="shared" si="50"/>
        <v>2. 1-24 hours</v>
      </c>
      <c r="O1640" t="str">
        <f t="shared" si="51"/>
        <v>2025-10</v>
      </c>
    </row>
    <row r="1641" spans="1:15" x14ac:dyDescent="0.3">
      <c r="A1641" t="s">
        <v>3893</v>
      </c>
      <c r="B1641" t="s">
        <v>3894</v>
      </c>
      <c r="C1641" t="s">
        <v>53</v>
      </c>
      <c r="D1641" t="s">
        <v>54</v>
      </c>
      <c r="E1641" t="s">
        <v>90</v>
      </c>
      <c r="F1641" t="s">
        <v>112</v>
      </c>
      <c r="G1641">
        <v>3.36</v>
      </c>
      <c r="H1641" t="s">
        <v>32</v>
      </c>
      <c r="I1641" t="s">
        <v>33</v>
      </c>
      <c r="K1641">
        <v>526.76</v>
      </c>
      <c r="L1641" t="s">
        <v>3895</v>
      </c>
      <c r="M1641">
        <f>VLOOKUP(H1641,'Stage Order'!$A$2:$B$8,2,FALSE)</f>
        <v>7</v>
      </c>
      <c r="N1641" t="str">
        <f t="shared" si="50"/>
        <v>2. 1-24 hours</v>
      </c>
      <c r="O1641" t="str">
        <f t="shared" si="51"/>
        <v>2026-06</v>
      </c>
    </row>
    <row r="1642" spans="1:15" x14ac:dyDescent="0.3">
      <c r="A1642" t="s">
        <v>3896</v>
      </c>
      <c r="B1642" t="s">
        <v>3897</v>
      </c>
      <c r="C1642" t="s">
        <v>28</v>
      </c>
      <c r="D1642" t="s">
        <v>77</v>
      </c>
      <c r="E1642" t="s">
        <v>90</v>
      </c>
      <c r="F1642" t="s">
        <v>112</v>
      </c>
      <c r="G1642">
        <v>4.57</v>
      </c>
      <c r="H1642" t="s">
        <v>41</v>
      </c>
      <c r="I1642" t="s">
        <v>42</v>
      </c>
      <c r="M1642">
        <f>VLOOKUP(H1642,'Stage Order'!$A$2:$B$8,2,FALSE)</f>
        <v>2</v>
      </c>
      <c r="N1642" t="str">
        <f t="shared" si="50"/>
        <v>2. 1-24 hours</v>
      </c>
      <c r="O1642" t="str">
        <f t="shared" si="51"/>
        <v>2025-09</v>
      </c>
    </row>
    <row r="1643" spans="1:15" x14ac:dyDescent="0.3">
      <c r="A1643" t="s">
        <v>3898</v>
      </c>
      <c r="B1643" t="s">
        <v>3899</v>
      </c>
      <c r="C1643" t="s">
        <v>58</v>
      </c>
      <c r="D1643" t="s">
        <v>54</v>
      </c>
      <c r="E1643" t="s">
        <v>45</v>
      </c>
      <c r="F1643" t="s">
        <v>55</v>
      </c>
      <c r="G1643">
        <v>1.61</v>
      </c>
      <c r="H1643" t="s">
        <v>32</v>
      </c>
      <c r="I1643" t="s">
        <v>33</v>
      </c>
      <c r="K1643">
        <v>421.2</v>
      </c>
      <c r="L1643" t="s">
        <v>3900</v>
      </c>
      <c r="M1643">
        <f>VLOOKUP(H1643,'Stage Order'!$A$2:$B$8,2,FALSE)</f>
        <v>7</v>
      </c>
      <c r="N1643" t="str">
        <f t="shared" si="50"/>
        <v>2. 1-24 hours</v>
      </c>
      <c r="O1643" t="str">
        <f t="shared" si="51"/>
        <v>2025-12</v>
      </c>
    </row>
    <row r="1644" spans="1:15" x14ac:dyDescent="0.3">
      <c r="A1644" t="s">
        <v>3901</v>
      </c>
      <c r="B1644" t="s">
        <v>3902</v>
      </c>
      <c r="C1644" t="s">
        <v>37</v>
      </c>
      <c r="D1644" t="s">
        <v>54</v>
      </c>
      <c r="E1644" t="s">
        <v>30</v>
      </c>
      <c r="F1644" t="s">
        <v>82</v>
      </c>
      <c r="G1644">
        <v>0.56000000000000005</v>
      </c>
      <c r="H1644" t="s">
        <v>41</v>
      </c>
      <c r="I1644" t="s">
        <v>42</v>
      </c>
      <c r="M1644">
        <f>VLOOKUP(H1644,'Stage Order'!$A$2:$B$8,2,FALSE)</f>
        <v>2</v>
      </c>
      <c r="N1644" t="str">
        <f t="shared" si="50"/>
        <v>1. Under 1 hour</v>
      </c>
      <c r="O1644" t="str">
        <f t="shared" si="51"/>
        <v>2025-06</v>
      </c>
    </row>
    <row r="1645" spans="1:15" x14ac:dyDescent="0.3">
      <c r="A1645" t="s">
        <v>3903</v>
      </c>
      <c r="B1645" t="s">
        <v>3904</v>
      </c>
      <c r="C1645" t="s">
        <v>76</v>
      </c>
      <c r="D1645" t="s">
        <v>54</v>
      </c>
      <c r="E1645" t="s">
        <v>45</v>
      </c>
      <c r="F1645" t="s">
        <v>94</v>
      </c>
      <c r="G1645">
        <v>2.87</v>
      </c>
      <c r="H1645" t="s">
        <v>41</v>
      </c>
      <c r="I1645" t="s">
        <v>42</v>
      </c>
      <c r="M1645">
        <f>VLOOKUP(H1645,'Stage Order'!$A$2:$B$8,2,FALSE)</f>
        <v>2</v>
      </c>
      <c r="N1645" t="str">
        <f t="shared" si="50"/>
        <v>2. 1-24 hours</v>
      </c>
      <c r="O1645" t="str">
        <f t="shared" si="51"/>
        <v>2025-08</v>
      </c>
    </row>
    <row r="1646" spans="1:15" x14ac:dyDescent="0.3">
      <c r="A1646" t="s">
        <v>3905</v>
      </c>
      <c r="B1646" t="s">
        <v>3906</v>
      </c>
      <c r="C1646" t="s">
        <v>76</v>
      </c>
      <c r="D1646" t="s">
        <v>38</v>
      </c>
      <c r="E1646" t="s">
        <v>59</v>
      </c>
      <c r="F1646" t="s">
        <v>137</v>
      </c>
      <c r="G1646">
        <v>13.86</v>
      </c>
      <c r="H1646" t="s">
        <v>138</v>
      </c>
      <c r="I1646" t="s">
        <v>48</v>
      </c>
      <c r="J1646" t="s">
        <v>113</v>
      </c>
      <c r="K1646">
        <v>336.66</v>
      </c>
      <c r="L1646" t="s">
        <v>3907</v>
      </c>
      <c r="M1646">
        <f>VLOOKUP(H1646,'Stage Order'!$A$2:$B$8,2,FALSE)</f>
        <v>6</v>
      </c>
      <c r="N1646" t="str">
        <f t="shared" si="50"/>
        <v>2. 1-24 hours</v>
      </c>
      <c r="O1646" t="str">
        <f t="shared" si="51"/>
        <v>2025-03</v>
      </c>
    </row>
    <row r="1647" spans="1:15" x14ac:dyDescent="0.3">
      <c r="A1647" t="s">
        <v>3908</v>
      </c>
      <c r="B1647" t="s">
        <v>3909</v>
      </c>
      <c r="C1647" t="s">
        <v>28</v>
      </c>
      <c r="D1647" t="s">
        <v>29</v>
      </c>
      <c r="E1647" t="s">
        <v>90</v>
      </c>
      <c r="F1647" t="s">
        <v>91</v>
      </c>
      <c r="G1647">
        <v>6.89</v>
      </c>
      <c r="H1647" t="s">
        <v>41</v>
      </c>
      <c r="I1647" t="s">
        <v>42</v>
      </c>
      <c r="M1647">
        <f>VLOOKUP(H1647,'Stage Order'!$A$2:$B$8,2,FALSE)</f>
        <v>2</v>
      </c>
      <c r="N1647" t="str">
        <f t="shared" si="50"/>
        <v>2. 1-24 hours</v>
      </c>
      <c r="O1647" t="str">
        <f t="shared" si="51"/>
        <v>2025-07</v>
      </c>
    </row>
    <row r="1648" spans="1:15" x14ac:dyDescent="0.3">
      <c r="A1648" t="s">
        <v>3910</v>
      </c>
      <c r="B1648" t="s">
        <v>3911</v>
      </c>
      <c r="C1648" t="s">
        <v>37</v>
      </c>
      <c r="D1648" t="s">
        <v>77</v>
      </c>
      <c r="E1648" t="s">
        <v>30</v>
      </c>
      <c r="F1648" t="s">
        <v>31</v>
      </c>
      <c r="G1648">
        <v>3.86</v>
      </c>
      <c r="H1648" t="s">
        <v>41</v>
      </c>
      <c r="I1648" t="s">
        <v>42</v>
      </c>
      <c r="M1648">
        <f>VLOOKUP(H1648,'Stage Order'!$A$2:$B$8,2,FALSE)</f>
        <v>2</v>
      </c>
      <c r="N1648" t="str">
        <f t="shared" si="50"/>
        <v>2. 1-24 hours</v>
      </c>
      <c r="O1648" t="str">
        <f t="shared" si="51"/>
        <v>2026-06</v>
      </c>
    </row>
    <row r="1649" spans="1:15" x14ac:dyDescent="0.3">
      <c r="A1649" t="s">
        <v>3912</v>
      </c>
      <c r="B1649" t="s">
        <v>3913</v>
      </c>
      <c r="C1649" t="s">
        <v>76</v>
      </c>
      <c r="D1649" t="s">
        <v>54</v>
      </c>
      <c r="E1649" t="s">
        <v>59</v>
      </c>
      <c r="F1649" t="s">
        <v>60</v>
      </c>
      <c r="G1649">
        <v>2.67</v>
      </c>
      <c r="H1649" t="s">
        <v>41</v>
      </c>
      <c r="I1649" t="s">
        <v>42</v>
      </c>
      <c r="M1649">
        <f>VLOOKUP(H1649,'Stage Order'!$A$2:$B$8,2,FALSE)</f>
        <v>2</v>
      </c>
      <c r="N1649" t="str">
        <f t="shared" si="50"/>
        <v>2. 1-24 hours</v>
      </c>
      <c r="O1649" t="str">
        <f t="shared" si="51"/>
        <v>2026-03</v>
      </c>
    </row>
    <row r="1650" spans="1:15" x14ac:dyDescent="0.3">
      <c r="A1650" t="s">
        <v>3914</v>
      </c>
      <c r="B1650" t="s">
        <v>3915</v>
      </c>
      <c r="C1650" t="s">
        <v>58</v>
      </c>
      <c r="D1650" t="s">
        <v>97</v>
      </c>
      <c r="E1650" t="s">
        <v>59</v>
      </c>
      <c r="F1650" t="s">
        <v>137</v>
      </c>
      <c r="G1650">
        <v>10.55</v>
      </c>
      <c r="H1650" t="s">
        <v>47</v>
      </c>
      <c r="I1650" t="s">
        <v>48</v>
      </c>
      <c r="J1650" t="s">
        <v>49</v>
      </c>
      <c r="K1650">
        <v>1639.75</v>
      </c>
      <c r="L1650" t="s">
        <v>3916</v>
      </c>
      <c r="M1650">
        <f>VLOOKUP(H1650,'Stage Order'!$A$2:$B$8,2,FALSE)</f>
        <v>4</v>
      </c>
      <c r="N1650" t="str">
        <f t="shared" si="50"/>
        <v>2. 1-24 hours</v>
      </c>
      <c r="O1650" t="str">
        <f t="shared" si="51"/>
        <v>2025-09</v>
      </c>
    </row>
    <row r="1651" spans="1:15" x14ac:dyDescent="0.3">
      <c r="A1651" t="s">
        <v>3917</v>
      </c>
      <c r="B1651" t="s">
        <v>3918</v>
      </c>
      <c r="C1651" t="s">
        <v>125</v>
      </c>
      <c r="D1651" t="s">
        <v>38</v>
      </c>
      <c r="E1651" t="s">
        <v>45</v>
      </c>
      <c r="F1651" t="s">
        <v>94</v>
      </c>
      <c r="G1651">
        <v>1.94</v>
      </c>
      <c r="H1651" t="s">
        <v>41</v>
      </c>
      <c r="I1651" t="s">
        <v>42</v>
      </c>
      <c r="M1651">
        <f>VLOOKUP(H1651,'Stage Order'!$A$2:$B$8,2,FALSE)</f>
        <v>2</v>
      </c>
      <c r="N1651" t="str">
        <f t="shared" si="50"/>
        <v>2. 1-24 hours</v>
      </c>
      <c r="O1651" t="str">
        <f t="shared" si="51"/>
        <v>2025-12</v>
      </c>
    </row>
    <row r="1652" spans="1:15" x14ac:dyDescent="0.3">
      <c r="A1652" t="s">
        <v>3919</v>
      </c>
      <c r="B1652" t="s">
        <v>3920</v>
      </c>
      <c r="C1652" t="s">
        <v>81</v>
      </c>
      <c r="D1652" t="s">
        <v>54</v>
      </c>
      <c r="E1652" t="s">
        <v>90</v>
      </c>
      <c r="F1652" t="s">
        <v>91</v>
      </c>
      <c r="G1652">
        <v>2.7</v>
      </c>
      <c r="H1652" t="s">
        <v>61</v>
      </c>
      <c r="I1652" t="s">
        <v>42</v>
      </c>
      <c r="M1652">
        <f>VLOOKUP(H1652,'Stage Order'!$A$2:$B$8,2,FALSE)</f>
        <v>1</v>
      </c>
      <c r="N1652" t="str">
        <f t="shared" si="50"/>
        <v>2. 1-24 hours</v>
      </c>
      <c r="O1652" t="str">
        <f t="shared" si="51"/>
        <v>2026-05</v>
      </c>
    </row>
    <row r="1653" spans="1:15" x14ac:dyDescent="0.3">
      <c r="A1653" t="s">
        <v>3921</v>
      </c>
      <c r="B1653" t="s">
        <v>3922</v>
      </c>
      <c r="C1653" t="s">
        <v>76</v>
      </c>
      <c r="D1653" t="s">
        <v>38</v>
      </c>
      <c r="E1653" t="s">
        <v>45</v>
      </c>
      <c r="F1653" t="s">
        <v>94</v>
      </c>
      <c r="G1653">
        <v>1.73</v>
      </c>
      <c r="H1653" t="s">
        <v>41</v>
      </c>
      <c r="I1653" t="s">
        <v>42</v>
      </c>
      <c r="M1653">
        <f>VLOOKUP(H1653,'Stage Order'!$A$2:$B$8,2,FALSE)</f>
        <v>2</v>
      </c>
      <c r="N1653" t="str">
        <f t="shared" si="50"/>
        <v>2. 1-24 hours</v>
      </c>
      <c r="O1653" t="str">
        <f t="shared" si="51"/>
        <v>2025-07</v>
      </c>
    </row>
    <row r="1654" spans="1:15" x14ac:dyDescent="0.3">
      <c r="A1654" t="s">
        <v>3923</v>
      </c>
      <c r="B1654" t="s">
        <v>3924</v>
      </c>
      <c r="C1654" t="s">
        <v>28</v>
      </c>
      <c r="D1654" t="s">
        <v>54</v>
      </c>
      <c r="E1654" t="s">
        <v>45</v>
      </c>
      <c r="F1654" t="s">
        <v>94</v>
      </c>
      <c r="G1654">
        <v>1.6</v>
      </c>
      <c r="H1654" t="s">
        <v>41</v>
      </c>
      <c r="I1654" t="s">
        <v>42</v>
      </c>
      <c r="M1654">
        <f>VLOOKUP(H1654,'Stage Order'!$A$2:$B$8,2,FALSE)</f>
        <v>2</v>
      </c>
      <c r="N1654" t="str">
        <f t="shared" si="50"/>
        <v>2. 1-24 hours</v>
      </c>
      <c r="O1654" t="str">
        <f t="shared" si="51"/>
        <v>2026-01</v>
      </c>
    </row>
    <row r="1655" spans="1:15" x14ac:dyDescent="0.3">
      <c r="A1655" t="s">
        <v>3925</v>
      </c>
      <c r="B1655" t="s">
        <v>3926</v>
      </c>
      <c r="C1655" t="s">
        <v>37</v>
      </c>
      <c r="D1655" t="s">
        <v>29</v>
      </c>
      <c r="E1655" t="s">
        <v>45</v>
      </c>
      <c r="F1655" t="s">
        <v>94</v>
      </c>
      <c r="G1655">
        <v>1.42</v>
      </c>
      <c r="H1655" t="s">
        <v>47</v>
      </c>
      <c r="I1655" t="s">
        <v>48</v>
      </c>
      <c r="J1655" t="s">
        <v>742</v>
      </c>
      <c r="K1655">
        <v>600.92999999999995</v>
      </c>
      <c r="L1655" t="s">
        <v>3927</v>
      </c>
      <c r="M1655">
        <f>VLOOKUP(H1655,'Stage Order'!$A$2:$B$8,2,FALSE)</f>
        <v>4</v>
      </c>
      <c r="N1655" t="str">
        <f t="shared" si="50"/>
        <v>2. 1-24 hours</v>
      </c>
      <c r="O1655" t="str">
        <f t="shared" si="51"/>
        <v>2025-07</v>
      </c>
    </row>
    <row r="1656" spans="1:15" x14ac:dyDescent="0.3">
      <c r="A1656" t="s">
        <v>3928</v>
      </c>
      <c r="B1656" t="s">
        <v>3929</v>
      </c>
      <c r="C1656" t="s">
        <v>53</v>
      </c>
      <c r="D1656" t="s">
        <v>97</v>
      </c>
      <c r="E1656" t="s">
        <v>39</v>
      </c>
      <c r="F1656" t="s">
        <v>66</v>
      </c>
      <c r="G1656">
        <v>0.8</v>
      </c>
      <c r="H1656" t="s">
        <v>32</v>
      </c>
      <c r="I1656" t="s">
        <v>33</v>
      </c>
      <c r="K1656">
        <v>1347.58</v>
      </c>
      <c r="L1656" t="s">
        <v>3930</v>
      </c>
      <c r="M1656">
        <f>VLOOKUP(H1656,'Stage Order'!$A$2:$B$8,2,FALSE)</f>
        <v>7</v>
      </c>
      <c r="N1656" t="str">
        <f t="shared" si="50"/>
        <v>1. Under 1 hour</v>
      </c>
      <c r="O1656" t="str">
        <f t="shared" si="51"/>
        <v>2025-01</v>
      </c>
    </row>
    <row r="1657" spans="1:15" x14ac:dyDescent="0.3">
      <c r="A1657" t="s">
        <v>3931</v>
      </c>
      <c r="B1657" t="s">
        <v>3932</v>
      </c>
      <c r="C1657" t="s">
        <v>81</v>
      </c>
      <c r="D1657" t="s">
        <v>77</v>
      </c>
      <c r="E1657" t="s">
        <v>39</v>
      </c>
      <c r="F1657" t="s">
        <v>40</v>
      </c>
      <c r="G1657">
        <v>6.65</v>
      </c>
      <c r="H1657" t="s">
        <v>41</v>
      </c>
      <c r="I1657" t="s">
        <v>42</v>
      </c>
      <c r="M1657">
        <f>VLOOKUP(H1657,'Stage Order'!$A$2:$B$8,2,FALSE)</f>
        <v>2</v>
      </c>
      <c r="N1657" t="str">
        <f t="shared" si="50"/>
        <v>2. 1-24 hours</v>
      </c>
      <c r="O1657" t="str">
        <f t="shared" si="51"/>
        <v>2025-08</v>
      </c>
    </row>
    <row r="1658" spans="1:15" x14ac:dyDescent="0.3">
      <c r="A1658" t="s">
        <v>3933</v>
      </c>
      <c r="B1658" t="s">
        <v>3934</v>
      </c>
      <c r="C1658" t="s">
        <v>58</v>
      </c>
      <c r="D1658" t="s">
        <v>77</v>
      </c>
      <c r="E1658" t="s">
        <v>39</v>
      </c>
      <c r="F1658" t="s">
        <v>106</v>
      </c>
      <c r="G1658">
        <v>4.1399999999999997</v>
      </c>
      <c r="H1658" t="s">
        <v>138</v>
      </c>
      <c r="I1658" t="s">
        <v>48</v>
      </c>
      <c r="J1658" t="s">
        <v>98</v>
      </c>
      <c r="K1658">
        <v>927.82</v>
      </c>
      <c r="L1658" t="s">
        <v>3935</v>
      </c>
      <c r="M1658">
        <f>VLOOKUP(H1658,'Stage Order'!$A$2:$B$8,2,FALSE)</f>
        <v>6</v>
      </c>
      <c r="N1658" t="str">
        <f t="shared" si="50"/>
        <v>2. 1-24 hours</v>
      </c>
      <c r="O1658" t="str">
        <f t="shared" si="51"/>
        <v>2026-02</v>
      </c>
    </row>
    <row r="1659" spans="1:15" x14ac:dyDescent="0.3">
      <c r="A1659" t="s">
        <v>3936</v>
      </c>
      <c r="B1659" t="s">
        <v>3937</v>
      </c>
      <c r="C1659" t="s">
        <v>37</v>
      </c>
      <c r="D1659" t="s">
        <v>38</v>
      </c>
      <c r="E1659" t="s">
        <v>39</v>
      </c>
      <c r="F1659" t="s">
        <v>66</v>
      </c>
      <c r="G1659">
        <v>7.18</v>
      </c>
      <c r="H1659" t="s">
        <v>41</v>
      </c>
      <c r="I1659" t="s">
        <v>42</v>
      </c>
      <c r="M1659">
        <f>VLOOKUP(H1659,'Stage Order'!$A$2:$B$8,2,FALSE)</f>
        <v>2</v>
      </c>
      <c r="N1659" t="str">
        <f t="shared" si="50"/>
        <v>2. 1-24 hours</v>
      </c>
      <c r="O1659" t="str">
        <f t="shared" si="51"/>
        <v>2025-10</v>
      </c>
    </row>
    <row r="1660" spans="1:15" x14ac:dyDescent="0.3">
      <c r="A1660" t="s">
        <v>3938</v>
      </c>
      <c r="B1660" t="s">
        <v>3939</v>
      </c>
      <c r="C1660" t="s">
        <v>37</v>
      </c>
      <c r="D1660" t="s">
        <v>54</v>
      </c>
      <c r="E1660" t="s">
        <v>39</v>
      </c>
      <c r="F1660" t="s">
        <v>66</v>
      </c>
      <c r="G1660">
        <v>5.87</v>
      </c>
      <c r="H1660" t="s">
        <v>47</v>
      </c>
      <c r="I1660" t="s">
        <v>48</v>
      </c>
      <c r="J1660" t="s">
        <v>742</v>
      </c>
      <c r="K1660">
        <v>429.35</v>
      </c>
      <c r="L1660" t="s">
        <v>3940</v>
      </c>
      <c r="M1660">
        <f>VLOOKUP(H1660,'Stage Order'!$A$2:$B$8,2,FALSE)</f>
        <v>4</v>
      </c>
      <c r="N1660" t="str">
        <f t="shared" si="50"/>
        <v>2. 1-24 hours</v>
      </c>
      <c r="O1660" t="str">
        <f t="shared" si="51"/>
        <v>2025-02</v>
      </c>
    </row>
    <row r="1661" spans="1:15" x14ac:dyDescent="0.3">
      <c r="A1661" t="s">
        <v>3941</v>
      </c>
      <c r="B1661" t="s">
        <v>3942</v>
      </c>
      <c r="C1661" t="s">
        <v>28</v>
      </c>
      <c r="D1661" t="s">
        <v>77</v>
      </c>
      <c r="E1661" t="s">
        <v>45</v>
      </c>
      <c r="F1661" t="s">
        <v>94</v>
      </c>
      <c r="G1661">
        <v>2.76</v>
      </c>
      <c r="H1661" t="s">
        <v>138</v>
      </c>
      <c r="I1661" t="s">
        <v>48</v>
      </c>
      <c r="J1661" t="s">
        <v>49</v>
      </c>
      <c r="K1661">
        <v>944.62</v>
      </c>
      <c r="L1661" t="s">
        <v>3943</v>
      </c>
      <c r="M1661">
        <f>VLOOKUP(H1661,'Stage Order'!$A$2:$B$8,2,FALSE)</f>
        <v>6</v>
      </c>
      <c r="N1661" t="str">
        <f t="shared" si="50"/>
        <v>2. 1-24 hours</v>
      </c>
      <c r="O1661" t="str">
        <f t="shared" si="51"/>
        <v>2026-05</v>
      </c>
    </row>
    <row r="1662" spans="1:15" x14ac:dyDescent="0.3">
      <c r="A1662" t="s">
        <v>3944</v>
      </c>
      <c r="B1662" t="s">
        <v>3945</v>
      </c>
      <c r="C1662" t="s">
        <v>81</v>
      </c>
      <c r="D1662" t="s">
        <v>77</v>
      </c>
      <c r="E1662" t="s">
        <v>59</v>
      </c>
      <c r="F1662" t="s">
        <v>137</v>
      </c>
      <c r="G1662">
        <v>5.23</v>
      </c>
      <c r="H1662" t="s">
        <v>41</v>
      </c>
      <c r="I1662" t="s">
        <v>42</v>
      </c>
      <c r="M1662">
        <f>VLOOKUP(H1662,'Stage Order'!$A$2:$B$8,2,FALSE)</f>
        <v>2</v>
      </c>
      <c r="N1662" t="str">
        <f t="shared" si="50"/>
        <v>2. 1-24 hours</v>
      </c>
      <c r="O1662" t="str">
        <f t="shared" si="51"/>
        <v>2025-06</v>
      </c>
    </row>
    <row r="1663" spans="1:15" x14ac:dyDescent="0.3">
      <c r="A1663" t="s">
        <v>3946</v>
      </c>
      <c r="B1663" t="s">
        <v>3947</v>
      </c>
      <c r="C1663" t="s">
        <v>125</v>
      </c>
      <c r="D1663" t="s">
        <v>29</v>
      </c>
      <c r="E1663" t="s">
        <v>45</v>
      </c>
      <c r="F1663" t="s">
        <v>55</v>
      </c>
      <c r="G1663">
        <v>0.7</v>
      </c>
      <c r="H1663" t="s">
        <v>41</v>
      </c>
      <c r="I1663" t="s">
        <v>42</v>
      </c>
      <c r="M1663">
        <f>VLOOKUP(H1663,'Stage Order'!$A$2:$B$8,2,FALSE)</f>
        <v>2</v>
      </c>
      <c r="N1663" t="str">
        <f t="shared" si="50"/>
        <v>1. Under 1 hour</v>
      </c>
      <c r="O1663" t="str">
        <f t="shared" si="51"/>
        <v>2025-04</v>
      </c>
    </row>
    <row r="1664" spans="1:15" x14ac:dyDescent="0.3">
      <c r="A1664" t="s">
        <v>3948</v>
      </c>
      <c r="B1664" t="s">
        <v>3949</v>
      </c>
      <c r="C1664" t="s">
        <v>37</v>
      </c>
      <c r="D1664" t="s">
        <v>54</v>
      </c>
      <c r="E1664" t="s">
        <v>45</v>
      </c>
      <c r="F1664" t="s">
        <v>55</v>
      </c>
      <c r="G1664">
        <v>1.88</v>
      </c>
      <c r="H1664" t="s">
        <v>41</v>
      </c>
      <c r="I1664" t="s">
        <v>42</v>
      </c>
      <c r="M1664">
        <f>VLOOKUP(H1664,'Stage Order'!$A$2:$B$8,2,FALSE)</f>
        <v>2</v>
      </c>
      <c r="N1664" t="str">
        <f t="shared" si="50"/>
        <v>2. 1-24 hours</v>
      </c>
      <c r="O1664" t="str">
        <f t="shared" si="51"/>
        <v>2026-05</v>
      </c>
    </row>
    <row r="1665" spans="1:15" x14ac:dyDescent="0.3">
      <c r="A1665" t="s">
        <v>3950</v>
      </c>
      <c r="B1665" t="s">
        <v>3951</v>
      </c>
      <c r="C1665" t="s">
        <v>125</v>
      </c>
      <c r="D1665" t="s">
        <v>38</v>
      </c>
      <c r="E1665" t="s">
        <v>45</v>
      </c>
      <c r="F1665" t="s">
        <v>46</v>
      </c>
      <c r="G1665">
        <v>12.62</v>
      </c>
      <c r="H1665" t="s">
        <v>61</v>
      </c>
      <c r="I1665" t="s">
        <v>42</v>
      </c>
      <c r="M1665">
        <f>VLOOKUP(H1665,'Stage Order'!$A$2:$B$8,2,FALSE)</f>
        <v>1</v>
      </c>
      <c r="N1665" t="str">
        <f t="shared" si="50"/>
        <v>2. 1-24 hours</v>
      </c>
      <c r="O1665" t="str">
        <f t="shared" si="51"/>
        <v>2025-11</v>
      </c>
    </row>
    <row r="1666" spans="1:15" x14ac:dyDescent="0.3">
      <c r="A1666" t="s">
        <v>3952</v>
      </c>
      <c r="B1666" t="s">
        <v>3953</v>
      </c>
      <c r="C1666" t="s">
        <v>76</v>
      </c>
      <c r="D1666" t="s">
        <v>77</v>
      </c>
      <c r="E1666" t="s">
        <v>59</v>
      </c>
      <c r="F1666" t="s">
        <v>137</v>
      </c>
      <c r="G1666">
        <v>2.13</v>
      </c>
      <c r="H1666" t="s">
        <v>138</v>
      </c>
      <c r="I1666" t="s">
        <v>48</v>
      </c>
      <c r="J1666" t="s">
        <v>113</v>
      </c>
      <c r="K1666">
        <v>959.12</v>
      </c>
      <c r="L1666" t="s">
        <v>3954</v>
      </c>
      <c r="M1666">
        <f>VLOOKUP(H1666,'Stage Order'!$A$2:$B$8,2,FALSE)</f>
        <v>6</v>
      </c>
      <c r="N1666" t="str">
        <f t="shared" ref="N1666:N1729" si="52">IF(G1666&lt;=1,"1. Under 1 hour",IF(G1666&lt;=24,"2. 1-24 hours",IF(G1666&lt;=72,"3. 1-3 days","4. Over 3 days")))</f>
        <v>2. 1-24 hours</v>
      </c>
      <c r="O1666" t="str">
        <f t="shared" ref="O1666:O1729" si="53">TEXT(B1666,"YYYY-MM")</f>
        <v>2025-11</v>
      </c>
    </row>
    <row r="1667" spans="1:15" x14ac:dyDescent="0.3">
      <c r="A1667" t="s">
        <v>3955</v>
      </c>
      <c r="B1667" t="s">
        <v>3956</v>
      </c>
      <c r="C1667" t="s">
        <v>28</v>
      </c>
      <c r="D1667" t="s">
        <v>54</v>
      </c>
      <c r="E1667" t="s">
        <v>30</v>
      </c>
      <c r="F1667" t="s">
        <v>31</v>
      </c>
      <c r="G1667">
        <v>1.96</v>
      </c>
      <c r="H1667" t="s">
        <v>41</v>
      </c>
      <c r="I1667" t="s">
        <v>42</v>
      </c>
      <c r="M1667">
        <f>VLOOKUP(H1667,'Stage Order'!$A$2:$B$8,2,FALSE)</f>
        <v>2</v>
      </c>
      <c r="N1667" t="str">
        <f t="shared" si="52"/>
        <v>2. 1-24 hours</v>
      </c>
      <c r="O1667" t="str">
        <f t="shared" si="53"/>
        <v>2026-01</v>
      </c>
    </row>
    <row r="1668" spans="1:15" x14ac:dyDescent="0.3">
      <c r="A1668" t="s">
        <v>3957</v>
      </c>
      <c r="B1668" t="s">
        <v>3958</v>
      </c>
      <c r="C1668" t="s">
        <v>28</v>
      </c>
      <c r="D1668" t="s">
        <v>97</v>
      </c>
      <c r="E1668" t="s">
        <v>90</v>
      </c>
      <c r="F1668" t="s">
        <v>91</v>
      </c>
      <c r="G1668">
        <v>1.75</v>
      </c>
      <c r="H1668" t="s">
        <v>41</v>
      </c>
      <c r="I1668" t="s">
        <v>42</v>
      </c>
      <c r="M1668">
        <f>VLOOKUP(H1668,'Stage Order'!$A$2:$B$8,2,FALSE)</f>
        <v>2</v>
      </c>
      <c r="N1668" t="str">
        <f t="shared" si="52"/>
        <v>2. 1-24 hours</v>
      </c>
      <c r="O1668" t="str">
        <f t="shared" si="53"/>
        <v>2025-11</v>
      </c>
    </row>
    <row r="1669" spans="1:15" x14ac:dyDescent="0.3">
      <c r="A1669" t="s">
        <v>3959</v>
      </c>
      <c r="B1669" t="s">
        <v>3960</v>
      </c>
      <c r="C1669" t="s">
        <v>125</v>
      </c>
      <c r="D1669" t="s">
        <v>97</v>
      </c>
      <c r="E1669" t="s">
        <v>45</v>
      </c>
      <c r="F1669" t="s">
        <v>55</v>
      </c>
      <c r="G1669">
        <v>2.97</v>
      </c>
      <c r="H1669" t="s">
        <v>146</v>
      </c>
      <c r="I1669" t="s">
        <v>48</v>
      </c>
      <c r="J1669" t="s">
        <v>98</v>
      </c>
      <c r="K1669">
        <v>1196.82</v>
      </c>
      <c r="L1669" t="s">
        <v>3961</v>
      </c>
      <c r="M1669">
        <f>VLOOKUP(H1669,'Stage Order'!$A$2:$B$8,2,FALSE)</f>
        <v>5</v>
      </c>
      <c r="N1669" t="str">
        <f t="shared" si="52"/>
        <v>2. 1-24 hours</v>
      </c>
      <c r="O1669" t="str">
        <f t="shared" si="53"/>
        <v>2026-06</v>
      </c>
    </row>
    <row r="1670" spans="1:15" x14ac:dyDescent="0.3">
      <c r="A1670" t="s">
        <v>3962</v>
      </c>
      <c r="B1670" t="s">
        <v>3963</v>
      </c>
      <c r="C1670" t="s">
        <v>28</v>
      </c>
      <c r="D1670" t="s">
        <v>54</v>
      </c>
      <c r="E1670" t="s">
        <v>59</v>
      </c>
      <c r="F1670" t="s">
        <v>60</v>
      </c>
      <c r="G1670">
        <v>1.25</v>
      </c>
      <c r="H1670" t="s">
        <v>41</v>
      </c>
      <c r="I1670" t="s">
        <v>42</v>
      </c>
      <c r="M1670">
        <f>VLOOKUP(H1670,'Stage Order'!$A$2:$B$8,2,FALSE)</f>
        <v>2</v>
      </c>
      <c r="N1670" t="str">
        <f t="shared" si="52"/>
        <v>2. 1-24 hours</v>
      </c>
      <c r="O1670" t="str">
        <f t="shared" si="53"/>
        <v>2025-03</v>
      </c>
    </row>
    <row r="1671" spans="1:15" x14ac:dyDescent="0.3">
      <c r="A1671" t="s">
        <v>3964</v>
      </c>
      <c r="B1671" t="s">
        <v>3965</v>
      </c>
      <c r="C1671" t="s">
        <v>81</v>
      </c>
      <c r="D1671" t="s">
        <v>77</v>
      </c>
      <c r="E1671" t="s">
        <v>30</v>
      </c>
      <c r="F1671" t="s">
        <v>31</v>
      </c>
      <c r="G1671">
        <v>3.15</v>
      </c>
      <c r="H1671" t="s">
        <v>41</v>
      </c>
      <c r="I1671" t="s">
        <v>42</v>
      </c>
      <c r="M1671">
        <f>VLOOKUP(H1671,'Stage Order'!$A$2:$B$8,2,FALSE)</f>
        <v>2</v>
      </c>
      <c r="N1671" t="str">
        <f t="shared" si="52"/>
        <v>2. 1-24 hours</v>
      </c>
      <c r="O1671" t="str">
        <f t="shared" si="53"/>
        <v>2025-08</v>
      </c>
    </row>
    <row r="1672" spans="1:15" x14ac:dyDescent="0.3">
      <c r="A1672" t="s">
        <v>3966</v>
      </c>
      <c r="B1672" t="s">
        <v>3967</v>
      </c>
      <c r="C1672" t="s">
        <v>37</v>
      </c>
      <c r="D1672" t="s">
        <v>54</v>
      </c>
      <c r="E1672" t="s">
        <v>39</v>
      </c>
      <c r="F1672" t="s">
        <v>40</v>
      </c>
      <c r="G1672">
        <v>2.93</v>
      </c>
      <c r="H1672" t="s">
        <v>41</v>
      </c>
      <c r="I1672" t="s">
        <v>42</v>
      </c>
      <c r="M1672">
        <f>VLOOKUP(H1672,'Stage Order'!$A$2:$B$8,2,FALSE)</f>
        <v>2</v>
      </c>
      <c r="N1672" t="str">
        <f t="shared" si="52"/>
        <v>2. 1-24 hours</v>
      </c>
      <c r="O1672" t="str">
        <f t="shared" si="53"/>
        <v>2026-05</v>
      </c>
    </row>
    <row r="1673" spans="1:15" x14ac:dyDescent="0.3">
      <c r="A1673" t="s">
        <v>3968</v>
      </c>
      <c r="B1673" t="s">
        <v>3969</v>
      </c>
      <c r="C1673" t="s">
        <v>76</v>
      </c>
      <c r="D1673" t="s">
        <v>29</v>
      </c>
      <c r="E1673" t="s">
        <v>45</v>
      </c>
      <c r="F1673" t="s">
        <v>46</v>
      </c>
      <c r="G1673">
        <v>6.05</v>
      </c>
      <c r="H1673" t="s">
        <v>41</v>
      </c>
      <c r="I1673" t="s">
        <v>42</v>
      </c>
      <c r="M1673">
        <f>VLOOKUP(H1673,'Stage Order'!$A$2:$B$8,2,FALSE)</f>
        <v>2</v>
      </c>
      <c r="N1673" t="str">
        <f t="shared" si="52"/>
        <v>2. 1-24 hours</v>
      </c>
      <c r="O1673" t="str">
        <f t="shared" si="53"/>
        <v>2025-06</v>
      </c>
    </row>
    <row r="1674" spans="1:15" x14ac:dyDescent="0.3">
      <c r="A1674" t="s">
        <v>3970</v>
      </c>
      <c r="B1674" t="s">
        <v>3971</v>
      </c>
      <c r="C1674" t="s">
        <v>81</v>
      </c>
      <c r="D1674" t="s">
        <v>38</v>
      </c>
      <c r="E1674" t="s">
        <v>45</v>
      </c>
      <c r="F1674" t="s">
        <v>46</v>
      </c>
      <c r="G1674">
        <v>1.55</v>
      </c>
      <c r="H1674" t="s">
        <v>47</v>
      </c>
      <c r="I1674" t="s">
        <v>48</v>
      </c>
      <c r="J1674" t="s">
        <v>139</v>
      </c>
      <c r="K1674">
        <v>423.88</v>
      </c>
      <c r="L1674" t="s">
        <v>3972</v>
      </c>
      <c r="M1674">
        <f>VLOOKUP(H1674,'Stage Order'!$A$2:$B$8,2,FALSE)</f>
        <v>4</v>
      </c>
      <c r="N1674" t="str">
        <f t="shared" si="52"/>
        <v>2. 1-24 hours</v>
      </c>
      <c r="O1674" t="str">
        <f t="shared" si="53"/>
        <v>2025-01</v>
      </c>
    </row>
    <row r="1675" spans="1:15" x14ac:dyDescent="0.3">
      <c r="A1675" t="s">
        <v>3973</v>
      </c>
      <c r="B1675" t="s">
        <v>3974</v>
      </c>
      <c r="C1675" t="s">
        <v>125</v>
      </c>
      <c r="D1675" t="s">
        <v>77</v>
      </c>
      <c r="E1675" t="s">
        <v>45</v>
      </c>
      <c r="F1675" t="s">
        <v>55</v>
      </c>
      <c r="G1675">
        <v>5.0999999999999996</v>
      </c>
      <c r="H1675" t="s">
        <v>41</v>
      </c>
      <c r="I1675" t="s">
        <v>42</v>
      </c>
      <c r="M1675">
        <f>VLOOKUP(H1675,'Stage Order'!$A$2:$B$8,2,FALSE)</f>
        <v>2</v>
      </c>
      <c r="N1675" t="str">
        <f t="shared" si="52"/>
        <v>2. 1-24 hours</v>
      </c>
      <c r="O1675" t="str">
        <f t="shared" si="53"/>
        <v>2025-05</v>
      </c>
    </row>
    <row r="1676" spans="1:15" x14ac:dyDescent="0.3">
      <c r="A1676" t="s">
        <v>3975</v>
      </c>
      <c r="B1676" t="s">
        <v>3976</v>
      </c>
      <c r="C1676" t="s">
        <v>53</v>
      </c>
      <c r="D1676" t="s">
        <v>97</v>
      </c>
      <c r="E1676" t="s">
        <v>30</v>
      </c>
      <c r="F1676" t="s">
        <v>31</v>
      </c>
      <c r="G1676">
        <v>8.09</v>
      </c>
      <c r="H1676" t="s">
        <v>32</v>
      </c>
      <c r="I1676" t="s">
        <v>33</v>
      </c>
      <c r="K1676">
        <v>1668.13</v>
      </c>
      <c r="L1676" t="s">
        <v>3977</v>
      </c>
      <c r="M1676">
        <f>VLOOKUP(H1676,'Stage Order'!$A$2:$B$8,2,FALSE)</f>
        <v>7</v>
      </c>
      <c r="N1676" t="str">
        <f t="shared" si="52"/>
        <v>2. 1-24 hours</v>
      </c>
      <c r="O1676" t="str">
        <f t="shared" si="53"/>
        <v>2025-03</v>
      </c>
    </row>
    <row r="1677" spans="1:15" x14ac:dyDescent="0.3">
      <c r="A1677" t="s">
        <v>3978</v>
      </c>
      <c r="B1677" t="s">
        <v>3979</v>
      </c>
      <c r="C1677" t="s">
        <v>37</v>
      </c>
      <c r="D1677" t="s">
        <v>77</v>
      </c>
      <c r="E1677" t="s">
        <v>30</v>
      </c>
      <c r="F1677" t="s">
        <v>78</v>
      </c>
      <c r="G1677">
        <v>5.51</v>
      </c>
      <c r="H1677" t="s">
        <v>41</v>
      </c>
      <c r="I1677" t="s">
        <v>42</v>
      </c>
      <c r="M1677">
        <f>VLOOKUP(H1677,'Stage Order'!$A$2:$B$8,2,FALSE)</f>
        <v>2</v>
      </c>
      <c r="N1677" t="str">
        <f t="shared" si="52"/>
        <v>2. 1-24 hours</v>
      </c>
      <c r="O1677" t="str">
        <f t="shared" si="53"/>
        <v>2025-05</v>
      </c>
    </row>
    <row r="1678" spans="1:15" x14ac:dyDescent="0.3">
      <c r="A1678" t="s">
        <v>3980</v>
      </c>
      <c r="B1678" t="s">
        <v>3981</v>
      </c>
      <c r="C1678" t="s">
        <v>53</v>
      </c>
      <c r="D1678" t="s">
        <v>97</v>
      </c>
      <c r="E1678" t="s">
        <v>45</v>
      </c>
      <c r="F1678" t="s">
        <v>55</v>
      </c>
      <c r="G1678">
        <v>2.0499999999999998</v>
      </c>
      <c r="H1678" t="s">
        <v>138</v>
      </c>
      <c r="I1678" t="s">
        <v>48</v>
      </c>
      <c r="J1678" t="s">
        <v>139</v>
      </c>
      <c r="K1678">
        <v>1500.5</v>
      </c>
      <c r="L1678" t="s">
        <v>3982</v>
      </c>
      <c r="M1678">
        <f>VLOOKUP(H1678,'Stage Order'!$A$2:$B$8,2,FALSE)</f>
        <v>6</v>
      </c>
      <c r="N1678" t="str">
        <f t="shared" si="52"/>
        <v>2. 1-24 hours</v>
      </c>
      <c r="O1678" t="str">
        <f t="shared" si="53"/>
        <v>2026-06</v>
      </c>
    </row>
    <row r="1679" spans="1:15" x14ac:dyDescent="0.3">
      <c r="A1679" t="s">
        <v>3983</v>
      </c>
      <c r="B1679" t="s">
        <v>3984</v>
      </c>
      <c r="C1679" t="s">
        <v>125</v>
      </c>
      <c r="D1679" t="s">
        <v>38</v>
      </c>
      <c r="E1679" t="s">
        <v>30</v>
      </c>
      <c r="F1679" t="s">
        <v>82</v>
      </c>
      <c r="G1679">
        <v>2.12</v>
      </c>
      <c r="H1679" t="s">
        <v>41</v>
      </c>
      <c r="I1679" t="s">
        <v>42</v>
      </c>
      <c r="M1679">
        <f>VLOOKUP(H1679,'Stage Order'!$A$2:$B$8,2,FALSE)</f>
        <v>2</v>
      </c>
      <c r="N1679" t="str">
        <f t="shared" si="52"/>
        <v>2. 1-24 hours</v>
      </c>
      <c r="O1679" t="str">
        <f t="shared" si="53"/>
        <v>2025-12</v>
      </c>
    </row>
    <row r="1680" spans="1:15" x14ac:dyDescent="0.3">
      <c r="A1680" t="s">
        <v>3985</v>
      </c>
      <c r="B1680" t="s">
        <v>3986</v>
      </c>
      <c r="C1680" t="s">
        <v>53</v>
      </c>
      <c r="D1680" t="s">
        <v>54</v>
      </c>
      <c r="E1680" t="s">
        <v>45</v>
      </c>
      <c r="F1680" t="s">
        <v>55</v>
      </c>
      <c r="G1680">
        <v>3.88</v>
      </c>
      <c r="H1680" t="s">
        <v>41</v>
      </c>
      <c r="I1680" t="s">
        <v>42</v>
      </c>
      <c r="M1680">
        <f>VLOOKUP(H1680,'Stage Order'!$A$2:$B$8,2,FALSE)</f>
        <v>2</v>
      </c>
      <c r="N1680" t="str">
        <f t="shared" si="52"/>
        <v>2. 1-24 hours</v>
      </c>
      <c r="O1680" t="str">
        <f t="shared" si="53"/>
        <v>2025-05</v>
      </c>
    </row>
    <row r="1681" spans="1:15" x14ac:dyDescent="0.3">
      <c r="A1681" t="s">
        <v>3987</v>
      </c>
      <c r="B1681" t="s">
        <v>3988</v>
      </c>
      <c r="C1681" t="s">
        <v>58</v>
      </c>
      <c r="D1681" t="s">
        <v>29</v>
      </c>
      <c r="E1681" t="s">
        <v>59</v>
      </c>
      <c r="F1681" t="s">
        <v>137</v>
      </c>
      <c r="G1681">
        <v>1.45</v>
      </c>
      <c r="H1681" t="s">
        <v>41</v>
      </c>
      <c r="I1681" t="s">
        <v>42</v>
      </c>
      <c r="M1681">
        <f>VLOOKUP(H1681,'Stage Order'!$A$2:$B$8,2,FALSE)</f>
        <v>2</v>
      </c>
      <c r="N1681" t="str">
        <f t="shared" si="52"/>
        <v>2. 1-24 hours</v>
      </c>
      <c r="O1681" t="str">
        <f t="shared" si="53"/>
        <v>2025-07</v>
      </c>
    </row>
    <row r="1682" spans="1:15" x14ac:dyDescent="0.3">
      <c r="A1682" t="s">
        <v>3989</v>
      </c>
      <c r="B1682" t="s">
        <v>3990</v>
      </c>
      <c r="C1682" t="s">
        <v>58</v>
      </c>
      <c r="D1682" t="s">
        <v>54</v>
      </c>
      <c r="E1682" t="s">
        <v>45</v>
      </c>
      <c r="F1682" t="s">
        <v>94</v>
      </c>
      <c r="G1682">
        <v>5.25</v>
      </c>
      <c r="H1682" t="s">
        <v>41</v>
      </c>
      <c r="I1682" t="s">
        <v>42</v>
      </c>
      <c r="M1682">
        <f>VLOOKUP(H1682,'Stage Order'!$A$2:$B$8,2,FALSE)</f>
        <v>2</v>
      </c>
      <c r="N1682" t="str">
        <f t="shared" si="52"/>
        <v>2. 1-24 hours</v>
      </c>
      <c r="O1682" t="str">
        <f t="shared" si="53"/>
        <v>2025-12</v>
      </c>
    </row>
    <row r="1683" spans="1:15" x14ac:dyDescent="0.3">
      <c r="A1683" t="s">
        <v>3991</v>
      </c>
      <c r="B1683" t="s">
        <v>3992</v>
      </c>
      <c r="C1683" t="s">
        <v>81</v>
      </c>
      <c r="D1683" t="s">
        <v>29</v>
      </c>
      <c r="E1683" t="s">
        <v>90</v>
      </c>
      <c r="F1683" t="s">
        <v>112</v>
      </c>
      <c r="G1683">
        <v>1.07</v>
      </c>
      <c r="H1683" t="s">
        <v>41</v>
      </c>
      <c r="I1683" t="s">
        <v>42</v>
      </c>
      <c r="M1683">
        <f>VLOOKUP(H1683,'Stage Order'!$A$2:$B$8,2,FALSE)</f>
        <v>2</v>
      </c>
      <c r="N1683" t="str">
        <f t="shared" si="52"/>
        <v>2. 1-24 hours</v>
      </c>
      <c r="O1683" t="str">
        <f t="shared" si="53"/>
        <v>2025-02</v>
      </c>
    </row>
    <row r="1684" spans="1:15" x14ac:dyDescent="0.3">
      <c r="A1684" t="s">
        <v>3993</v>
      </c>
      <c r="B1684" t="s">
        <v>3994</v>
      </c>
      <c r="C1684" t="s">
        <v>58</v>
      </c>
      <c r="D1684" t="s">
        <v>77</v>
      </c>
      <c r="E1684" t="s">
        <v>90</v>
      </c>
      <c r="F1684" t="s">
        <v>145</v>
      </c>
      <c r="G1684">
        <v>2.34</v>
      </c>
      <c r="H1684" t="s">
        <v>41</v>
      </c>
      <c r="I1684" t="s">
        <v>42</v>
      </c>
      <c r="M1684">
        <f>VLOOKUP(H1684,'Stage Order'!$A$2:$B$8,2,FALSE)</f>
        <v>2</v>
      </c>
      <c r="N1684" t="str">
        <f t="shared" si="52"/>
        <v>2. 1-24 hours</v>
      </c>
      <c r="O1684" t="str">
        <f t="shared" si="53"/>
        <v>2025-05</v>
      </c>
    </row>
    <row r="1685" spans="1:15" x14ac:dyDescent="0.3">
      <c r="A1685" t="s">
        <v>3995</v>
      </c>
      <c r="B1685" t="s">
        <v>3996</v>
      </c>
      <c r="C1685" t="s">
        <v>81</v>
      </c>
      <c r="D1685" t="s">
        <v>29</v>
      </c>
      <c r="E1685" t="s">
        <v>30</v>
      </c>
      <c r="F1685" t="s">
        <v>78</v>
      </c>
      <c r="G1685">
        <v>8.9700000000000006</v>
      </c>
      <c r="H1685" t="s">
        <v>61</v>
      </c>
      <c r="I1685" t="s">
        <v>42</v>
      </c>
      <c r="M1685">
        <f>VLOOKUP(H1685,'Stage Order'!$A$2:$B$8,2,FALSE)</f>
        <v>1</v>
      </c>
      <c r="N1685" t="str">
        <f t="shared" si="52"/>
        <v>2. 1-24 hours</v>
      </c>
      <c r="O1685" t="str">
        <f t="shared" si="53"/>
        <v>2026-03</v>
      </c>
    </row>
    <row r="1686" spans="1:15" x14ac:dyDescent="0.3">
      <c r="A1686" t="s">
        <v>3997</v>
      </c>
      <c r="B1686" t="s">
        <v>3998</v>
      </c>
      <c r="C1686" t="s">
        <v>58</v>
      </c>
      <c r="D1686" t="s">
        <v>77</v>
      </c>
      <c r="E1686" t="s">
        <v>30</v>
      </c>
      <c r="F1686" t="s">
        <v>31</v>
      </c>
      <c r="G1686">
        <v>1.72</v>
      </c>
      <c r="H1686" t="s">
        <v>47</v>
      </c>
      <c r="I1686" t="s">
        <v>48</v>
      </c>
      <c r="J1686" t="s">
        <v>113</v>
      </c>
      <c r="K1686">
        <v>870.47</v>
      </c>
      <c r="L1686" t="s">
        <v>3999</v>
      </c>
      <c r="M1686">
        <f>VLOOKUP(H1686,'Stage Order'!$A$2:$B$8,2,FALSE)</f>
        <v>4</v>
      </c>
      <c r="N1686" t="str">
        <f t="shared" si="52"/>
        <v>2. 1-24 hours</v>
      </c>
      <c r="O1686" t="str">
        <f t="shared" si="53"/>
        <v>2026-04</v>
      </c>
    </row>
    <row r="1687" spans="1:15" x14ac:dyDescent="0.3">
      <c r="A1687" t="s">
        <v>4000</v>
      </c>
      <c r="B1687" t="s">
        <v>4001</v>
      </c>
      <c r="C1687" t="s">
        <v>28</v>
      </c>
      <c r="D1687" t="s">
        <v>77</v>
      </c>
      <c r="E1687" t="s">
        <v>90</v>
      </c>
      <c r="F1687" t="s">
        <v>91</v>
      </c>
      <c r="G1687">
        <v>6.61</v>
      </c>
      <c r="H1687" t="s">
        <v>47</v>
      </c>
      <c r="I1687" t="s">
        <v>48</v>
      </c>
      <c r="J1687" t="s">
        <v>49</v>
      </c>
      <c r="K1687">
        <v>1116.1600000000001</v>
      </c>
      <c r="L1687" t="s">
        <v>4002</v>
      </c>
      <c r="M1687">
        <f>VLOOKUP(H1687,'Stage Order'!$A$2:$B$8,2,FALSE)</f>
        <v>4</v>
      </c>
      <c r="N1687" t="str">
        <f t="shared" si="52"/>
        <v>2. 1-24 hours</v>
      </c>
      <c r="O1687" t="str">
        <f t="shared" si="53"/>
        <v>2025-07</v>
      </c>
    </row>
    <row r="1688" spans="1:15" x14ac:dyDescent="0.3">
      <c r="A1688" t="s">
        <v>4003</v>
      </c>
      <c r="B1688" t="s">
        <v>4004</v>
      </c>
      <c r="C1688" t="s">
        <v>28</v>
      </c>
      <c r="D1688" t="s">
        <v>54</v>
      </c>
      <c r="E1688" t="s">
        <v>90</v>
      </c>
      <c r="F1688" t="s">
        <v>145</v>
      </c>
      <c r="G1688">
        <v>2.1800000000000002</v>
      </c>
      <c r="H1688" t="s">
        <v>41</v>
      </c>
      <c r="I1688" t="s">
        <v>42</v>
      </c>
      <c r="M1688">
        <f>VLOOKUP(H1688,'Stage Order'!$A$2:$B$8,2,FALSE)</f>
        <v>2</v>
      </c>
      <c r="N1688" t="str">
        <f t="shared" si="52"/>
        <v>2. 1-24 hours</v>
      </c>
      <c r="O1688" t="str">
        <f t="shared" si="53"/>
        <v>2026-03</v>
      </c>
    </row>
    <row r="1689" spans="1:15" x14ac:dyDescent="0.3">
      <c r="A1689" t="s">
        <v>4005</v>
      </c>
      <c r="B1689" t="s">
        <v>4006</v>
      </c>
      <c r="C1689" t="s">
        <v>37</v>
      </c>
      <c r="D1689" t="s">
        <v>77</v>
      </c>
      <c r="E1689" t="s">
        <v>39</v>
      </c>
      <c r="F1689" t="s">
        <v>66</v>
      </c>
      <c r="G1689">
        <v>2.68</v>
      </c>
      <c r="H1689" t="s">
        <v>128</v>
      </c>
      <c r="I1689" t="s">
        <v>42</v>
      </c>
      <c r="M1689">
        <f>VLOOKUP(H1689,'Stage Order'!$A$2:$B$8,2,FALSE)</f>
        <v>3</v>
      </c>
      <c r="N1689" t="str">
        <f t="shared" si="52"/>
        <v>2. 1-24 hours</v>
      </c>
      <c r="O1689" t="str">
        <f t="shared" si="53"/>
        <v>2025-08</v>
      </c>
    </row>
    <row r="1690" spans="1:15" x14ac:dyDescent="0.3">
      <c r="A1690" t="s">
        <v>4007</v>
      </c>
      <c r="B1690" t="s">
        <v>4008</v>
      </c>
      <c r="C1690" t="s">
        <v>53</v>
      </c>
      <c r="D1690" t="s">
        <v>97</v>
      </c>
      <c r="E1690" t="s">
        <v>90</v>
      </c>
      <c r="F1690" t="s">
        <v>91</v>
      </c>
      <c r="G1690">
        <v>8.9600000000000009</v>
      </c>
      <c r="H1690" t="s">
        <v>128</v>
      </c>
      <c r="I1690" t="s">
        <v>42</v>
      </c>
      <c r="M1690">
        <f>VLOOKUP(H1690,'Stage Order'!$A$2:$B$8,2,FALSE)</f>
        <v>3</v>
      </c>
      <c r="N1690" t="str">
        <f t="shared" si="52"/>
        <v>2. 1-24 hours</v>
      </c>
      <c r="O1690" t="str">
        <f t="shared" si="53"/>
        <v>2025-12</v>
      </c>
    </row>
    <row r="1691" spans="1:15" x14ac:dyDescent="0.3">
      <c r="A1691" t="s">
        <v>4009</v>
      </c>
      <c r="B1691" t="s">
        <v>4010</v>
      </c>
      <c r="C1691" t="s">
        <v>37</v>
      </c>
      <c r="D1691" t="s">
        <v>54</v>
      </c>
      <c r="E1691" t="s">
        <v>90</v>
      </c>
      <c r="F1691" t="s">
        <v>112</v>
      </c>
      <c r="G1691">
        <v>1.35</v>
      </c>
      <c r="H1691" t="s">
        <v>146</v>
      </c>
      <c r="I1691" t="s">
        <v>48</v>
      </c>
      <c r="J1691" t="s">
        <v>113</v>
      </c>
      <c r="K1691">
        <v>587.82000000000005</v>
      </c>
      <c r="L1691" t="s">
        <v>4011</v>
      </c>
      <c r="M1691">
        <f>VLOOKUP(H1691,'Stage Order'!$A$2:$B$8,2,FALSE)</f>
        <v>5</v>
      </c>
      <c r="N1691" t="str">
        <f t="shared" si="52"/>
        <v>2. 1-24 hours</v>
      </c>
      <c r="O1691" t="str">
        <f t="shared" si="53"/>
        <v>2025-02</v>
      </c>
    </row>
    <row r="1692" spans="1:15" x14ac:dyDescent="0.3">
      <c r="A1692" t="s">
        <v>4012</v>
      </c>
      <c r="B1692" t="s">
        <v>4013</v>
      </c>
      <c r="C1692" t="s">
        <v>28</v>
      </c>
      <c r="D1692" t="s">
        <v>38</v>
      </c>
      <c r="E1692" t="s">
        <v>59</v>
      </c>
      <c r="F1692" t="s">
        <v>137</v>
      </c>
      <c r="G1692">
        <v>1.66</v>
      </c>
      <c r="H1692" t="s">
        <v>146</v>
      </c>
      <c r="I1692" t="s">
        <v>48</v>
      </c>
      <c r="J1692" t="s">
        <v>139</v>
      </c>
      <c r="K1692">
        <v>383.79</v>
      </c>
      <c r="L1692" t="s">
        <v>4014</v>
      </c>
      <c r="M1692">
        <f>VLOOKUP(H1692,'Stage Order'!$A$2:$B$8,2,FALSE)</f>
        <v>5</v>
      </c>
      <c r="N1692" t="str">
        <f t="shared" si="52"/>
        <v>2. 1-24 hours</v>
      </c>
      <c r="O1692" t="str">
        <f t="shared" si="53"/>
        <v>2025-04</v>
      </c>
    </row>
    <row r="1693" spans="1:15" x14ac:dyDescent="0.3">
      <c r="A1693" t="s">
        <v>4015</v>
      </c>
      <c r="B1693" t="s">
        <v>4016</v>
      </c>
      <c r="C1693" t="s">
        <v>81</v>
      </c>
      <c r="D1693" t="s">
        <v>97</v>
      </c>
      <c r="E1693" t="s">
        <v>45</v>
      </c>
      <c r="F1693" t="s">
        <v>55</v>
      </c>
      <c r="G1693">
        <v>3.61</v>
      </c>
      <c r="H1693" t="s">
        <v>41</v>
      </c>
      <c r="I1693" t="s">
        <v>42</v>
      </c>
      <c r="M1693">
        <f>VLOOKUP(H1693,'Stage Order'!$A$2:$B$8,2,FALSE)</f>
        <v>2</v>
      </c>
      <c r="N1693" t="str">
        <f t="shared" si="52"/>
        <v>2. 1-24 hours</v>
      </c>
      <c r="O1693" t="str">
        <f t="shared" si="53"/>
        <v>2026-01</v>
      </c>
    </row>
    <row r="1694" spans="1:15" x14ac:dyDescent="0.3">
      <c r="A1694" t="s">
        <v>4017</v>
      </c>
      <c r="B1694" t="s">
        <v>4018</v>
      </c>
      <c r="C1694" t="s">
        <v>81</v>
      </c>
      <c r="D1694" t="s">
        <v>77</v>
      </c>
      <c r="E1694" t="s">
        <v>90</v>
      </c>
      <c r="F1694" t="s">
        <v>91</v>
      </c>
      <c r="G1694">
        <v>6.86</v>
      </c>
      <c r="H1694" t="s">
        <v>61</v>
      </c>
      <c r="I1694" t="s">
        <v>42</v>
      </c>
      <c r="M1694">
        <f>VLOOKUP(H1694,'Stage Order'!$A$2:$B$8,2,FALSE)</f>
        <v>1</v>
      </c>
      <c r="N1694" t="str">
        <f t="shared" si="52"/>
        <v>2. 1-24 hours</v>
      </c>
      <c r="O1694" t="str">
        <f t="shared" si="53"/>
        <v>2025-12</v>
      </c>
    </row>
    <row r="1695" spans="1:15" x14ac:dyDescent="0.3">
      <c r="A1695" t="s">
        <v>4019</v>
      </c>
      <c r="B1695" t="s">
        <v>4020</v>
      </c>
      <c r="C1695" t="s">
        <v>58</v>
      </c>
      <c r="D1695" t="s">
        <v>97</v>
      </c>
      <c r="E1695" t="s">
        <v>39</v>
      </c>
      <c r="F1695" t="s">
        <v>106</v>
      </c>
      <c r="G1695">
        <v>2.5099999999999998</v>
      </c>
      <c r="H1695" t="s">
        <v>41</v>
      </c>
      <c r="I1695" t="s">
        <v>42</v>
      </c>
      <c r="M1695">
        <f>VLOOKUP(H1695,'Stage Order'!$A$2:$B$8,2,FALSE)</f>
        <v>2</v>
      </c>
      <c r="N1695" t="str">
        <f t="shared" si="52"/>
        <v>2. 1-24 hours</v>
      </c>
      <c r="O1695" t="str">
        <f t="shared" si="53"/>
        <v>2025-03</v>
      </c>
    </row>
    <row r="1696" spans="1:15" x14ac:dyDescent="0.3">
      <c r="A1696" t="s">
        <v>4021</v>
      </c>
      <c r="B1696" t="s">
        <v>4022</v>
      </c>
      <c r="C1696" t="s">
        <v>58</v>
      </c>
      <c r="D1696" t="s">
        <v>38</v>
      </c>
      <c r="E1696" t="s">
        <v>59</v>
      </c>
      <c r="F1696" t="s">
        <v>137</v>
      </c>
      <c r="G1696">
        <v>2.27</v>
      </c>
      <c r="H1696" t="s">
        <v>32</v>
      </c>
      <c r="I1696" t="s">
        <v>33</v>
      </c>
      <c r="K1696">
        <v>334.78</v>
      </c>
      <c r="L1696" t="s">
        <v>4023</v>
      </c>
      <c r="M1696">
        <f>VLOOKUP(H1696,'Stage Order'!$A$2:$B$8,2,FALSE)</f>
        <v>7</v>
      </c>
      <c r="N1696" t="str">
        <f t="shared" si="52"/>
        <v>2. 1-24 hours</v>
      </c>
      <c r="O1696" t="str">
        <f t="shared" si="53"/>
        <v>2026-02</v>
      </c>
    </row>
    <row r="1697" spans="1:15" x14ac:dyDescent="0.3">
      <c r="A1697" t="s">
        <v>4024</v>
      </c>
      <c r="B1697" t="s">
        <v>4025</v>
      </c>
      <c r="C1697" t="s">
        <v>37</v>
      </c>
      <c r="D1697" t="s">
        <v>38</v>
      </c>
      <c r="E1697" t="s">
        <v>45</v>
      </c>
      <c r="F1697" t="s">
        <v>94</v>
      </c>
      <c r="G1697">
        <v>0.95</v>
      </c>
      <c r="H1697" t="s">
        <v>32</v>
      </c>
      <c r="I1697" t="s">
        <v>33</v>
      </c>
      <c r="K1697">
        <v>302.38</v>
      </c>
      <c r="L1697" t="s">
        <v>4026</v>
      </c>
      <c r="M1697">
        <f>VLOOKUP(H1697,'Stage Order'!$A$2:$B$8,2,FALSE)</f>
        <v>7</v>
      </c>
      <c r="N1697" t="str">
        <f t="shared" si="52"/>
        <v>1. Under 1 hour</v>
      </c>
      <c r="O1697" t="str">
        <f t="shared" si="53"/>
        <v>2025-08</v>
      </c>
    </row>
    <row r="1698" spans="1:15" x14ac:dyDescent="0.3">
      <c r="A1698" t="s">
        <v>4027</v>
      </c>
      <c r="B1698" t="s">
        <v>4028</v>
      </c>
      <c r="C1698" t="s">
        <v>28</v>
      </c>
      <c r="D1698" t="s">
        <v>77</v>
      </c>
      <c r="E1698" t="s">
        <v>90</v>
      </c>
      <c r="F1698" t="s">
        <v>145</v>
      </c>
      <c r="G1698">
        <v>4.17</v>
      </c>
      <c r="H1698" t="s">
        <v>41</v>
      </c>
      <c r="I1698" t="s">
        <v>42</v>
      </c>
      <c r="M1698">
        <f>VLOOKUP(H1698,'Stage Order'!$A$2:$B$8,2,FALSE)</f>
        <v>2</v>
      </c>
      <c r="N1698" t="str">
        <f t="shared" si="52"/>
        <v>2. 1-24 hours</v>
      </c>
      <c r="O1698" t="str">
        <f t="shared" si="53"/>
        <v>2025-10</v>
      </c>
    </row>
    <row r="1699" spans="1:15" x14ac:dyDescent="0.3">
      <c r="A1699" t="s">
        <v>4029</v>
      </c>
      <c r="B1699" t="s">
        <v>4030</v>
      </c>
      <c r="C1699" t="s">
        <v>76</v>
      </c>
      <c r="D1699" t="s">
        <v>29</v>
      </c>
      <c r="E1699" t="s">
        <v>45</v>
      </c>
      <c r="F1699" t="s">
        <v>46</v>
      </c>
      <c r="G1699">
        <v>2.4500000000000002</v>
      </c>
      <c r="H1699" t="s">
        <v>128</v>
      </c>
      <c r="I1699" t="s">
        <v>42</v>
      </c>
      <c r="M1699">
        <f>VLOOKUP(H1699,'Stage Order'!$A$2:$B$8,2,FALSE)</f>
        <v>3</v>
      </c>
      <c r="N1699" t="str">
        <f t="shared" si="52"/>
        <v>2. 1-24 hours</v>
      </c>
      <c r="O1699" t="str">
        <f t="shared" si="53"/>
        <v>2025-07</v>
      </c>
    </row>
    <row r="1700" spans="1:15" x14ac:dyDescent="0.3">
      <c r="A1700" t="s">
        <v>4031</v>
      </c>
      <c r="B1700" t="s">
        <v>4032</v>
      </c>
      <c r="C1700" t="s">
        <v>37</v>
      </c>
      <c r="D1700" t="s">
        <v>77</v>
      </c>
      <c r="E1700" t="s">
        <v>30</v>
      </c>
      <c r="F1700" t="s">
        <v>82</v>
      </c>
      <c r="G1700">
        <v>3.55</v>
      </c>
      <c r="H1700" t="s">
        <v>41</v>
      </c>
      <c r="I1700" t="s">
        <v>42</v>
      </c>
      <c r="M1700">
        <f>VLOOKUP(H1700,'Stage Order'!$A$2:$B$8,2,FALSE)</f>
        <v>2</v>
      </c>
      <c r="N1700" t="str">
        <f t="shared" si="52"/>
        <v>2. 1-24 hours</v>
      </c>
      <c r="O1700" t="str">
        <f t="shared" si="53"/>
        <v>2025-10</v>
      </c>
    </row>
    <row r="1701" spans="1:15" x14ac:dyDescent="0.3">
      <c r="A1701" t="s">
        <v>4033</v>
      </c>
      <c r="B1701" t="s">
        <v>4034</v>
      </c>
      <c r="C1701" t="s">
        <v>28</v>
      </c>
      <c r="D1701" t="s">
        <v>29</v>
      </c>
      <c r="E1701" t="s">
        <v>90</v>
      </c>
      <c r="F1701" t="s">
        <v>112</v>
      </c>
      <c r="G1701">
        <v>8.3800000000000008</v>
      </c>
      <c r="H1701" t="s">
        <v>47</v>
      </c>
      <c r="I1701" t="s">
        <v>48</v>
      </c>
      <c r="J1701" t="s">
        <v>49</v>
      </c>
      <c r="K1701">
        <v>674.82</v>
      </c>
      <c r="L1701" t="s">
        <v>4035</v>
      </c>
      <c r="M1701">
        <f>VLOOKUP(H1701,'Stage Order'!$A$2:$B$8,2,FALSE)</f>
        <v>4</v>
      </c>
      <c r="N1701" t="str">
        <f t="shared" si="52"/>
        <v>2. 1-24 hours</v>
      </c>
      <c r="O1701" t="str">
        <f t="shared" si="53"/>
        <v>2026-05</v>
      </c>
    </row>
    <row r="1702" spans="1:15" x14ac:dyDescent="0.3">
      <c r="A1702" t="s">
        <v>4036</v>
      </c>
      <c r="B1702" t="s">
        <v>4037</v>
      </c>
      <c r="C1702" t="s">
        <v>76</v>
      </c>
      <c r="D1702" t="s">
        <v>77</v>
      </c>
      <c r="E1702" t="s">
        <v>45</v>
      </c>
      <c r="F1702" t="s">
        <v>94</v>
      </c>
      <c r="G1702">
        <v>9.68</v>
      </c>
      <c r="H1702" t="s">
        <v>41</v>
      </c>
      <c r="I1702" t="s">
        <v>42</v>
      </c>
      <c r="M1702">
        <f>VLOOKUP(H1702,'Stage Order'!$A$2:$B$8,2,FALSE)</f>
        <v>2</v>
      </c>
      <c r="N1702" t="str">
        <f t="shared" si="52"/>
        <v>2. 1-24 hours</v>
      </c>
      <c r="O1702" t="str">
        <f t="shared" si="53"/>
        <v>2025-09</v>
      </c>
    </row>
    <row r="1703" spans="1:15" x14ac:dyDescent="0.3">
      <c r="A1703" t="s">
        <v>4038</v>
      </c>
      <c r="B1703" t="s">
        <v>4039</v>
      </c>
      <c r="C1703" t="s">
        <v>28</v>
      </c>
      <c r="D1703" t="s">
        <v>29</v>
      </c>
      <c r="E1703" t="s">
        <v>45</v>
      </c>
      <c r="F1703" t="s">
        <v>46</v>
      </c>
      <c r="G1703">
        <v>2.16</v>
      </c>
      <c r="H1703" t="s">
        <v>32</v>
      </c>
      <c r="I1703" t="s">
        <v>33</v>
      </c>
      <c r="K1703">
        <v>734.34</v>
      </c>
      <c r="L1703" t="s">
        <v>4040</v>
      </c>
      <c r="M1703">
        <f>VLOOKUP(H1703,'Stage Order'!$A$2:$B$8,2,FALSE)</f>
        <v>7</v>
      </c>
      <c r="N1703" t="str">
        <f t="shared" si="52"/>
        <v>2. 1-24 hours</v>
      </c>
      <c r="O1703" t="str">
        <f t="shared" si="53"/>
        <v>2025-05</v>
      </c>
    </row>
    <row r="1704" spans="1:15" x14ac:dyDescent="0.3">
      <c r="A1704" t="s">
        <v>4041</v>
      </c>
      <c r="B1704" t="s">
        <v>4042</v>
      </c>
      <c r="C1704" t="s">
        <v>125</v>
      </c>
      <c r="D1704" t="s">
        <v>77</v>
      </c>
      <c r="E1704" t="s">
        <v>59</v>
      </c>
      <c r="F1704" t="s">
        <v>60</v>
      </c>
      <c r="G1704">
        <v>1.1000000000000001</v>
      </c>
      <c r="H1704" t="s">
        <v>32</v>
      </c>
      <c r="I1704" t="s">
        <v>33</v>
      </c>
      <c r="K1704">
        <v>950.8</v>
      </c>
      <c r="L1704" t="s">
        <v>4043</v>
      </c>
      <c r="M1704">
        <f>VLOOKUP(H1704,'Stage Order'!$A$2:$B$8,2,FALSE)</f>
        <v>7</v>
      </c>
      <c r="N1704" t="str">
        <f t="shared" si="52"/>
        <v>2. 1-24 hours</v>
      </c>
      <c r="O1704" t="str">
        <f t="shared" si="53"/>
        <v>2026-01</v>
      </c>
    </row>
    <row r="1705" spans="1:15" x14ac:dyDescent="0.3">
      <c r="A1705" t="s">
        <v>4044</v>
      </c>
      <c r="B1705" t="s">
        <v>4045</v>
      </c>
      <c r="C1705" t="s">
        <v>58</v>
      </c>
      <c r="D1705" t="s">
        <v>29</v>
      </c>
      <c r="E1705" t="s">
        <v>59</v>
      </c>
      <c r="F1705" t="s">
        <v>60</v>
      </c>
      <c r="G1705">
        <v>4.41</v>
      </c>
      <c r="H1705" t="s">
        <v>41</v>
      </c>
      <c r="I1705" t="s">
        <v>42</v>
      </c>
      <c r="M1705">
        <f>VLOOKUP(H1705,'Stage Order'!$A$2:$B$8,2,FALSE)</f>
        <v>2</v>
      </c>
      <c r="N1705" t="str">
        <f t="shared" si="52"/>
        <v>2. 1-24 hours</v>
      </c>
      <c r="O1705" t="str">
        <f t="shared" si="53"/>
        <v>2025-04</v>
      </c>
    </row>
    <row r="1706" spans="1:15" x14ac:dyDescent="0.3">
      <c r="A1706" t="s">
        <v>4046</v>
      </c>
      <c r="B1706" t="s">
        <v>4047</v>
      </c>
      <c r="C1706" t="s">
        <v>58</v>
      </c>
      <c r="D1706" t="s">
        <v>77</v>
      </c>
      <c r="E1706" t="s">
        <v>90</v>
      </c>
      <c r="F1706" t="s">
        <v>145</v>
      </c>
      <c r="G1706">
        <v>4.7699999999999996</v>
      </c>
      <c r="H1706" t="s">
        <v>61</v>
      </c>
      <c r="I1706" t="s">
        <v>42</v>
      </c>
      <c r="M1706">
        <f>VLOOKUP(H1706,'Stage Order'!$A$2:$B$8,2,FALSE)</f>
        <v>1</v>
      </c>
      <c r="N1706" t="str">
        <f t="shared" si="52"/>
        <v>2. 1-24 hours</v>
      </c>
      <c r="O1706" t="str">
        <f t="shared" si="53"/>
        <v>2025-07</v>
      </c>
    </row>
    <row r="1707" spans="1:15" x14ac:dyDescent="0.3">
      <c r="A1707" t="s">
        <v>4048</v>
      </c>
      <c r="B1707" t="s">
        <v>4049</v>
      </c>
      <c r="C1707" t="s">
        <v>125</v>
      </c>
      <c r="D1707" t="s">
        <v>77</v>
      </c>
      <c r="E1707" t="s">
        <v>59</v>
      </c>
      <c r="F1707" t="s">
        <v>137</v>
      </c>
      <c r="G1707">
        <v>2.91</v>
      </c>
      <c r="H1707" t="s">
        <v>41</v>
      </c>
      <c r="I1707" t="s">
        <v>42</v>
      </c>
      <c r="M1707">
        <f>VLOOKUP(H1707,'Stage Order'!$A$2:$B$8,2,FALSE)</f>
        <v>2</v>
      </c>
      <c r="N1707" t="str">
        <f t="shared" si="52"/>
        <v>2. 1-24 hours</v>
      </c>
      <c r="O1707" t="str">
        <f t="shared" si="53"/>
        <v>2025-01</v>
      </c>
    </row>
    <row r="1708" spans="1:15" x14ac:dyDescent="0.3">
      <c r="A1708" t="s">
        <v>4050</v>
      </c>
      <c r="B1708" t="s">
        <v>4051</v>
      </c>
      <c r="C1708" t="s">
        <v>81</v>
      </c>
      <c r="D1708" t="s">
        <v>77</v>
      </c>
      <c r="E1708" t="s">
        <v>45</v>
      </c>
      <c r="F1708" t="s">
        <v>46</v>
      </c>
      <c r="G1708">
        <v>9.39</v>
      </c>
      <c r="H1708" t="s">
        <v>61</v>
      </c>
      <c r="I1708" t="s">
        <v>42</v>
      </c>
      <c r="M1708">
        <f>VLOOKUP(H1708,'Stage Order'!$A$2:$B$8,2,FALSE)</f>
        <v>1</v>
      </c>
      <c r="N1708" t="str">
        <f t="shared" si="52"/>
        <v>2. 1-24 hours</v>
      </c>
      <c r="O1708" t="str">
        <f t="shared" si="53"/>
        <v>2025-06</v>
      </c>
    </row>
    <row r="1709" spans="1:15" x14ac:dyDescent="0.3">
      <c r="A1709" t="s">
        <v>4052</v>
      </c>
      <c r="B1709" t="s">
        <v>4053</v>
      </c>
      <c r="C1709" t="s">
        <v>58</v>
      </c>
      <c r="D1709" t="s">
        <v>77</v>
      </c>
      <c r="E1709" t="s">
        <v>45</v>
      </c>
      <c r="F1709" t="s">
        <v>46</v>
      </c>
      <c r="G1709">
        <v>2.78</v>
      </c>
      <c r="H1709" t="s">
        <v>61</v>
      </c>
      <c r="I1709" t="s">
        <v>42</v>
      </c>
      <c r="M1709">
        <f>VLOOKUP(H1709,'Stage Order'!$A$2:$B$8,2,FALSE)</f>
        <v>1</v>
      </c>
      <c r="N1709" t="str">
        <f t="shared" si="52"/>
        <v>2. 1-24 hours</v>
      </c>
      <c r="O1709" t="str">
        <f t="shared" si="53"/>
        <v>2026-04</v>
      </c>
    </row>
    <row r="1710" spans="1:15" x14ac:dyDescent="0.3">
      <c r="A1710" t="s">
        <v>4054</v>
      </c>
      <c r="B1710" t="s">
        <v>4055</v>
      </c>
      <c r="C1710" t="s">
        <v>37</v>
      </c>
      <c r="D1710" t="s">
        <v>54</v>
      </c>
      <c r="E1710" t="s">
        <v>39</v>
      </c>
      <c r="F1710" t="s">
        <v>40</v>
      </c>
      <c r="G1710">
        <v>10.199999999999999</v>
      </c>
      <c r="H1710" t="s">
        <v>41</v>
      </c>
      <c r="I1710" t="s">
        <v>42</v>
      </c>
      <c r="M1710">
        <f>VLOOKUP(H1710,'Stage Order'!$A$2:$B$8,2,FALSE)</f>
        <v>2</v>
      </c>
      <c r="N1710" t="str">
        <f t="shared" si="52"/>
        <v>2. 1-24 hours</v>
      </c>
      <c r="O1710" t="str">
        <f t="shared" si="53"/>
        <v>2025-05</v>
      </c>
    </row>
    <row r="1711" spans="1:15" x14ac:dyDescent="0.3">
      <c r="A1711" t="s">
        <v>4056</v>
      </c>
      <c r="B1711" t="s">
        <v>4057</v>
      </c>
      <c r="C1711" t="s">
        <v>53</v>
      </c>
      <c r="D1711" t="s">
        <v>29</v>
      </c>
      <c r="E1711" t="s">
        <v>39</v>
      </c>
      <c r="F1711" t="s">
        <v>40</v>
      </c>
      <c r="G1711">
        <v>14.71</v>
      </c>
      <c r="H1711" t="s">
        <v>32</v>
      </c>
      <c r="I1711" t="s">
        <v>33</v>
      </c>
      <c r="K1711">
        <v>540.66</v>
      </c>
      <c r="L1711" t="s">
        <v>4058</v>
      </c>
      <c r="M1711">
        <f>VLOOKUP(H1711,'Stage Order'!$A$2:$B$8,2,FALSE)</f>
        <v>7</v>
      </c>
      <c r="N1711" t="str">
        <f t="shared" si="52"/>
        <v>2. 1-24 hours</v>
      </c>
      <c r="O1711" t="str">
        <f t="shared" si="53"/>
        <v>2025-12</v>
      </c>
    </row>
    <row r="1712" spans="1:15" x14ac:dyDescent="0.3">
      <c r="A1712" t="s">
        <v>4059</v>
      </c>
      <c r="B1712" t="s">
        <v>4060</v>
      </c>
      <c r="C1712" t="s">
        <v>37</v>
      </c>
      <c r="D1712" t="s">
        <v>77</v>
      </c>
      <c r="E1712" t="s">
        <v>59</v>
      </c>
      <c r="F1712" t="s">
        <v>117</v>
      </c>
      <c r="G1712">
        <v>1.54</v>
      </c>
      <c r="H1712" t="s">
        <v>32</v>
      </c>
      <c r="I1712" t="s">
        <v>33</v>
      </c>
      <c r="K1712">
        <v>810.87</v>
      </c>
      <c r="L1712" t="s">
        <v>4061</v>
      </c>
      <c r="M1712">
        <f>VLOOKUP(H1712,'Stage Order'!$A$2:$B$8,2,FALSE)</f>
        <v>7</v>
      </c>
      <c r="N1712" t="str">
        <f t="shared" si="52"/>
        <v>2. 1-24 hours</v>
      </c>
      <c r="O1712" t="str">
        <f t="shared" si="53"/>
        <v>2025-05</v>
      </c>
    </row>
    <row r="1713" spans="1:15" x14ac:dyDescent="0.3">
      <c r="A1713" t="s">
        <v>4062</v>
      </c>
      <c r="B1713" t="s">
        <v>4063</v>
      </c>
      <c r="C1713" t="s">
        <v>37</v>
      </c>
      <c r="D1713" t="s">
        <v>29</v>
      </c>
      <c r="E1713" t="s">
        <v>59</v>
      </c>
      <c r="F1713" t="s">
        <v>60</v>
      </c>
      <c r="G1713">
        <v>4.74</v>
      </c>
      <c r="H1713" t="s">
        <v>47</v>
      </c>
      <c r="I1713" t="s">
        <v>48</v>
      </c>
      <c r="J1713" t="s">
        <v>742</v>
      </c>
      <c r="K1713">
        <v>678.97</v>
      </c>
      <c r="L1713" t="s">
        <v>4064</v>
      </c>
      <c r="M1713">
        <f>VLOOKUP(H1713,'Stage Order'!$A$2:$B$8,2,FALSE)</f>
        <v>4</v>
      </c>
      <c r="N1713" t="str">
        <f t="shared" si="52"/>
        <v>2. 1-24 hours</v>
      </c>
      <c r="O1713" t="str">
        <f t="shared" si="53"/>
        <v>2025-11</v>
      </c>
    </row>
    <row r="1714" spans="1:15" x14ac:dyDescent="0.3">
      <c r="A1714" t="s">
        <v>4065</v>
      </c>
      <c r="B1714" t="s">
        <v>4066</v>
      </c>
      <c r="C1714" t="s">
        <v>37</v>
      </c>
      <c r="D1714" t="s">
        <v>29</v>
      </c>
      <c r="E1714" t="s">
        <v>39</v>
      </c>
      <c r="F1714" t="s">
        <v>40</v>
      </c>
      <c r="G1714">
        <v>5.51</v>
      </c>
      <c r="H1714" t="s">
        <v>41</v>
      </c>
      <c r="I1714" t="s">
        <v>42</v>
      </c>
      <c r="M1714">
        <f>VLOOKUP(H1714,'Stage Order'!$A$2:$B$8,2,FALSE)</f>
        <v>2</v>
      </c>
      <c r="N1714" t="str">
        <f t="shared" si="52"/>
        <v>2. 1-24 hours</v>
      </c>
      <c r="O1714" t="str">
        <f t="shared" si="53"/>
        <v>2025-02</v>
      </c>
    </row>
    <row r="1715" spans="1:15" x14ac:dyDescent="0.3">
      <c r="A1715" t="s">
        <v>4067</v>
      </c>
      <c r="B1715" t="s">
        <v>4068</v>
      </c>
      <c r="C1715" t="s">
        <v>81</v>
      </c>
      <c r="D1715" t="s">
        <v>38</v>
      </c>
      <c r="E1715" t="s">
        <v>39</v>
      </c>
      <c r="F1715" t="s">
        <v>40</v>
      </c>
      <c r="G1715">
        <v>0.49</v>
      </c>
      <c r="H1715" t="s">
        <v>41</v>
      </c>
      <c r="I1715" t="s">
        <v>42</v>
      </c>
      <c r="M1715">
        <f>VLOOKUP(H1715,'Stage Order'!$A$2:$B$8,2,FALSE)</f>
        <v>2</v>
      </c>
      <c r="N1715" t="str">
        <f t="shared" si="52"/>
        <v>1. Under 1 hour</v>
      </c>
      <c r="O1715" t="str">
        <f t="shared" si="53"/>
        <v>2025-04</v>
      </c>
    </row>
    <row r="1716" spans="1:15" x14ac:dyDescent="0.3">
      <c r="A1716" t="s">
        <v>4069</v>
      </c>
      <c r="B1716" t="s">
        <v>4070</v>
      </c>
      <c r="C1716" t="s">
        <v>37</v>
      </c>
      <c r="D1716" t="s">
        <v>97</v>
      </c>
      <c r="E1716" t="s">
        <v>30</v>
      </c>
      <c r="F1716" t="s">
        <v>31</v>
      </c>
      <c r="G1716">
        <v>6.34</v>
      </c>
      <c r="H1716" t="s">
        <v>47</v>
      </c>
      <c r="I1716" t="s">
        <v>48</v>
      </c>
      <c r="J1716" t="s">
        <v>113</v>
      </c>
      <c r="K1716">
        <v>1473.46</v>
      </c>
      <c r="L1716" t="s">
        <v>4071</v>
      </c>
      <c r="M1716">
        <f>VLOOKUP(H1716,'Stage Order'!$A$2:$B$8,2,FALSE)</f>
        <v>4</v>
      </c>
      <c r="N1716" t="str">
        <f t="shared" si="52"/>
        <v>2. 1-24 hours</v>
      </c>
      <c r="O1716" t="str">
        <f t="shared" si="53"/>
        <v>2025-10</v>
      </c>
    </row>
    <row r="1717" spans="1:15" x14ac:dyDescent="0.3">
      <c r="A1717" t="s">
        <v>4072</v>
      </c>
      <c r="B1717" t="s">
        <v>4073</v>
      </c>
      <c r="C1717" t="s">
        <v>58</v>
      </c>
      <c r="D1717" t="s">
        <v>54</v>
      </c>
      <c r="E1717" t="s">
        <v>45</v>
      </c>
      <c r="F1717" t="s">
        <v>94</v>
      </c>
      <c r="G1717">
        <v>5.68</v>
      </c>
      <c r="H1717" t="s">
        <v>61</v>
      </c>
      <c r="I1717" t="s">
        <v>42</v>
      </c>
      <c r="M1717">
        <f>VLOOKUP(H1717,'Stage Order'!$A$2:$B$8,2,FALSE)</f>
        <v>1</v>
      </c>
      <c r="N1717" t="str">
        <f t="shared" si="52"/>
        <v>2. 1-24 hours</v>
      </c>
      <c r="O1717" t="str">
        <f t="shared" si="53"/>
        <v>2025-06</v>
      </c>
    </row>
    <row r="1718" spans="1:15" x14ac:dyDescent="0.3">
      <c r="A1718" t="s">
        <v>4074</v>
      </c>
      <c r="B1718" t="s">
        <v>4075</v>
      </c>
      <c r="C1718" t="s">
        <v>81</v>
      </c>
      <c r="D1718" t="s">
        <v>54</v>
      </c>
      <c r="E1718" t="s">
        <v>39</v>
      </c>
      <c r="F1718" t="s">
        <v>66</v>
      </c>
      <c r="G1718">
        <v>9.92</v>
      </c>
      <c r="H1718" t="s">
        <v>41</v>
      </c>
      <c r="I1718" t="s">
        <v>42</v>
      </c>
      <c r="M1718">
        <f>VLOOKUP(H1718,'Stage Order'!$A$2:$B$8,2,FALSE)</f>
        <v>2</v>
      </c>
      <c r="N1718" t="str">
        <f t="shared" si="52"/>
        <v>2. 1-24 hours</v>
      </c>
      <c r="O1718" t="str">
        <f t="shared" si="53"/>
        <v>2025-04</v>
      </c>
    </row>
    <row r="1719" spans="1:15" x14ac:dyDescent="0.3">
      <c r="A1719" t="s">
        <v>4076</v>
      </c>
      <c r="B1719" t="s">
        <v>4077</v>
      </c>
      <c r="C1719" t="s">
        <v>37</v>
      </c>
      <c r="D1719" t="s">
        <v>54</v>
      </c>
      <c r="E1719" t="s">
        <v>39</v>
      </c>
      <c r="F1719" t="s">
        <v>66</v>
      </c>
      <c r="G1719">
        <v>1.41</v>
      </c>
      <c r="H1719" t="s">
        <v>41</v>
      </c>
      <c r="I1719" t="s">
        <v>42</v>
      </c>
      <c r="M1719">
        <f>VLOOKUP(H1719,'Stage Order'!$A$2:$B$8,2,FALSE)</f>
        <v>2</v>
      </c>
      <c r="N1719" t="str">
        <f t="shared" si="52"/>
        <v>2. 1-24 hours</v>
      </c>
      <c r="O1719" t="str">
        <f t="shared" si="53"/>
        <v>2025-06</v>
      </c>
    </row>
    <row r="1720" spans="1:15" x14ac:dyDescent="0.3">
      <c r="A1720" t="s">
        <v>4078</v>
      </c>
      <c r="B1720" t="s">
        <v>4079</v>
      </c>
      <c r="C1720" t="s">
        <v>37</v>
      </c>
      <c r="D1720" t="s">
        <v>97</v>
      </c>
      <c r="E1720" t="s">
        <v>39</v>
      </c>
      <c r="F1720" t="s">
        <v>40</v>
      </c>
      <c r="G1720">
        <v>14.53</v>
      </c>
      <c r="H1720" t="s">
        <v>41</v>
      </c>
      <c r="I1720" t="s">
        <v>42</v>
      </c>
      <c r="M1720">
        <f>VLOOKUP(H1720,'Stage Order'!$A$2:$B$8,2,FALSE)</f>
        <v>2</v>
      </c>
      <c r="N1720" t="str">
        <f t="shared" si="52"/>
        <v>2. 1-24 hours</v>
      </c>
      <c r="O1720" t="str">
        <f t="shared" si="53"/>
        <v>2025-05</v>
      </c>
    </row>
    <row r="1721" spans="1:15" x14ac:dyDescent="0.3">
      <c r="A1721" t="s">
        <v>4080</v>
      </c>
      <c r="B1721" t="s">
        <v>4081</v>
      </c>
      <c r="C1721" t="s">
        <v>58</v>
      </c>
      <c r="D1721" t="s">
        <v>54</v>
      </c>
      <c r="E1721" t="s">
        <v>90</v>
      </c>
      <c r="F1721" t="s">
        <v>112</v>
      </c>
      <c r="G1721">
        <v>1.56</v>
      </c>
      <c r="H1721" t="s">
        <v>41</v>
      </c>
      <c r="I1721" t="s">
        <v>42</v>
      </c>
      <c r="M1721">
        <f>VLOOKUP(H1721,'Stage Order'!$A$2:$B$8,2,FALSE)</f>
        <v>2</v>
      </c>
      <c r="N1721" t="str">
        <f t="shared" si="52"/>
        <v>2. 1-24 hours</v>
      </c>
      <c r="O1721" t="str">
        <f t="shared" si="53"/>
        <v>2025-10</v>
      </c>
    </row>
    <row r="1722" spans="1:15" x14ac:dyDescent="0.3">
      <c r="A1722" t="s">
        <v>4082</v>
      </c>
      <c r="B1722" t="s">
        <v>4083</v>
      </c>
      <c r="C1722" t="s">
        <v>37</v>
      </c>
      <c r="D1722" t="s">
        <v>77</v>
      </c>
      <c r="E1722" t="s">
        <v>30</v>
      </c>
      <c r="F1722" t="s">
        <v>82</v>
      </c>
      <c r="G1722">
        <v>3.59</v>
      </c>
      <c r="H1722" t="s">
        <v>41</v>
      </c>
      <c r="I1722" t="s">
        <v>42</v>
      </c>
      <c r="M1722">
        <f>VLOOKUP(H1722,'Stage Order'!$A$2:$B$8,2,FALSE)</f>
        <v>2</v>
      </c>
      <c r="N1722" t="str">
        <f t="shared" si="52"/>
        <v>2. 1-24 hours</v>
      </c>
      <c r="O1722" t="str">
        <f t="shared" si="53"/>
        <v>2025-05</v>
      </c>
    </row>
    <row r="1723" spans="1:15" x14ac:dyDescent="0.3">
      <c r="A1723" t="s">
        <v>4084</v>
      </c>
      <c r="B1723" t="s">
        <v>4085</v>
      </c>
      <c r="C1723" t="s">
        <v>76</v>
      </c>
      <c r="D1723" t="s">
        <v>77</v>
      </c>
      <c r="E1723" t="s">
        <v>39</v>
      </c>
      <c r="F1723" t="s">
        <v>106</v>
      </c>
      <c r="G1723">
        <v>1.48</v>
      </c>
      <c r="H1723" t="s">
        <v>32</v>
      </c>
      <c r="I1723" t="s">
        <v>33</v>
      </c>
      <c r="K1723">
        <v>814.55</v>
      </c>
      <c r="L1723" t="s">
        <v>4086</v>
      </c>
      <c r="M1723">
        <f>VLOOKUP(H1723,'Stage Order'!$A$2:$B$8,2,FALSE)</f>
        <v>7</v>
      </c>
      <c r="N1723" t="str">
        <f t="shared" si="52"/>
        <v>2. 1-24 hours</v>
      </c>
      <c r="O1723" t="str">
        <f t="shared" si="53"/>
        <v>2025-01</v>
      </c>
    </row>
    <row r="1724" spans="1:15" x14ac:dyDescent="0.3">
      <c r="A1724" t="s">
        <v>4087</v>
      </c>
      <c r="B1724" t="s">
        <v>4088</v>
      </c>
      <c r="C1724" t="s">
        <v>58</v>
      </c>
      <c r="D1724" t="s">
        <v>77</v>
      </c>
      <c r="E1724" t="s">
        <v>45</v>
      </c>
      <c r="F1724" t="s">
        <v>55</v>
      </c>
      <c r="G1724">
        <v>3.95</v>
      </c>
      <c r="H1724" t="s">
        <v>32</v>
      </c>
      <c r="I1724" t="s">
        <v>33</v>
      </c>
      <c r="K1724">
        <v>1175.97</v>
      </c>
      <c r="L1724" t="s">
        <v>4089</v>
      </c>
      <c r="M1724">
        <f>VLOOKUP(H1724,'Stage Order'!$A$2:$B$8,2,FALSE)</f>
        <v>7</v>
      </c>
      <c r="N1724" t="str">
        <f t="shared" si="52"/>
        <v>2. 1-24 hours</v>
      </c>
      <c r="O1724" t="str">
        <f t="shared" si="53"/>
        <v>2025-12</v>
      </c>
    </row>
    <row r="1725" spans="1:15" x14ac:dyDescent="0.3">
      <c r="A1725" t="s">
        <v>4090</v>
      </c>
      <c r="B1725" t="s">
        <v>4091</v>
      </c>
      <c r="C1725" t="s">
        <v>53</v>
      </c>
      <c r="D1725" t="s">
        <v>54</v>
      </c>
      <c r="E1725" t="s">
        <v>45</v>
      </c>
      <c r="F1725" t="s">
        <v>55</v>
      </c>
      <c r="G1725">
        <v>5.63</v>
      </c>
      <c r="H1725" t="s">
        <v>138</v>
      </c>
      <c r="I1725" t="s">
        <v>48</v>
      </c>
      <c r="J1725" t="s">
        <v>98</v>
      </c>
      <c r="K1725">
        <v>447.46</v>
      </c>
      <c r="L1725" t="s">
        <v>4092</v>
      </c>
      <c r="M1725">
        <f>VLOOKUP(H1725,'Stage Order'!$A$2:$B$8,2,FALSE)</f>
        <v>6</v>
      </c>
      <c r="N1725" t="str">
        <f t="shared" si="52"/>
        <v>2. 1-24 hours</v>
      </c>
      <c r="O1725" t="str">
        <f t="shared" si="53"/>
        <v>2025-06</v>
      </c>
    </row>
    <row r="1726" spans="1:15" x14ac:dyDescent="0.3">
      <c r="A1726" t="s">
        <v>4093</v>
      </c>
      <c r="B1726" t="s">
        <v>4094</v>
      </c>
      <c r="C1726" t="s">
        <v>28</v>
      </c>
      <c r="D1726" t="s">
        <v>29</v>
      </c>
      <c r="E1726" t="s">
        <v>90</v>
      </c>
      <c r="F1726" t="s">
        <v>112</v>
      </c>
      <c r="G1726">
        <v>0.92</v>
      </c>
      <c r="H1726" t="s">
        <v>41</v>
      </c>
      <c r="I1726" t="s">
        <v>42</v>
      </c>
      <c r="M1726">
        <f>VLOOKUP(H1726,'Stage Order'!$A$2:$B$8,2,FALSE)</f>
        <v>2</v>
      </c>
      <c r="N1726" t="str">
        <f t="shared" si="52"/>
        <v>1. Under 1 hour</v>
      </c>
      <c r="O1726" t="str">
        <f t="shared" si="53"/>
        <v>2025-12</v>
      </c>
    </row>
    <row r="1727" spans="1:15" x14ac:dyDescent="0.3">
      <c r="A1727" t="s">
        <v>4095</v>
      </c>
      <c r="B1727" t="s">
        <v>4096</v>
      </c>
      <c r="C1727" t="s">
        <v>37</v>
      </c>
      <c r="D1727" t="s">
        <v>29</v>
      </c>
      <c r="E1727" t="s">
        <v>30</v>
      </c>
      <c r="F1727" t="s">
        <v>31</v>
      </c>
      <c r="G1727">
        <v>0.54</v>
      </c>
      <c r="H1727" t="s">
        <v>61</v>
      </c>
      <c r="I1727" t="s">
        <v>42</v>
      </c>
      <c r="M1727">
        <f>VLOOKUP(H1727,'Stage Order'!$A$2:$B$8,2,FALSE)</f>
        <v>1</v>
      </c>
      <c r="N1727" t="str">
        <f t="shared" si="52"/>
        <v>1. Under 1 hour</v>
      </c>
      <c r="O1727" t="str">
        <f t="shared" si="53"/>
        <v>2025-03</v>
      </c>
    </row>
    <row r="1728" spans="1:15" x14ac:dyDescent="0.3">
      <c r="A1728" t="s">
        <v>4097</v>
      </c>
      <c r="B1728" t="s">
        <v>4098</v>
      </c>
      <c r="C1728" t="s">
        <v>81</v>
      </c>
      <c r="D1728" t="s">
        <v>29</v>
      </c>
      <c r="E1728" t="s">
        <v>45</v>
      </c>
      <c r="F1728" t="s">
        <v>46</v>
      </c>
      <c r="G1728">
        <v>1.75</v>
      </c>
      <c r="H1728" t="s">
        <v>146</v>
      </c>
      <c r="I1728" t="s">
        <v>48</v>
      </c>
      <c r="J1728" t="s">
        <v>113</v>
      </c>
      <c r="K1728">
        <v>548.97</v>
      </c>
      <c r="L1728" t="s">
        <v>4099</v>
      </c>
      <c r="M1728">
        <f>VLOOKUP(H1728,'Stage Order'!$A$2:$B$8,2,FALSE)</f>
        <v>5</v>
      </c>
      <c r="N1728" t="str">
        <f t="shared" si="52"/>
        <v>2. 1-24 hours</v>
      </c>
      <c r="O1728" t="str">
        <f t="shared" si="53"/>
        <v>2025-10</v>
      </c>
    </row>
    <row r="1729" spans="1:15" x14ac:dyDescent="0.3">
      <c r="A1729" t="s">
        <v>4100</v>
      </c>
      <c r="B1729" t="s">
        <v>4101</v>
      </c>
      <c r="C1729" t="s">
        <v>53</v>
      </c>
      <c r="D1729" t="s">
        <v>38</v>
      </c>
      <c r="E1729" t="s">
        <v>39</v>
      </c>
      <c r="F1729" t="s">
        <v>40</v>
      </c>
      <c r="G1729">
        <v>6.12</v>
      </c>
      <c r="H1729" t="s">
        <v>41</v>
      </c>
      <c r="I1729" t="s">
        <v>42</v>
      </c>
      <c r="M1729">
        <f>VLOOKUP(H1729,'Stage Order'!$A$2:$B$8,2,FALSE)</f>
        <v>2</v>
      </c>
      <c r="N1729" t="str">
        <f t="shared" si="52"/>
        <v>2. 1-24 hours</v>
      </c>
      <c r="O1729" t="str">
        <f t="shared" si="53"/>
        <v>2026-03</v>
      </c>
    </row>
    <row r="1730" spans="1:15" x14ac:dyDescent="0.3">
      <c r="A1730" t="s">
        <v>4102</v>
      </c>
      <c r="B1730" t="s">
        <v>4103</v>
      </c>
      <c r="C1730" t="s">
        <v>37</v>
      </c>
      <c r="D1730" t="s">
        <v>77</v>
      </c>
      <c r="E1730" t="s">
        <v>59</v>
      </c>
      <c r="F1730" t="s">
        <v>137</v>
      </c>
      <c r="G1730">
        <v>3.83</v>
      </c>
      <c r="H1730" t="s">
        <v>41</v>
      </c>
      <c r="I1730" t="s">
        <v>42</v>
      </c>
      <c r="M1730">
        <f>VLOOKUP(H1730,'Stage Order'!$A$2:$B$8,2,FALSE)</f>
        <v>2</v>
      </c>
      <c r="N1730" t="str">
        <f t="shared" ref="N1730:N1793" si="54">IF(G1730&lt;=1,"1. Under 1 hour",IF(G1730&lt;=24,"2. 1-24 hours",IF(G1730&lt;=72,"3. 1-3 days","4. Over 3 days")))</f>
        <v>2. 1-24 hours</v>
      </c>
      <c r="O1730" t="str">
        <f t="shared" ref="O1730:O1793" si="55">TEXT(B1730,"YYYY-MM")</f>
        <v>2025-12</v>
      </c>
    </row>
    <row r="1731" spans="1:15" x14ac:dyDescent="0.3">
      <c r="A1731" t="s">
        <v>4104</v>
      </c>
      <c r="B1731" t="s">
        <v>4105</v>
      </c>
      <c r="C1731" t="s">
        <v>53</v>
      </c>
      <c r="D1731" t="s">
        <v>54</v>
      </c>
      <c r="E1731" t="s">
        <v>39</v>
      </c>
      <c r="F1731" t="s">
        <v>66</v>
      </c>
      <c r="G1731">
        <v>7.66</v>
      </c>
      <c r="H1731" t="s">
        <v>41</v>
      </c>
      <c r="I1731" t="s">
        <v>42</v>
      </c>
      <c r="M1731">
        <f>VLOOKUP(H1731,'Stage Order'!$A$2:$B$8,2,FALSE)</f>
        <v>2</v>
      </c>
      <c r="N1731" t="str">
        <f t="shared" si="54"/>
        <v>2. 1-24 hours</v>
      </c>
      <c r="O1731" t="str">
        <f t="shared" si="55"/>
        <v>2025-05</v>
      </c>
    </row>
    <row r="1732" spans="1:15" x14ac:dyDescent="0.3">
      <c r="A1732" t="s">
        <v>4106</v>
      </c>
      <c r="B1732" t="s">
        <v>4107</v>
      </c>
      <c r="C1732" t="s">
        <v>37</v>
      </c>
      <c r="D1732" t="s">
        <v>97</v>
      </c>
      <c r="E1732" t="s">
        <v>45</v>
      </c>
      <c r="F1732" t="s">
        <v>94</v>
      </c>
      <c r="G1732">
        <v>6.49</v>
      </c>
      <c r="H1732" t="s">
        <v>41</v>
      </c>
      <c r="I1732" t="s">
        <v>42</v>
      </c>
      <c r="M1732">
        <f>VLOOKUP(H1732,'Stage Order'!$A$2:$B$8,2,FALSE)</f>
        <v>2</v>
      </c>
      <c r="N1732" t="str">
        <f t="shared" si="54"/>
        <v>2. 1-24 hours</v>
      </c>
      <c r="O1732" t="str">
        <f t="shared" si="55"/>
        <v>2025-03</v>
      </c>
    </row>
    <row r="1733" spans="1:15" x14ac:dyDescent="0.3">
      <c r="A1733" t="s">
        <v>4108</v>
      </c>
      <c r="B1733" t="s">
        <v>4109</v>
      </c>
      <c r="C1733" t="s">
        <v>37</v>
      </c>
      <c r="D1733" t="s">
        <v>29</v>
      </c>
      <c r="E1733" t="s">
        <v>45</v>
      </c>
      <c r="F1733" t="s">
        <v>55</v>
      </c>
      <c r="G1733">
        <v>2.8</v>
      </c>
      <c r="H1733" t="s">
        <v>41</v>
      </c>
      <c r="I1733" t="s">
        <v>42</v>
      </c>
      <c r="M1733">
        <f>VLOOKUP(H1733,'Stage Order'!$A$2:$B$8,2,FALSE)</f>
        <v>2</v>
      </c>
      <c r="N1733" t="str">
        <f t="shared" si="54"/>
        <v>2. 1-24 hours</v>
      </c>
      <c r="O1733" t="str">
        <f t="shared" si="55"/>
        <v>2026-02</v>
      </c>
    </row>
    <row r="1734" spans="1:15" x14ac:dyDescent="0.3">
      <c r="A1734" t="s">
        <v>4110</v>
      </c>
      <c r="B1734" t="s">
        <v>4111</v>
      </c>
      <c r="C1734" t="s">
        <v>58</v>
      </c>
      <c r="D1734" t="s">
        <v>38</v>
      </c>
      <c r="E1734" t="s">
        <v>45</v>
      </c>
      <c r="F1734" t="s">
        <v>46</v>
      </c>
      <c r="G1734">
        <v>3.41</v>
      </c>
      <c r="H1734" t="s">
        <v>47</v>
      </c>
      <c r="I1734" t="s">
        <v>48</v>
      </c>
      <c r="J1734" t="s">
        <v>139</v>
      </c>
      <c r="K1734">
        <v>295.85000000000002</v>
      </c>
      <c r="L1734" t="s">
        <v>4112</v>
      </c>
      <c r="M1734">
        <f>VLOOKUP(H1734,'Stage Order'!$A$2:$B$8,2,FALSE)</f>
        <v>4</v>
      </c>
      <c r="N1734" t="str">
        <f t="shared" si="54"/>
        <v>2. 1-24 hours</v>
      </c>
      <c r="O1734" t="str">
        <f t="shared" si="55"/>
        <v>2025-10</v>
      </c>
    </row>
    <row r="1735" spans="1:15" x14ac:dyDescent="0.3">
      <c r="A1735" t="s">
        <v>4113</v>
      </c>
      <c r="B1735" t="s">
        <v>4114</v>
      </c>
      <c r="C1735" t="s">
        <v>58</v>
      </c>
      <c r="D1735" t="s">
        <v>29</v>
      </c>
      <c r="E1735" t="s">
        <v>59</v>
      </c>
      <c r="F1735" t="s">
        <v>60</v>
      </c>
      <c r="G1735">
        <v>8.6999999999999993</v>
      </c>
      <c r="H1735" t="s">
        <v>41</v>
      </c>
      <c r="I1735" t="s">
        <v>42</v>
      </c>
      <c r="M1735">
        <f>VLOOKUP(H1735,'Stage Order'!$A$2:$B$8,2,FALSE)</f>
        <v>2</v>
      </c>
      <c r="N1735" t="str">
        <f t="shared" si="54"/>
        <v>2. 1-24 hours</v>
      </c>
      <c r="O1735" t="str">
        <f t="shared" si="55"/>
        <v>2025-10</v>
      </c>
    </row>
    <row r="1736" spans="1:15" x14ac:dyDescent="0.3">
      <c r="A1736" t="s">
        <v>4115</v>
      </c>
      <c r="B1736" t="s">
        <v>4116</v>
      </c>
      <c r="C1736" t="s">
        <v>81</v>
      </c>
      <c r="D1736" t="s">
        <v>77</v>
      </c>
      <c r="E1736" t="s">
        <v>39</v>
      </c>
      <c r="F1736" t="s">
        <v>40</v>
      </c>
      <c r="G1736">
        <v>9.24</v>
      </c>
      <c r="H1736" t="s">
        <v>61</v>
      </c>
      <c r="I1736" t="s">
        <v>42</v>
      </c>
      <c r="M1736">
        <f>VLOOKUP(H1736,'Stage Order'!$A$2:$B$8,2,FALSE)</f>
        <v>1</v>
      </c>
      <c r="N1736" t="str">
        <f t="shared" si="54"/>
        <v>2. 1-24 hours</v>
      </c>
      <c r="O1736" t="str">
        <f t="shared" si="55"/>
        <v>2026-06</v>
      </c>
    </row>
    <row r="1737" spans="1:15" x14ac:dyDescent="0.3">
      <c r="A1737" t="s">
        <v>4117</v>
      </c>
      <c r="B1737" t="s">
        <v>4118</v>
      </c>
      <c r="C1737" t="s">
        <v>125</v>
      </c>
      <c r="D1737" t="s">
        <v>29</v>
      </c>
      <c r="E1737" t="s">
        <v>45</v>
      </c>
      <c r="F1737" t="s">
        <v>46</v>
      </c>
      <c r="G1737">
        <v>2.82</v>
      </c>
      <c r="H1737" t="s">
        <v>61</v>
      </c>
      <c r="I1737" t="s">
        <v>42</v>
      </c>
      <c r="M1737">
        <f>VLOOKUP(H1737,'Stage Order'!$A$2:$B$8,2,FALSE)</f>
        <v>1</v>
      </c>
      <c r="N1737" t="str">
        <f t="shared" si="54"/>
        <v>2. 1-24 hours</v>
      </c>
      <c r="O1737" t="str">
        <f t="shared" si="55"/>
        <v>2025-12</v>
      </c>
    </row>
    <row r="1738" spans="1:15" x14ac:dyDescent="0.3">
      <c r="A1738" t="s">
        <v>4119</v>
      </c>
      <c r="B1738" t="s">
        <v>4120</v>
      </c>
      <c r="C1738" t="s">
        <v>125</v>
      </c>
      <c r="D1738" t="s">
        <v>54</v>
      </c>
      <c r="E1738" t="s">
        <v>90</v>
      </c>
      <c r="F1738" t="s">
        <v>91</v>
      </c>
      <c r="G1738">
        <v>5.15</v>
      </c>
      <c r="H1738" t="s">
        <v>41</v>
      </c>
      <c r="I1738" t="s">
        <v>42</v>
      </c>
      <c r="M1738">
        <f>VLOOKUP(H1738,'Stage Order'!$A$2:$B$8,2,FALSE)</f>
        <v>2</v>
      </c>
      <c r="N1738" t="str">
        <f t="shared" si="54"/>
        <v>2. 1-24 hours</v>
      </c>
      <c r="O1738" t="str">
        <f t="shared" si="55"/>
        <v>2026-04</v>
      </c>
    </row>
    <row r="1739" spans="1:15" x14ac:dyDescent="0.3">
      <c r="A1739" t="s">
        <v>4121</v>
      </c>
      <c r="B1739" t="s">
        <v>4122</v>
      </c>
      <c r="C1739" t="s">
        <v>53</v>
      </c>
      <c r="D1739" t="s">
        <v>97</v>
      </c>
      <c r="E1739" t="s">
        <v>30</v>
      </c>
      <c r="F1739" t="s">
        <v>82</v>
      </c>
      <c r="G1739">
        <v>3.4</v>
      </c>
      <c r="H1739" t="s">
        <v>41</v>
      </c>
      <c r="I1739" t="s">
        <v>42</v>
      </c>
      <c r="M1739">
        <f>VLOOKUP(H1739,'Stage Order'!$A$2:$B$8,2,FALSE)</f>
        <v>2</v>
      </c>
      <c r="N1739" t="str">
        <f t="shared" si="54"/>
        <v>2. 1-24 hours</v>
      </c>
      <c r="O1739" t="str">
        <f t="shared" si="55"/>
        <v>2025-04</v>
      </c>
    </row>
    <row r="1740" spans="1:15" x14ac:dyDescent="0.3">
      <c r="A1740" t="s">
        <v>4123</v>
      </c>
      <c r="B1740" t="s">
        <v>4124</v>
      </c>
      <c r="C1740" t="s">
        <v>53</v>
      </c>
      <c r="D1740" t="s">
        <v>38</v>
      </c>
      <c r="E1740" t="s">
        <v>90</v>
      </c>
      <c r="F1740" t="s">
        <v>145</v>
      </c>
      <c r="G1740">
        <v>0.99</v>
      </c>
      <c r="H1740" t="s">
        <v>61</v>
      </c>
      <c r="I1740" t="s">
        <v>42</v>
      </c>
      <c r="M1740">
        <f>VLOOKUP(H1740,'Stage Order'!$A$2:$B$8,2,FALSE)</f>
        <v>1</v>
      </c>
      <c r="N1740" t="str">
        <f t="shared" si="54"/>
        <v>1. Under 1 hour</v>
      </c>
      <c r="O1740" t="str">
        <f t="shared" si="55"/>
        <v>2025-10</v>
      </c>
    </row>
    <row r="1741" spans="1:15" x14ac:dyDescent="0.3">
      <c r="A1741" t="s">
        <v>4125</v>
      </c>
      <c r="B1741" t="s">
        <v>4126</v>
      </c>
      <c r="C1741" t="s">
        <v>53</v>
      </c>
      <c r="D1741" t="s">
        <v>77</v>
      </c>
      <c r="E1741" t="s">
        <v>59</v>
      </c>
      <c r="F1741" t="s">
        <v>137</v>
      </c>
      <c r="G1741">
        <v>4.51</v>
      </c>
      <c r="H1741" t="s">
        <v>41</v>
      </c>
      <c r="I1741" t="s">
        <v>42</v>
      </c>
      <c r="M1741">
        <f>VLOOKUP(H1741,'Stage Order'!$A$2:$B$8,2,FALSE)</f>
        <v>2</v>
      </c>
      <c r="N1741" t="str">
        <f t="shared" si="54"/>
        <v>2. 1-24 hours</v>
      </c>
      <c r="O1741" t="str">
        <f t="shared" si="55"/>
        <v>2025-03</v>
      </c>
    </row>
    <row r="1742" spans="1:15" x14ac:dyDescent="0.3">
      <c r="A1742" t="s">
        <v>4127</v>
      </c>
      <c r="B1742" t="s">
        <v>4128</v>
      </c>
      <c r="C1742" t="s">
        <v>58</v>
      </c>
      <c r="D1742" t="s">
        <v>77</v>
      </c>
      <c r="E1742" t="s">
        <v>59</v>
      </c>
      <c r="F1742" t="s">
        <v>60</v>
      </c>
      <c r="G1742">
        <v>2.06</v>
      </c>
      <c r="H1742" t="s">
        <v>61</v>
      </c>
      <c r="I1742" t="s">
        <v>42</v>
      </c>
      <c r="M1742">
        <f>VLOOKUP(H1742,'Stage Order'!$A$2:$B$8,2,FALSE)</f>
        <v>1</v>
      </c>
      <c r="N1742" t="str">
        <f t="shared" si="54"/>
        <v>2. 1-24 hours</v>
      </c>
      <c r="O1742" t="str">
        <f t="shared" si="55"/>
        <v>2026-02</v>
      </c>
    </row>
    <row r="1743" spans="1:15" x14ac:dyDescent="0.3">
      <c r="A1743" t="s">
        <v>4129</v>
      </c>
      <c r="B1743" t="s">
        <v>4130</v>
      </c>
      <c r="C1743" t="s">
        <v>37</v>
      </c>
      <c r="D1743" t="s">
        <v>97</v>
      </c>
      <c r="E1743" t="s">
        <v>45</v>
      </c>
      <c r="F1743" t="s">
        <v>55</v>
      </c>
      <c r="G1743">
        <v>18.59</v>
      </c>
      <c r="H1743" t="s">
        <v>41</v>
      </c>
      <c r="I1743" t="s">
        <v>42</v>
      </c>
      <c r="M1743">
        <f>VLOOKUP(H1743,'Stage Order'!$A$2:$B$8,2,FALSE)</f>
        <v>2</v>
      </c>
      <c r="N1743" t="str">
        <f t="shared" si="54"/>
        <v>2. 1-24 hours</v>
      </c>
      <c r="O1743" t="str">
        <f t="shared" si="55"/>
        <v>2025-01</v>
      </c>
    </row>
    <row r="1744" spans="1:15" x14ac:dyDescent="0.3">
      <c r="A1744" t="s">
        <v>4131</v>
      </c>
      <c r="B1744" t="s">
        <v>4132</v>
      </c>
      <c r="C1744" t="s">
        <v>125</v>
      </c>
      <c r="D1744" t="s">
        <v>54</v>
      </c>
      <c r="E1744" t="s">
        <v>30</v>
      </c>
      <c r="F1744" t="s">
        <v>31</v>
      </c>
      <c r="G1744">
        <v>1.44</v>
      </c>
      <c r="H1744" t="s">
        <v>61</v>
      </c>
      <c r="I1744" t="s">
        <v>42</v>
      </c>
      <c r="M1744">
        <f>VLOOKUP(H1744,'Stage Order'!$A$2:$B$8,2,FALSE)</f>
        <v>1</v>
      </c>
      <c r="N1744" t="str">
        <f t="shared" si="54"/>
        <v>2. 1-24 hours</v>
      </c>
      <c r="O1744" t="str">
        <f t="shared" si="55"/>
        <v>2025-07</v>
      </c>
    </row>
    <row r="1745" spans="1:15" x14ac:dyDescent="0.3">
      <c r="A1745" t="s">
        <v>4133</v>
      </c>
      <c r="B1745" t="s">
        <v>4134</v>
      </c>
      <c r="C1745" t="s">
        <v>37</v>
      </c>
      <c r="D1745" t="s">
        <v>29</v>
      </c>
      <c r="E1745" t="s">
        <v>30</v>
      </c>
      <c r="F1745" t="s">
        <v>78</v>
      </c>
      <c r="G1745">
        <v>2.38</v>
      </c>
      <c r="H1745" t="s">
        <v>41</v>
      </c>
      <c r="I1745" t="s">
        <v>42</v>
      </c>
      <c r="M1745">
        <f>VLOOKUP(H1745,'Stage Order'!$A$2:$B$8,2,FALSE)</f>
        <v>2</v>
      </c>
      <c r="N1745" t="str">
        <f t="shared" si="54"/>
        <v>2. 1-24 hours</v>
      </c>
      <c r="O1745" t="str">
        <f t="shared" si="55"/>
        <v>2025-03</v>
      </c>
    </row>
    <row r="1746" spans="1:15" x14ac:dyDescent="0.3">
      <c r="A1746" t="s">
        <v>4135</v>
      </c>
      <c r="B1746" t="s">
        <v>4136</v>
      </c>
      <c r="C1746" t="s">
        <v>53</v>
      </c>
      <c r="D1746" t="s">
        <v>77</v>
      </c>
      <c r="E1746" t="s">
        <v>45</v>
      </c>
      <c r="F1746" t="s">
        <v>46</v>
      </c>
      <c r="G1746">
        <v>1.41</v>
      </c>
      <c r="H1746" t="s">
        <v>41</v>
      </c>
      <c r="I1746" t="s">
        <v>42</v>
      </c>
      <c r="M1746">
        <f>VLOOKUP(H1746,'Stage Order'!$A$2:$B$8,2,FALSE)</f>
        <v>2</v>
      </c>
      <c r="N1746" t="str">
        <f t="shared" si="54"/>
        <v>2. 1-24 hours</v>
      </c>
      <c r="O1746" t="str">
        <f t="shared" si="55"/>
        <v>2025-12</v>
      </c>
    </row>
    <row r="1747" spans="1:15" x14ac:dyDescent="0.3">
      <c r="A1747" t="s">
        <v>4137</v>
      </c>
      <c r="B1747" t="s">
        <v>4138</v>
      </c>
      <c r="C1747" t="s">
        <v>37</v>
      </c>
      <c r="D1747" t="s">
        <v>54</v>
      </c>
      <c r="E1747" t="s">
        <v>30</v>
      </c>
      <c r="F1747" t="s">
        <v>78</v>
      </c>
      <c r="G1747">
        <v>7.33</v>
      </c>
      <c r="H1747" t="s">
        <v>41</v>
      </c>
      <c r="I1747" t="s">
        <v>42</v>
      </c>
      <c r="M1747">
        <f>VLOOKUP(H1747,'Stage Order'!$A$2:$B$8,2,FALSE)</f>
        <v>2</v>
      </c>
      <c r="N1747" t="str">
        <f t="shared" si="54"/>
        <v>2. 1-24 hours</v>
      </c>
      <c r="O1747" t="str">
        <f t="shared" si="55"/>
        <v>2026-05</v>
      </c>
    </row>
    <row r="1748" spans="1:15" x14ac:dyDescent="0.3">
      <c r="A1748" t="s">
        <v>4139</v>
      </c>
      <c r="B1748" t="s">
        <v>4140</v>
      </c>
      <c r="C1748" t="s">
        <v>58</v>
      </c>
      <c r="D1748" t="s">
        <v>77</v>
      </c>
      <c r="E1748" t="s">
        <v>39</v>
      </c>
      <c r="F1748" t="s">
        <v>66</v>
      </c>
      <c r="G1748">
        <v>1.9</v>
      </c>
      <c r="H1748" t="s">
        <v>47</v>
      </c>
      <c r="I1748" t="s">
        <v>48</v>
      </c>
      <c r="J1748" t="s">
        <v>139</v>
      </c>
      <c r="K1748">
        <v>1043</v>
      </c>
      <c r="L1748" t="s">
        <v>4141</v>
      </c>
      <c r="M1748">
        <f>VLOOKUP(H1748,'Stage Order'!$A$2:$B$8,2,FALSE)</f>
        <v>4</v>
      </c>
      <c r="N1748" t="str">
        <f t="shared" si="54"/>
        <v>2. 1-24 hours</v>
      </c>
      <c r="O1748" t="str">
        <f t="shared" si="55"/>
        <v>2025-12</v>
      </c>
    </row>
    <row r="1749" spans="1:15" x14ac:dyDescent="0.3">
      <c r="A1749" t="s">
        <v>4142</v>
      </c>
      <c r="B1749" t="s">
        <v>4143</v>
      </c>
      <c r="C1749" t="s">
        <v>125</v>
      </c>
      <c r="D1749" t="s">
        <v>97</v>
      </c>
      <c r="E1749" t="s">
        <v>39</v>
      </c>
      <c r="F1749" t="s">
        <v>40</v>
      </c>
      <c r="G1749">
        <v>3.03</v>
      </c>
      <c r="H1749" t="s">
        <v>146</v>
      </c>
      <c r="I1749" t="s">
        <v>48</v>
      </c>
      <c r="J1749" t="s">
        <v>139</v>
      </c>
      <c r="K1749">
        <v>1280.43</v>
      </c>
      <c r="L1749" t="s">
        <v>4144</v>
      </c>
      <c r="M1749">
        <f>VLOOKUP(H1749,'Stage Order'!$A$2:$B$8,2,FALSE)</f>
        <v>5</v>
      </c>
      <c r="N1749" t="str">
        <f t="shared" si="54"/>
        <v>2. 1-24 hours</v>
      </c>
      <c r="O1749" t="str">
        <f t="shared" si="55"/>
        <v>2026-06</v>
      </c>
    </row>
    <row r="1750" spans="1:15" x14ac:dyDescent="0.3">
      <c r="A1750" t="s">
        <v>4145</v>
      </c>
      <c r="B1750" t="s">
        <v>4146</v>
      </c>
      <c r="C1750" t="s">
        <v>37</v>
      </c>
      <c r="D1750" t="s">
        <v>54</v>
      </c>
      <c r="E1750" t="s">
        <v>45</v>
      </c>
      <c r="F1750" t="s">
        <v>46</v>
      </c>
      <c r="G1750">
        <v>5.45</v>
      </c>
      <c r="H1750" t="s">
        <v>138</v>
      </c>
      <c r="I1750" t="s">
        <v>48</v>
      </c>
      <c r="J1750" t="s">
        <v>139</v>
      </c>
      <c r="K1750">
        <v>543.82000000000005</v>
      </c>
      <c r="L1750" t="s">
        <v>4147</v>
      </c>
      <c r="M1750">
        <f>VLOOKUP(H1750,'Stage Order'!$A$2:$B$8,2,FALSE)</f>
        <v>6</v>
      </c>
      <c r="N1750" t="str">
        <f t="shared" si="54"/>
        <v>2. 1-24 hours</v>
      </c>
      <c r="O1750" t="str">
        <f t="shared" si="55"/>
        <v>2026-06</v>
      </c>
    </row>
    <row r="1751" spans="1:15" x14ac:dyDescent="0.3">
      <c r="A1751" t="s">
        <v>4148</v>
      </c>
      <c r="B1751" t="s">
        <v>4149</v>
      </c>
      <c r="C1751" t="s">
        <v>53</v>
      </c>
      <c r="D1751" t="s">
        <v>77</v>
      </c>
      <c r="E1751" t="s">
        <v>39</v>
      </c>
      <c r="F1751" t="s">
        <v>66</v>
      </c>
      <c r="G1751">
        <v>3.64</v>
      </c>
      <c r="H1751" t="s">
        <v>146</v>
      </c>
      <c r="I1751" t="s">
        <v>48</v>
      </c>
      <c r="J1751" t="s">
        <v>139</v>
      </c>
      <c r="K1751">
        <v>1122.21</v>
      </c>
      <c r="L1751" t="s">
        <v>4150</v>
      </c>
      <c r="M1751">
        <f>VLOOKUP(H1751,'Stage Order'!$A$2:$B$8,2,FALSE)</f>
        <v>5</v>
      </c>
      <c r="N1751" t="str">
        <f t="shared" si="54"/>
        <v>2. 1-24 hours</v>
      </c>
      <c r="O1751" t="str">
        <f t="shared" si="55"/>
        <v>2025-01</v>
      </c>
    </row>
    <row r="1752" spans="1:15" x14ac:dyDescent="0.3">
      <c r="A1752" t="s">
        <v>4151</v>
      </c>
      <c r="B1752" t="s">
        <v>4152</v>
      </c>
      <c r="C1752" t="s">
        <v>53</v>
      </c>
      <c r="D1752" t="s">
        <v>77</v>
      </c>
      <c r="E1752" t="s">
        <v>39</v>
      </c>
      <c r="F1752" t="s">
        <v>106</v>
      </c>
      <c r="G1752">
        <v>1.03</v>
      </c>
      <c r="H1752" t="s">
        <v>41</v>
      </c>
      <c r="I1752" t="s">
        <v>42</v>
      </c>
      <c r="M1752">
        <f>VLOOKUP(H1752,'Stage Order'!$A$2:$B$8,2,FALSE)</f>
        <v>2</v>
      </c>
      <c r="N1752" t="str">
        <f t="shared" si="54"/>
        <v>2. 1-24 hours</v>
      </c>
      <c r="O1752" t="str">
        <f t="shared" si="55"/>
        <v>2026-05</v>
      </c>
    </row>
    <row r="1753" spans="1:15" x14ac:dyDescent="0.3">
      <c r="A1753" t="s">
        <v>4153</v>
      </c>
      <c r="B1753" t="s">
        <v>4154</v>
      </c>
      <c r="C1753" t="s">
        <v>76</v>
      </c>
      <c r="D1753" t="s">
        <v>54</v>
      </c>
      <c r="E1753" t="s">
        <v>39</v>
      </c>
      <c r="F1753" t="s">
        <v>106</v>
      </c>
      <c r="G1753">
        <v>1.53</v>
      </c>
      <c r="H1753" t="s">
        <v>41</v>
      </c>
      <c r="I1753" t="s">
        <v>42</v>
      </c>
      <c r="M1753">
        <f>VLOOKUP(H1753,'Stage Order'!$A$2:$B$8,2,FALSE)</f>
        <v>2</v>
      </c>
      <c r="N1753" t="str">
        <f t="shared" si="54"/>
        <v>2. 1-24 hours</v>
      </c>
      <c r="O1753" t="str">
        <f t="shared" si="55"/>
        <v>2026-06</v>
      </c>
    </row>
    <row r="1754" spans="1:15" x14ac:dyDescent="0.3">
      <c r="A1754" t="s">
        <v>4155</v>
      </c>
      <c r="B1754" t="s">
        <v>4156</v>
      </c>
      <c r="C1754" t="s">
        <v>58</v>
      </c>
      <c r="D1754" t="s">
        <v>29</v>
      </c>
      <c r="E1754" t="s">
        <v>39</v>
      </c>
      <c r="F1754" t="s">
        <v>40</v>
      </c>
      <c r="G1754">
        <v>4.8499999999999996</v>
      </c>
      <c r="H1754" t="s">
        <v>47</v>
      </c>
      <c r="I1754" t="s">
        <v>48</v>
      </c>
      <c r="J1754" t="s">
        <v>139</v>
      </c>
      <c r="K1754">
        <v>584.70000000000005</v>
      </c>
      <c r="L1754" t="s">
        <v>4157</v>
      </c>
      <c r="M1754">
        <f>VLOOKUP(H1754,'Stage Order'!$A$2:$B$8,2,FALSE)</f>
        <v>4</v>
      </c>
      <c r="N1754" t="str">
        <f t="shared" si="54"/>
        <v>2. 1-24 hours</v>
      </c>
      <c r="O1754" t="str">
        <f t="shared" si="55"/>
        <v>2025-04</v>
      </c>
    </row>
    <row r="1755" spans="1:15" x14ac:dyDescent="0.3">
      <c r="A1755" t="s">
        <v>4158</v>
      </c>
      <c r="B1755" t="s">
        <v>4159</v>
      </c>
      <c r="C1755" t="s">
        <v>81</v>
      </c>
      <c r="D1755" t="s">
        <v>97</v>
      </c>
      <c r="E1755" t="s">
        <v>90</v>
      </c>
      <c r="F1755" t="s">
        <v>145</v>
      </c>
      <c r="G1755">
        <v>4.07</v>
      </c>
      <c r="H1755" t="s">
        <v>61</v>
      </c>
      <c r="I1755" t="s">
        <v>42</v>
      </c>
      <c r="M1755">
        <f>VLOOKUP(H1755,'Stage Order'!$A$2:$B$8,2,FALSE)</f>
        <v>1</v>
      </c>
      <c r="N1755" t="str">
        <f t="shared" si="54"/>
        <v>2. 1-24 hours</v>
      </c>
      <c r="O1755" t="str">
        <f t="shared" si="55"/>
        <v>2025-02</v>
      </c>
    </row>
    <row r="1756" spans="1:15" x14ac:dyDescent="0.3">
      <c r="A1756" t="s">
        <v>4160</v>
      </c>
      <c r="B1756" t="s">
        <v>4161</v>
      </c>
      <c r="C1756" t="s">
        <v>58</v>
      </c>
      <c r="D1756" t="s">
        <v>54</v>
      </c>
      <c r="E1756" t="s">
        <v>90</v>
      </c>
      <c r="F1756" t="s">
        <v>145</v>
      </c>
      <c r="G1756">
        <v>2.91</v>
      </c>
      <c r="H1756" t="s">
        <v>47</v>
      </c>
      <c r="I1756" t="s">
        <v>48</v>
      </c>
      <c r="J1756" t="s">
        <v>139</v>
      </c>
      <c r="K1756">
        <v>556.05999999999995</v>
      </c>
      <c r="L1756" t="s">
        <v>4162</v>
      </c>
      <c r="M1756">
        <f>VLOOKUP(H1756,'Stage Order'!$A$2:$B$8,2,FALSE)</f>
        <v>4</v>
      </c>
      <c r="N1756" t="str">
        <f t="shared" si="54"/>
        <v>2. 1-24 hours</v>
      </c>
      <c r="O1756" t="str">
        <f t="shared" si="55"/>
        <v>2026-03</v>
      </c>
    </row>
    <row r="1757" spans="1:15" x14ac:dyDescent="0.3">
      <c r="A1757" t="s">
        <v>4163</v>
      </c>
      <c r="B1757" t="s">
        <v>4164</v>
      </c>
      <c r="C1757" t="s">
        <v>125</v>
      </c>
      <c r="D1757" t="s">
        <v>38</v>
      </c>
      <c r="E1757" t="s">
        <v>45</v>
      </c>
      <c r="F1757" t="s">
        <v>55</v>
      </c>
      <c r="G1757">
        <v>3.73</v>
      </c>
      <c r="H1757" t="s">
        <v>146</v>
      </c>
      <c r="I1757" t="s">
        <v>48</v>
      </c>
      <c r="J1757" t="s">
        <v>113</v>
      </c>
      <c r="K1757">
        <v>404.84</v>
      </c>
      <c r="L1757" t="s">
        <v>4165</v>
      </c>
      <c r="M1757">
        <f>VLOOKUP(H1757,'Stage Order'!$A$2:$B$8,2,FALSE)</f>
        <v>5</v>
      </c>
      <c r="N1757" t="str">
        <f t="shared" si="54"/>
        <v>2. 1-24 hours</v>
      </c>
      <c r="O1757" t="str">
        <f t="shared" si="55"/>
        <v>2025-09</v>
      </c>
    </row>
    <row r="1758" spans="1:15" x14ac:dyDescent="0.3">
      <c r="A1758" t="s">
        <v>4166</v>
      </c>
      <c r="B1758" t="s">
        <v>4167</v>
      </c>
      <c r="C1758" t="s">
        <v>37</v>
      </c>
      <c r="D1758" t="s">
        <v>29</v>
      </c>
      <c r="E1758" t="s">
        <v>39</v>
      </c>
      <c r="F1758" t="s">
        <v>40</v>
      </c>
      <c r="G1758">
        <v>1.0900000000000001</v>
      </c>
      <c r="H1758" t="s">
        <v>32</v>
      </c>
      <c r="I1758" t="s">
        <v>33</v>
      </c>
      <c r="K1758">
        <v>741.53</v>
      </c>
      <c r="L1758" t="s">
        <v>4168</v>
      </c>
      <c r="M1758">
        <f>VLOOKUP(H1758,'Stage Order'!$A$2:$B$8,2,FALSE)</f>
        <v>7</v>
      </c>
      <c r="N1758" t="str">
        <f t="shared" si="54"/>
        <v>2. 1-24 hours</v>
      </c>
      <c r="O1758" t="str">
        <f t="shared" si="55"/>
        <v>2025-11</v>
      </c>
    </row>
    <row r="1759" spans="1:15" x14ac:dyDescent="0.3">
      <c r="A1759" t="s">
        <v>4169</v>
      </c>
      <c r="B1759" t="s">
        <v>4170</v>
      </c>
      <c r="C1759" t="s">
        <v>37</v>
      </c>
      <c r="D1759" t="s">
        <v>54</v>
      </c>
      <c r="E1759" t="s">
        <v>30</v>
      </c>
      <c r="F1759" t="s">
        <v>78</v>
      </c>
      <c r="G1759">
        <v>1.95</v>
      </c>
      <c r="H1759" t="s">
        <v>61</v>
      </c>
      <c r="I1759" t="s">
        <v>42</v>
      </c>
      <c r="M1759">
        <f>VLOOKUP(H1759,'Stage Order'!$A$2:$B$8,2,FALSE)</f>
        <v>1</v>
      </c>
      <c r="N1759" t="str">
        <f t="shared" si="54"/>
        <v>2. 1-24 hours</v>
      </c>
      <c r="O1759" t="str">
        <f t="shared" si="55"/>
        <v>2025-10</v>
      </c>
    </row>
    <row r="1760" spans="1:15" x14ac:dyDescent="0.3">
      <c r="A1760" t="s">
        <v>4171</v>
      </c>
      <c r="B1760" t="s">
        <v>4172</v>
      </c>
      <c r="C1760" t="s">
        <v>81</v>
      </c>
      <c r="D1760" t="s">
        <v>54</v>
      </c>
      <c r="E1760" t="s">
        <v>45</v>
      </c>
      <c r="F1760" t="s">
        <v>94</v>
      </c>
      <c r="G1760">
        <v>4.1900000000000004</v>
      </c>
      <c r="H1760" t="s">
        <v>47</v>
      </c>
      <c r="I1760" t="s">
        <v>48</v>
      </c>
      <c r="J1760" t="s">
        <v>49</v>
      </c>
      <c r="K1760">
        <v>440.13</v>
      </c>
      <c r="L1760" t="s">
        <v>4173</v>
      </c>
      <c r="M1760">
        <f>VLOOKUP(H1760,'Stage Order'!$A$2:$B$8,2,FALSE)</f>
        <v>4</v>
      </c>
      <c r="N1760" t="str">
        <f t="shared" si="54"/>
        <v>2. 1-24 hours</v>
      </c>
      <c r="O1760" t="str">
        <f t="shared" si="55"/>
        <v>2025-03</v>
      </c>
    </row>
    <row r="1761" spans="1:15" x14ac:dyDescent="0.3">
      <c r="A1761" t="s">
        <v>4174</v>
      </c>
      <c r="B1761" t="s">
        <v>4175</v>
      </c>
      <c r="C1761" t="s">
        <v>58</v>
      </c>
      <c r="D1761" t="s">
        <v>29</v>
      </c>
      <c r="E1761" t="s">
        <v>45</v>
      </c>
      <c r="F1761" t="s">
        <v>55</v>
      </c>
      <c r="G1761">
        <v>3.14</v>
      </c>
      <c r="H1761" t="s">
        <v>61</v>
      </c>
      <c r="I1761" t="s">
        <v>42</v>
      </c>
      <c r="M1761">
        <f>VLOOKUP(H1761,'Stage Order'!$A$2:$B$8,2,FALSE)</f>
        <v>1</v>
      </c>
      <c r="N1761" t="str">
        <f t="shared" si="54"/>
        <v>2. 1-24 hours</v>
      </c>
      <c r="O1761" t="str">
        <f t="shared" si="55"/>
        <v>2025-08</v>
      </c>
    </row>
    <row r="1762" spans="1:15" x14ac:dyDescent="0.3">
      <c r="A1762" t="s">
        <v>4176</v>
      </c>
      <c r="B1762" t="s">
        <v>4177</v>
      </c>
      <c r="C1762" t="s">
        <v>58</v>
      </c>
      <c r="D1762" t="s">
        <v>38</v>
      </c>
      <c r="E1762" t="s">
        <v>30</v>
      </c>
      <c r="F1762" t="s">
        <v>82</v>
      </c>
      <c r="G1762">
        <v>8.5399999999999991</v>
      </c>
      <c r="H1762" t="s">
        <v>41</v>
      </c>
      <c r="I1762" t="s">
        <v>42</v>
      </c>
      <c r="M1762">
        <f>VLOOKUP(H1762,'Stage Order'!$A$2:$B$8,2,FALSE)</f>
        <v>2</v>
      </c>
      <c r="N1762" t="str">
        <f t="shared" si="54"/>
        <v>2. 1-24 hours</v>
      </c>
      <c r="O1762" t="str">
        <f t="shared" si="55"/>
        <v>2025-02</v>
      </c>
    </row>
    <row r="1763" spans="1:15" x14ac:dyDescent="0.3">
      <c r="A1763" t="s">
        <v>4178</v>
      </c>
      <c r="B1763" t="s">
        <v>4179</v>
      </c>
      <c r="C1763" t="s">
        <v>28</v>
      </c>
      <c r="D1763" t="s">
        <v>97</v>
      </c>
      <c r="E1763" t="s">
        <v>59</v>
      </c>
      <c r="F1763" t="s">
        <v>137</v>
      </c>
      <c r="G1763">
        <v>5.13</v>
      </c>
      <c r="H1763" t="s">
        <v>41</v>
      </c>
      <c r="I1763" t="s">
        <v>42</v>
      </c>
      <c r="M1763">
        <f>VLOOKUP(H1763,'Stage Order'!$A$2:$B$8,2,FALSE)</f>
        <v>2</v>
      </c>
      <c r="N1763" t="str">
        <f t="shared" si="54"/>
        <v>2. 1-24 hours</v>
      </c>
      <c r="O1763" t="str">
        <f t="shared" si="55"/>
        <v>2025-02</v>
      </c>
    </row>
    <row r="1764" spans="1:15" x14ac:dyDescent="0.3">
      <c r="A1764" t="s">
        <v>4180</v>
      </c>
      <c r="B1764" t="s">
        <v>4181</v>
      </c>
      <c r="C1764" t="s">
        <v>53</v>
      </c>
      <c r="D1764" t="s">
        <v>77</v>
      </c>
      <c r="E1764" t="s">
        <v>59</v>
      </c>
      <c r="F1764" t="s">
        <v>137</v>
      </c>
      <c r="G1764">
        <v>0.8</v>
      </c>
      <c r="H1764" t="s">
        <v>32</v>
      </c>
      <c r="I1764" t="s">
        <v>33</v>
      </c>
      <c r="K1764">
        <v>940.5</v>
      </c>
      <c r="L1764" t="s">
        <v>4182</v>
      </c>
      <c r="M1764">
        <f>VLOOKUP(H1764,'Stage Order'!$A$2:$B$8,2,FALSE)</f>
        <v>7</v>
      </c>
      <c r="N1764" t="str">
        <f t="shared" si="54"/>
        <v>1. Under 1 hour</v>
      </c>
      <c r="O1764" t="str">
        <f t="shared" si="55"/>
        <v>2025-12</v>
      </c>
    </row>
    <row r="1765" spans="1:15" x14ac:dyDescent="0.3">
      <c r="A1765" t="s">
        <v>4183</v>
      </c>
      <c r="B1765" t="s">
        <v>4184</v>
      </c>
      <c r="C1765" t="s">
        <v>28</v>
      </c>
      <c r="D1765" t="s">
        <v>77</v>
      </c>
      <c r="E1765" t="s">
        <v>45</v>
      </c>
      <c r="F1765" t="s">
        <v>94</v>
      </c>
      <c r="G1765">
        <v>4.74</v>
      </c>
      <c r="H1765" t="s">
        <v>41</v>
      </c>
      <c r="I1765" t="s">
        <v>42</v>
      </c>
      <c r="M1765">
        <f>VLOOKUP(H1765,'Stage Order'!$A$2:$B$8,2,FALSE)</f>
        <v>2</v>
      </c>
      <c r="N1765" t="str">
        <f t="shared" si="54"/>
        <v>2. 1-24 hours</v>
      </c>
      <c r="O1765" t="str">
        <f t="shared" si="55"/>
        <v>2026-06</v>
      </c>
    </row>
    <row r="1766" spans="1:15" x14ac:dyDescent="0.3">
      <c r="A1766" t="s">
        <v>4185</v>
      </c>
      <c r="B1766" t="s">
        <v>4186</v>
      </c>
      <c r="C1766" t="s">
        <v>125</v>
      </c>
      <c r="D1766" t="s">
        <v>29</v>
      </c>
      <c r="E1766" t="s">
        <v>30</v>
      </c>
      <c r="F1766" t="s">
        <v>78</v>
      </c>
      <c r="G1766">
        <v>1.55</v>
      </c>
      <c r="H1766" t="s">
        <v>61</v>
      </c>
      <c r="I1766" t="s">
        <v>42</v>
      </c>
      <c r="M1766">
        <f>VLOOKUP(H1766,'Stage Order'!$A$2:$B$8,2,FALSE)</f>
        <v>1</v>
      </c>
      <c r="N1766" t="str">
        <f t="shared" si="54"/>
        <v>2. 1-24 hours</v>
      </c>
      <c r="O1766" t="str">
        <f t="shared" si="55"/>
        <v>2025-04</v>
      </c>
    </row>
    <row r="1767" spans="1:15" x14ac:dyDescent="0.3">
      <c r="A1767" t="s">
        <v>4187</v>
      </c>
      <c r="B1767" t="s">
        <v>4188</v>
      </c>
      <c r="C1767" t="s">
        <v>37</v>
      </c>
      <c r="D1767" t="s">
        <v>29</v>
      </c>
      <c r="E1767" t="s">
        <v>45</v>
      </c>
      <c r="F1767" t="s">
        <v>55</v>
      </c>
      <c r="G1767">
        <v>1.67</v>
      </c>
      <c r="H1767" t="s">
        <v>41</v>
      </c>
      <c r="I1767" t="s">
        <v>42</v>
      </c>
      <c r="M1767">
        <f>VLOOKUP(H1767,'Stage Order'!$A$2:$B$8,2,FALSE)</f>
        <v>2</v>
      </c>
      <c r="N1767" t="str">
        <f t="shared" si="54"/>
        <v>2. 1-24 hours</v>
      </c>
      <c r="O1767" t="str">
        <f t="shared" si="55"/>
        <v>2025-06</v>
      </c>
    </row>
    <row r="1768" spans="1:15" x14ac:dyDescent="0.3">
      <c r="A1768" t="s">
        <v>4189</v>
      </c>
      <c r="B1768" t="s">
        <v>4190</v>
      </c>
      <c r="C1768" t="s">
        <v>53</v>
      </c>
      <c r="D1768" t="s">
        <v>77</v>
      </c>
      <c r="E1768" t="s">
        <v>90</v>
      </c>
      <c r="F1768" t="s">
        <v>91</v>
      </c>
      <c r="G1768">
        <v>2.95</v>
      </c>
      <c r="H1768" t="s">
        <v>41</v>
      </c>
      <c r="I1768" t="s">
        <v>42</v>
      </c>
      <c r="M1768">
        <f>VLOOKUP(H1768,'Stage Order'!$A$2:$B$8,2,FALSE)</f>
        <v>2</v>
      </c>
      <c r="N1768" t="str">
        <f t="shared" si="54"/>
        <v>2. 1-24 hours</v>
      </c>
      <c r="O1768" t="str">
        <f t="shared" si="55"/>
        <v>2026-04</v>
      </c>
    </row>
    <row r="1769" spans="1:15" x14ac:dyDescent="0.3">
      <c r="A1769" t="s">
        <v>4191</v>
      </c>
      <c r="B1769" t="s">
        <v>4192</v>
      </c>
      <c r="C1769" t="s">
        <v>125</v>
      </c>
      <c r="D1769" t="s">
        <v>77</v>
      </c>
      <c r="E1769" t="s">
        <v>45</v>
      </c>
      <c r="F1769" t="s">
        <v>46</v>
      </c>
      <c r="G1769">
        <v>0.55000000000000004</v>
      </c>
      <c r="H1769" t="s">
        <v>41</v>
      </c>
      <c r="I1769" t="s">
        <v>42</v>
      </c>
      <c r="M1769">
        <f>VLOOKUP(H1769,'Stage Order'!$A$2:$B$8,2,FALSE)</f>
        <v>2</v>
      </c>
      <c r="N1769" t="str">
        <f t="shared" si="54"/>
        <v>1. Under 1 hour</v>
      </c>
      <c r="O1769" t="str">
        <f t="shared" si="55"/>
        <v>2025-05</v>
      </c>
    </row>
    <row r="1770" spans="1:15" x14ac:dyDescent="0.3">
      <c r="A1770" t="s">
        <v>4193</v>
      </c>
      <c r="B1770" t="s">
        <v>4194</v>
      </c>
      <c r="C1770" t="s">
        <v>37</v>
      </c>
      <c r="D1770" t="s">
        <v>54</v>
      </c>
      <c r="E1770" t="s">
        <v>45</v>
      </c>
      <c r="F1770" t="s">
        <v>55</v>
      </c>
      <c r="G1770">
        <v>3.76</v>
      </c>
      <c r="H1770" t="s">
        <v>41</v>
      </c>
      <c r="I1770" t="s">
        <v>42</v>
      </c>
      <c r="M1770">
        <f>VLOOKUP(H1770,'Stage Order'!$A$2:$B$8,2,FALSE)</f>
        <v>2</v>
      </c>
      <c r="N1770" t="str">
        <f t="shared" si="54"/>
        <v>2. 1-24 hours</v>
      </c>
      <c r="O1770" t="str">
        <f t="shared" si="55"/>
        <v>2025-03</v>
      </c>
    </row>
    <row r="1771" spans="1:15" x14ac:dyDescent="0.3">
      <c r="A1771" t="s">
        <v>4195</v>
      </c>
      <c r="B1771" t="s">
        <v>4196</v>
      </c>
      <c r="C1771" t="s">
        <v>28</v>
      </c>
      <c r="D1771" t="s">
        <v>77</v>
      </c>
      <c r="E1771" t="s">
        <v>39</v>
      </c>
      <c r="F1771" t="s">
        <v>66</v>
      </c>
      <c r="G1771">
        <v>9.56</v>
      </c>
      <c r="H1771" t="s">
        <v>61</v>
      </c>
      <c r="I1771" t="s">
        <v>42</v>
      </c>
      <c r="M1771">
        <f>VLOOKUP(H1771,'Stage Order'!$A$2:$B$8,2,FALSE)</f>
        <v>1</v>
      </c>
      <c r="N1771" t="str">
        <f t="shared" si="54"/>
        <v>2. 1-24 hours</v>
      </c>
      <c r="O1771" t="str">
        <f t="shared" si="55"/>
        <v>2026-06</v>
      </c>
    </row>
    <row r="1772" spans="1:15" x14ac:dyDescent="0.3">
      <c r="A1772" t="s">
        <v>4197</v>
      </c>
      <c r="B1772" t="s">
        <v>4198</v>
      </c>
      <c r="C1772" t="s">
        <v>53</v>
      </c>
      <c r="D1772" t="s">
        <v>38</v>
      </c>
      <c r="E1772" t="s">
        <v>45</v>
      </c>
      <c r="F1772" t="s">
        <v>94</v>
      </c>
      <c r="G1772">
        <v>7.81</v>
      </c>
      <c r="H1772" t="s">
        <v>32</v>
      </c>
      <c r="I1772" t="s">
        <v>33</v>
      </c>
      <c r="K1772">
        <v>333.64</v>
      </c>
      <c r="L1772" t="s">
        <v>4199</v>
      </c>
      <c r="M1772">
        <f>VLOOKUP(H1772,'Stage Order'!$A$2:$B$8,2,FALSE)</f>
        <v>7</v>
      </c>
      <c r="N1772" t="str">
        <f t="shared" si="54"/>
        <v>2. 1-24 hours</v>
      </c>
      <c r="O1772" t="str">
        <f t="shared" si="55"/>
        <v>2025-09</v>
      </c>
    </row>
    <row r="1773" spans="1:15" x14ac:dyDescent="0.3">
      <c r="A1773" t="s">
        <v>4200</v>
      </c>
      <c r="B1773" t="s">
        <v>4201</v>
      </c>
      <c r="C1773" t="s">
        <v>28</v>
      </c>
      <c r="D1773" t="s">
        <v>77</v>
      </c>
      <c r="E1773" t="s">
        <v>59</v>
      </c>
      <c r="F1773" t="s">
        <v>60</v>
      </c>
      <c r="G1773">
        <v>4.1500000000000004</v>
      </c>
      <c r="H1773" t="s">
        <v>138</v>
      </c>
      <c r="I1773" t="s">
        <v>48</v>
      </c>
      <c r="J1773" t="s">
        <v>113</v>
      </c>
      <c r="K1773">
        <v>1087.67</v>
      </c>
      <c r="L1773" t="s">
        <v>4202</v>
      </c>
      <c r="M1773">
        <f>VLOOKUP(H1773,'Stage Order'!$A$2:$B$8,2,FALSE)</f>
        <v>6</v>
      </c>
      <c r="N1773" t="str">
        <f t="shared" si="54"/>
        <v>2. 1-24 hours</v>
      </c>
      <c r="O1773" t="str">
        <f t="shared" si="55"/>
        <v>2025-06</v>
      </c>
    </row>
    <row r="1774" spans="1:15" x14ac:dyDescent="0.3">
      <c r="A1774" t="s">
        <v>4203</v>
      </c>
      <c r="B1774" t="s">
        <v>4204</v>
      </c>
      <c r="C1774" t="s">
        <v>53</v>
      </c>
      <c r="D1774" t="s">
        <v>29</v>
      </c>
      <c r="E1774" t="s">
        <v>59</v>
      </c>
      <c r="F1774" t="s">
        <v>60</v>
      </c>
      <c r="G1774">
        <v>3.57</v>
      </c>
      <c r="H1774" t="s">
        <v>32</v>
      </c>
      <c r="I1774" t="s">
        <v>33</v>
      </c>
      <c r="K1774">
        <v>621.95000000000005</v>
      </c>
      <c r="L1774" t="s">
        <v>4205</v>
      </c>
      <c r="M1774">
        <f>VLOOKUP(H1774,'Stage Order'!$A$2:$B$8,2,FALSE)</f>
        <v>7</v>
      </c>
      <c r="N1774" t="str">
        <f t="shared" si="54"/>
        <v>2. 1-24 hours</v>
      </c>
      <c r="O1774" t="str">
        <f t="shared" si="55"/>
        <v>2025-09</v>
      </c>
    </row>
    <row r="1775" spans="1:15" x14ac:dyDescent="0.3">
      <c r="A1775" t="s">
        <v>4206</v>
      </c>
      <c r="B1775" t="s">
        <v>4207</v>
      </c>
      <c r="C1775" t="s">
        <v>37</v>
      </c>
      <c r="D1775" t="s">
        <v>54</v>
      </c>
      <c r="E1775" t="s">
        <v>45</v>
      </c>
      <c r="F1775" t="s">
        <v>55</v>
      </c>
      <c r="G1775">
        <v>6.81</v>
      </c>
      <c r="H1775" t="s">
        <v>61</v>
      </c>
      <c r="I1775" t="s">
        <v>42</v>
      </c>
      <c r="M1775">
        <f>VLOOKUP(H1775,'Stage Order'!$A$2:$B$8,2,FALSE)</f>
        <v>1</v>
      </c>
      <c r="N1775" t="str">
        <f t="shared" si="54"/>
        <v>2. 1-24 hours</v>
      </c>
      <c r="O1775" t="str">
        <f t="shared" si="55"/>
        <v>2025-01</v>
      </c>
    </row>
    <row r="1776" spans="1:15" x14ac:dyDescent="0.3">
      <c r="A1776" t="s">
        <v>4208</v>
      </c>
      <c r="B1776" t="s">
        <v>4209</v>
      </c>
      <c r="C1776" t="s">
        <v>125</v>
      </c>
      <c r="D1776" t="s">
        <v>38</v>
      </c>
      <c r="E1776" t="s">
        <v>45</v>
      </c>
      <c r="F1776" t="s">
        <v>94</v>
      </c>
      <c r="G1776">
        <v>0.84</v>
      </c>
      <c r="H1776" t="s">
        <v>138</v>
      </c>
      <c r="I1776" t="s">
        <v>48</v>
      </c>
      <c r="J1776" t="s">
        <v>139</v>
      </c>
      <c r="K1776">
        <v>394.05</v>
      </c>
      <c r="L1776" t="s">
        <v>4210</v>
      </c>
      <c r="M1776">
        <f>VLOOKUP(H1776,'Stage Order'!$A$2:$B$8,2,FALSE)</f>
        <v>6</v>
      </c>
      <c r="N1776" t="str">
        <f t="shared" si="54"/>
        <v>1. Under 1 hour</v>
      </c>
      <c r="O1776" t="str">
        <f t="shared" si="55"/>
        <v>2026-01</v>
      </c>
    </row>
    <row r="1777" spans="1:15" x14ac:dyDescent="0.3">
      <c r="A1777" t="s">
        <v>4211</v>
      </c>
      <c r="B1777" t="s">
        <v>4212</v>
      </c>
      <c r="C1777" t="s">
        <v>37</v>
      </c>
      <c r="D1777" t="s">
        <v>29</v>
      </c>
      <c r="E1777" t="s">
        <v>45</v>
      </c>
      <c r="F1777" t="s">
        <v>55</v>
      </c>
      <c r="G1777">
        <v>3.44</v>
      </c>
      <c r="H1777" t="s">
        <v>32</v>
      </c>
      <c r="I1777" t="s">
        <v>33</v>
      </c>
      <c r="K1777">
        <v>769.03</v>
      </c>
      <c r="L1777" t="s">
        <v>4213</v>
      </c>
      <c r="M1777">
        <f>VLOOKUP(H1777,'Stage Order'!$A$2:$B$8,2,FALSE)</f>
        <v>7</v>
      </c>
      <c r="N1777" t="str">
        <f t="shared" si="54"/>
        <v>2. 1-24 hours</v>
      </c>
      <c r="O1777" t="str">
        <f t="shared" si="55"/>
        <v>2025-07</v>
      </c>
    </row>
    <row r="1778" spans="1:15" x14ac:dyDescent="0.3">
      <c r="A1778" t="s">
        <v>4214</v>
      </c>
      <c r="B1778" t="s">
        <v>4215</v>
      </c>
      <c r="C1778" t="s">
        <v>58</v>
      </c>
      <c r="D1778" t="s">
        <v>54</v>
      </c>
      <c r="E1778" t="s">
        <v>59</v>
      </c>
      <c r="F1778" t="s">
        <v>137</v>
      </c>
      <c r="G1778">
        <v>0.51</v>
      </c>
      <c r="H1778" t="s">
        <v>61</v>
      </c>
      <c r="I1778" t="s">
        <v>42</v>
      </c>
      <c r="M1778">
        <f>VLOOKUP(H1778,'Stage Order'!$A$2:$B$8,2,FALSE)</f>
        <v>1</v>
      </c>
      <c r="N1778" t="str">
        <f t="shared" si="54"/>
        <v>1. Under 1 hour</v>
      </c>
      <c r="O1778" t="str">
        <f t="shared" si="55"/>
        <v>2025-03</v>
      </c>
    </row>
    <row r="1779" spans="1:15" x14ac:dyDescent="0.3">
      <c r="A1779" t="s">
        <v>4216</v>
      </c>
      <c r="B1779" t="s">
        <v>4217</v>
      </c>
      <c r="C1779" t="s">
        <v>76</v>
      </c>
      <c r="D1779" t="s">
        <v>54</v>
      </c>
      <c r="E1779" t="s">
        <v>39</v>
      </c>
      <c r="F1779" t="s">
        <v>106</v>
      </c>
      <c r="G1779">
        <v>1.22</v>
      </c>
      <c r="H1779" t="s">
        <v>32</v>
      </c>
      <c r="I1779" t="s">
        <v>33</v>
      </c>
      <c r="K1779">
        <v>490.08</v>
      </c>
      <c r="L1779" t="s">
        <v>4218</v>
      </c>
      <c r="M1779">
        <f>VLOOKUP(H1779,'Stage Order'!$A$2:$B$8,2,FALSE)</f>
        <v>7</v>
      </c>
      <c r="N1779" t="str">
        <f t="shared" si="54"/>
        <v>2. 1-24 hours</v>
      </c>
      <c r="O1779" t="str">
        <f t="shared" si="55"/>
        <v>2026-05</v>
      </c>
    </row>
    <row r="1780" spans="1:15" x14ac:dyDescent="0.3">
      <c r="A1780" t="s">
        <v>4219</v>
      </c>
      <c r="B1780" t="s">
        <v>4220</v>
      </c>
      <c r="C1780" t="s">
        <v>58</v>
      </c>
      <c r="D1780" t="s">
        <v>29</v>
      </c>
      <c r="E1780" t="s">
        <v>45</v>
      </c>
      <c r="F1780" t="s">
        <v>94</v>
      </c>
      <c r="G1780">
        <v>3.9</v>
      </c>
      <c r="H1780" t="s">
        <v>41</v>
      </c>
      <c r="I1780" t="s">
        <v>42</v>
      </c>
      <c r="M1780">
        <f>VLOOKUP(H1780,'Stage Order'!$A$2:$B$8,2,FALSE)</f>
        <v>2</v>
      </c>
      <c r="N1780" t="str">
        <f t="shared" si="54"/>
        <v>2. 1-24 hours</v>
      </c>
      <c r="O1780" t="str">
        <f t="shared" si="55"/>
        <v>2026-05</v>
      </c>
    </row>
    <row r="1781" spans="1:15" x14ac:dyDescent="0.3">
      <c r="A1781" t="s">
        <v>4221</v>
      </c>
      <c r="B1781" t="s">
        <v>4222</v>
      </c>
      <c r="C1781" t="s">
        <v>37</v>
      </c>
      <c r="D1781" t="s">
        <v>38</v>
      </c>
      <c r="E1781" t="s">
        <v>45</v>
      </c>
      <c r="F1781" t="s">
        <v>46</v>
      </c>
      <c r="G1781">
        <v>10.67</v>
      </c>
      <c r="H1781" t="s">
        <v>41</v>
      </c>
      <c r="I1781" t="s">
        <v>42</v>
      </c>
      <c r="M1781">
        <f>VLOOKUP(H1781,'Stage Order'!$A$2:$B$8,2,FALSE)</f>
        <v>2</v>
      </c>
      <c r="N1781" t="str">
        <f t="shared" si="54"/>
        <v>2. 1-24 hours</v>
      </c>
      <c r="O1781" t="str">
        <f t="shared" si="55"/>
        <v>2026-04</v>
      </c>
    </row>
    <row r="1782" spans="1:15" x14ac:dyDescent="0.3">
      <c r="A1782" t="s">
        <v>4223</v>
      </c>
      <c r="B1782" t="s">
        <v>4224</v>
      </c>
      <c r="C1782" t="s">
        <v>28</v>
      </c>
      <c r="D1782" t="s">
        <v>54</v>
      </c>
      <c r="E1782" t="s">
        <v>90</v>
      </c>
      <c r="F1782" t="s">
        <v>145</v>
      </c>
      <c r="G1782">
        <v>10.31</v>
      </c>
      <c r="H1782" t="s">
        <v>61</v>
      </c>
      <c r="I1782" t="s">
        <v>42</v>
      </c>
      <c r="M1782">
        <f>VLOOKUP(H1782,'Stage Order'!$A$2:$B$8,2,FALSE)</f>
        <v>1</v>
      </c>
      <c r="N1782" t="str">
        <f t="shared" si="54"/>
        <v>2. 1-24 hours</v>
      </c>
      <c r="O1782" t="str">
        <f t="shared" si="55"/>
        <v>2025-11</v>
      </c>
    </row>
    <row r="1783" spans="1:15" x14ac:dyDescent="0.3">
      <c r="A1783" t="s">
        <v>4225</v>
      </c>
      <c r="B1783" t="s">
        <v>4226</v>
      </c>
      <c r="C1783" t="s">
        <v>58</v>
      </c>
      <c r="D1783" t="s">
        <v>77</v>
      </c>
      <c r="E1783" t="s">
        <v>90</v>
      </c>
      <c r="F1783" t="s">
        <v>112</v>
      </c>
      <c r="G1783">
        <v>5.51</v>
      </c>
      <c r="H1783" t="s">
        <v>41</v>
      </c>
      <c r="I1783" t="s">
        <v>42</v>
      </c>
      <c r="M1783">
        <f>VLOOKUP(H1783,'Stage Order'!$A$2:$B$8,2,FALSE)</f>
        <v>2</v>
      </c>
      <c r="N1783" t="str">
        <f t="shared" si="54"/>
        <v>2. 1-24 hours</v>
      </c>
      <c r="O1783" t="str">
        <f t="shared" si="55"/>
        <v>2025-02</v>
      </c>
    </row>
    <row r="1784" spans="1:15" x14ac:dyDescent="0.3">
      <c r="A1784" t="s">
        <v>4227</v>
      </c>
      <c r="B1784" t="s">
        <v>4228</v>
      </c>
      <c r="C1784" t="s">
        <v>28</v>
      </c>
      <c r="D1784" t="s">
        <v>38</v>
      </c>
      <c r="E1784" t="s">
        <v>45</v>
      </c>
      <c r="F1784" t="s">
        <v>94</v>
      </c>
      <c r="G1784">
        <v>2.76</v>
      </c>
      <c r="H1784" t="s">
        <v>41</v>
      </c>
      <c r="I1784" t="s">
        <v>42</v>
      </c>
      <c r="M1784">
        <f>VLOOKUP(H1784,'Stage Order'!$A$2:$B$8,2,FALSE)</f>
        <v>2</v>
      </c>
      <c r="N1784" t="str">
        <f t="shared" si="54"/>
        <v>2. 1-24 hours</v>
      </c>
      <c r="O1784" t="str">
        <f t="shared" si="55"/>
        <v>2025-09</v>
      </c>
    </row>
    <row r="1785" spans="1:15" x14ac:dyDescent="0.3">
      <c r="A1785" t="s">
        <v>4229</v>
      </c>
      <c r="B1785" t="s">
        <v>4230</v>
      </c>
      <c r="C1785" t="s">
        <v>58</v>
      </c>
      <c r="D1785" t="s">
        <v>77</v>
      </c>
      <c r="E1785" t="s">
        <v>59</v>
      </c>
      <c r="F1785" t="s">
        <v>117</v>
      </c>
      <c r="G1785">
        <v>1.33</v>
      </c>
      <c r="H1785" t="s">
        <v>41</v>
      </c>
      <c r="I1785" t="s">
        <v>42</v>
      </c>
      <c r="M1785">
        <f>VLOOKUP(H1785,'Stage Order'!$A$2:$B$8,2,FALSE)</f>
        <v>2</v>
      </c>
      <c r="N1785" t="str">
        <f t="shared" si="54"/>
        <v>2. 1-24 hours</v>
      </c>
      <c r="O1785" t="str">
        <f t="shared" si="55"/>
        <v>2025-10</v>
      </c>
    </row>
    <row r="1786" spans="1:15" x14ac:dyDescent="0.3">
      <c r="A1786" t="s">
        <v>4231</v>
      </c>
      <c r="B1786" t="s">
        <v>4232</v>
      </c>
      <c r="C1786" t="s">
        <v>81</v>
      </c>
      <c r="D1786" t="s">
        <v>77</v>
      </c>
      <c r="E1786" t="s">
        <v>39</v>
      </c>
      <c r="F1786" t="s">
        <v>40</v>
      </c>
      <c r="G1786">
        <v>0.16</v>
      </c>
      <c r="H1786" t="s">
        <v>146</v>
      </c>
      <c r="I1786" t="s">
        <v>48</v>
      </c>
      <c r="J1786" t="s">
        <v>98</v>
      </c>
      <c r="K1786">
        <v>1104.8900000000001</v>
      </c>
      <c r="L1786" t="s">
        <v>4233</v>
      </c>
      <c r="M1786">
        <f>VLOOKUP(H1786,'Stage Order'!$A$2:$B$8,2,FALSE)</f>
        <v>5</v>
      </c>
      <c r="N1786" t="str">
        <f t="shared" si="54"/>
        <v>1. Under 1 hour</v>
      </c>
      <c r="O1786" t="str">
        <f t="shared" si="55"/>
        <v>2025-01</v>
      </c>
    </row>
    <row r="1787" spans="1:15" x14ac:dyDescent="0.3">
      <c r="A1787" t="s">
        <v>4234</v>
      </c>
      <c r="B1787" t="s">
        <v>4235</v>
      </c>
      <c r="C1787" t="s">
        <v>37</v>
      </c>
      <c r="D1787" t="s">
        <v>77</v>
      </c>
      <c r="E1787" t="s">
        <v>90</v>
      </c>
      <c r="F1787" t="s">
        <v>145</v>
      </c>
      <c r="G1787">
        <v>4.2699999999999996</v>
      </c>
      <c r="H1787" t="s">
        <v>41</v>
      </c>
      <c r="I1787" t="s">
        <v>42</v>
      </c>
      <c r="M1787">
        <f>VLOOKUP(H1787,'Stage Order'!$A$2:$B$8,2,FALSE)</f>
        <v>2</v>
      </c>
      <c r="N1787" t="str">
        <f t="shared" si="54"/>
        <v>2. 1-24 hours</v>
      </c>
      <c r="O1787" t="str">
        <f t="shared" si="55"/>
        <v>2025-02</v>
      </c>
    </row>
    <row r="1788" spans="1:15" x14ac:dyDescent="0.3">
      <c r="A1788" t="s">
        <v>4236</v>
      </c>
      <c r="B1788" t="s">
        <v>4237</v>
      </c>
      <c r="C1788" t="s">
        <v>125</v>
      </c>
      <c r="D1788" t="s">
        <v>54</v>
      </c>
      <c r="E1788" t="s">
        <v>45</v>
      </c>
      <c r="F1788" t="s">
        <v>46</v>
      </c>
      <c r="G1788">
        <v>2.6</v>
      </c>
      <c r="H1788" t="s">
        <v>41</v>
      </c>
      <c r="I1788" t="s">
        <v>42</v>
      </c>
      <c r="M1788">
        <f>VLOOKUP(H1788,'Stage Order'!$A$2:$B$8,2,FALSE)</f>
        <v>2</v>
      </c>
      <c r="N1788" t="str">
        <f t="shared" si="54"/>
        <v>2. 1-24 hours</v>
      </c>
      <c r="O1788" t="str">
        <f t="shared" si="55"/>
        <v>2026-03</v>
      </c>
    </row>
    <row r="1789" spans="1:15" x14ac:dyDescent="0.3">
      <c r="A1789" t="s">
        <v>4238</v>
      </c>
      <c r="B1789" t="s">
        <v>4239</v>
      </c>
      <c r="C1789" t="s">
        <v>37</v>
      </c>
      <c r="D1789" t="s">
        <v>54</v>
      </c>
      <c r="E1789" t="s">
        <v>39</v>
      </c>
      <c r="F1789" t="s">
        <v>106</v>
      </c>
      <c r="G1789">
        <v>12.63</v>
      </c>
      <c r="H1789" t="s">
        <v>47</v>
      </c>
      <c r="I1789" t="s">
        <v>48</v>
      </c>
      <c r="J1789" t="s">
        <v>49</v>
      </c>
      <c r="K1789">
        <v>534.74</v>
      </c>
      <c r="L1789" t="s">
        <v>4240</v>
      </c>
      <c r="M1789">
        <f>VLOOKUP(H1789,'Stage Order'!$A$2:$B$8,2,FALSE)</f>
        <v>4</v>
      </c>
      <c r="N1789" t="str">
        <f t="shared" si="54"/>
        <v>2. 1-24 hours</v>
      </c>
      <c r="O1789" t="str">
        <f t="shared" si="55"/>
        <v>2025-08</v>
      </c>
    </row>
    <row r="1790" spans="1:15" x14ac:dyDescent="0.3">
      <c r="A1790" t="s">
        <v>4241</v>
      </c>
      <c r="B1790" t="s">
        <v>4242</v>
      </c>
      <c r="C1790" t="s">
        <v>37</v>
      </c>
      <c r="D1790" t="s">
        <v>29</v>
      </c>
      <c r="E1790" t="s">
        <v>90</v>
      </c>
      <c r="F1790" t="s">
        <v>145</v>
      </c>
      <c r="G1790">
        <v>2.76</v>
      </c>
      <c r="H1790" t="s">
        <v>128</v>
      </c>
      <c r="I1790" t="s">
        <v>42</v>
      </c>
      <c r="M1790">
        <f>VLOOKUP(H1790,'Stage Order'!$A$2:$B$8,2,FALSE)</f>
        <v>3</v>
      </c>
      <c r="N1790" t="str">
        <f t="shared" si="54"/>
        <v>2. 1-24 hours</v>
      </c>
      <c r="O1790" t="str">
        <f t="shared" si="55"/>
        <v>2025-06</v>
      </c>
    </row>
    <row r="1791" spans="1:15" x14ac:dyDescent="0.3">
      <c r="A1791" t="s">
        <v>4243</v>
      </c>
      <c r="B1791" t="s">
        <v>4244</v>
      </c>
      <c r="C1791" t="s">
        <v>37</v>
      </c>
      <c r="D1791" t="s">
        <v>29</v>
      </c>
      <c r="E1791" t="s">
        <v>45</v>
      </c>
      <c r="F1791" t="s">
        <v>46</v>
      </c>
      <c r="G1791">
        <v>1.61</v>
      </c>
      <c r="H1791" t="s">
        <v>41</v>
      </c>
      <c r="I1791" t="s">
        <v>42</v>
      </c>
      <c r="M1791">
        <f>VLOOKUP(H1791,'Stage Order'!$A$2:$B$8,2,FALSE)</f>
        <v>2</v>
      </c>
      <c r="N1791" t="str">
        <f t="shared" si="54"/>
        <v>2. 1-24 hours</v>
      </c>
      <c r="O1791" t="str">
        <f t="shared" si="55"/>
        <v>2025-07</v>
      </c>
    </row>
    <row r="1792" spans="1:15" x14ac:dyDescent="0.3">
      <c r="A1792" t="s">
        <v>4245</v>
      </c>
      <c r="B1792" t="s">
        <v>4246</v>
      </c>
      <c r="C1792" t="s">
        <v>125</v>
      </c>
      <c r="D1792" t="s">
        <v>77</v>
      </c>
      <c r="E1792" t="s">
        <v>59</v>
      </c>
      <c r="F1792" t="s">
        <v>60</v>
      </c>
      <c r="G1792">
        <v>5.22</v>
      </c>
      <c r="H1792" t="s">
        <v>61</v>
      </c>
      <c r="I1792" t="s">
        <v>42</v>
      </c>
      <c r="M1792">
        <f>VLOOKUP(H1792,'Stage Order'!$A$2:$B$8,2,FALSE)</f>
        <v>1</v>
      </c>
      <c r="N1792" t="str">
        <f t="shared" si="54"/>
        <v>2. 1-24 hours</v>
      </c>
      <c r="O1792" t="str">
        <f t="shared" si="55"/>
        <v>2026-01</v>
      </c>
    </row>
    <row r="1793" spans="1:15" x14ac:dyDescent="0.3">
      <c r="A1793" t="s">
        <v>4247</v>
      </c>
      <c r="B1793" t="s">
        <v>4248</v>
      </c>
      <c r="C1793" t="s">
        <v>53</v>
      </c>
      <c r="D1793" t="s">
        <v>29</v>
      </c>
      <c r="E1793" t="s">
        <v>90</v>
      </c>
      <c r="F1793" t="s">
        <v>145</v>
      </c>
      <c r="G1793">
        <v>1.46</v>
      </c>
      <c r="H1793" t="s">
        <v>41</v>
      </c>
      <c r="I1793" t="s">
        <v>42</v>
      </c>
      <c r="M1793">
        <f>VLOOKUP(H1793,'Stage Order'!$A$2:$B$8,2,FALSE)</f>
        <v>2</v>
      </c>
      <c r="N1793" t="str">
        <f t="shared" si="54"/>
        <v>2. 1-24 hours</v>
      </c>
      <c r="O1793" t="str">
        <f t="shared" si="55"/>
        <v>2025-10</v>
      </c>
    </row>
    <row r="1794" spans="1:15" x14ac:dyDescent="0.3">
      <c r="A1794" t="s">
        <v>4249</v>
      </c>
      <c r="B1794" t="s">
        <v>4250</v>
      </c>
      <c r="C1794" t="s">
        <v>81</v>
      </c>
      <c r="D1794" t="s">
        <v>77</v>
      </c>
      <c r="E1794" t="s">
        <v>45</v>
      </c>
      <c r="F1794" t="s">
        <v>46</v>
      </c>
      <c r="G1794">
        <v>2.67</v>
      </c>
      <c r="H1794" t="s">
        <v>41</v>
      </c>
      <c r="I1794" t="s">
        <v>42</v>
      </c>
      <c r="M1794">
        <f>VLOOKUP(H1794,'Stage Order'!$A$2:$B$8,2,FALSE)</f>
        <v>2</v>
      </c>
      <c r="N1794" t="str">
        <f t="shared" ref="N1794:N1857" si="56">IF(G1794&lt;=1,"1. Under 1 hour",IF(G1794&lt;=24,"2. 1-24 hours",IF(G1794&lt;=72,"3. 1-3 days","4. Over 3 days")))</f>
        <v>2. 1-24 hours</v>
      </c>
      <c r="O1794" t="str">
        <f t="shared" ref="O1794:O1857" si="57">TEXT(B1794,"YYYY-MM")</f>
        <v>2026-01</v>
      </c>
    </row>
    <row r="1795" spans="1:15" x14ac:dyDescent="0.3">
      <c r="A1795" t="s">
        <v>4251</v>
      </c>
      <c r="B1795" t="s">
        <v>4252</v>
      </c>
      <c r="C1795" t="s">
        <v>28</v>
      </c>
      <c r="D1795" t="s">
        <v>54</v>
      </c>
      <c r="E1795" t="s">
        <v>45</v>
      </c>
      <c r="F1795" t="s">
        <v>94</v>
      </c>
      <c r="G1795">
        <v>2.13</v>
      </c>
      <c r="H1795" t="s">
        <v>41</v>
      </c>
      <c r="I1795" t="s">
        <v>42</v>
      </c>
      <c r="M1795">
        <f>VLOOKUP(H1795,'Stage Order'!$A$2:$B$8,2,FALSE)</f>
        <v>2</v>
      </c>
      <c r="N1795" t="str">
        <f t="shared" si="56"/>
        <v>2. 1-24 hours</v>
      </c>
      <c r="O1795" t="str">
        <f t="shared" si="57"/>
        <v>2026-06</v>
      </c>
    </row>
    <row r="1796" spans="1:15" x14ac:dyDescent="0.3">
      <c r="A1796" t="s">
        <v>4253</v>
      </c>
      <c r="B1796" t="s">
        <v>4254</v>
      </c>
      <c r="C1796" t="s">
        <v>58</v>
      </c>
      <c r="D1796" t="s">
        <v>54</v>
      </c>
      <c r="E1796" t="s">
        <v>59</v>
      </c>
      <c r="F1796" t="s">
        <v>117</v>
      </c>
      <c r="G1796">
        <v>0.52</v>
      </c>
      <c r="H1796" t="s">
        <v>61</v>
      </c>
      <c r="I1796" t="s">
        <v>42</v>
      </c>
      <c r="M1796">
        <f>VLOOKUP(H1796,'Stage Order'!$A$2:$B$8,2,FALSE)</f>
        <v>1</v>
      </c>
      <c r="N1796" t="str">
        <f t="shared" si="56"/>
        <v>1. Under 1 hour</v>
      </c>
      <c r="O1796" t="str">
        <f t="shared" si="57"/>
        <v>2025-03</v>
      </c>
    </row>
    <row r="1797" spans="1:15" x14ac:dyDescent="0.3">
      <c r="A1797" t="s">
        <v>4255</v>
      </c>
      <c r="B1797" t="s">
        <v>4256</v>
      </c>
      <c r="C1797" t="s">
        <v>28</v>
      </c>
      <c r="D1797" t="s">
        <v>29</v>
      </c>
      <c r="E1797" t="s">
        <v>90</v>
      </c>
      <c r="F1797" t="s">
        <v>112</v>
      </c>
      <c r="G1797">
        <v>3.01</v>
      </c>
      <c r="H1797" t="s">
        <v>47</v>
      </c>
      <c r="I1797" t="s">
        <v>48</v>
      </c>
      <c r="J1797" t="s">
        <v>139</v>
      </c>
      <c r="K1797">
        <v>537.05999999999995</v>
      </c>
      <c r="L1797" t="s">
        <v>4257</v>
      </c>
      <c r="M1797">
        <f>VLOOKUP(H1797,'Stage Order'!$A$2:$B$8,2,FALSE)</f>
        <v>4</v>
      </c>
      <c r="N1797" t="str">
        <f t="shared" si="56"/>
        <v>2. 1-24 hours</v>
      </c>
      <c r="O1797" t="str">
        <f t="shared" si="57"/>
        <v>2025-10</v>
      </c>
    </row>
    <row r="1798" spans="1:15" x14ac:dyDescent="0.3">
      <c r="A1798" t="s">
        <v>4258</v>
      </c>
      <c r="B1798" t="s">
        <v>4259</v>
      </c>
      <c r="C1798" t="s">
        <v>37</v>
      </c>
      <c r="D1798" t="s">
        <v>77</v>
      </c>
      <c r="E1798" t="s">
        <v>90</v>
      </c>
      <c r="F1798" t="s">
        <v>91</v>
      </c>
      <c r="G1798">
        <v>2.2799999999999998</v>
      </c>
      <c r="H1798" t="s">
        <v>41</v>
      </c>
      <c r="I1798" t="s">
        <v>42</v>
      </c>
      <c r="M1798">
        <f>VLOOKUP(H1798,'Stage Order'!$A$2:$B$8,2,FALSE)</f>
        <v>2</v>
      </c>
      <c r="N1798" t="str">
        <f t="shared" si="56"/>
        <v>2. 1-24 hours</v>
      </c>
      <c r="O1798" t="str">
        <f t="shared" si="57"/>
        <v>2025-11</v>
      </c>
    </row>
    <row r="1799" spans="1:15" x14ac:dyDescent="0.3">
      <c r="A1799" t="s">
        <v>4260</v>
      </c>
      <c r="B1799" t="s">
        <v>4261</v>
      </c>
      <c r="C1799" t="s">
        <v>58</v>
      </c>
      <c r="D1799" t="s">
        <v>77</v>
      </c>
      <c r="E1799" t="s">
        <v>45</v>
      </c>
      <c r="F1799" t="s">
        <v>94</v>
      </c>
      <c r="G1799">
        <v>0.6</v>
      </c>
      <c r="H1799" t="s">
        <v>32</v>
      </c>
      <c r="I1799" t="s">
        <v>33</v>
      </c>
      <c r="K1799">
        <v>981.4</v>
      </c>
      <c r="L1799" t="s">
        <v>4262</v>
      </c>
      <c r="M1799">
        <f>VLOOKUP(H1799,'Stage Order'!$A$2:$B$8,2,FALSE)</f>
        <v>7</v>
      </c>
      <c r="N1799" t="str">
        <f t="shared" si="56"/>
        <v>1. Under 1 hour</v>
      </c>
      <c r="O1799" t="str">
        <f t="shared" si="57"/>
        <v>2025-10</v>
      </c>
    </row>
    <row r="1800" spans="1:15" x14ac:dyDescent="0.3">
      <c r="A1800" t="s">
        <v>4263</v>
      </c>
      <c r="B1800" t="s">
        <v>4264</v>
      </c>
      <c r="C1800" t="s">
        <v>58</v>
      </c>
      <c r="D1800" t="s">
        <v>29</v>
      </c>
      <c r="E1800" t="s">
        <v>59</v>
      </c>
      <c r="F1800" t="s">
        <v>117</v>
      </c>
      <c r="G1800">
        <v>4.8499999999999996</v>
      </c>
      <c r="H1800" t="s">
        <v>47</v>
      </c>
      <c r="I1800" t="s">
        <v>48</v>
      </c>
      <c r="J1800" t="s">
        <v>742</v>
      </c>
      <c r="K1800">
        <v>729.22</v>
      </c>
      <c r="L1800" t="s">
        <v>4265</v>
      </c>
      <c r="M1800">
        <f>VLOOKUP(H1800,'Stage Order'!$A$2:$B$8,2,FALSE)</f>
        <v>4</v>
      </c>
      <c r="N1800" t="str">
        <f t="shared" si="56"/>
        <v>2. 1-24 hours</v>
      </c>
      <c r="O1800" t="str">
        <f t="shared" si="57"/>
        <v>2026-01</v>
      </c>
    </row>
    <row r="1801" spans="1:15" x14ac:dyDescent="0.3">
      <c r="A1801" t="s">
        <v>4266</v>
      </c>
      <c r="B1801" t="s">
        <v>4267</v>
      </c>
      <c r="C1801" t="s">
        <v>58</v>
      </c>
      <c r="D1801" t="s">
        <v>77</v>
      </c>
      <c r="E1801" t="s">
        <v>59</v>
      </c>
      <c r="F1801" t="s">
        <v>137</v>
      </c>
      <c r="G1801">
        <v>2.72</v>
      </c>
      <c r="H1801" t="s">
        <v>61</v>
      </c>
      <c r="I1801" t="s">
        <v>42</v>
      </c>
      <c r="M1801">
        <f>VLOOKUP(H1801,'Stage Order'!$A$2:$B$8,2,FALSE)</f>
        <v>1</v>
      </c>
      <c r="N1801" t="str">
        <f t="shared" si="56"/>
        <v>2. 1-24 hours</v>
      </c>
      <c r="O1801" t="str">
        <f t="shared" si="57"/>
        <v>2025-03</v>
      </c>
    </row>
    <row r="1802" spans="1:15" x14ac:dyDescent="0.3">
      <c r="A1802" t="s">
        <v>4268</v>
      </c>
      <c r="B1802" t="s">
        <v>4269</v>
      </c>
      <c r="C1802" t="s">
        <v>28</v>
      </c>
      <c r="D1802" t="s">
        <v>77</v>
      </c>
      <c r="E1802" t="s">
        <v>39</v>
      </c>
      <c r="F1802" t="s">
        <v>106</v>
      </c>
      <c r="G1802">
        <v>0.22</v>
      </c>
      <c r="H1802" t="s">
        <v>32</v>
      </c>
      <c r="I1802" t="s">
        <v>33</v>
      </c>
      <c r="K1802">
        <v>842.8</v>
      </c>
      <c r="L1802" t="s">
        <v>4270</v>
      </c>
      <c r="M1802">
        <f>VLOOKUP(H1802,'Stage Order'!$A$2:$B$8,2,FALSE)</f>
        <v>7</v>
      </c>
      <c r="N1802" t="str">
        <f t="shared" si="56"/>
        <v>1. Under 1 hour</v>
      </c>
      <c r="O1802" t="str">
        <f t="shared" si="57"/>
        <v>2026-05</v>
      </c>
    </row>
    <row r="1803" spans="1:15" x14ac:dyDescent="0.3">
      <c r="A1803" t="s">
        <v>4271</v>
      </c>
      <c r="B1803" t="s">
        <v>4272</v>
      </c>
      <c r="C1803" t="s">
        <v>53</v>
      </c>
      <c r="D1803" t="s">
        <v>77</v>
      </c>
      <c r="E1803" t="s">
        <v>90</v>
      </c>
      <c r="F1803" t="s">
        <v>112</v>
      </c>
      <c r="G1803">
        <v>2.21</v>
      </c>
      <c r="H1803" t="s">
        <v>41</v>
      </c>
      <c r="I1803" t="s">
        <v>42</v>
      </c>
      <c r="M1803">
        <f>VLOOKUP(H1803,'Stage Order'!$A$2:$B$8,2,FALSE)</f>
        <v>2</v>
      </c>
      <c r="N1803" t="str">
        <f t="shared" si="56"/>
        <v>2. 1-24 hours</v>
      </c>
      <c r="O1803" t="str">
        <f t="shared" si="57"/>
        <v>2025-09</v>
      </c>
    </row>
    <row r="1804" spans="1:15" x14ac:dyDescent="0.3">
      <c r="A1804" t="s">
        <v>4273</v>
      </c>
      <c r="B1804" t="s">
        <v>4274</v>
      </c>
      <c r="C1804" t="s">
        <v>76</v>
      </c>
      <c r="D1804" t="s">
        <v>29</v>
      </c>
      <c r="E1804" t="s">
        <v>90</v>
      </c>
      <c r="F1804" t="s">
        <v>145</v>
      </c>
      <c r="G1804">
        <v>8.61</v>
      </c>
      <c r="H1804" t="s">
        <v>61</v>
      </c>
      <c r="I1804" t="s">
        <v>42</v>
      </c>
      <c r="M1804">
        <f>VLOOKUP(H1804,'Stage Order'!$A$2:$B$8,2,FALSE)</f>
        <v>1</v>
      </c>
      <c r="N1804" t="str">
        <f t="shared" si="56"/>
        <v>2. 1-24 hours</v>
      </c>
      <c r="O1804" t="str">
        <f t="shared" si="57"/>
        <v>2025-05</v>
      </c>
    </row>
    <row r="1805" spans="1:15" x14ac:dyDescent="0.3">
      <c r="A1805" t="s">
        <v>4275</v>
      </c>
      <c r="B1805" t="s">
        <v>4276</v>
      </c>
      <c r="C1805" t="s">
        <v>53</v>
      </c>
      <c r="D1805" t="s">
        <v>29</v>
      </c>
      <c r="E1805" t="s">
        <v>45</v>
      </c>
      <c r="F1805" t="s">
        <v>94</v>
      </c>
      <c r="G1805">
        <v>8.6199999999999992</v>
      </c>
      <c r="H1805" t="s">
        <v>41</v>
      </c>
      <c r="I1805" t="s">
        <v>42</v>
      </c>
      <c r="M1805">
        <f>VLOOKUP(H1805,'Stage Order'!$A$2:$B$8,2,FALSE)</f>
        <v>2</v>
      </c>
      <c r="N1805" t="str">
        <f t="shared" si="56"/>
        <v>2. 1-24 hours</v>
      </c>
      <c r="O1805" t="str">
        <f t="shared" si="57"/>
        <v>2026-03</v>
      </c>
    </row>
    <row r="1806" spans="1:15" x14ac:dyDescent="0.3">
      <c r="A1806" t="s">
        <v>4277</v>
      </c>
      <c r="B1806" t="s">
        <v>4278</v>
      </c>
      <c r="C1806" t="s">
        <v>76</v>
      </c>
      <c r="D1806" t="s">
        <v>29</v>
      </c>
      <c r="E1806" t="s">
        <v>39</v>
      </c>
      <c r="F1806" t="s">
        <v>66</v>
      </c>
      <c r="G1806">
        <v>0.72</v>
      </c>
      <c r="H1806" t="s">
        <v>146</v>
      </c>
      <c r="I1806" t="s">
        <v>48</v>
      </c>
      <c r="J1806" t="s">
        <v>139</v>
      </c>
      <c r="K1806">
        <v>591.01</v>
      </c>
      <c r="L1806" t="s">
        <v>4279</v>
      </c>
      <c r="M1806">
        <f>VLOOKUP(H1806,'Stage Order'!$A$2:$B$8,2,FALSE)</f>
        <v>5</v>
      </c>
      <c r="N1806" t="str">
        <f t="shared" si="56"/>
        <v>1. Under 1 hour</v>
      </c>
      <c r="O1806" t="str">
        <f t="shared" si="57"/>
        <v>2025-06</v>
      </c>
    </row>
    <row r="1807" spans="1:15" x14ac:dyDescent="0.3">
      <c r="A1807" t="s">
        <v>4280</v>
      </c>
      <c r="B1807" t="s">
        <v>4281</v>
      </c>
      <c r="C1807" t="s">
        <v>28</v>
      </c>
      <c r="D1807" t="s">
        <v>29</v>
      </c>
      <c r="E1807" t="s">
        <v>45</v>
      </c>
      <c r="F1807" t="s">
        <v>46</v>
      </c>
      <c r="G1807">
        <v>1.84</v>
      </c>
      <c r="H1807" t="s">
        <v>41</v>
      </c>
      <c r="I1807" t="s">
        <v>42</v>
      </c>
      <c r="M1807">
        <f>VLOOKUP(H1807,'Stage Order'!$A$2:$B$8,2,FALSE)</f>
        <v>2</v>
      </c>
      <c r="N1807" t="str">
        <f t="shared" si="56"/>
        <v>2. 1-24 hours</v>
      </c>
      <c r="O1807" t="str">
        <f t="shared" si="57"/>
        <v>2026-01</v>
      </c>
    </row>
    <row r="1808" spans="1:15" x14ac:dyDescent="0.3">
      <c r="A1808" t="s">
        <v>4282</v>
      </c>
      <c r="B1808" t="s">
        <v>4283</v>
      </c>
      <c r="C1808" t="s">
        <v>58</v>
      </c>
      <c r="D1808" t="s">
        <v>54</v>
      </c>
      <c r="E1808" t="s">
        <v>39</v>
      </c>
      <c r="F1808" t="s">
        <v>106</v>
      </c>
      <c r="G1808">
        <v>1.35</v>
      </c>
      <c r="H1808" t="s">
        <v>32</v>
      </c>
      <c r="I1808" t="s">
        <v>33</v>
      </c>
      <c r="K1808">
        <v>582.35</v>
      </c>
      <c r="L1808" t="s">
        <v>4284</v>
      </c>
      <c r="M1808">
        <f>VLOOKUP(H1808,'Stage Order'!$A$2:$B$8,2,FALSE)</f>
        <v>7</v>
      </c>
      <c r="N1808" t="str">
        <f t="shared" si="56"/>
        <v>2. 1-24 hours</v>
      </c>
      <c r="O1808" t="str">
        <f t="shared" si="57"/>
        <v>2025-11</v>
      </c>
    </row>
    <row r="1809" spans="1:15" x14ac:dyDescent="0.3">
      <c r="A1809" t="s">
        <v>4285</v>
      </c>
      <c r="B1809" t="s">
        <v>4286</v>
      </c>
      <c r="C1809" t="s">
        <v>28</v>
      </c>
      <c r="D1809" t="s">
        <v>38</v>
      </c>
      <c r="E1809" t="s">
        <v>45</v>
      </c>
      <c r="F1809" t="s">
        <v>46</v>
      </c>
      <c r="G1809">
        <v>2.91</v>
      </c>
      <c r="H1809" t="s">
        <v>32</v>
      </c>
      <c r="I1809" t="s">
        <v>33</v>
      </c>
      <c r="K1809">
        <v>393.47</v>
      </c>
      <c r="L1809" t="s">
        <v>4287</v>
      </c>
      <c r="M1809">
        <f>VLOOKUP(H1809,'Stage Order'!$A$2:$B$8,2,FALSE)</f>
        <v>7</v>
      </c>
      <c r="N1809" t="str">
        <f t="shared" si="56"/>
        <v>2. 1-24 hours</v>
      </c>
      <c r="O1809" t="str">
        <f t="shared" si="57"/>
        <v>2026-06</v>
      </c>
    </row>
    <row r="1810" spans="1:15" x14ac:dyDescent="0.3">
      <c r="A1810" t="s">
        <v>4288</v>
      </c>
      <c r="B1810" t="s">
        <v>4289</v>
      </c>
      <c r="C1810" t="s">
        <v>76</v>
      </c>
      <c r="D1810" t="s">
        <v>77</v>
      </c>
      <c r="E1810" t="s">
        <v>45</v>
      </c>
      <c r="F1810" t="s">
        <v>55</v>
      </c>
      <c r="G1810">
        <v>1.63</v>
      </c>
      <c r="H1810" t="s">
        <v>32</v>
      </c>
      <c r="I1810" t="s">
        <v>33</v>
      </c>
      <c r="K1810">
        <v>1067.43</v>
      </c>
      <c r="L1810" t="s">
        <v>4290</v>
      </c>
      <c r="M1810">
        <f>VLOOKUP(H1810,'Stage Order'!$A$2:$B$8,2,FALSE)</f>
        <v>7</v>
      </c>
      <c r="N1810" t="str">
        <f t="shared" si="56"/>
        <v>2. 1-24 hours</v>
      </c>
      <c r="O1810" t="str">
        <f t="shared" si="57"/>
        <v>2025-10</v>
      </c>
    </row>
    <row r="1811" spans="1:15" x14ac:dyDescent="0.3">
      <c r="A1811" t="s">
        <v>4291</v>
      </c>
      <c r="B1811" t="s">
        <v>4292</v>
      </c>
      <c r="C1811" t="s">
        <v>37</v>
      </c>
      <c r="D1811" t="s">
        <v>29</v>
      </c>
      <c r="E1811" t="s">
        <v>90</v>
      </c>
      <c r="F1811" t="s">
        <v>91</v>
      </c>
      <c r="G1811">
        <v>2.2200000000000002</v>
      </c>
      <c r="H1811" t="s">
        <v>41</v>
      </c>
      <c r="I1811" t="s">
        <v>42</v>
      </c>
      <c r="M1811">
        <f>VLOOKUP(H1811,'Stage Order'!$A$2:$B$8,2,FALSE)</f>
        <v>2</v>
      </c>
      <c r="N1811" t="str">
        <f t="shared" si="56"/>
        <v>2. 1-24 hours</v>
      </c>
      <c r="O1811" t="str">
        <f t="shared" si="57"/>
        <v>2025-02</v>
      </c>
    </row>
    <row r="1812" spans="1:15" x14ac:dyDescent="0.3">
      <c r="A1812" t="s">
        <v>4293</v>
      </c>
      <c r="B1812" t="s">
        <v>4294</v>
      </c>
      <c r="C1812" t="s">
        <v>58</v>
      </c>
      <c r="D1812" t="s">
        <v>29</v>
      </c>
      <c r="E1812" t="s">
        <v>59</v>
      </c>
      <c r="F1812" t="s">
        <v>60</v>
      </c>
      <c r="G1812">
        <v>2.2999999999999998</v>
      </c>
      <c r="H1812" t="s">
        <v>41</v>
      </c>
      <c r="I1812" t="s">
        <v>42</v>
      </c>
      <c r="M1812">
        <f>VLOOKUP(H1812,'Stage Order'!$A$2:$B$8,2,FALSE)</f>
        <v>2</v>
      </c>
      <c r="N1812" t="str">
        <f t="shared" si="56"/>
        <v>2. 1-24 hours</v>
      </c>
      <c r="O1812" t="str">
        <f t="shared" si="57"/>
        <v>2025-01</v>
      </c>
    </row>
    <row r="1813" spans="1:15" x14ac:dyDescent="0.3">
      <c r="A1813" t="s">
        <v>4295</v>
      </c>
      <c r="B1813" t="s">
        <v>4296</v>
      </c>
      <c r="C1813" t="s">
        <v>28</v>
      </c>
      <c r="D1813" t="s">
        <v>54</v>
      </c>
      <c r="E1813" t="s">
        <v>59</v>
      </c>
      <c r="F1813" t="s">
        <v>60</v>
      </c>
      <c r="G1813">
        <v>3.73</v>
      </c>
      <c r="H1813" t="s">
        <v>32</v>
      </c>
      <c r="I1813" t="s">
        <v>33</v>
      </c>
      <c r="K1813">
        <v>589.70000000000005</v>
      </c>
      <c r="L1813" t="s">
        <v>4297</v>
      </c>
      <c r="M1813">
        <f>VLOOKUP(H1813,'Stage Order'!$A$2:$B$8,2,FALSE)</f>
        <v>7</v>
      </c>
      <c r="N1813" t="str">
        <f t="shared" si="56"/>
        <v>2. 1-24 hours</v>
      </c>
      <c r="O1813" t="str">
        <f t="shared" si="57"/>
        <v>2025-05</v>
      </c>
    </row>
    <row r="1814" spans="1:15" x14ac:dyDescent="0.3">
      <c r="A1814" t="s">
        <v>4298</v>
      </c>
      <c r="B1814" t="s">
        <v>4299</v>
      </c>
      <c r="C1814" t="s">
        <v>58</v>
      </c>
      <c r="D1814" t="s">
        <v>29</v>
      </c>
      <c r="E1814" t="s">
        <v>39</v>
      </c>
      <c r="F1814" t="s">
        <v>106</v>
      </c>
      <c r="G1814">
        <v>1.18</v>
      </c>
      <c r="H1814" t="s">
        <v>32</v>
      </c>
      <c r="I1814" t="s">
        <v>33</v>
      </c>
      <c r="K1814">
        <v>722.65</v>
      </c>
      <c r="L1814" t="s">
        <v>4300</v>
      </c>
      <c r="M1814">
        <f>VLOOKUP(H1814,'Stage Order'!$A$2:$B$8,2,FALSE)</f>
        <v>7</v>
      </c>
      <c r="N1814" t="str">
        <f t="shared" si="56"/>
        <v>2. 1-24 hours</v>
      </c>
      <c r="O1814" t="str">
        <f t="shared" si="57"/>
        <v>2025-05</v>
      </c>
    </row>
    <row r="1815" spans="1:15" x14ac:dyDescent="0.3">
      <c r="A1815" t="s">
        <v>4301</v>
      </c>
      <c r="B1815" t="s">
        <v>4302</v>
      </c>
      <c r="C1815" t="s">
        <v>125</v>
      </c>
      <c r="D1815" t="s">
        <v>77</v>
      </c>
      <c r="E1815" t="s">
        <v>45</v>
      </c>
      <c r="F1815" t="s">
        <v>55</v>
      </c>
      <c r="G1815">
        <v>5.09</v>
      </c>
      <c r="H1815" t="s">
        <v>128</v>
      </c>
      <c r="I1815" t="s">
        <v>42</v>
      </c>
      <c r="M1815">
        <f>VLOOKUP(H1815,'Stage Order'!$A$2:$B$8,2,FALSE)</f>
        <v>3</v>
      </c>
      <c r="N1815" t="str">
        <f t="shared" si="56"/>
        <v>2. 1-24 hours</v>
      </c>
      <c r="O1815" t="str">
        <f t="shared" si="57"/>
        <v>2025-09</v>
      </c>
    </row>
    <row r="1816" spans="1:15" x14ac:dyDescent="0.3">
      <c r="A1816" t="s">
        <v>4303</v>
      </c>
      <c r="B1816" t="s">
        <v>4304</v>
      </c>
      <c r="C1816" t="s">
        <v>58</v>
      </c>
      <c r="D1816" t="s">
        <v>38</v>
      </c>
      <c r="E1816" t="s">
        <v>45</v>
      </c>
      <c r="F1816" t="s">
        <v>46</v>
      </c>
      <c r="G1816">
        <v>2.66</v>
      </c>
      <c r="H1816" t="s">
        <v>41</v>
      </c>
      <c r="I1816" t="s">
        <v>42</v>
      </c>
      <c r="M1816">
        <f>VLOOKUP(H1816,'Stage Order'!$A$2:$B$8,2,FALSE)</f>
        <v>2</v>
      </c>
      <c r="N1816" t="str">
        <f t="shared" si="56"/>
        <v>2. 1-24 hours</v>
      </c>
      <c r="O1816" t="str">
        <f t="shared" si="57"/>
        <v>2025-09</v>
      </c>
    </row>
    <row r="1817" spans="1:15" x14ac:dyDescent="0.3">
      <c r="A1817" t="s">
        <v>4305</v>
      </c>
      <c r="B1817" t="s">
        <v>4306</v>
      </c>
      <c r="C1817" t="s">
        <v>125</v>
      </c>
      <c r="D1817" t="s">
        <v>54</v>
      </c>
      <c r="E1817" t="s">
        <v>59</v>
      </c>
      <c r="F1817" t="s">
        <v>117</v>
      </c>
      <c r="G1817">
        <v>2.79</v>
      </c>
      <c r="H1817" t="s">
        <v>41</v>
      </c>
      <c r="I1817" t="s">
        <v>42</v>
      </c>
      <c r="M1817">
        <f>VLOOKUP(H1817,'Stage Order'!$A$2:$B$8,2,FALSE)</f>
        <v>2</v>
      </c>
      <c r="N1817" t="str">
        <f t="shared" si="56"/>
        <v>2. 1-24 hours</v>
      </c>
      <c r="O1817" t="str">
        <f t="shared" si="57"/>
        <v>2025-07</v>
      </c>
    </row>
    <row r="1818" spans="1:15" x14ac:dyDescent="0.3">
      <c r="A1818" t="s">
        <v>4307</v>
      </c>
      <c r="B1818" t="s">
        <v>4308</v>
      </c>
      <c r="C1818" t="s">
        <v>76</v>
      </c>
      <c r="D1818" t="s">
        <v>54</v>
      </c>
      <c r="E1818" t="s">
        <v>90</v>
      </c>
      <c r="F1818" t="s">
        <v>112</v>
      </c>
      <c r="G1818">
        <v>0.74</v>
      </c>
      <c r="H1818" t="s">
        <v>32</v>
      </c>
      <c r="I1818" t="s">
        <v>33</v>
      </c>
      <c r="K1818">
        <v>561.26</v>
      </c>
      <c r="L1818" t="s">
        <v>4309</v>
      </c>
      <c r="M1818">
        <f>VLOOKUP(H1818,'Stage Order'!$A$2:$B$8,2,FALSE)</f>
        <v>7</v>
      </c>
      <c r="N1818" t="str">
        <f t="shared" si="56"/>
        <v>1. Under 1 hour</v>
      </c>
      <c r="O1818" t="str">
        <f t="shared" si="57"/>
        <v>2026-01</v>
      </c>
    </row>
    <row r="1819" spans="1:15" x14ac:dyDescent="0.3">
      <c r="A1819" t="s">
        <v>4310</v>
      </c>
      <c r="B1819" t="s">
        <v>4311</v>
      </c>
      <c r="C1819" t="s">
        <v>125</v>
      </c>
      <c r="D1819" t="s">
        <v>77</v>
      </c>
      <c r="E1819" t="s">
        <v>59</v>
      </c>
      <c r="F1819" t="s">
        <v>117</v>
      </c>
      <c r="G1819">
        <v>0.7</v>
      </c>
      <c r="H1819" t="s">
        <v>41</v>
      </c>
      <c r="I1819" t="s">
        <v>42</v>
      </c>
      <c r="M1819">
        <f>VLOOKUP(H1819,'Stage Order'!$A$2:$B$8,2,FALSE)</f>
        <v>2</v>
      </c>
      <c r="N1819" t="str">
        <f t="shared" si="56"/>
        <v>1. Under 1 hour</v>
      </c>
      <c r="O1819" t="str">
        <f t="shared" si="57"/>
        <v>2025-11</v>
      </c>
    </row>
    <row r="1820" spans="1:15" x14ac:dyDescent="0.3">
      <c r="A1820" t="s">
        <v>4312</v>
      </c>
      <c r="B1820" t="s">
        <v>4313</v>
      </c>
      <c r="C1820" t="s">
        <v>37</v>
      </c>
      <c r="D1820" t="s">
        <v>97</v>
      </c>
      <c r="E1820" t="s">
        <v>90</v>
      </c>
      <c r="F1820" t="s">
        <v>145</v>
      </c>
      <c r="G1820">
        <v>2.6</v>
      </c>
      <c r="H1820" t="s">
        <v>41</v>
      </c>
      <c r="I1820" t="s">
        <v>42</v>
      </c>
      <c r="M1820">
        <f>VLOOKUP(H1820,'Stage Order'!$A$2:$B$8,2,FALSE)</f>
        <v>2</v>
      </c>
      <c r="N1820" t="str">
        <f t="shared" si="56"/>
        <v>2. 1-24 hours</v>
      </c>
      <c r="O1820" t="str">
        <f t="shared" si="57"/>
        <v>2026-02</v>
      </c>
    </row>
    <row r="1821" spans="1:15" x14ac:dyDescent="0.3">
      <c r="A1821" t="s">
        <v>4314</v>
      </c>
      <c r="B1821" t="s">
        <v>4315</v>
      </c>
      <c r="C1821" t="s">
        <v>58</v>
      </c>
      <c r="D1821" t="s">
        <v>29</v>
      </c>
      <c r="E1821" t="s">
        <v>90</v>
      </c>
      <c r="F1821" t="s">
        <v>112</v>
      </c>
      <c r="G1821">
        <v>3.98</v>
      </c>
      <c r="H1821" t="s">
        <v>41</v>
      </c>
      <c r="I1821" t="s">
        <v>42</v>
      </c>
      <c r="M1821">
        <f>VLOOKUP(H1821,'Stage Order'!$A$2:$B$8,2,FALSE)</f>
        <v>2</v>
      </c>
      <c r="N1821" t="str">
        <f t="shared" si="56"/>
        <v>2. 1-24 hours</v>
      </c>
      <c r="O1821" t="str">
        <f t="shared" si="57"/>
        <v>2026-05</v>
      </c>
    </row>
    <row r="1822" spans="1:15" x14ac:dyDescent="0.3">
      <c r="A1822" t="s">
        <v>4316</v>
      </c>
      <c r="B1822" t="s">
        <v>4317</v>
      </c>
      <c r="C1822" t="s">
        <v>37</v>
      </c>
      <c r="D1822" t="s">
        <v>38</v>
      </c>
      <c r="E1822" t="s">
        <v>30</v>
      </c>
      <c r="F1822" t="s">
        <v>31</v>
      </c>
      <c r="G1822">
        <v>7.1</v>
      </c>
      <c r="H1822" t="s">
        <v>41</v>
      </c>
      <c r="I1822" t="s">
        <v>42</v>
      </c>
      <c r="M1822">
        <f>VLOOKUP(H1822,'Stage Order'!$A$2:$B$8,2,FALSE)</f>
        <v>2</v>
      </c>
      <c r="N1822" t="str">
        <f t="shared" si="56"/>
        <v>2. 1-24 hours</v>
      </c>
      <c r="O1822" t="str">
        <f t="shared" si="57"/>
        <v>2026-04</v>
      </c>
    </row>
    <row r="1823" spans="1:15" x14ac:dyDescent="0.3">
      <c r="A1823" t="s">
        <v>4318</v>
      </c>
      <c r="B1823" t="s">
        <v>4319</v>
      </c>
      <c r="C1823" t="s">
        <v>53</v>
      </c>
      <c r="D1823" t="s">
        <v>29</v>
      </c>
      <c r="E1823" t="s">
        <v>45</v>
      </c>
      <c r="F1823" t="s">
        <v>46</v>
      </c>
      <c r="G1823">
        <v>1.9</v>
      </c>
      <c r="H1823" t="s">
        <v>32</v>
      </c>
      <c r="I1823" t="s">
        <v>33</v>
      </c>
      <c r="K1823">
        <v>645.67999999999995</v>
      </c>
      <c r="L1823" t="s">
        <v>4320</v>
      </c>
      <c r="M1823">
        <f>VLOOKUP(H1823,'Stage Order'!$A$2:$B$8,2,FALSE)</f>
        <v>7</v>
      </c>
      <c r="N1823" t="str">
        <f t="shared" si="56"/>
        <v>2. 1-24 hours</v>
      </c>
      <c r="O1823" t="str">
        <f t="shared" si="57"/>
        <v>2025-12</v>
      </c>
    </row>
    <row r="1824" spans="1:15" x14ac:dyDescent="0.3">
      <c r="A1824" t="s">
        <v>4321</v>
      </c>
      <c r="B1824" t="s">
        <v>4322</v>
      </c>
      <c r="C1824" t="s">
        <v>58</v>
      </c>
      <c r="D1824" t="s">
        <v>38</v>
      </c>
      <c r="E1824" t="s">
        <v>90</v>
      </c>
      <c r="F1824" t="s">
        <v>91</v>
      </c>
      <c r="G1824">
        <v>3.95</v>
      </c>
      <c r="H1824" t="s">
        <v>41</v>
      </c>
      <c r="I1824" t="s">
        <v>42</v>
      </c>
      <c r="M1824">
        <f>VLOOKUP(H1824,'Stage Order'!$A$2:$B$8,2,FALSE)</f>
        <v>2</v>
      </c>
      <c r="N1824" t="str">
        <f t="shared" si="56"/>
        <v>2. 1-24 hours</v>
      </c>
      <c r="O1824" t="str">
        <f t="shared" si="57"/>
        <v>2026-06</v>
      </c>
    </row>
    <row r="1825" spans="1:15" x14ac:dyDescent="0.3">
      <c r="A1825" t="s">
        <v>4323</v>
      </c>
      <c r="B1825" t="s">
        <v>4324</v>
      </c>
      <c r="C1825" t="s">
        <v>58</v>
      </c>
      <c r="D1825" t="s">
        <v>54</v>
      </c>
      <c r="E1825" t="s">
        <v>45</v>
      </c>
      <c r="F1825" t="s">
        <v>55</v>
      </c>
      <c r="G1825">
        <v>2.2000000000000002</v>
      </c>
      <c r="H1825" t="s">
        <v>41</v>
      </c>
      <c r="I1825" t="s">
        <v>42</v>
      </c>
      <c r="M1825">
        <f>VLOOKUP(H1825,'Stage Order'!$A$2:$B$8,2,FALSE)</f>
        <v>2</v>
      </c>
      <c r="N1825" t="str">
        <f t="shared" si="56"/>
        <v>2. 1-24 hours</v>
      </c>
      <c r="O1825" t="str">
        <f t="shared" si="57"/>
        <v>2026-01</v>
      </c>
    </row>
    <row r="1826" spans="1:15" x14ac:dyDescent="0.3">
      <c r="A1826" t="s">
        <v>4325</v>
      </c>
      <c r="B1826" t="s">
        <v>4326</v>
      </c>
      <c r="C1826" t="s">
        <v>125</v>
      </c>
      <c r="D1826" t="s">
        <v>77</v>
      </c>
      <c r="E1826" t="s">
        <v>45</v>
      </c>
      <c r="F1826" t="s">
        <v>55</v>
      </c>
      <c r="G1826">
        <v>3.43</v>
      </c>
      <c r="H1826" t="s">
        <v>61</v>
      </c>
      <c r="I1826" t="s">
        <v>42</v>
      </c>
      <c r="M1826">
        <f>VLOOKUP(H1826,'Stage Order'!$A$2:$B$8,2,FALSE)</f>
        <v>1</v>
      </c>
      <c r="N1826" t="str">
        <f t="shared" si="56"/>
        <v>2. 1-24 hours</v>
      </c>
      <c r="O1826" t="str">
        <f t="shared" si="57"/>
        <v>2025-02</v>
      </c>
    </row>
    <row r="1827" spans="1:15" x14ac:dyDescent="0.3">
      <c r="A1827" t="s">
        <v>4327</v>
      </c>
      <c r="B1827" t="s">
        <v>4328</v>
      </c>
      <c r="C1827" t="s">
        <v>76</v>
      </c>
      <c r="D1827" t="s">
        <v>77</v>
      </c>
      <c r="E1827" t="s">
        <v>45</v>
      </c>
      <c r="F1827" t="s">
        <v>55</v>
      </c>
      <c r="G1827">
        <v>11.2</v>
      </c>
      <c r="H1827" t="s">
        <v>32</v>
      </c>
      <c r="I1827" t="s">
        <v>33</v>
      </c>
      <c r="K1827">
        <v>1018.06</v>
      </c>
      <c r="L1827" t="s">
        <v>4329</v>
      </c>
      <c r="M1827">
        <f>VLOOKUP(H1827,'Stage Order'!$A$2:$B$8,2,FALSE)</f>
        <v>7</v>
      </c>
      <c r="N1827" t="str">
        <f t="shared" si="56"/>
        <v>2. 1-24 hours</v>
      </c>
      <c r="O1827" t="str">
        <f t="shared" si="57"/>
        <v>2025-11</v>
      </c>
    </row>
    <row r="1828" spans="1:15" x14ac:dyDescent="0.3">
      <c r="A1828" t="s">
        <v>4330</v>
      </c>
      <c r="B1828" t="s">
        <v>4331</v>
      </c>
      <c r="C1828" t="s">
        <v>37</v>
      </c>
      <c r="D1828" t="s">
        <v>54</v>
      </c>
      <c r="E1828" t="s">
        <v>30</v>
      </c>
      <c r="F1828" t="s">
        <v>82</v>
      </c>
      <c r="G1828">
        <v>7.41</v>
      </c>
      <c r="H1828" t="s">
        <v>61</v>
      </c>
      <c r="I1828" t="s">
        <v>42</v>
      </c>
      <c r="M1828">
        <f>VLOOKUP(H1828,'Stage Order'!$A$2:$B$8,2,FALSE)</f>
        <v>1</v>
      </c>
      <c r="N1828" t="str">
        <f t="shared" si="56"/>
        <v>2. 1-24 hours</v>
      </c>
      <c r="O1828" t="str">
        <f t="shared" si="57"/>
        <v>2025-04</v>
      </c>
    </row>
    <row r="1829" spans="1:15" x14ac:dyDescent="0.3">
      <c r="A1829" t="s">
        <v>4332</v>
      </c>
      <c r="B1829" t="s">
        <v>4333</v>
      </c>
      <c r="C1829" t="s">
        <v>37</v>
      </c>
      <c r="D1829" t="s">
        <v>77</v>
      </c>
      <c r="E1829" t="s">
        <v>39</v>
      </c>
      <c r="F1829" t="s">
        <v>66</v>
      </c>
      <c r="G1829">
        <v>2.79</v>
      </c>
      <c r="H1829" t="s">
        <v>61</v>
      </c>
      <c r="I1829" t="s">
        <v>42</v>
      </c>
      <c r="M1829">
        <f>VLOOKUP(H1829,'Stage Order'!$A$2:$B$8,2,FALSE)</f>
        <v>1</v>
      </c>
      <c r="N1829" t="str">
        <f t="shared" si="56"/>
        <v>2. 1-24 hours</v>
      </c>
      <c r="O1829" t="str">
        <f t="shared" si="57"/>
        <v>2025-05</v>
      </c>
    </row>
    <row r="1830" spans="1:15" x14ac:dyDescent="0.3">
      <c r="A1830" t="s">
        <v>4334</v>
      </c>
      <c r="B1830" t="s">
        <v>4335</v>
      </c>
      <c r="C1830" t="s">
        <v>58</v>
      </c>
      <c r="D1830" t="s">
        <v>38</v>
      </c>
      <c r="E1830" t="s">
        <v>90</v>
      </c>
      <c r="F1830" t="s">
        <v>112</v>
      </c>
      <c r="G1830">
        <v>2.2000000000000002</v>
      </c>
      <c r="H1830" t="s">
        <v>41</v>
      </c>
      <c r="I1830" t="s">
        <v>42</v>
      </c>
      <c r="M1830">
        <f>VLOOKUP(H1830,'Stage Order'!$A$2:$B$8,2,FALSE)</f>
        <v>2</v>
      </c>
      <c r="N1830" t="str">
        <f t="shared" si="56"/>
        <v>2. 1-24 hours</v>
      </c>
      <c r="O1830" t="str">
        <f t="shared" si="57"/>
        <v>2026-06</v>
      </c>
    </row>
    <row r="1831" spans="1:15" x14ac:dyDescent="0.3">
      <c r="A1831" t="s">
        <v>4336</v>
      </c>
      <c r="B1831" t="s">
        <v>4337</v>
      </c>
      <c r="C1831" t="s">
        <v>58</v>
      </c>
      <c r="D1831" t="s">
        <v>54</v>
      </c>
      <c r="E1831" t="s">
        <v>59</v>
      </c>
      <c r="F1831" t="s">
        <v>137</v>
      </c>
      <c r="G1831">
        <v>5.04</v>
      </c>
      <c r="H1831" t="s">
        <v>61</v>
      </c>
      <c r="I1831" t="s">
        <v>42</v>
      </c>
      <c r="M1831">
        <f>VLOOKUP(H1831,'Stage Order'!$A$2:$B$8,2,FALSE)</f>
        <v>1</v>
      </c>
      <c r="N1831" t="str">
        <f t="shared" si="56"/>
        <v>2. 1-24 hours</v>
      </c>
      <c r="O1831" t="str">
        <f t="shared" si="57"/>
        <v>2025-02</v>
      </c>
    </row>
    <row r="1832" spans="1:15" x14ac:dyDescent="0.3">
      <c r="A1832" t="s">
        <v>4338</v>
      </c>
      <c r="B1832" t="s">
        <v>4339</v>
      </c>
      <c r="C1832" t="s">
        <v>58</v>
      </c>
      <c r="D1832" t="s">
        <v>29</v>
      </c>
      <c r="E1832" t="s">
        <v>90</v>
      </c>
      <c r="F1832" t="s">
        <v>145</v>
      </c>
      <c r="G1832">
        <v>1.2</v>
      </c>
      <c r="H1832" t="s">
        <v>41</v>
      </c>
      <c r="I1832" t="s">
        <v>42</v>
      </c>
      <c r="M1832">
        <f>VLOOKUP(H1832,'Stage Order'!$A$2:$B$8,2,FALSE)</f>
        <v>2</v>
      </c>
      <c r="N1832" t="str">
        <f t="shared" si="56"/>
        <v>2. 1-24 hours</v>
      </c>
      <c r="O1832" t="str">
        <f t="shared" si="57"/>
        <v>2026-06</v>
      </c>
    </row>
    <row r="1833" spans="1:15" x14ac:dyDescent="0.3">
      <c r="A1833" t="s">
        <v>4340</v>
      </c>
      <c r="B1833" t="s">
        <v>4341</v>
      </c>
      <c r="C1833" t="s">
        <v>125</v>
      </c>
      <c r="D1833" t="s">
        <v>77</v>
      </c>
      <c r="E1833" t="s">
        <v>45</v>
      </c>
      <c r="F1833" t="s">
        <v>46</v>
      </c>
      <c r="G1833">
        <v>2.33</v>
      </c>
      <c r="H1833" t="s">
        <v>61</v>
      </c>
      <c r="I1833" t="s">
        <v>42</v>
      </c>
      <c r="M1833">
        <f>VLOOKUP(H1833,'Stage Order'!$A$2:$B$8,2,FALSE)</f>
        <v>1</v>
      </c>
      <c r="N1833" t="str">
        <f t="shared" si="56"/>
        <v>2. 1-24 hours</v>
      </c>
      <c r="O1833" t="str">
        <f t="shared" si="57"/>
        <v>2025-07</v>
      </c>
    </row>
    <row r="1834" spans="1:15" x14ac:dyDescent="0.3">
      <c r="A1834" t="s">
        <v>4342</v>
      </c>
      <c r="B1834" t="s">
        <v>4343</v>
      </c>
      <c r="C1834" t="s">
        <v>28</v>
      </c>
      <c r="D1834" t="s">
        <v>54</v>
      </c>
      <c r="E1834" t="s">
        <v>59</v>
      </c>
      <c r="F1834" t="s">
        <v>117</v>
      </c>
      <c r="G1834">
        <v>4.8499999999999996</v>
      </c>
      <c r="H1834" t="s">
        <v>41</v>
      </c>
      <c r="I1834" t="s">
        <v>42</v>
      </c>
      <c r="M1834">
        <f>VLOOKUP(H1834,'Stage Order'!$A$2:$B$8,2,FALSE)</f>
        <v>2</v>
      </c>
      <c r="N1834" t="str">
        <f t="shared" si="56"/>
        <v>2. 1-24 hours</v>
      </c>
      <c r="O1834" t="str">
        <f t="shared" si="57"/>
        <v>2025-12</v>
      </c>
    </row>
    <row r="1835" spans="1:15" x14ac:dyDescent="0.3">
      <c r="A1835" t="s">
        <v>4344</v>
      </c>
      <c r="B1835" t="s">
        <v>4345</v>
      </c>
      <c r="C1835" t="s">
        <v>53</v>
      </c>
      <c r="D1835" t="s">
        <v>29</v>
      </c>
      <c r="E1835" t="s">
        <v>45</v>
      </c>
      <c r="F1835" t="s">
        <v>46</v>
      </c>
      <c r="G1835">
        <v>2.58</v>
      </c>
      <c r="H1835" t="s">
        <v>138</v>
      </c>
      <c r="I1835" t="s">
        <v>48</v>
      </c>
      <c r="J1835" t="s">
        <v>113</v>
      </c>
      <c r="K1835">
        <v>535.07000000000005</v>
      </c>
      <c r="L1835" t="s">
        <v>4346</v>
      </c>
      <c r="M1835">
        <f>VLOOKUP(H1835,'Stage Order'!$A$2:$B$8,2,FALSE)</f>
        <v>6</v>
      </c>
      <c r="N1835" t="str">
        <f t="shared" si="56"/>
        <v>2. 1-24 hours</v>
      </c>
      <c r="O1835" t="str">
        <f t="shared" si="57"/>
        <v>2025-05</v>
      </c>
    </row>
    <row r="1836" spans="1:15" x14ac:dyDescent="0.3">
      <c r="A1836" t="s">
        <v>4347</v>
      </c>
      <c r="B1836" t="s">
        <v>4348</v>
      </c>
      <c r="C1836" t="s">
        <v>53</v>
      </c>
      <c r="D1836" t="s">
        <v>77</v>
      </c>
      <c r="E1836" t="s">
        <v>90</v>
      </c>
      <c r="F1836" t="s">
        <v>145</v>
      </c>
      <c r="G1836">
        <v>6.5</v>
      </c>
      <c r="H1836" t="s">
        <v>138</v>
      </c>
      <c r="I1836" t="s">
        <v>48</v>
      </c>
      <c r="J1836" t="s">
        <v>139</v>
      </c>
      <c r="K1836">
        <v>976.82</v>
      </c>
      <c r="L1836" t="s">
        <v>4349</v>
      </c>
      <c r="M1836">
        <f>VLOOKUP(H1836,'Stage Order'!$A$2:$B$8,2,FALSE)</f>
        <v>6</v>
      </c>
      <c r="N1836" t="str">
        <f t="shared" si="56"/>
        <v>2. 1-24 hours</v>
      </c>
      <c r="O1836" t="str">
        <f t="shared" si="57"/>
        <v>2025-12</v>
      </c>
    </row>
    <row r="1837" spans="1:15" x14ac:dyDescent="0.3">
      <c r="A1837" t="s">
        <v>4350</v>
      </c>
      <c r="B1837" t="s">
        <v>4351</v>
      </c>
      <c r="C1837" t="s">
        <v>37</v>
      </c>
      <c r="D1837" t="s">
        <v>29</v>
      </c>
      <c r="E1837" t="s">
        <v>59</v>
      </c>
      <c r="F1837" t="s">
        <v>137</v>
      </c>
      <c r="G1837">
        <v>2.8</v>
      </c>
      <c r="H1837" t="s">
        <v>41</v>
      </c>
      <c r="I1837" t="s">
        <v>42</v>
      </c>
      <c r="M1837">
        <f>VLOOKUP(H1837,'Stage Order'!$A$2:$B$8,2,FALSE)</f>
        <v>2</v>
      </c>
      <c r="N1837" t="str">
        <f t="shared" si="56"/>
        <v>2. 1-24 hours</v>
      </c>
      <c r="O1837" t="str">
        <f t="shared" si="57"/>
        <v>2026-04</v>
      </c>
    </row>
    <row r="1838" spans="1:15" x14ac:dyDescent="0.3">
      <c r="A1838" t="s">
        <v>4352</v>
      </c>
      <c r="B1838" t="s">
        <v>4353</v>
      </c>
      <c r="C1838" t="s">
        <v>37</v>
      </c>
      <c r="D1838" t="s">
        <v>29</v>
      </c>
      <c r="E1838" t="s">
        <v>39</v>
      </c>
      <c r="F1838" t="s">
        <v>66</v>
      </c>
      <c r="G1838">
        <v>2.2799999999999998</v>
      </c>
      <c r="H1838" t="s">
        <v>61</v>
      </c>
      <c r="I1838" t="s">
        <v>42</v>
      </c>
      <c r="M1838">
        <f>VLOOKUP(H1838,'Stage Order'!$A$2:$B$8,2,FALSE)</f>
        <v>1</v>
      </c>
      <c r="N1838" t="str">
        <f t="shared" si="56"/>
        <v>2. 1-24 hours</v>
      </c>
      <c r="O1838" t="str">
        <f t="shared" si="57"/>
        <v>2026-01</v>
      </c>
    </row>
    <row r="1839" spans="1:15" x14ac:dyDescent="0.3">
      <c r="A1839" t="s">
        <v>4354</v>
      </c>
      <c r="B1839" t="s">
        <v>4355</v>
      </c>
      <c r="C1839" t="s">
        <v>125</v>
      </c>
      <c r="D1839" t="s">
        <v>54</v>
      </c>
      <c r="E1839" t="s">
        <v>59</v>
      </c>
      <c r="F1839" t="s">
        <v>137</v>
      </c>
      <c r="G1839">
        <v>0.93</v>
      </c>
      <c r="H1839" t="s">
        <v>61</v>
      </c>
      <c r="I1839" t="s">
        <v>42</v>
      </c>
      <c r="M1839">
        <f>VLOOKUP(H1839,'Stage Order'!$A$2:$B$8,2,FALSE)</f>
        <v>1</v>
      </c>
      <c r="N1839" t="str">
        <f t="shared" si="56"/>
        <v>1. Under 1 hour</v>
      </c>
      <c r="O1839" t="str">
        <f t="shared" si="57"/>
        <v>2025-10</v>
      </c>
    </row>
    <row r="1840" spans="1:15" x14ac:dyDescent="0.3">
      <c r="A1840" t="s">
        <v>4356</v>
      </c>
      <c r="B1840" t="s">
        <v>4357</v>
      </c>
      <c r="C1840" t="s">
        <v>58</v>
      </c>
      <c r="D1840" t="s">
        <v>29</v>
      </c>
      <c r="E1840" t="s">
        <v>90</v>
      </c>
      <c r="F1840" t="s">
        <v>91</v>
      </c>
      <c r="G1840">
        <v>4.42</v>
      </c>
      <c r="H1840" t="s">
        <v>128</v>
      </c>
      <c r="I1840" t="s">
        <v>42</v>
      </c>
      <c r="M1840">
        <f>VLOOKUP(H1840,'Stage Order'!$A$2:$B$8,2,FALSE)</f>
        <v>3</v>
      </c>
      <c r="N1840" t="str">
        <f t="shared" si="56"/>
        <v>2. 1-24 hours</v>
      </c>
      <c r="O1840" t="str">
        <f t="shared" si="57"/>
        <v>2026-05</v>
      </c>
    </row>
    <row r="1841" spans="1:15" x14ac:dyDescent="0.3">
      <c r="A1841" t="s">
        <v>4358</v>
      </c>
      <c r="B1841" t="s">
        <v>4359</v>
      </c>
      <c r="C1841" t="s">
        <v>58</v>
      </c>
      <c r="D1841" t="s">
        <v>29</v>
      </c>
      <c r="E1841" t="s">
        <v>59</v>
      </c>
      <c r="F1841" t="s">
        <v>60</v>
      </c>
      <c r="G1841">
        <v>6.87</v>
      </c>
      <c r="H1841" t="s">
        <v>61</v>
      </c>
      <c r="I1841" t="s">
        <v>42</v>
      </c>
      <c r="M1841">
        <f>VLOOKUP(H1841,'Stage Order'!$A$2:$B$8,2,FALSE)</f>
        <v>1</v>
      </c>
      <c r="N1841" t="str">
        <f t="shared" si="56"/>
        <v>2. 1-24 hours</v>
      </c>
      <c r="O1841" t="str">
        <f t="shared" si="57"/>
        <v>2025-01</v>
      </c>
    </row>
    <row r="1842" spans="1:15" x14ac:dyDescent="0.3">
      <c r="A1842" t="s">
        <v>4360</v>
      </c>
      <c r="B1842" t="s">
        <v>4361</v>
      </c>
      <c r="C1842" t="s">
        <v>125</v>
      </c>
      <c r="D1842" t="s">
        <v>97</v>
      </c>
      <c r="E1842" t="s">
        <v>45</v>
      </c>
      <c r="F1842" t="s">
        <v>94</v>
      </c>
      <c r="G1842">
        <v>2.16</v>
      </c>
      <c r="H1842" t="s">
        <v>47</v>
      </c>
      <c r="I1842" t="s">
        <v>48</v>
      </c>
      <c r="J1842" t="s">
        <v>98</v>
      </c>
      <c r="K1842">
        <v>1617.45</v>
      </c>
      <c r="L1842" t="s">
        <v>4362</v>
      </c>
      <c r="M1842">
        <f>VLOOKUP(H1842,'Stage Order'!$A$2:$B$8,2,FALSE)</f>
        <v>4</v>
      </c>
      <c r="N1842" t="str">
        <f t="shared" si="56"/>
        <v>2. 1-24 hours</v>
      </c>
      <c r="O1842" t="str">
        <f t="shared" si="57"/>
        <v>2025-01</v>
      </c>
    </row>
    <row r="1843" spans="1:15" x14ac:dyDescent="0.3">
      <c r="A1843" t="s">
        <v>4363</v>
      </c>
      <c r="B1843" t="s">
        <v>4364</v>
      </c>
      <c r="C1843" t="s">
        <v>53</v>
      </c>
      <c r="D1843" t="s">
        <v>29</v>
      </c>
      <c r="E1843" t="s">
        <v>90</v>
      </c>
      <c r="F1843" t="s">
        <v>145</v>
      </c>
      <c r="G1843">
        <v>3.24</v>
      </c>
      <c r="H1843" t="s">
        <v>146</v>
      </c>
      <c r="I1843" t="s">
        <v>48</v>
      </c>
      <c r="J1843" t="s">
        <v>139</v>
      </c>
      <c r="K1843">
        <v>565.75</v>
      </c>
      <c r="L1843" t="s">
        <v>4365</v>
      </c>
      <c r="M1843">
        <f>VLOOKUP(H1843,'Stage Order'!$A$2:$B$8,2,FALSE)</f>
        <v>5</v>
      </c>
      <c r="N1843" t="str">
        <f t="shared" si="56"/>
        <v>2. 1-24 hours</v>
      </c>
      <c r="O1843" t="str">
        <f t="shared" si="57"/>
        <v>2026-05</v>
      </c>
    </row>
    <row r="1844" spans="1:15" x14ac:dyDescent="0.3">
      <c r="A1844" t="s">
        <v>4366</v>
      </c>
      <c r="B1844" t="s">
        <v>4367</v>
      </c>
      <c r="C1844" t="s">
        <v>81</v>
      </c>
      <c r="D1844" t="s">
        <v>29</v>
      </c>
      <c r="E1844" t="s">
        <v>59</v>
      </c>
      <c r="F1844" t="s">
        <v>137</v>
      </c>
      <c r="G1844">
        <v>2.09</v>
      </c>
      <c r="H1844" t="s">
        <v>128</v>
      </c>
      <c r="I1844" t="s">
        <v>42</v>
      </c>
      <c r="M1844">
        <f>VLOOKUP(H1844,'Stage Order'!$A$2:$B$8,2,FALSE)</f>
        <v>3</v>
      </c>
      <c r="N1844" t="str">
        <f t="shared" si="56"/>
        <v>2. 1-24 hours</v>
      </c>
      <c r="O1844" t="str">
        <f t="shared" si="57"/>
        <v>2025-07</v>
      </c>
    </row>
    <row r="1845" spans="1:15" x14ac:dyDescent="0.3">
      <c r="A1845" t="s">
        <v>4368</v>
      </c>
      <c r="B1845" t="s">
        <v>4369</v>
      </c>
      <c r="C1845" t="s">
        <v>53</v>
      </c>
      <c r="D1845" t="s">
        <v>54</v>
      </c>
      <c r="E1845" t="s">
        <v>30</v>
      </c>
      <c r="F1845" t="s">
        <v>82</v>
      </c>
      <c r="G1845">
        <v>3.22</v>
      </c>
      <c r="H1845" t="s">
        <v>138</v>
      </c>
      <c r="I1845" t="s">
        <v>48</v>
      </c>
      <c r="J1845" t="s">
        <v>139</v>
      </c>
      <c r="K1845">
        <v>430.12</v>
      </c>
      <c r="L1845" t="s">
        <v>4370</v>
      </c>
      <c r="M1845">
        <f>VLOOKUP(H1845,'Stage Order'!$A$2:$B$8,2,FALSE)</f>
        <v>6</v>
      </c>
      <c r="N1845" t="str">
        <f t="shared" si="56"/>
        <v>2. 1-24 hours</v>
      </c>
      <c r="O1845" t="str">
        <f t="shared" si="57"/>
        <v>2025-12</v>
      </c>
    </row>
    <row r="1846" spans="1:15" x14ac:dyDescent="0.3">
      <c r="A1846" t="s">
        <v>4371</v>
      </c>
      <c r="B1846" t="s">
        <v>4372</v>
      </c>
      <c r="C1846" t="s">
        <v>37</v>
      </c>
      <c r="D1846" t="s">
        <v>97</v>
      </c>
      <c r="E1846" t="s">
        <v>30</v>
      </c>
      <c r="F1846" t="s">
        <v>82</v>
      </c>
      <c r="G1846">
        <v>8.83</v>
      </c>
      <c r="H1846" t="s">
        <v>41</v>
      </c>
      <c r="I1846" t="s">
        <v>42</v>
      </c>
      <c r="M1846">
        <f>VLOOKUP(H1846,'Stage Order'!$A$2:$B$8,2,FALSE)</f>
        <v>2</v>
      </c>
      <c r="N1846" t="str">
        <f t="shared" si="56"/>
        <v>2. 1-24 hours</v>
      </c>
      <c r="O1846" t="str">
        <f t="shared" si="57"/>
        <v>2025-06</v>
      </c>
    </row>
    <row r="1847" spans="1:15" x14ac:dyDescent="0.3">
      <c r="A1847" t="s">
        <v>4373</v>
      </c>
      <c r="B1847" t="s">
        <v>4374</v>
      </c>
      <c r="C1847" t="s">
        <v>37</v>
      </c>
      <c r="D1847" t="s">
        <v>54</v>
      </c>
      <c r="E1847" t="s">
        <v>90</v>
      </c>
      <c r="F1847" t="s">
        <v>91</v>
      </c>
      <c r="G1847">
        <v>2.81</v>
      </c>
      <c r="H1847" t="s">
        <v>61</v>
      </c>
      <c r="I1847" t="s">
        <v>42</v>
      </c>
      <c r="M1847">
        <f>VLOOKUP(H1847,'Stage Order'!$A$2:$B$8,2,FALSE)</f>
        <v>1</v>
      </c>
      <c r="N1847" t="str">
        <f t="shared" si="56"/>
        <v>2. 1-24 hours</v>
      </c>
      <c r="O1847" t="str">
        <f t="shared" si="57"/>
        <v>2025-01</v>
      </c>
    </row>
    <row r="1848" spans="1:15" x14ac:dyDescent="0.3">
      <c r="A1848" t="s">
        <v>4375</v>
      </c>
      <c r="B1848" t="s">
        <v>4376</v>
      </c>
      <c r="C1848" t="s">
        <v>81</v>
      </c>
      <c r="D1848" t="s">
        <v>29</v>
      </c>
      <c r="E1848" t="s">
        <v>59</v>
      </c>
      <c r="F1848" t="s">
        <v>137</v>
      </c>
      <c r="G1848">
        <v>4.13</v>
      </c>
      <c r="H1848" t="s">
        <v>61</v>
      </c>
      <c r="I1848" t="s">
        <v>42</v>
      </c>
      <c r="M1848">
        <f>VLOOKUP(H1848,'Stage Order'!$A$2:$B$8,2,FALSE)</f>
        <v>1</v>
      </c>
      <c r="N1848" t="str">
        <f t="shared" si="56"/>
        <v>2. 1-24 hours</v>
      </c>
      <c r="O1848" t="str">
        <f t="shared" si="57"/>
        <v>2025-06</v>
      </c>
    </row>
    <row r="1849" spans="1:15" x14ac:dyDescent="0.3">
      <c r="A1849" t="s">
        <v>4377</v>
      </c>
      <c r="B1849" t="s">
        <v>4378</v>
      </c>
      <c r="C1849" t="s">
        <v>76</v>
      </c>
      <c r="D1849" t="s">
        <v>97</v>
      </c>
      <c r="E1849" t="s">
        <v>59</v>
      </c>
      <c r="F1849" t="s">
        <v>137</v>
      </c>
      <c r="G1849">
        <v>4.84</v>
      </c>
      <c r="H1849" t="s">
        <v>146</v>
      </c>
      <c r="I1849" t="s">
        <v>48</v>
      </c>
      <c r="J1849" t="s">
        <v>139</v>
      </c>
      <c r="K1849">
        <v>1401.28</v>
      </c>
      <c r="L1849" t="s">
        <v>4379</v>
      </c>
      <c r="M1849">
        <f>VLOOKUP(H1849,'Stage Order'!$A$2:$B$8,2,FALSE)</f>
        <v>5</v>
      </c>
      <c r="N1849" t="str">
        <f t="shared" si="56"/>
        <v>2. 1-24 hours</v>
      </c>
      <c r="O1849" t="str">
        <f t="shared" si="57"/>
        <v>2026-04</v>
      </c>
    </row>
    <row r="1850" spans="1:15" x14ac:dyDescent="0.3">
      <c r="A1850" t="s">
        <v>4380</v>
      </c>
      <c r="B1850" t="s">
        <v>4381</v>
      </c>
      <c r="C1850" t="s">
        <v>37</v>
      </c>
      <c r="D1850" t="s">
        <v>54</v>
      </c>
      <c r="E1850" t="s">
        <v>39</v>
      </c>
      <c r="F1850" t="s">
        <v>40</v>
      </c>
      <c r="G1850">
        <v>2.8</v>
      </c>
      <c r="H1850" t="s">
        <v>41</v>
      </c>
      <c r="I1850" t="s">
        <v>42</v>
      </c>
      <c r="M1850">
        <f>VLOOKUP(H1850,'Stage Order'!$A$2:$B$8,2,FALSE)</f>
        <v>2</v>
      </c>
      <c r="N1850" t="str">
        <f t="shared" si="56"/>
        <v>2. 1-24 hours</v>
      </c>
      <c r="O1850" t="str">
        <f t="shared" si="57"/>
        <v>2025-08</v>
      </c>
    </row>
    <row r="1851" spans="1:15" x14ac:dyDescent="0.3">
      <c r="A1851" t="s">
        <v>4382</v>
      </c>
      <c r="B1851" t="s">
        <v>4383</v>
      </c>
      <c r="C1851" t="s">
        <v>37</v>
      </c>
      <c r="D1851" t="s">
        <v>29</v>
      </c>
      <c r="E1851" t="s">
        <v>39</v>
      </c>
      <c r="F1851" t="s">
        <v>40</v>
      </c>
      <c r="G1851">
        <v>18.05</v>
      </c>
      <c r="H1851" t="s">
        <v>47</v>
      </c>
      <c r="I1851" t="s">
        <v>48</v>
      </c>
      <c r="J1851" t="s">
        <v>139</v>
      </c>
      <c r="K1851">
        <v>637.89</v>
      </c>
      <c r="L1851" t="s">
        <v>4384</v>
      </c>
      <c r="M1851">
        <f>VLOOKUP(H1851,'Stage Order'!$A$2:$B$8,2,FALSE)</f>
        <v>4</v>
      </c>
      <c r="N1851" t="str">
        <f t="shared" si="56"/>
        <v>2. 1-24 hours</v>
      </c>
      <c r="O1851" t="str">
        <f t="shared" si="57"/>
        <v>2025-05</v>
      </c>
    </row>
    <row r="1852" spans="1:15" x14ac:dyDescent="0.3">
      <c r="A1852" t="s">
        <v>4385</v>
      </c>
      <c r="B1852" t="s">
        <v>4386</v>
      </c>
      <c r="C1852" t="s">
        <v>58</v>
      </c>
      <c r="D1852" t="s">
        <v>54</v>
      </c>
      <c r="E1852" t="s">
        <v>30</v>
      </c>
      <c r="F1852" t="s">
        <v>31</v>
      </c>
      <c r="G1852">
        <v>2.15</v>
      </c>
      <c r="H1852" t="s">
        <v>41</v>
      </c>
      <c r="I1852" t="s">
        <v>42</v>
      </c>
      <c r="M1852">
        <f>VLOOKUP(H1852,'Stage Order'!$A$2:$B$8,2,FALSE)</f>
        <v>2</v>
      </c>
      <c r="N1852" t="str">
        <f t="shared" si="56"/>
        <v>2. 1-24 hours</v>
      </c>
      <c r="O1852" t="str">
        <f t="shared" si="57"/>
        <v>2026-05</v>
      </c>
    </row>
    <row r="1853" spans="1:15" x14ac:dyDescent="0.3">
      <c r="A1853" t="s">
        <v>4387</v>
      </c>
      <c r="B1853" t="s">
        <v>4388</v>
      </c>
      <c r="C1853" t="s">
        <v>125</v>
      </c>
      <c r="D1853" t="s">
        <v>54</v>
      </c>
      <c r="E1853" t="s">
        <v>59</v>
      </c>
      <c r="F1853" t="s">
        <v>117</v>
      </c>
      <c r="G1853">
        <v>0.8</v>
      </c>
      <c r="H1853" t="s">
        <v>32</v>
      </c>
      <c r="I1853" t="s">
        <v>33</v>
      </c>
      <c r="K1853">
        <v>588.72</v>
      </c>
      <c r="L1853" t="s">
        <v>4389</v>
      </c>
      <c r="M1853">
        <f>VLOOKUP(H1853,'Stage Order'!$A$2:$B$8,2,FALSE)</f>
        <v>7</v>
      </c>
      <c r="N1853" t="str">
        <f t="shared" si="56"/>
        <v>1. Under 1 hour</v>
      </c>
      <c r="O1853" t="str">
        <f t="shared" si="57"/>
        <v>2025-04</v>
      </c>
    </row>
    <row r="1854" spans="1:15" x14ac:dyDescent="0.3">
      <c r="A1854" t="s">
        <v>4390</v>
      </c>
      <c r="B1854" t="s">
        <v>4391</v>
      </c>
      <c r="C1854" t="s">
        <v>125</v>
      </c>
      <c r="D1854" t="s">
        <v>54</v>
      </c>
      <c r="E1854" t="s">
        <v>59</v>
      </c>
      <c r="F1854" t="s">
        <v>60</v>
      </c>
      <c r="G1854">
        <v>5.62</v>
      </c>
      <c r="H1854" t="s">
        <v>41</v>
      </c>
      <c r="I1854" t="s">
        <v>42</v>
      </c>
      <c r="M1854">
        <f>VLOOKUP(H1854,'Stage Order'!$A$2:$B$8,2,FALSE)</f>
        <v>2</v>
      </c>
      <c r="N1854" t="str">
        <f t="shared" si="56"/>
        <v>2. 1-24 hours</v>
      </c>
      <c r="O1854" t="str">
        <f t="shared" si="57"/>
        <v>2026-06</v>
      </c>
    </row>
    <row r="1855" spans="1:15" x14ac:dyDescent="0.3">
      <c r="A1855" t="s">
        <v>4392</v>
      </c>
      <c r="B1855" t="s">
        <v>4393</v>
      </c>
      <c r="C1855" t="s">
        <v>58</v>
      </c>
      <c r="D1855" t="s">
        <v>77</v>
      </c>
      <c r="E1855" t="s">
        <v>39</v>
      </c>
      <c r="F1855" t="s">
        <v>40</v>
      </c>
      <c r="G1855">
        <v>1.34</v>
      </c>
      <c r="H1855" t="s">
        <v>41</v>
      </c>
      <c r="I1855" t="s">
        <v>42</v>
      </c>
      <c r="M1855">
        <f>VLOOKUP(H1855,'Stage Order'!$A$2:$B$8,2,FALSE)</f>
        <v>2</v>
      </c>
      <c r="N1855" t="str">
        <f t="shared" si="56"/>
        <v>2. 1-24 hours</v>
      </c>
      <c r="O1855" t="str">
        <f t="shared" si="57"/>
        <v>2026-02</v>
      </c>
    </row>
    <row r="1856" spans="1:15" x14ac:dyDescent="0.3">
      <c r="A1856" t="s">
        <v>4394</v>
      </c>
      <c r="B1856" t="s">
        <v>4395</v>
      </c>
      <c r="C1856" t="s">
        <v>53</v>
      </c>
      <c r="D1856" t="s">
        <v>77</v>
      </c>
      <c r="E1856" t="s">
        <v>39</v>
      </c>
      <c r="F1856" t="s">
        <v>40</v>
      </c>
      <c r="G1856">
        <v>2.5099999999999998</v>
      </c>
      <c r="H1856" t="s">
        <v>32</v>
      </c>
      <c r="I1856" t="s">
        <v>33</v>
      </c>
      <c r="K1856">
        <v>889.07</v>
      </c>
      <c r="L1856" t="s">
        <v>4396</v>
      </c>
      <c r="M1856">
        <f>VLOOKUP(H1856,'Stage Order'!$A$2:$B$8,2,FALSE)</f>
        <v>7</v>
      </c>
      <c r="N1856" t="str">
        <f t="shared" si="56"/>
        <v>2. 1-24 hours</v>
      </c>
      <c r="O1856" t="str">
        <f t="shared" si="57"/>
        <v>2025-07</v>
      </c>
    </row>
    <row r="1857" spans="1:15" x14ac:dyDescent="0.3">
      <c r="A1857" t="s">
        <v>4397</v>
      </c>
      <c r="B1857" t="s">
        <v>4398</v>
      </c>
      <c r="C1857" t="s">
        <v>53</v>
      </c>
      <c r="D1857" t="s">
        <v>77</v>
      </c>
      <c r="E1857" t="s">
        <v>59</v>
      </c>
      <c r="F1857" t="s">
        <v>137</v>
      </c>
      <c r="G1857">
        <v>1.07</v>
      </c>
      <c r="H1857" t="s">
        <v>138</v>
      </c>
      <c r="I1857" t="s">
        <v>48</v>
      </c>
      <c r="J1857" t="s">
        <v>139</v>
      </c>
      <c r="K1857">
        <v>854.84</v>
      </c>
      <c r="L1857" t="s">
        <v>4399</v>
      </c>
      <c r="M1857">
        <f>VLOOKUP(H1857,'Stage Order'!$A$2:$B$8,2,FALSE)</f>
        <v>6</v>
      </c>
      <c r="N1857" t="str">
        <f t="shared" si="56"/>
        <v>2. 1-24 hours</v>
      </c>
      <c r="O1857" t="str">
        <f t="shared" si="57"/>
        <v>2025-10</v>
      </c>
    </row>
    <row r="1858" spans="1:15" x14ac:dyDescent="0.3">
      <c r="A1858" t="s">
        <v>4400</v>
      </c>
      <c r="B1858" t="s">
        <v>4401</v>
      </c>
      <c r="C1858" t="s">
        <v>58</v>
      </c>
      <c r="D1858" t="s">
        <v>29</v>
      </c>
      <c r="E1858" t="s">
        <v>30</v>
      </c>
      <c r="F1858" t="s">
        <v>78</v>
      </c>
      <c r="G1858">
        <v>6.16</v>
      </c>
      <c r="H1858" t="s">
        <v>41</v>
      </c>
      <c r="I1858" t="s">
        <v>42</v>
      </c>
      <c r="M1858">
        <f>VLOOKUP(H1858,'Stage Order'!$A$2:$B$8,2,FALSE)</f>
        <v>2</v>
      </c>
      <c r="N1858" t="str">
        <f t="shared" ref="N1858:N1921" si="58">IF(G1858&lt;=1,"1. Under 1 hour",IF(G1858&lt;=24,"2. 1-24 hours",IF(G1858&lt;=72,"3. 1-3 days","4. Over 3 days")))</f>
        <v>2. 1-24 hours</v>
      </c>
      <c r="O1858" t="str">
        <f t="shared" ref="O1858:O1921" si="59">TEXT(B1858,"YYYY-MM")</f>
        <v>2025-03</v>
      </c>
    </row>
    <row r="1859" spans="1:15" x14ac:dyDescent="0.3">
      <c r="A1859" t="s">
        <v>4402</v>
      </c>
      <c r="B1859" t="s">
        <v>4403</v>
      </c>
      <c r="C1859" t="s">
        <v>58</v>
      </c>
      <c r="D1859" t="s">
        <v>54</v>
      </c>
      <c r="E1859" t="s">
        <v>39</v>
      </c>
      <c r="F1859" t="s">
        <v>40</v>
      </c>
      <c r="G1859">
        <v>4.21</v>
      </c>
      <c r="H1859" t="s">
        <v>61</v>
      </c>
      <c r="I1859" t="s">
        <v>42</v>
      </c>
      <c r="M1859">
        <f>VLOOKUP(H1859,'Stage Order'!$A$2:$B$8,2,FALSE)</f>
        <v>1</v>
      </c>
      <c r="N1859" t="str">
        <f t="shared" si="58"/>
        <v>2. 1-24 hours</v>
      </c>
      <c r="O1859" t="str">
        <f t="shared" si="59"/>
        <v>2025-06</v>
      </c>
    </row>
    <row r="1860" spans="1:15" x14ac:dyDescent="0.3">
      <c r="A1860" t="s">
        <v>4404</v>
      </c>
      <c r="B1860" t="s">
        <v>4405</v>
      </c>
      <c r="C1860" t="s">
        <v>81</v>
      </c>
      <c r="D1860" t="s">
        <v>29</v>
      </c>
      <c r="E1860" t="s">
        <v>90</v>
      </c>
      <c r="F1860" t="s">
        <v>145</v>
      </c>
      <c r="G1860">
        <v>2.79</v>
      </c>
      <c r="H1860" t="s">
        <v>41</v>
      </c>
      <c r="I1860" t="s">
        <v>42</v>
      </c>
      <c r="M1860">
        <f>VLOOKUP(H1860,'Stage Order'!$A$2:$B$8,2,FALSE)</f>
        <v>2</v>
      </c>
      <c r="N1860" t="str">
        <f t="shared" si="58"/>
        <v>2. 1-24 hours</v>
      </c>
      <c r="O1860" t="str">
        <f t="shared" si="59"/>
        <v>2026-03</v>
      </c>
    </row>
    <row r="1861" spans="1:15" x14ac:dyDescent="0.3">
      <c r="A1861" t="s">
        <v>4406</v>
      </c>
      <c r="B1861" t="s">
        <v>4407</v>
      </c>
      <c r="C1861" t="s">
        <v>81</v>
      </c>
      <c r="D1861" t="s">
        <v>77</v>
      </c>
      <c r="E1861" t="s">
        <v>90</v>
      </c>
      <c r="F1861" t="s">
        <v>112</v>
      </c>
      <c r="G1861">
        <v>4.82</v>
      </c>
      <c r="H1861" t="s">
        <v>61</v>
      </c>
      <c r="I1861" t="s">
        <v>42</v>
      </c>
      <c r="M1861">
        <f>VLOOKUP(H1861,'Stage Order'!$A$2:$B$8,2,FALSE)</f>
        <v>1</v>
      </c>
      <c r="N1861" t="str">
        <f t="shared" si="58"/>
        <v>2. 1-24 hours</v>
      </c>
      <c r="O1861" t="str">
        <f t="shared" si="59"/>
        <v>2025-09</v>
      </c>
    </row>
    <row r="1862" spans="1:15" x14ac:dyDescent="0.3">
      <c r="A1862" t="s">
        <v>4408</v>
      </c>
      <c r="B1862" t="s">
        <v>4409</v>
      </c>
      <c r="C1862" t="s">
        <v>28</v>
      </c>
      <c r="D1862" t="s">
        <v>38</v>
      </c>
      <c r="E1862" t="s">
        <v>90</v>
      </c>
      <c r="F1862" t="s">
        <v>91</v>
      </c>
      <c r="G1862">
        <v>1.37</v>
      </c>
      <c r="H1862" t="s">
        <v>41</v>
      </c>
      <c r="I1862" t="s">
        <v>42</v>
      </c>
      <c r="M1862">
        <f>VLOOKUP(H1862,'Stage Order'!$A$2:$B$8,2,FALSE)</f>
        <v>2</v>
      </c>
      <c r="N1862" t="str">
        <f t="shared" si="58"/>
        <v>2. 1-24 hours</v>
      </c>
      <c r="O1862" t="str">
        <f t="shared" si="59"/>
        <v>2026-05</v>
      </c>
    </row>
    <row r="1863" spans="1:15" x14ac:dyDescent="0.3">
      <c r="A1863" t="s">
        <v>4410</v>
      </c>
      <c r="B1863" t="s">
        <v>4411</v>
      </c>
      <c r="C1863" t="s">
        <v>28</v>
      </c>
      <c r="D1863" t="s">
        <v>38</v>
      </c>
      <c r="E1863" t="s">
        <v>59</v>
      </c>
      <c r="F1863" t="s">
        <v>117</v>
      </c>
      <c r="G1863">
        <v>4.9400000000000004</v>
      </c>
      <c r="H1863" t="s">
        <v>32</v>
      </c>
      <c r="I1863" t="s">
        <v>33</v>
      </c>
      <c r="K1863">
        <v>319.08</v>
      </c>
      <c r="L1863" t="s">
        <v>4412</v>
      </c>
      <c r="M1863">
        <f>VLOOKUP(H1863,'Stage Order'!$A$2:$B$8,2,FALSE)</f>
        <v>7</v>
      </c>
      <c r="N1863" t="str">
        <f t="shared" si="58"/>
        <v>2. 1-24 hours</v>
      </c>
      <c r="O1863" t="str">
        <f t="shared" si="59"/>
        <v>2025-12</v>
      </c>
    </row>
    <row r="1864" spans="1:15" x14ac:dyDescent="0.3">
      <c r="A1864" t="s">
        <v>4413</v>
      </c>
      <c r="B1864" t="s">
        <v>4414</v>
      </c>
      <c r="C1864" t="s">
        <v>58</v>
      </c>
      <c r="D1864" t="s">
        <v>97</v>
      </c>
      <c r="E1864" t="s">
        <v>45</v>
      </c>
      <c r="F1864" t="s">
        <v>46</v>
      </c>
      <c r="G1864">
        <v>2.72</v>
      </c>
      <c r="H1864" t="s">
        <v>61</v>
      </c>
      <c r="I1864" t="s">
        <v>42</v>
      </c>
      <c r="M1864">
        <f>VLOOKUP(H1864,'Stage Order'!$A$2:$B$8,2,FALSE)</f>
        <v>1</v>
      </c>
      <c r="N1864" t="str">
        <f t="shared" si="58"/>
        <v>2. 1-24 hours</v>
      </c>
      <c r="O1864" t="str">
        <f t="shared" si="59"/>
        <v>2025-02</v>
      </c>
    </row>
    <row r="1865" spans="1:15" x14ac:dyDescent="0.3">
      <c r="A1865" t="s">
        <v>4415</v>
      </c>
      <c r="B1865" t="s">
        <v>4416</v>
      </c>
      <c r="C1865" t="s">
        <v>125</v>
      </c>
      <c r="D1865" t="s">
        <v>38</v>
      </c>
      <c r="E1865" t="s">
        <v>30</v>
      </c>
      <c r="F1865" t="s">
        <v>78</v>
      </c>
      <c r="G1865">
        <v>12.69</v>
      </c>
      <c r="H1865" t="s">
        <v>61</v>
      </c>
      <c r="I1865" t="s">
        <v>42</v>
      </c>
      <c r="M1865">
        <f>VLOOKUP(H1865,'Stage Order'!$A$2:$B$8,2,FALSE)</f>
        <v>1</v>
      </c>
      <c r="N1865" t="str">
        <f t="shared" si="58"/>
        <v>2. 1-24 hours</v>
      </c>
      <c r="O1865" t="str">
        <f t="shared" si="59"/>
        <v>2025-09</v>
      </c>
    </row>
    <row r="1866" spans="1:15" x14ac:dyDescent="0.3">
      <c r="A1866" t="s">
        <v>4417</v>
      </c>
      <c r="B1866" t="s">
        <v>4418</v>
      </c>
      <c r="C1866" t="s">
        <v>58</v>
      </c>
      <c r="D1866" t="s">
        <v>77</v>
      </c>
      <c r="E1866" t="s">
        <v>45</v>
      </c>
      <c r="F1866" t="s">
        <v>55</v>
      </c>
      <c r="G1866">
        <v>4.7</v>
      </c>
      <c r="H1866" t="s">
        <v>61</v>
      </c>
      <c r="I1866" t="s">
        <v>42</v>
      </c>
      <c r="M1866">
        <f>VLOOKUP(H1866,'Stage Order'!$A$2:$B$8,2,FALSE)</f>
        <v>1</v>
      </c>
      <c r="N1866" t="str">
        <f t="shared" si="58"/>
        <v>2. 1-24 hours</v>
      </c>
      <c r="O1866" t="str">
        <f t="shared" si="59"/>
        <v>2025-07</v>
      </c>
    </row>
    <row r="1867" spans="1:15" x14ac:dyDescent="0.3">
      <c r="A1867" t="s">
        <v>4419</v>
      </c>
      <c r="B1867" t="s">
        <v>4420</v>
      </c>
      <c r="C1867" t="s">
        <v>76</v>
      </c>
      <c r="D1867" t="s">
        <v>29</v>
      </c>
      <c r="E1867" t="s">
        <v>39</v>
      </c>
      <c r="F1867" t="s">
        <v>66</v>
      </c>
      <c r="G1867">
        <v>7.39</v>
      </c>
      <c r="H1867" t="s">
        <v>41</v>
      </c>
      <c r="I1867" t="s">
        <v>42</v>
      </c>
      <c r="M1867">
        <f>VLOOKUP(H1867,'Stage Order'!$A$2:$B$8,2,FALSE)</f>
        <v>2</v>
      </c>
      <c r="N1867" t="str">
        <f t="shared" si="58"/>
        <v>2. 1-24 hours</v>
      </c>
      <c r="O1867" t="str">
        <f t="shared" si="59"/>
        <v>2025-02</v>
      </c>
    </row>
    <row r="1868" spans="1:15" x14ac:dyDescent="0.3">
      <c r="A1868" t="s">
        <v>4421</v>
      </c>
      <c r="B1868" t="s">
        <v>4422</v>
      </c>
      <c r="C1868" t="s">
        <v>37</v>
      </c>
      <c r="D1868" t="s">
        <v>77</v>
      </c>
      <c r="E1868" t="s">
        <v>59</v>
      </c>
      <c r="F1868" t="s">
        <v>117</v>
      </c>
      <c r="G1868">
        <v>1.55</v>
      </c>
      <c r="H1868" t="s">
        <v>41</v>
      </c>
      <c r="I1868" t="s">
        <v>42</v>
      </c>
      <c r="M1868">
        <f>VLOOKUP(H1868,'Stage Order'!$A$2:$B$8,2,FALSE)</f>
        <v>2</v>
      </c>
      <c r="N1868" t="str">
        <f t="shared" si="58"/>
        <v>2. 1-24 hours</v>
      </c>
      <c r="O1868" t="str">
        <f t="shared" si="59"/>
        <v>2026-01</v>
      </c>
    </row>
    <row r="1869" spans="1:15" x14ac:dyDescent="0.3">
      <c r="A1869" t="s">
        <v>4423</v>
      </c>
      <c r="B1869" t="s">
        <v>4424</v>
      </c>
      <c r="C1869" t="s">
        <v>125</v>
      </c>
      <c r="D1869" t="s">
        <v>97</v>
      </c>
      <c r="E1869" t="s">
        <v>59</v>
      </c>
      <c r="F1869" t="s">
        <v>117</v>
      </c>
      <c r="G1869">
        <v>2.78</v>
      </c>
      <c r="H1869" t="s">
        <v>41</v>
      </c>
      <c r="I1869" t="s">
        <v>42</v>
      </c>
      <c r="M1869">
        <f>VLOOKUP(H1869,'Stage Order'!$A$2:$B$8,2,FALSE)</f>
        <v>2</v>
      </c>
      <c r="N1869" t="str">
        <f t="shared" si="58"/>
        <v>2. 1-24 hours</v>
      </c>
      <c r="O1869" t="str">
        <f t="shared" si="59"/>
        <v>2025-10</v>
      </c>
    </row>
    <row r="1870" spans="1:15" x14ac:dyDescent="0.3">
      <c r="A1870" t="s">
        <v>4425</v>
      </c>
      <c r="B1870" t="s">
        <v>4426</v>
      </c>
      <c r="C1870" t="s">
        <v>37</v>
      </c>
      <c r="D1870" t="s">
        <v>54</v>
      </c>
      <c r="E1870" t="s">
        <v>90</v>
      </c>
      <c r="F1870" t="s">
        <v>91</v>
      </c>
      <c r="G1870">
        <v>8.83</v>
      </c>
      <c r="H1870" t="s">
        <v>41</v>
      </c>
      <c r="I1870" t="s">
        <v>42</v>
      </c>
      <c r="M1870">
        <f>VLOOKUP(H1870,'Stage Order'!$A$2:$B$8,2,FALSE)</f>
        <v>2</v>
      </c>
      <c r="N1870" t="str">
        <f t="shared" si="58"/>
        <v>2. 1-24 hours</v>
      </c>
      <c r="O1870" t="str">
        <f t="shared" si="59"/>
        <v>2025-09</v>
      </c>
    </row>
    <row r="1871" spans="1:15" x14ac:dyDescent="0.3">
      <c r="A1871" t="s">
        <v>4427</v>
      </c>
      <c r="B1871" t="s">
        <v>4428</v>
      </c>
      <c r="C1871" t="s">
        <v>81</v>
      </c>
      <c r="D1871" t="s">
        <v>29</v>
      </c>
      <c r="E1871" t="s">
        <v>45</v>
      </c>
      <c r="F1871" t="s">
        <v>94</v>
      </c>
      <c r="G1871">
        <v>3.54</v>
      </c>
      <c r="H1871" t="s">
        <v>61</v>
      </c>
      <c r="I1871" t="s">
        <v>42</v>
      </c>
      <c r="M1871">
        <f>VLOOKUP(H1871,'Stage Order'!$A$2:$B$8,2,FALSE)</f>
        <v>1</v>
      </c>
      <c r="N1871" t="str">
        <f t="shared" si="58"/>
        <v>2. 1-24 hours</v>
      </c>
      <c r="O1871" t="str">
        <f t="shared" si="59"/>
        <v>2025-07</v>
      </c>
    </row>
    <row r="1872" spans="1:15" x14ac:dyDescent="0.3">
      <c r="A1872" t="s">
        <v>4429</v>
      </c>
      <c r="B1872" t="s">
        <v>4430</v>
      </c>
      <c r="C1872" t="s">
        <v>37</v>
      </c>
      <c r="D1872" t="s">
        <v>54</v>
      </c>
      <c r="E1872" t="s">
        <v>45</v>
      </c>
      <c r="F1872" t="s">
        <v>55</v>
      </c>
      <c r="G1872">
        <v>7.77</v>
      </c>
      <c r="H1872" t="s">
        <v>138</v>
      </c>
      <c r="I1872" t="s">
        <v>48</v>
      </c>
      <c r="J1872" t="s">
        <v>139</v>
      </c>
      <c r="K1872">
        <v>491.98</v>
      </c>
      <c r="L1872" t="s">
        <v>4431</v>
      </c>
      <c r="M1872">
        <f>VLOOKUP(H1872,'Stage Order'!$A$2:$B$8,2,FALSE)</f>
        <v>6</v>
      </c>
      <c r="N1872" t="str">
        <f t="shared" si="58"/>
        <v>2. 1-24 hours</v>
      </c>
      <c r="O1872" t="str">
        <f t="shared" si="59"/>
        <v>2025-06</v>
      </c>
    </row>
    <row r="1873" spans="1:15" x14ac:dyDescent="0.3">
      <c r="A1873" t="s">
        <v>4432</v>
      </c>
      <c r="B1873" t="s">
        <v>4433</v>
      </c>
      <c r="C1873" t="s">
        <v>81</v>
      </c>
      <c r="D1873" t="s">
        <v>38</v>
      </c>
      <c r="E1873" t="s">
        <v>59</v>
      </c>
      <c r="F1873" t="s">
        <v>137</v>
      </c>
      <c r="G1873">
        <v>3.74</v>
      </c>
      <c r="H1873" t="s">
        <v>41</v>
      </c>
      <c r="I1873" t="s">
        <v>42</v>
      </c>
      <c r="M1873">
        <f>VLOOKUP(H1873,'Stage Order'!$A$2:$B$8,2,FALSE)</f>
        <v>2</v>
      </c>
      <c r="N1873" t="str">
        <f t="shared" si="58"/>
        <v>2. 1-24 hours</v>
      </c>
      <c r="O1873" t="str">
        <f t="shared" si="59"/>
        <v>2025-12</v>
      </c>
    </row>
    <row r="1874" spans="1:15" x14ac:dyDescent="0.3">
      <c r="A1874" t="s">
        <v>4434</v>
      </c>
      <c r="B1874" t="s">
        <v>4435</v>
      </c>
      <c r="C1874" t="s">
        <v>81</v>
      </c>
      <c r="D1874" t="s">
        <v>77</v>
      </c>
      <c r="E1874" t="s">
        <v>59</v>
      </c>
      <c r="F1874" t="s">
        <v>117</v>
      </c>
      <c r="G1874">
        <v>2.02</v>
      </c>
      <c r="H1874" t="s">
        <v>138</v>
      </c>
      <c r="I1874" t="s">
        <v>48</v>
      </c>
      <c r="J1874" t="s">
        <v>98</v>
      </c>
      <c r="K1874">
        <v>846.24</v>
      </c>
      <c r="L1874" t="s">
        <v>4436</v>
      </c>
      <c r="M1874">
        <f>VLOOKUP(H1874,'Stage Order'!$A$2:$B$8,2,FALSE)</f>
        <v>6</v>
      </c>
      <c r="N1874" t="str">
        <f t="shared" si="58"/>
        <v>2. 1-24 hours</v>
      </c>
      <c r="O1874" t="str">
        <f t="shared" si="59"/>
        <v>2026-05</v>
      </c>
    </row>
    <row r="1875" spans="1:15" x14ac:dyDescent="0.3">
      <c r="A1875" t="s">
        <v>4437</v>
      </c>
      <c r="B1875" t="s">
        <v>4438</v>
      </c>
      <c r="C1875" t="s">
        <v>81</v>
      </c>
      <c r="D1875" t="s">
        <v>38</v>
      </c>
      <c r="E1875" t="s">
        <v>39</v>
      </c>
      <c r="F1875" t="s">
        <v>66</v>
      </c>
      <c r="G1875">
        <v>0.83</v>
      </c>
      <c r="H1875" t="s">
        <v>61</v>
      </c>
      <c r="I1875" t="s">
        <v>42</v>
      </c>
      <c r="M1875">
        <f>VLOOKUP(H1875,'Stage Order'!$A$2:$B$8,2,FALSE)</f>
        <v>1</v>
      </c>
      <c r="N1875" t="str">
        <f t="shared" si="58"/>
        <v>1. Under 1 hour</v>
      </c>
      <c r="O1875" t="str">
        <f t="shared" si="59"/>
        <v>2025-09</v>
      </c>
    </row>
    <row r="1876" spans="1:15" x14ac:dyDescent="0.3">
      <c r="A1876" t="s">
        <v>4439</v>
      </c>
      <c r="B1876" t="s">
        <v>4440</v>
      </c>
      <c r="C1876" t="s">
        <v>125</v>
      </c>
      <c r="D1876" t="s">
        <v>54</v>
      </c>
      <c r="E1876" t="s">
        <v>59</v>
      </c>
      <c r="F1876" t="s">
        <v>60</v>
      </c>
      <c r="G1876">
        <v>0.41</v>
      </c>
      <c r="H1876" t="s">
        <v>32</v>
      </c>
      <c r="I1876" t="s">
        <v>33</v>
      </c>
      <c r="K1876">
        <v>463.84</v>
      </c>
      <c r="L1876" t="s">
        <v>4441</v>
      </c>
      <c r="M1876">
        <f>VLOOKUP(H1876,'Stage Order'!$A$2:$B$8,2,FALSE)</f>
        <v>7</v>
      </c>
      <c r="N1876" t="str">
        <f t="shared" si="58"/>
        <v>1. Under 1 hour</v>
      </c>
      <c r="O1876" t="str">
        <f t="shared" si="59"/>
        <v>2025-04</v>
      </c>
    </row>
    <row r="1877" spans="1:15" x14ac:dyDescent="0.3">
      <c r="A1877" t="s">
        <v>4442</v>
      </c>
      <c r="B1877" t="s">
        <v>4443</v>
      </c>
      <c r="C1877" t="s">
        <v>58</v>
      </c>
      <c r="D1877" t="s">
        <v>38</v>
      </c>
      <c r="E1877" t="s">
        <v>39</v>
      </c>
      <c r="F1877" t="s">
        <v>106</v>
      </c>
      <c r="G1877">
        <v>1.41</v>
      </c>
      <c r="H1877" t="s">
        <v>41</v>
      </c>
      <c r="I1877" t="s">
        <v>42</v>
      </c>
      <c r="M1877">
        <f>VLOOKUP(H1877,'Stage Order'!$A$2:$B$8,2,FALSE)</f>
        <v>2</v>
      </c>
      <c r="N1877" t="str">
        <f t="shared" si="58"/>
        <v>2. 1-24 hours</v>
      </c>
      <c r="O1877" t="str">
        <f t="shared" si="59"/>
        <v>2025-04</v>
      </c>
    </row>
    <row r="1878" spans="1:15" x14ac:dyDescent="0.3">
      <c r="A1878" t="s">
        <v>4444</v>
      </c>
      <c r="B1878" t="s">
        <v>4445</v>
      </c>
      <c r="C1878" t="s">
        <v>37</v>
      </c>
      <c r="D1878" t="s">
        <v>54</v>
      </c>
      <c r="E1878" t="s">
        <v>90</v>
      </c>
      <c r="F1878" t="s">
        <v>112</v>
      </c>
      <c r="G1878">
        <v>0.87</v>
      </c>
      <c r="H1878" t="s">
        <v>41</v>
      </c>
      <c r="I1878" t="s">
        <v>42</v>
      </c>
      <c r="M1878">
        <f>VLOOKUP(H1878,'Stage Order'!$A$2:$B$8,2,FALSE)</f>
        <v>2</v>
      </c>
      <c r="N1878" t="str">
        <f t="shared" si="58"/>
        <v>1. Under 1 hour</v>
      </c>
      <c r="O1878" t="str">
        <f t="shared" si="59"/>
        <v>2025-10</v>
      </c>
    </row>
    <row r="1879" spans="1:15" x14ac:dyDescent="0.3">
      <c r="A1879" t="s">
        <v>4446</v>
      </c>
      <c r="B1879" t="s">
        <v>4447</v>
      </c>
      <c r="C1879" t="s">
        <v>28</v>
      </c>
      <c r="D1879" t="s">
        <v>54</v>
      </c>
      <c r="E1879" t="s">
        <v>45</v>
      </c>
      <c r="F1879" t="s">
        <v>94</v>
      </c>
      <c r="G1879">
        <v>3.22</v>
      </c>
      <c r="H1879" t="s">
        <v>41</v>
      </c>
      <c r="I1879" t="s">
        <v>42</v>
      </c>
      <c r="M1879">
        <f>VLOOKUP(H1879,'Stage Order'!$A$2:$B$8,2,FALSE)</f>
        <v>2</v>
      </c>
      <c r="N1879" t="str">
        <f t="shared" si="58"/>
        <v>2. 1-24 hours</v>
      </c>
      <c r="O1879" t="str">
        <f t="shared" si="59"/>
        <v>2025-12</v>
      </c>
    </row>
    <row r="1880" spans="1:15" x14ac:dyDescent="0.3">
      <c r="A1880" t="s">
        <v>4448</v>
      </c>
      <c r="B1880" t="s">
        <v>4449</v>
      </c>
      <c r="C1880" t="s">
        <v>125</v>
      </c>
      <c r="D1880" t="s">
        <v>77</v>
      </c>
      <c r="E1880" t="s">
        <v>39</v>
      </c>
      <c r="F1880" t="s">
        <v>106</v>
      </c>
      <c r="G1880">
        <v>8.2799999999999994</v>
      </c>
      <c r="H1880" t="s">
        <v>41</v>
      </c>
      <c r="I1880" t="s">
        <v>42</v>
      </c>
      <c r="M1880">
        <f>VLOOKUP(H1880,'Stage Order'!$A$2:$B$8,2,FALSE)</f>
        <v>2</v>
      </c>
      <c r="N1880" t="str">
        <f t="shared" si="58"/>
        <v>2. 1-24 hours</v>
      </c>
      <c r="O1880" t="str">
        <f t="shared" si="59"/>
        <v>2025-07</v>
      </c>
    </row>
    <row r="1881" spans="1:15" x14ac:dyDescent="0.3">
      <c r="A1881" t="s">
        <v>4450</v>
      </c>
      <c r="B1881" t="s">
        <v>4451</v>
      </c>
      <c r="C1881" t="s">
        <v>76</v>
      </c>
      <c r="D1881" t="s">
        <v>97</v>
      </c>
      <c r="E1881" t="s">
        <v>59</v>
      </c>
      <c r="F1881" t="s">
        <v>137</v>
      </c>
      <c r="G1881">
        <v>0.61</v>
      </c>
      <c r="H1881" t="s">
        <v>41</v>
      </c>
      <c r="I1881" t="s">
        <v>42</v>
      </c>
      <c r="M1881">
        <f>VLOOKUP(H1881,'Stage Order'!$A$2:$B$8,2,FALSE)</f>
        <v>2</v>
      </c>
      <c r="N1881" t="str">
        <f t="shared" si="58"/>
        <v>1. Under 1 hour</v>
      </c>
      <c r="O1881" t="str">
        <f t="shared" si="59"/>
        <v>2025-10</v>
      </c>
    </row>
    <row r="1882" spans="1:15" x14ac:dyDescent="0.3">
      <c r="A1882" t="s">
        <v>4452</v>
      </c>
      <c r="B1882" t="s">
        <v>4453</v>
      </c>
      <c r="C1882" t="s">
        <v>28</v>
      </c>
      <c r="D1882" t="s">
        <v>77</v>
      </c>
      <c r="E1882" t="s">
        <v>45</v>
      </c>
      <c r="F1882" t="s">
        <v>46</v>
      </c>
      <c r="G1882">
        <v>1.69</v>
      </c>
      <c r="H1882" t="s">
        <v>32</v>
      </c>
      <c r="I1882" t="s">
        <v>33</v>
      </c>
      <c r="K1882">
        <v>967.94</v>
      </c>
      <c r="L1882" t="s">
        <v>4454</v>
      </c>
      <c r="M1882">
        <f>VLOOKUP(H1882,'Stage Order'!$A$2:$B$8,2,FALSE)</f>
        <v>7</v>
      </c>
      <c r="N1882" t="str">
        <f t="shared" si="58"/>
        <v>2. 1-24 hours</v>
      </c>
      <c r="O1882" t="str">
        <f t="shared" si="59"/>
        <v>2025-09</v>
      </c>
    </row>
    <row r="1883" spans="1:15" x14ac:dyDescent="0.3">
      <c r="A1883" t="s">
        <v>4455</v>
      </c>
      <c r="B1883" t="s">
        <v>4456</v>
      </c>
      <c r="C1883" t="s">
        <v>125</v>
      </c>
      <c r="D1883" t="s">
        <v>54</v>
      </c>
      <c r="E1883" t="s">
        <v>59</v>
      </c>
      <c r="F1883" t="s">
        <v>60</v>
      </c>
      <c r="G1883">
        <v>2.89</v>
      </c>
      <c r="H1883" t="s">
        <v>61</v>
      </c>
      <c r="I1883" t="s">
        <v>42</v>
      </c>
      <c r="M1883">
        <f>VLOOKUP(H1883,'Stage Order'!$A$2:$B$8,2,FALSE)</f>
        <v>1</v>
      </c>
      <c r="N1883" t="str">
        <f t="shared" si="58"/>
        <v>2. 1-24 hours</v>
      </c>
      <c r="O1883" t="str">
        <f t="shared" si="59"/>
        <v>2025-07</v>
      </c>
    </row>
    <row r="1884" spans="1:15" x14ac:dyDescent="0.3">
      <c r="A1884" t="s">
        <v>4457</v>
      </c>
      <c r="B1884" t="s">
        <v>4458</v>
      </c>
      <c r="C1884" t="s">
        <v>53</v>
      </c>
      <c r="D1884" t="s">
        <v>29</v>
      </c>
      <c r="E1884" t="s">
        <v>45</v>
      </c>
      <c r="F1884" t="s">
        <v>55</v>
      </c>
      <c r="G1884">
        <v>0.86</v>
      </c>
      <c r="H1884" t="s">
        <v>41</v>
      </c>
      <c r="I1884" t="s">
        <v>42</v>
      </c>
      <c r="M1884">
        <f>VLOOKUP(H1884,'Stage Order'!$A$2:$B$8,2,FALSE)</f>
        <v>2</v>
      </c>
      <c r="N1884" t="str">
        <f t="shared" si="58"/>
        <v>1. Under 1 hour</v>
      </c>
      <c r="O1884" t="str">
        <f t="shared" si="59"/>
        <v>2025-08</v>
      </c>
    </row>
    <row r="1885" spans="1:15" x14ac:dyDescent="0.3">
      <c r="A1885" t="s">
        <v>4459</v>
      </c>
      <c r="B1885" t="s">
        <v>4460</v>
      </c>
      <c r="C1885" t="s">
        <v>81</v>
      </c>
      <c r="D1885" t="s">
        <v>77</v>
      </c>
      <c r="E1885" t="s">
        <v>59</v>
      </c>
      <c r="F1885" t="s">
        <v>137</v>
      </c>
      <c r="G1885">
        <v>10.94</v>
      </c>
      <c r="H1885" t="s">
        <v>41</v>
      </c>
      <c r="I1885" t="s">
        <v>42</v>
      </c>
      <c r="M1885">
        <f>VLOOKUP(H1885,'Stage Order'!$A$2:$B$8,2,FALSE)</f>
        <v>2</v>
      </c>
      <c r="N1885" t="str">
        <f t="shared" si="58"/>
        <v>2. 1-24 hours</v>
      </c>
      <c r="O1885" t="str">
        <f t="shared" si="59"/>
        <v>2025-05</v>
      </c>
    </row>
    <row r="1886" spans="1:15" x14ac:dyDescent="0.3">
      <c r="A1886" t="s">
        <v>4461</v>
      </c>
      <c r="B1886" t="s">
        <v>4462</v>
      </c>
      <c r="C1886" t="s">
        <v>81</v>
      </c>
      <c r="D1886" t="s">
        <v>29</v>
      </c>
      <c r="E1886" t="s">
        <v>59</v>
      </c>
      <c r="F1886" t="s">
        <v>137</v>
      </c>
      <c r="G1886">
        <v>4.03</v>
      </c>
      <c r="H1886" t="s">
        <v>138</v>
      </c>
      <c r="I1886" t="s">
        <v>48</v>
      </c>
      <c r="J1886" t="s">
        <v>98</v>
      </c>
      <c r="K1886">
        <v>574.5</v>
      </c>
      <c r="L1886" t="s">
        <v>4463</v>
      </c>
      <c r="M1886">
        <f>VLOOKUP(H1886,'Stage Order'!$A$2:$B$8,2,FALSE)</f>
        <v>6</v>
      </c>
      <c r="N1886" t="str">
        <f t="shared" si="58"/>
        <v>2. 1-24 hours</v>
      </c>
      <c r="O1886" t="str">
        <f t="shared" si="59"/>
        <v>2025-06</v>
      </c>
    </row>
    <row r="1887" spans="1:15" x14ac:dyDescent="0.3">
      <c r="A1887" t="s">
        <v>4464</v>
      </c>
      <c r="B1887" t="s">
        <v>4465</v>
      </c>
      <c r="C1887" t="s">
        <v>125</v>
      </c>
      <c r="D1887" t="s">
        <v>77</v>
      </c>
      <c r="E1887" t="s">
        <v>90</v>
      </c>
      <c r="F1887" t="s">
        <v>145</v>
      </c>
      <c r="G1887">
        <v>6.15</v>
      </c>
      <c r="H1887" t="s">
        <v>41</v>
      </c>
      <c r="I1887" t="s">
        <v>42</v>
      </c>
      <c r="M1887">
        <f>VLOOKUP(H1887,'Stage Order'!$A$2:$B$8,2,FALSE)</f>
        <v>2</v>
      </c>
      <c r="N1887" t="str">
        <f t="shared" si="58"/>
        <v>2. 1-24 hours</v>
      </c>
      <c r="O1887" t="str">
        <f t="shared" si="59"/>
        <v>2025-11</v>
      </c>
    </row>
    <row r="1888" spans="1:15" x14ac:dyDescent="0.3">
      <c r="A1888" t="s">
        <v>4466</v>
      </c>
      <c r="B1888" t="s">
        <v>4467</v>
      </c>
      <c r="C1888" t="s">
        <v>58</v>
      </c>
      <c r="D1888" t="s">
        <v>38</v>
      </c>
      <c r="E1888" t="s">
        <v>45</v>
      </c>
      <c r="F1888" t="s">
        <v>46</v>
      </c>
      <c r="G1888">
        <v>2.4700000000000002</v>
      </c>
      <c r="H1888" t="s">
        <v>41</v>
      </c>
      <c r="I1888" t="s">
        <v>42</v>
      </c>
      <c r="M1888">
        <f>VLOOKUP(H1888,'Stage Order'!$A$2:$B$8,2,FALSE)</f>
        <v>2</v>
      </c>
      <c r="N1888" t="str">
        <f t="shared" si="58"/>
        <v>2. 1-24 hours</v>
      </c>
      <c r="O1888" t="str">
        <f t="shared" si="59"/>
        <v>2025-01</v>
      </c>
    </row>
    <row r="1889" spans="1:15" x14ac:dyDescent="0.3">
      <c r="A1889" t="s">
        <v>4468</v>
      </c>
      <c r="B1889" t="s">
        <v>4469</v>
      </c>
      <c r="C1889" t="s">
        <v>125</v>
      </c>
      <c r="D1889" t="s">
        <v>77</v>
      </c>
      <c r="E1889" t="s">
        <v>39</v>
      </c>
      <c r="F1889" t="s">
        <v>106</v>
      </c>
      <c r="G1889">
        <v>0.39</v>
      </c>
      <c r="H1889" t="s">
        <v>41</v>
      </c>
      <c r="I1889" t="s">
        <v>42</v>
      </c>
      <c r="M1889">
        <f>VLOOKUP(H1889,'Stage Order'!$A$2:$B$8,2,FALSE)</f>
        <v>2</v>
      </c>
      <c r="N1889" t="str">
        <f t="shared" si="58"/>
        <v>1. Under 1 hour</v>
      </c>
      <c r="O1889" t="str">
        <f t="shared" si="59"/>
        <v>2025-01</v>
      </c>
    </row>
    <row r="1890" spans="1:15" x14ac:dyDescent="0.3">
      <c r="A1890" t="s">
        <v>4470</v>
      </c>
      <c r="B1890" t="s">
        <v>4471</v>
      </c>
      <c r="C1890" t="s">
        <v>125</v>
      </c>
      <c r="D1890" t="s">
        <v>54</v>
      </c>
      <c r="E1890" t="s">
        <v>30</v>
      </c>
      <c r="F1890" t="s">
        <v>31</v>
      </c>
      <c r="G1890">
        <v>21.28</v>
      </c>
      <c r="H1890" t="s">
        <v>41</v>
      </c>
      <c r="I1890" t="s">
        <v>42</v>
      </c>
      <c r="M1890">
        <f>VLOOKUP(H1890,'Stage Order'!$A$2:$B$8,2,FALSE)</f>
        <v>2</v>
      </c>
      <c r="N1890" t="str">
        <f t="shared" si="58"/>
        <v>2. 1-24 hours</v>
      </c>
      <c r="O1890" t="str">
        <f t="shared" si="59"/>
        <v>2025-08</v>
      </c>
    </row>
    <row r="1891" spans="1:15" x14ac:dyDescent="0.3">
      <c r="A1891" t="s">
        <v>4472</v>
      </c>
      <c r="B1891" t="s">
        <v>4473</v>
      </c>
      <c r="C1891" t="s">
        <v>81</v>
      </c>
      <c r="D1891" t="s">
        <v>29</v>
      </c>
      <c r="E1891" t="s">
        <v>59</v>
      </c>
      <c r="F1891" t="s">
        <v>117</v>
      </c>
      <c r="G1891">
        <v>3.8</v>
      </c>
      <c r="H1891" t="s">
        <v>61</v>
      </c>
      <c r="I1891" t="s">
        <v>42</v>
      </c>
      <c r="M1891">
        <f>VLOOKUP(H1891,'Stage Order'!$A$2:$B$8,2,FALSE)</f>
        <v>1</v>
      </c>
      <c r="N1891" t="str">
        <f t="shared" si="58"/>
        <v>2. 1-24 hours</v>
      </c>
      <c r="O1891" t="str">
        <f t="shared" si="59"/>
        <v>2025-07</v>
      </c>
    </row>
    <row r="1892" spans="1:15" x14ac:dyDescent="0.3">
      <c r="A1892" t="s">
        <v>4474</v>
      </c>
      <c r="B1892" t="s">
        <v>4475</v>
      </c>
      <c r="C1892" t="s">
        <v>58</v>
      </c>
      <c r="D1892" t="s">
        <v>29</v>
      </c>
      <c r="E1892" t="s">
        <v>59</v>
      </c>
      <c r="F1892" t="s">
        <v>60</v>
      </c>
      <c r="G1892">
        <v>2.97</v>
      </c>
      <c r="H1892" t="s">
        <v>47</v>
      </c>
      <c r="I1892" t="s">
        <v>48</v>
      </c>
      <c r="J1892" t="s">
        <v>49</v>
      </c>
      <c r="K1892">
        <v>711.58</v>
      </c>
      <c r="L1892" t="s">
        <v>4476</v>
      </c>
      <c r="M1892">
        <f>VLOOKUP(H1892,'Stage Order'!$A$2:$B$8,2,FALSE)</f>
        <v>4</v>
      </c>
      <c r="N1892" t="str">
        <f t="shared" si="58"/>
        <v>2. 1-24 hours</v>
      </c>
      <c r="O1892" t="str">
        <f t="shared" si="59"/>
        <v>2025-05</v>
      </c>
    </row>
    <row r="1893" spans="1:15" x14ac:dyDescent="0.3">
      <c r="A1893" t="s">
        <v>4477</v>
      </c>
      <c r="B1893" t="s">
        <v>4478</v>
      </c>
      <c r="C1893" t="s">
        <v>37</v>
      </c>
      <c r="D1893" t="s">
        <v>97</v>
      </c>
      <c r="E1893" t="s">
        <v>39</v>
      </c>
      <c r="F1893" t="s">
        <v>66</v>
      </c>
      <c r="G1893">
        <v>25.73</v>
      </c>
      <c r="H1893" t="s">
        <v>41</v>
      </c>
      <c r="I1893" t="s">
        <v>42</v>
      </c>
      <c r="M1893">
        <f>VLOOKUP(H1893,'Stage Order'!$A$2:$B$8,2,FALSE)</f>
        <v>2</v>
      </c>
      <c r="N1893" t="str">
        <f t="shared" si="58"/>
        <v>3. 1-3 days</v>
      </c>
      <c r="O1893" t="str">
        <f t="shared" si="59"/>
        <v>2025-09</v>
      </c>
    </row>
    <row r="1894" spans="1:15" x14ac:dyDescent="0.3">
      <c r="A1894" t="s">
        <v>4479</v>
      </c>
      <c r="B1894" t="s">
        <v>4480</v>
      </c>
      <c r="C1894" t="s">
        <v>58</v>
      </c>
      <c r="D1894" t="s">
        <v>38</v>
      </c>
      <c r="E1894" t="s">
        <v>45</v>
      </c>
      <c r="F1894" t="s">
        <v>55</v>
      </c>
      <c r="G1894">
        <v>1.25</v>
      </c>
      <c r="H1894" t="s">
        <v>61</v>
      </c>
      <c r="I1894" t="s">
        <v>42</v>
      </c>
      <c r="M1894">
        <f>VLOOKUP(H1894,'Stage Order'!$A$2:$B$8,2,FALSE)</f>
        <v>1</v>
      </c>
      <c r="N1894" t="str">
        <f t="shared" si="58"/>
        <v>2. 1-24 hours</v>
      </c>
      <c r="O1894" t="str">
        <f t="shared" si="59"/>
        <v>2025-12</v>
      </c>
    </row>
    <row r="1895" spans="1:15" x14ac:dyDescent="0.3">
      <c r="A1895" t="s">
        <v>4481</v>
      </c>
      <c r="B1895" t="s">
        <v>4482</v>
      </c>
      <c r="C1895" t="s">
        <v>37</v>
      </c>
      <c r="D1895" t="s">
        <v>77</v>
      </c>
      <c r="E1895" t="s">
        <v>45</v>
      </c>
      <c r="F1895" t="s">
        <v>55</v>
      </c>
      <c r="G1895">
        <v>1.1499999999999999</v>
      </c>
      <c r="H1895" t="s">
        <v>146</v>
      </c>
      <c r="I1895" t="s">
        <v>48</v>
      </c>
      <c r="J1895" t="s">
        <v>742</v>
      </c>
      <c r="K1895">
        <v>1143.47</v>
      </c>
      <c r="L1895" t="s">
        <v>4483</v>
      </c>
      <c r="M1895">
        <f>VLOOKUP(H1895,'Stage Order'!$A$2:$B$8,2,FALSE)</f>
        <v>5</v>
      </c>
      <c r="N1895" t="str">
        <f t="shared" si="58"/>
        <v>2. 1-24 hours</v>
      </c>
      <c r="O1895" t="str">
        <f t="shared" si="59"/>
        <v>2025-05</v>
      </c>
    </row>
    <row r="1896" spans="1:15" x14ac:dyDescent="0.3">
      <c r="A1896" t="s">
        <v>4484</v>
      </c>
      <c r="B1896" t="s">
        <v>4485</v>
      </c>
      <c r="C1896" t="s">
        <v>37</v>
      </c>
      <c r="D1896" t="s">
        <v>54</v>
      </c>
      <c r="E1896" t="s">
        <v>39</v>
      </c>
      <c r="F1896" t="s">
        <v>40</v>
      </c>
      <c r="G1896">
        <v>4.1500000000000004</v>
      </c>
      <c r="H1896" t="s">
        <v>138</v>
      </c>
      <c r="I1896" t="s">
        <v>48</v>
      </c>
      <c r="J1896" t="s">
        <v>113</v>
      </c>
      <c r="K1896">
        <v>408.76</v>
      </c>
      <c r="L1896" t="s">
        <v>4486</v>
      </c>
      <c r="M1896">
        <f>VLOOKUP(H1896,'Stage Order'!$A$2:$B$8,2,FALSE)</f>
        <v>6</v>
      </c>
      <c r="N1896" t="str">
        <f t="shared" si="58"/>
        <v>2. 1-24 hours</v>
      </c>
      <c r="O1896" t="str">
        <f t="shared" si="59"/>
        <v>2025-11</v>
      </c>
    </row>
    <row r="1897" spans="1:15" x14ac:dyDescent="0.3">
      <c r="A1897" t="s">
        <v>4487</v>
      </c>
      <c r="B1897" t="s">
        <v>4488</v>
      </c>
      <c r="C1897" t="s">
        <v>58</v>
      </c>
      <c r="D1897" t="s">
        <v>77</v>
      </c>
      <c r="E1897" t="s">
        <v>90</v>
      </c>
      <c r="F1897" t="s">
        <v>145</v>
      </c>
      <c r="G1897">
        <v>3.77</v>
      </c>
      <c r="H1897" t="s">
        <v>41</v>
      </c>
      <c r="I1897" t="s">
        <v>42</v>
      </c>
      <c r="M1897">
        <f>VLOOKUP(H1897,'Stage Order'!$A$2:$B$8,2,FALSE)</f>
        <v>2</v>
      </c>
      <c r="N1897" t="str">
        <f t="shared" si="58"/>
        <v>2. 1-24 hours</v>
      </c>
      <c r="O1897" t="str">
        <f t="shared" si="59"/>
        <v>2026-04</v>
      </c>
    </row>
    <row r="1898" spans="1:15" x14ac:dyDescent="0.3">
      <c r="A1898" t="s">
        <v>4489</v>
      </c>
      <c r="B1898" t="s">
        <v>4490</v>
      </c>
      <c r="C1898" t="s">
        <v>37</v>
      </c>
      <c r="D1898" t="s">
        <v>38</v>
      </c>
      <c r="E1898" t="s">
        <v>59</v>
      </c>
      <c r="F1898" t="s">
        <v>60</v>
      </c>
      <c r="G1898">
        <v>3.53</v>
      </c>
      <c r="H1898" t="s">
        <v>138</v>
      </c>
      <c r="I1898" t="s">
        <v>48</v>
      </c>
      <c r="J1898" t="s">
        <v>98</v>
      </c>
      <c r="K1898">
        <v>308.89</v>
      </c>
      <c r="L1898" t="s">
        <v>4491</v>
      </c>
      <c r="M1898">
        <f>VLOOKUP(H1898,'Stage Order'!$A$2:$B$8,2,FALSE)</f>
        <v>6</v>
      </c>
      <c r="N1898" t="str">
        <f t="shared" si="58"/>
        <v>2. 1-24 hours</v>
      </c>
      <c r="O1898" t="str">
        <f t="shared" si="59"/>
        <v>2025-02</v>
      </c>
    </row>
    <row r="1899" spans="1:15" x14ac:dyDescent="0.3">
      <c r="A1899" t="s">
        <v>4492</v>
      </c>
      <c r="B1899" t="s">
        <v>4493</v>
      </c>
      <c r="C1899" t="s">
        <v>58</v>
      </c>
      <c r="D1899" t="s">
        <v>54</v>
      </c>
      <c r="E1899" t="s">
        <v>45</v>
      </c>
      <c r="F1899" t="s">
        <v>55</v>
      </c>
      <c r="G1899">
        <v>0.91</v>
      </c>
      <c r="H1899" t="s">
        <v>32</v>
      </c>
      <c r="I1899" t="s">
        <v>33</v>
      </c>
      <c r="K1899">
        <v>591.74</v>
      </c>
      <c r="L1899" t="s">
        <v>4494</v>
      </c>
      <c r="M1899">
        <f>VLOOKUP(H1899,'Stage Order'!$A$2:$B$8,2,FALSE)</f>
        <v>7</v>
      </c>
      <c r="N1899" t="str">
        <f t="shared" si="58"/>
        <v>1. Under 1 hour</v>
      </c>
      <c r="O1899" t="str">
        <f t="shared" si="59"/>
        <v>2026-04</v>
      </c>
    </row>
    <row r="1900" spans="1:15" x14ac:dyDescent="0.3">
      <c r="A1900" t="s">
        <v>4495</v>
      </c>
      <c r="B1900" t="s">
        <v>4496</v>
      </c>
      <c r="C1900" t="s">
        <v>28</v>
      </c>
      <c r="D1900" t="s">
        <v>29</v>
      </c>
      <c r="E1900" t="s">
        <v>45</v>
      </c>
      <c r="F1900" t="s">
        <v>46</v>
      </c>
      <c r="G1900">
        <v>0.25</v>
      </c>
      <c r="H1900" t="s">
        <v>128</v>
      </c>
      <c r="I1900" t="s">
        <v>42</v>
      </c>
      <c r="M1900">
        <f>VLOOKUP(H1900,'Stage Order'!$A$2:$B$8,2,FALSE)</f>
        <v>3</v>
      </c>
      <c r="N1900" t="str">
        <f t="shared" si="58"/>
        <v>1. Under 1 hour</v>
      </c>
      <c r="O1900" t="str">
        <f t="shared" si="59"/>
        <v>2025-01</v>
      </c>
    </row>
    <row r="1901" spans="1:15" x14ac:dyDescent="0.3">
      <c r="A1901" t="s">
        <v>4497</v>
      </c>
      <c r="B1901" t="s">
        <v>4498</v>
      </c>
      <c r="C1901" t="s">
        <v>58</v>
      </c>
      <c r="D1901" t="s">
        <v>38</v>
      </c>
      <c r="E1901" t="s">
        <v>90</v>
      </c>
      <c r="F1901" t="s">
        <v>91</v>
      </c>
      <c r="G1901">
        <v>2.91</v>
      </c>
      <c r="H1901" t="s">
        <v>61</v>
      </c>
      <c r="I1901" t="s">
        <v>42</v>
      </c>
      <c r="M1901">
        <f>VLOOKUP(H1901,'Stage Order'!$A$2:$B$8,2,FALSE)</f>
        <v>1</v>
      </c>
      <c r="N1901" t="str">
        <f t="shared" si="58"/>
        <v>2. 1-24 hours</v>
      </c>
      <c r="O1901" t="str">
        <f t="shared" si="59"/>
        <v>2026-04</v>
      </c>
    </row>
    <row r="1902" spans="1:15" x14ac:dyDescent="0.3">
      <c r="A1902" t="s">
        <v>4499</v>
      </c>
      <c r="B1902" t="s">
        <v>4500</v>
      </c>
      <c r="C1902" t="s">
        <v>58</v>
      </c>
      <c r="D1902" t="s">
        <v>97</v>
      </c>
      <c r="E1902" t="s">
        <v>30</v>
      </c>
      <c r="F1902" t="s">
        <v>78</v>
      </c>
      <c r="G1902">
        <v>3.87</v>
      </c>
      <c r="H1902" t="s">
        <v>41</v>
      </c>
      <c r="I1902" t="s">
        <v>42</v>
      </c>
      <c r="M1902">
        <f>VLOOKUP(H1902,'Stage Order'!$A$2:$B$8,2,FALSE)</f>
        <v>2</v>
      </c>
      <c r="N1902" t="str">
        <f t="shared" si="58"/>
        <v>2. 1-24 hours</v>
      </c>
      <c r="O1902" t="str">
        <f t="shared" si="59"/>
        <v>2025-10</v>
      </c>
    </row>
    <row r="1903" spans="1:15" x14ac:dyDescent="0.3">
      <c r="A1903" t="s">
        <v>4501</v>
      </c>
      <c r="B1903" t="s">
        <v>4502</v>
      </c>
      <c r="C1903" t="s">
        <v>37</v>
      </c>
      <c r="D1903" t="s">
        <v>54</v>
      </c>
      <c r="E1903" t="s">
        <v>45</v>
      </c>
      <c r="F1903" t="s">
        <v>55</v>
      </c>
      <c r="G1903">
        <v>2.36</v>
      </c>
      <c r="H1903" t="s">
        <v>32</v>
      </c>
      <c r="I1903" t="s">
        <v>33</v>
      </c>
      <c r="K1903">
        <v>435.98</v>
      </c>
      <c r="L1903" t="s">
        <v>4503</v>
      </c>
      <c r="M1903">
        <f>VLOOKUP(H1903,'Stage Order'!$A$2:$B$8,2,FALSE)</f>
        <v>7</v>
      </c>
      <c r="N1903" t="str">
        <f t="shared" si="58"/>
        <v>2. 1-24 hours</v>
      </c>
      <c r="O1903" t="str">
        <f t="shared" si="59"/>
        <v>2026-06</v>
      </c>
    </row>
    <row r="1904" spans="1:15" x14ac:dyDescent="0.3">
      <c r="A1904" t="s">
        <v>4504</v>
      </c>
      <c r="B1904" t="s">
        <v>4505</v>
      </c>
      <c r="C1904" t="s">
        <v>28</v>
      </c>
      <c r="D1904" t="s">
        <v>29</v>
      </c>
      <c r="E1904" t="s">
        <v>45</v>
      </c>
      <c r="F1904" t="s">
        <v>94</v>
      </c>
      <c r="G1904">
        <v>5.7</v>
      </c>
      <c r="H1904" t="s">
        <v>41</v>
      </c>
      <c r="I1904" t="s">
        <v>42</v>
      </c>
      <c r="M1904">
        <f>VLOOKUP(H1904,'Stage Order'!$A$2:$B$8,2,FALSE)</f>
        <v>2</v>
      </c>
      <c r="N1904" t="str">
        <f t="shared" si="58"/>
        <v>2. 1-24 hours</v>
      </c>
      <c r="O1904" t="str">
        <f t="shared" si="59"/>
        <v>2025-10</v>
      </c>
    </row>
    <row r="1905" spans="1:15" x14ac:dyDescent="0.3">
      <c r="A1905" t="s">
        <v>4506</v>
      </c>
      <c r="B1905" t="s">
        <v>4507</v>
      </c>
      <c r="C1905" t="s">
        <v>28</v>
      </c>
      <c r="D1905" t="s">
        <v>29</v>
      </c>
      <c r="E1905" t="s">
        <v>90</v>
      </c>
      <c r="F1905" t="s">
        <v>91</v>
      </c>
      <c r="G1905">
        <v>2.88</v>
      </c>
      <c r="H1905" t="s">
        <v>41</v>
      </c>
      <c r="I1905" t="s">
        <v>42</v>
      </c>
      <c r="M1905">
        <f>VLOOKUP(H1905,'Stage Order'!$A$2:$B$8,2,FALSE)</f>
        <v>2</v>
      </c>
      <c r="N1905" t="str">
        <f t="shared" si="58"/>
        <v>2. 1-24 hours</v>
      </c>
      <c r="O1905" t="str">
        <f t="shared" si="59"/>
        <v>2025-01</v>
      </c>
    </row>
    <row r="1906" spans="1:15" x14ac:dyDescent="0.3">
      <c r="A1906" t="s">
        <v>4508</v>
      </c>
      <c r="B1906" t="s">
        <v>4509</v>
      </c>
      <c r="C1906" t="s">
        <v>81</v>
      </c>
      <c r="D1906" t="s">
        <v>38</v>
      </c>
      <c r="E1906" t="s">
        <v>90</v>
      </c>
      <c r="F1906" t="s">
        <v>112</v>
      </c>
      <c r="G1906">
        <v>23.99</v>
      </c>
      <c r="H1906" t="s">
        <v>61</v>
      </c>
      <c r="I1906" t="s">
        <v>42</v>
      </c>
      <c r="M1906">
        <f>VLOOKUP(H1906,'Stage Order'!$A$2:$B$8,2,FALSE)</f>
        <v>1</v>
      </c>
      <c r="N1906" t="str">
        <f t="shared" si="58"/>
        <v>2. 1-24 hours</v>
      </c>
      <c r="O1906" t="str">
        <f t="shared" si="59"/>
        <v>2025-05</v>
      </c>
    </row>
    <row r="1907" spans="1:15" x14ac:dyDescent="0.3">
      <c r="A1907" t="s">
        <v>4510</v>
      </c>
      <c r="B1907" t="s">
        <v>4511</v>
      </c>
      <c r="C1907" t="s">
        <v>58</v>
      </c>
      <c r="D1907" t="s">
        <v>54</v>
      </c>
      <c r="E1907" t="s">
        <v>90</v>
      </c>
      <c r="F1907" t="s">
        <v>91</v>
      </c>
      <c r="G1907">
        <v>1.67</v>
      </c>
      <c r="H1907" t="s">
        <v>61</v>
      </c>
      <c r="I1907" t="s">
        <v>42</v>
      </c>
      <c r="M1907">
        <f>VLOOKUP(H1907,'Stage Order'!$A$2:$B$8,2,FALSE)</f>
        <v>1</v>
      </c>
      <c r="N1907" t="str">
        <f t="shared" si="58"/>
        <v>2. 1-24 hours</v>
      </c>
      <c r="O1907" t="str">
        <f t="shared" si="59"/>
        <v>2025-03</v>
      </c>
    </row>
    <row r="1908" spans="1:15" x14ac:dyDescent="0.3">
      <c r="A1908" t="s">
        <v>4512</v>
      </c>
      <c r="B1908" t="s">
        <v>4513</v>
      </c>
      <c r="C1908" t="s">
        <v>37</v>
      </c>
      <c r="D1908" t="s">
        <v>77</v>
      </c>
      <c r="E1908" t="s">
        <v>45</v>
      </c>
      <c r="F1908" t="s">
        <v>46</v>
      </c>
      <c r="G1908">
        <v>3.19</v>
      </c>
      <c r="H1908" t="s">
        <v>41</v>
      </c>
      <c r="I1908" t="s">
        <v>42</v>
      </c>
      <c r="M1908">
        <f>VLOOKUP(H1908,'Stage Order'!$A$2:$B$8,2,FALSE)</f>
        <v>2</v>
      </c>
      <c r="N1908" t="str">
        <f t="shared" si="58"/>
        <v>2. 1-24 hours</v>
      </c>
      <c r="O1908" t="str">
        <f t="shared" si="59"/>
        <v>2026-06</v>
      </c>
    </row>
    <row r="1909" spans="1:15" x14ac:dyDescent="0.3">
      <c r="A1909" t="s">
        <v>4514</v>
      </c>
      <c r="B1909" t="s">
        <v>4515</v>
      </c>
      <c r="C1909" t="s">
        <v>81</v>
      </c>
      <c r="D1909" t="s">
        <v>54</v>
      </c>
      <c r="E1909" t="s">
        <v>45</v>
      </c>
      <c r="F1909" t="s">
        <v>94</v>
      </c>
      <c r="G1909">
        <v>0.9</v>
      </c>
      <c r="H1909" t="s">
        <v>61</v>
      </c>
      <c r="I1909" t="s">
        <v>42</v>
      </c>
      <c r="M1909">
        <f>VLOOKUP(H1909,'Stage Order'!$A$2:$B$8,2,FALSE)</f>
        <v>1</v>
      </c>
      <c r="N1909" t="str">
        <f t="shared" si="58"/>
        <v>1. Under 1 hour</v>
      </c>
      <c r="O1909" t="str">
        <f t="shared" si="59"/>
        <v>2025-11</v>
      </c>
    </row>
    <row r="1910" spans="1:15" x14ac:dyDescent="0.3">
      <c r="A1910" t="s">
        <v>4516</v>
      </c>
      <c r="B1910" t="s">
        <v>4517</v>
      </c>
      <c r="C1910" t="s">
        <v>58</v>
      </c>
      <c r="D1910" t="s">
        <v>38</v>
      </c>
      <c r="E1910" t="s">
        <v>45</v>
      </c>
      <c r="F1910" t="s">
        <v>55</v>
      </c>
      <c r="G1910">
        <v>1.58</v>
      </c>
      <c r="H1910" t="s">
        <v>41</v>
      </c>
      <c r="I1910" t="s">
        <v>42</v>
      </c>
      <c r="M1910">
        <f>VLOOKUP(H1910,'Stage Order'!$A$2:$B$8,2,FALSE)</f>
        <v>2</v>
      </c>
      <c r="N1910" t="str">
        <f t="shared" si="58"/>
        <v>2. 1-24 hours</v>
      </c>
      <c r="O1910" t="str">
        <f t="shared" si="59"/>
        <v>2025-01</v>
      </c>
    </row>
    <row r="1911" spans="1:15" x14ac:dyDescent="0.3">
      <c r="A1911" t="s">
        <v>4518</v>
      </c>
      <c r="B1911" t="s">
        <v>4519</v>
      </c>
      <c r="C1911" t="s">
        <v>28</v>
      </c>
      <c r="D1911" t="s">
        <v>38</v>
      </c>
      <c r="E1911" t="s">
        <v>45</v>
      </c>
      <c r="F1911" t="s">
        <v>94</v>
      </c>
      <c r="G1911">
        <v>2.0299999999999998</v>
      </c>
      <c r="H1911" t="s">
        <v>41</v>
      </c>
      <c r="I1911" t="s">
        <v>42</v>
      </c>
      <c r="M1911">
        <f>VLOOKUP(H1911,'Stage Order'!$A$2:$B$8,2,FALSE)</f>
        <v>2</v>
      </c>
      <c r="N1911" t="str">
        <f t="shared" si="58"/>
        <v>2. 1-24 hours</v>
      </c>
      <c r="O1911" t="str">
        <f t="shared" si="59"/>
        <v>2025-06</v>
      </c>
    </row>
    <row r="1912" spans="1:15" x14ac:dyDescent="0.3">
      <c r="A1912" t="s">
        <v>4520</v>
      </c>
      <c r="B1912" t="s">
        <v>4521</v>
      </c>
      <c r="C1912" t="s">
        <v>53</v>
      </c>
      <c r="D1912" t="s">
        <v>29</v>
      </c>
      <c r="E1912" t="s">
        <v>59</v>
      </c>
      <c r="F1912" t="s">
        <v>60</v>
      </c>
      <c r="G1912">
        <v>1.52</v>
      </c>
      <c r="H1912" t="s">
        <v>41</v>
      </c>
      <c r="I1912" t="s">
        <v>42</v>
      </c>
      <c r="M1912">
        <f>VLOOKUP(H1912,'Stage Order'!$A$2:$B$8,2,FALSE)</f>
        <v>2</v>
      </c>
      <c r="N1912" t="str">
        <f t="shared" si="58"/>
        <v>2. 1-24 hours</v>
      </c>
      <c r="O1912" t="str">
        <f t="shared" si="59"/>
        <v>2026-01</v>
      </c>
    </row>
    <row r="1913" spans="1:15" x14ac:dyDescent="0.3">
      <c r="A1913" t="s">
        <v>4522</v>
      </c>
      <c r="B1913" t="s">
        <v>4523</v>
      </c>
      <c r="C1913" t="s">
        <v>53</v>
      </c>
      <c r="D1913" t="s">
        <v>54</v>
      </c>
      <c r="E1913" t="s">
        <v>45</v>
      </c>
      <c r="F1913" t="s">
        <v>46</v>
      </c>
      <c r="G1913">
        <v>2.6</v>
      </c>
      <c r="H1913" t="s">
        <v>138</v>
      </c>
      <c r="I1913" t="s">
        <v>48</v>
      </c>
      <c r="J1913" t="s">
        <v>742</v>
      </c>
      <c r="K1913">
        <v>558.47</v>
      </c>
      <c r="L1913" t="s">
        <v>4524</v>
      </c>
      <c r="M1913">
        <f>VLOOKUP(H1913,'Stage Order'!$A$2:$B$8,2,FALSE)</f>
        <v>6</v>
      </c>
      <c r="N1913" t="str">
        <f t="shared" si="58"/>
        <v>2. 1-24 hours</v>
      </c>
      <c r="O1913" t="str">
        <f t="shared" si="59"/>
        <v>2026-05</v>
      </c>
    </row>
    <row r="1914" spans="1:15" x14ac:dyDescent="0.3">
      <c r="A1914" t="s">
        <v>4525</v>
      </c>
      <c r="B1914" t="s">
        <v>4526</v>
      </c>
      <c r="C1914" t="s">
        <v>125</v>
      </c>
      <c r="D1914" t="s">
        <v>77</v>
      </c>
      <c r="E1914" t="s">
        <v>39</v>
      </c>
      <c r="F1914" t="s">
        <v>66</v>
      </c>
      <c r="G1914">
        <v>4.43</v>
      </c>
      <c r="H1914" t="s">
        <v>61</v>
      </c>
      <c r="I1914" t="s">
        <v>42</v>
      </c>
      <c r="M1914">
        <f>VLOOKUP(H1914,'Stage Order'!$A$2:$B$8,2,FALSE)</f>
        <v>1</v>
      </c>
      <c r="N1914" t="str">
        <f t="shared" si="58"/>
        <v>2. 1-24 hours</v>
      </c>
      <c r="O1914" t="str">
        <f t="shared" si="59"/>
        <v>2025-01</v>
      </c>
    </row>
    <row r="1915" spans="1:15" x14ac:dyDescent="0.3">
      <c r="A1915" t="s">
        <v>4527</v>
      </c>
      <c r="B1915" t="s">
        <v>4528</v>
      </c>
      <c r="C1915" t="s">
        <v>37</v>
      </c>
      <c r="D1915" t="s">
        <v>77</v>
      </c>
      <c r="E1915" t="s">
        <v>45</v>
      </c>
      <c r="F1915" t="s">
        <v>94</v>
      </c>
      <c r="G1915">
        <v>3.67</v>
      </c>
      <c r="H1915" t="s">
        <v>41</v>
      </c>
      <c r="I1915" t="s">
        <v>42</v>
      </c>
      <c r="M1915">
        <f>VLOOKUP(H1915,'Stage Order'!$A$2:$B$8,2,FALSE)</f>
        <v>2</v>
      </c>
      <c r="N1915" t="str">
        <f t="shared" si="58"/>
        <v>2. 1-24 hours</v>
      </c>
      <c r="O1915" t="str">
        <f t="shared" si="59"/>
        <v>2025-05</v>
      </c>
    </row>
    <row r="1916" spans="1:15" x14ac:dyDescent="0.3">
      <c r="A1916" t="s">
        <v>4529</v>
      </c>
      <c r="B1916" t="s">
        <v>4530</v>
      </c>
      <c r="C1916" t="s">
        <v>76</v>
      </c>
      <c r="D1916" t="s">
        <v>54</v>
      </c>
      <c r="E1916" t="s">
        <v>39</v>
      </c>
      <c r="F1916" t="s">
        <v>66</v>
      </c>
      <c r="G1916">
        <v>2.06</v>
      </c>
      <c r="H1916" t="s">
        <v>41</v>
      </c>
      <c r="I1916" t="s">
        <v>42</v>
      </c>
      <c r="M1916">
        <f>VLOOKUP(H1916,'Stage Order'!$A$2:$B$8,2,FALSE)</f>
        <v>2</v>
      </c>
      <c r="N1916" t="str">
        <f t="shared" si="58"/>
        <v>2. 1-24 hours</v>
      </c>
      <c r="O1916" t="str">
        <f t="shared" si="59"/>
        <v>2025-02</v>
      </c>
    </row>
    <row r="1917" spans="1:15" x14ac:dyDescent="0.3">
      <c r="A1917" t="s">
        <v>4531</v>
      </c>
      <c r="B1917" t="s">
        <v>4532</v>
      </c>
      <c r="C1917" t="s">
        <v>81</v>
      </c>
      <c r="D1917" t="s">
        <v>29</v>
      </c>
      <c r="E1917" t="s">
        <v>39</v>
      </c>
      <c r="F1917" t="s">
        <v>40</v>
      </c>
      <c r="G1917">
        <v>14.02</v>
      </c>
      <c r="H1917" t="s">
        <v>61</v>
      </c>
      <c r="I1917" t="s">
        <v>42</v>
      </c>
      <c r="M1917">
        <f>VLOOKUP(H1917,'Stage Order'!$A$2:$B$8,2,FALSE)</f>
        <v>1</v>
      </c>
      <c r="N1917" t="str">
        <f t="shared" si="58"/>
        <v>2. 1-24 hours</v>
      </c>
      <c r="O1917" t="str">
        <f t="shared" si="59"/>
        <v>2025-09</v>
      </c>
    </row>
    <row r="1918" spans="1:15" x14ac:dyDescent="0.3">
      <c r="A1918" t="s">
        <v>4533</v>
      </c>
      <c r="B1918" t="s">
        <v>4534</v>
      </c>
      <c r="C1918" t="s">
        <v>28</v>
      </c>
      <c r="D1918" t="s">
        <v>54</v>
      </c>
      <c r="E1918" t="s">
        <v>59</v>
      </c>
      <c r="F1918" t="s">
        <v>117</v>
      </c>
      <c r="G1918">
        <v>3.75</v>
      </c>
      <c r="H1918" t="s">
        <v>138</v>
      </c>
      <c r="I1918" t="s">
        <v>48</v>
      </c>
      <c r="J1918" t="s">
        <v>139</v>
      </c>
      <c r="K1918">
        <v>570.24</v>
      </c>
      <c r="L1918" t="s">
        <v>4535</v>
      </c>
      <c r="M1918">
        <f>VLOOKUP(H1918,'Stage Order'!$A$2:$B$8,2,FALSE)</f>
        <v>6</v>
      </c>
      <c r="N1918" t="str">
        <f t="shared" si="58"/>
        <v>2. 1-24 hours</v>
      </c>
      <c r="O1918" t="str">
        <f t="shared" si="59"/>
        <v>2025-10</v>
      </c>
    </row>
    <row r="1919" spans="1:15" x14ac:dyDescent="0.3">
      <c r="A1919" t="s">
        <v>4536</v>
      </c>
      <c r="B1919" t="s">
        <v>4537</v>
      </c>
      <c r="C1919" t="s">
        <v>37</v>
      </c>
      <c r="D1919" t="s">
        <v>77</v>
      </c>
      <c r="E1919" t="s">
        <v>90</v>
      </c>
      <c r="F1919" t="s">
        <v>145</v>
      </c>
      <c r="G1919">
        <v>6.52</v>
      </c>
      <c r="H1919" t="s">
        <v>41</v>
      </c>
      <c r="I1919" t="s">
        <v>42</v>
      </c>
      <c r="M1919">
        <f>VLOOKUP(H1919,'Stage Order'!$A$2:$B$8,2,FALSE)</f>
        <v>2</v>
      </c>
      <c r="N1919" t="str">
        <f t="shared" si="58"/>
        <v>2. 1-24 hours</v>
      </c>
      <c r="O1919" t="str">
        <f t="shared" si="59"/>
        <v>2026-04</v>
      </c>
    </row>
    <row r="1920" spans="1:15" x14ac:dyDescent="0.3">
      <c r="A1920" t="s">
        <v>4538</v>
      </c>
      <c r="B1920" t="s">
        <v>4539</v>
      </c>
      <c r="C1920" t="s">
        <v>37</v>
      </c>
      <c r="D1920" t="s">
        <v>77</v>
      </c>
      <c r="E1920" t="s">
        <v>90</v>
      </c>
      <c r="F1920" t="s">
        <v>145</v>
      </c>
      <c r="G1920">
        <v>5.76</v>
      </c>
      <c r="H1920" t="s">
        <v>61</v>
      </c>
      <c r="I1920" t="s">
        <v>42</v>
      </c>
      <c r="M1920">
        <f>VLOOKUP(H1920,'Stage Order'!$A$2:$B$8,2,FALSE)</f>
        <v>1</v>
      </c>
      <c r="N1920" t="str">
        <f t="shared" si="58"/>
        <v>2. 1-24 hours</v>
      </c>
      <c r="O1920" t="str">
        <f t="shared" si="59"/>
        <v>2025-04</v>
      </c>
    </row>
    <row r="1921" spans="1:15" x14ac:dyDescent="0.3">
      <c r="A1921" t="s">
        <v>4540</v>
      </c>
      <c r="B1921" t="s">
        <v>4541</v>
      </c>
      <c r="C1921" t="s">
        <v>28</v>
      </c>
      <c r="D1921" t="s">
        <v>77</v>
      </c>
      <c r="E1921" t="s">
        <v>90</v>
      </c>
      <c r="F1921" t="s">
        <v>112</v>
      </c>
      <c r="G1921">
        <v>7.33</v>
      </c>
      <c r="H1921" t="s">
        <v>32</v>
      </c>
      <c r="I1921" t="s">
        <v>33</v>
      </c>
      <c r="K1921">
        <v>1029.1500000000001</v>
      </c>
      <c r="L1921" t="s">
        <v>4542</v>
      </c>
      <c r="M1921">
        <f>VLOOKUP(H1921,'Stage Order'!$A$2:$B$8,2,FALSE)</f>
        <v>7</v>
      </c>
      <c r="N1921" t="str">
        <f t="shared" si="58"/>
        <v>2. 1-24 hours</v>
      </c>
      <c r="O1921" t="str">
        <f t="shared" si="59"/>
        <v>2026-01</v>
      </c>
    </row>
    <row r="1922" spans="1:15" x14ac:dyDescent="0.3">
      <c r="A1922" t="s">
        <v>4543</v>
      </c>
      <c r="B1922" t="s">
        <v>4544</v>
      </c>
      <c r="C1922" t="s">
        <v>76</v>
      </c>
      <c r="D1922" t="s">
        <v>77</v>
      </c>
      <c r="E1922" t="s">
        <v>30</v>
      </c>
      <c r="F1922" t="s">
        <v>31</v>
      </c>
      <c r="G1922">
        <v>14</v>
      </c>
      <c r="H1922" t="s">
        <v>138</v>
      </c>
      <c r="I1922" t="s">
        <v>48</v>
      </c>
      <c r="J1922" t="s">
        <v>98</v>
      </c>
      <c r="K1922">
        <v>935.16</v>
      </c>
      <c r="L1922" t="s">
        <v>4545</v>
      </c>
      <c r="M1922">
        <f>VLOOKUP(H1922,'Stage Order'!$A$2:$B$8,2,FALSE)</f>
        <v>6</v>
      </c>
      <c r="N1922" t="str">
        <f t="shared" ref="N1922:N1985" si="60">IF(G1922&lt;=1,"1. Under 1 hour",IF(G1922&lt;=24,"2. 1-24 hours",IF(G1922&lt;=72,"3. 1-3 days","4. Over 3 days")))</f>
        <v>2. 1-24 hours</v>
      </c>
      <c r="O1922" t="str">
        <f t="shared" ref="O1922:O1985" si="61">TEXT(B1922,"YYYY-MM")</f>
        <v>2025-04</v>
      </c>
    </row>
    <row r="1923" spans="1:15" x14ac:dyDescent="0.3">
      <c r="A1923" t="s">
        <v>4546</v>
      </c>
      <c r="B1923" t="s">
        <v>4547</v>
      </c>
      <c r="C1923" t="s">
        <v>58</v>
      </c>
      <c r="D1923" t="s">
        <v>97</v>
      </c>
      <c r="E1923" t="s">
        <v>39</v>
      </c>
      <c r="F1923" t="s">
        <v>66</v>
      </c>
      <c r="G1923">
        <v>1.4</v>
      </c>
      <c r="H1923" t="s">
        <v>41</v>
      </c>
      <c r="I1923" t="s">
        <v>42</v>
      </c>
      <c r="M1923">
        <f>VLOOKUP(H1923,'Stage Order'!$A$2:$B$8,2,FALSE)</f>
        <v>2</v>
      </c>
      <c r="N1923" t="str">
        <f t="shared" si="60"/>
        <v>2. 1-24 hours</v>
      </c>
      <c r="O1923" t="str">
        <f t="shared" si="61"/>
        <v>2025-07</v>
      </c>
    </row>
    <row r="1924" spans="1:15" x14ac:dyDescent="0.3">
      <c r="A1924" t="s">
        <v>4548</v>
      </c>
      <c r="B1924" t="s">
        <v>4549</v>
      </c>
      <c r="C1924" t="s">
        <v>53</v>
      </c>
      <c r="D1924" t="s">
        <v>77</v>
      </c>
      <c r="E1924" t="s">
        <v>45</v>
      </c>
      <c r="F1924" t="s">
        <v>46</v>
      </c>
      <c r="G1924">
        <v>0.9</v>
      </c>
      <c r="H1924" t="s">
        <v>32</v>
      </c>
      <c r="I1924" t="s">
        <v>33</v>
      </c>
      <c r="K1924">
        <v>818.07</v>
      </c>
      <c r="L1924" t="s">
        <v>4550</v>
      </c>
      <c r="M1924">
        <f>VLOOKUP(H1924,'Stage Order'!$A$2:$B$8,2,FALSE)</f>
        <v>7</v>
      </c>
      <c r="N1924" t="str">
        <f t="shared" si="60"/>
        <v>1. Under 1 hour</v>
      </c>
      <c r="O1924" t="str">
        <f t="shared" si="61"/>
        <v>2025-07</v>
      </c>
    </row>
    <row r="1925" spans="1:15" x14ac:dyDescent="0.3">
      <c r="A1925" t="s">
        <v>4551</v>
      </c>
      <c r="B1925" t="s">
        <v>4552</v>
      </c>
      <c r="C1925" t="s">
        <v>76</v>
      </c>
      <c r="D1925" t="s">
        <v>77</v>
      </c>
      <c r="E1925" t="s">
        <v>45</v>
      </c>
      <c r="F1925" t="s">
        <v>55</v>
      </c>
      <c r="G1925">
        <v>2.94</v>
      </c>
      <c r="H1925" t="s">
        <v>138</v>
      </c>
      <c r="I1925" t="s">
        <v>48</v>
      </c>
      <c r="J1925" t="s">
        <v>98</v>
      </c>
      <c r="K1925">
        <v>1015.46</v>
      </c>
      <c r="L1925" t="s">
        <v>4553</v>
      </c>
      <c r="M1925">
        <f>VLOOKUP(H1925,'Stage Order'!$A$2:$B$8,2,FALSE)</f>
        <v>6</v>
      </c>
      <c r="N1925" t="str">
        <f t="shared" si="60"/>
        <v>2. 1-24 hours</v>
      </c>
      <c r="O1925" t="str">
        <f t="shared" si="61"/>
        <v>2025-06</v>
      </c>
    </row>
    <row r="1926" spans="1:15" x14ac:dyDescent="0.3">
      <c r="A1926" t="s">
        <v>4554</v>
      </c>
      <c r="B1926" t="s">
        <v>4555</v>
      </c>
      <c r="C1926" t="s">
        <v>58</v>
      </c>
      <c r="D1926" t="s">
        <v>77</v>
      </c>
      <c r="E1926" t="s">
        <v>45</v>
      </c>
      <c r="F1926" t="s">
        <v>55</v>
      </c>
      <c r="G1926">
        <v>4.26</v>
      </c>
      <c r="H1926" t="s">
        <v>32</v>
      </c>
      <c r="I1926" t="s">
        <v>33</v>
      </c>
      <c r="K1926">
        <v>909.22</v>
      </c>
      <c r="L1926" t="s">
        <v>4556</v>
      </c>
      <c r="M1926">
        <f>VLOOKUP(H1926,'Stage Order'!$A$2:$B$8,2,FALSE)</f>
        <v>7</v>
      </c>
      <c r="N1926" t="str">
        <f t="shared" si="60"/>
        <v>2. 1-24 hours</v>
      </c>
      <c r="O1926" t="str">
        <f t="shared" si="61"/>
        <v>2025-08</v>
      </c>
    </row>
    <row r="1927" spans="1:15" x14ac:dyDescent="0.3">
      <c r="A1927" t="s">
        <v>4557</v>
      </c>
      <c r="B1927" t="s">
        <v>4558</v>
      </c>
      <c r="C1927" t="s">
        <v>81</v>
      </c>
      <c r="D1927" t="s">
        <v>77</v>
      </c>
      <c r="E1927" t="s">
        <v>39</v>
      </c>
      <c r="F1927" t="s">
        <v>66</v>
      </c>
      <c r="G1927">
        <v>10.33</v>
      </c>
      <c r="H1927" t="s">
        <v>61</v>
      </c>
      <c r="I1927" t="s">
        <v>42</v>
      </c>
      <c r="M1927">
        <f>VLOOKUP(H1927,'Stage Order'!$A$2:$B$8,2,FALSE)</f>
        <v>1</v>
      </c>
      <c r="N1927" t="str">
        <f t="shared" si="60"/>
        <v>2. 1-24 hours</v>
      </c>
      <c r="O1927" t="str">
        <f t="shared" si="61"/>
        <v>2026-02</v>
      </c>
    </row>
    <row r="1928" spans="1:15" x14ac:dyDescent="0.3">
      <c r="A1928" t="s">
        <v>4559</v>
      </c>
      <c r="B1928" t="s">
        <v>4560</v>
      </c>
      <c r="C1928" t="s">
        <v>76</v>
      </c>
      <c r="D1928" t="s">
        <v>38</v>
      </c>
      <c r="E1928" t="s">
        <v>45</v>
      </c>
      <c r="F1928" t="s">
        <v>94</v>
      </c>
      <c r="G1928">
        <v>2.87</v>
      </c>
      <c r="H1928" t="s">
        <v>32</v>
      </c>
      <c r="I1928" t="s">
        <v>33</v>
      </c>
      <c r="K1928">
        <v>352.13</v>
      </c>
      <c r="L1928" t="s">
        <v>4561</v>
      </c>
      <c r="M1928">
        <f>VLOOKUP(H1928,'Stage Order'!$A$2:$B$8,2,FALSE)</f>
        <v>7</v>
      </c>
      <c r="N1928" t="str">
        <f t="shared" si="60"/>
        <v>2. 1-24 hours</v>
      </c>
      <c r="O1928" t="str">
        <f t="shared" si="61"/>
        <v>2026-02</v>
      </c>
    </row>
    <row r="1929" spans="1:15" x14ac:dyDescent="0.3">
      <c r="A1929" t="s">
        <v>4562</v>
      </c>
      <c r="B1929" t="s">
        <v>4563</v>
      </c>
      <c r="C1929" t="s">
        <v>37</v>
      </c>
      <c r="D1929" t="s">
        <v>97</v>
      </c>
      <c r="E1929" t="s">
        <v>90</v>
      </c>
      <c r="F1929" t="s">
        <v>91</v>
      </c>
      <c r="G1929">
        <v>0.68</v>
      </c>
      <c r="H1929" t="s">
        <v>41</v>
      </c>
      <c r="I1929" t="s">
        <v>42</v>
      </c>
      <c r="M1929">
        <f>VLOOKUP(H1929,'Stage Order'!$A$2:$B$8,2,FALSE)</f>
        <v>2</v>
      </c>
      <c r="N1929" t="str">
        <f t="shared" si="60"/>
        <v>1. Under 1 hour</v>
      </c>
      <c r="O1929" t="str">
        <f t="shared" si="61"/>
        <v>2026-05</v>
      </c>
    </row>
    <row r="1930" spans="1:15" x14ac:dyDescent="0.3">
      <c r="A1930" t="s">
        <v>4564</v>
      </c>
      <c r="B1930" t="s">
        <v>4565</v>
      </c>
      <c r="C1930" t="s">
        <v>37</v>
      </c>
      <c r="D1930" t="s">
        <v>54</v>
      </c>
      <c r="E1930" t="s">
        <v>30</v>
      </c>
      <c r="F1930" t="s">
        <v>82</v>
      </c>
      <c r="G1930">
        <v>1.66</v>
      </c>
      <c r="H1930" t="s">
        <v>41</v>
      </c>
      <c r="I1930" t="s">
        <v>42</v>
      </c>
      <c r="M1930">
        <f>VLOOKUP(H1930,'Stage Order'!$A$2:$B$8,2,FALSE)</f>
        <v>2</v>
      </c>
      <c r="N1930" t="str">
        <f t="shared" si="60"/>
        <v>2. 1-24 hours</v>
      </c>
      <c r="O1930" t="str">
        <f t="shared" si="61"/>
        <v>2026-04</v>
      </c>
    </row>
    <row r="1931" spans="1:15" x14ac:dyDescent="0.3">
      <c r="A1931" t="s">
        <v>4566</v>
      </c>
      <c r="B1931" t="s">
        <v>4567</v>
      </c>
      <c r="C1931" t="s">
        <v>125</v>
      </c>
      <c r="D1931" t="s">
        <v>54</v>
      </c>
      <c r="E1931" t="s">
        <v>59</v>
      </c>
      <c r="F1931" t="s">
        <v>60</v>
      </c>
      <c r="G1931">
        <v>2.15</v>
      </c>
      <c r="H1931" t="s">
        <v>128</v>
      </c>
      <c r="I1931" t="s">
        <v>42</v>
      </c>
      <c r="M1931">
        <f>VLOOKUP(H1931,'Stage Order'!$A$2:$B$8,2,FALSE)</f>
        <v>3</v>
      </c>
      <c r="N1931" t="str">
        <f t="shared" si="60"/>
        <v>2. 1-24 hours</v>
      </c>
      <c r="O1931" t="str">
        <f t="shared" si="61"/>
        <v>2025-05</v>
      </c>
    </row>
    <row r="1932" spans="1:15" x14ac:dyDescent="0.3">
      <c r="A1932" t="s">
        <v>4568</v>
      </c>
      <c r="B1932" t="s">
        <v>4569</v>
      </c>
      <c r="C1932" t="s">
        <v>58</v>
      </c>
      <c r="D1932" t="s">
        <v>77</v>
      </c>
      <c r="E1932" t="s">
        <v>39</v>
      </c>
      <c r="F1932" t="s">
        <v>66</v>
      </c>
      <c r="G1932">
        <v>10.18</v>
      </c>
      <c r="H1932" t="s">
        <v>61</v>
      </c>
      <c r="I1932" t="s">
        <v>42</v>
      </c>
      <c r="M1932">
        <f>VLOOKUP(H1932,'Stage Order'!$A$2:$B$8,2,FALSE)</f>
        <v>1</v>
      </c>
      <c r="N1932" t="str">
        <f t="shared" si="60"/>
        <v>2. 1-24 hours</v>
      </c>
      <c r="O1932" t="str">
        <f t="shared" si="61"/>
        <v>2025-06</v>
      </c>
    </row>
    <row r="1933" spans="1:15" x14ac:dyDescent="0.3">
      <c r="A1933" t="s">
        <v>4570</v>
      </c>
      <c r="B1933" t="s">
        <v>4571</v>
      </c>
      <c r="C1933" t="s">
        <v>58</v>
      </c>
      <c r="D1933" t="s">
        <v>54</v>
      </c>
      <c r="E1933" t="s">
        <v>59</v>
      </c>
      <c r="F1933" t="s">
        <v>137</v>
      </c>
      <c r="G1933">
        <v>2.4700000000000002</v>
      </c>
      <c r="H1933" t="s">
        <v>41</v>
      </c>
      <c r="I1933" t="s">
        <v>42</v>
      </c>
      <c r="M1933">
        <f>VLOOKUP(H1933,'Stage Order'!$A$2:$B$8,2,FALSE)</f>
        <v>2</v>
      </c>
      <c r="N1933" t="str">
        <f t="shared" si="60"/>
        <v>2. 1-24 hours</v>
      </c>
      <c r="O1933" t="str">
        <f t="shared" si="61"/>
        <v>2025-01</v>
      </c>
    </row>
    <row r="1934" spans="1:15" x14ac:dyDescent="0.3">
      <c r="A1934" t="s">
        <v>4572</v>
      </c>
      <c r="B1934" t="s">
        <v>4573</v>
      </c>
      <c r="C1934" t="s">
        <v>58</v>
      </c>
      <c r="D1934" t="s">
        <v>77</v>
      </c>
      <c r="E1934" t="s">
        <v>45</v>
      </c>
      <c r="F1934" t="s">
        <v>55</v>
      </c>
      <c r="G1934">
        <v>2.89</v>
      </c>
      <c r="H1934" t="s">
        <v>138</v>
      </c>
      <c r="I1934" t="s">
        <v>48</v>
      </c>
      <c r="J1934" t="s">
        <v>139</v>
      </c>
      <c r="K1934">
        <v>970.17</v>
      </c>
      <c r="L1934" t="s">
        <v>4574</v>
      </c>
      <c r="M1934">
        <f>VLOOKUP(H1934,'Stage Order'!$A$2:$B$8,2,FALSE)</f>
        <v>6</v>
      </c>
      <c r="N1934" t="str">
        <f t="shared" si="60"/>
        <v>2. 1-24 hours</v>
      </c>
      <c r="O1934" t="str">
        <f t="shared" si="61"/>
        <v>2025-04</v>
      </c>
    </row>
    <row r="1935" spans="1:15" x14ac:dyDescent="0.3">
      <c r="A1935" t="s">
        <v>4575</v>
      </c>
      <c r="B1935" t="s">
        <v>4576</v>
      </c>
      <c r="C1935" t="s">
        <v>37</v>
      </c>
      <c r="D1935" t="s">
        <v>54</v>
      </c>
      <c r="E1935" t="s">
        <v>90</v>
      </c>
      <c r="F1935" t="s">
        <v>91</v>
      </c>
      <c r="G1935">
        <v>3.12</v>
      </c>
      <c r="H1935" t="s">
        <v>41</v>
      </c>
      <c r="I1935" t="s">
        <v>42</v>
      </c>
      <c r="M1935">
        <f>VLOOKUP(H1935,'Stage Order'!$A$2:$B$8,2,FALSE)</f>
        <v>2</v>
      </c>
      <c r="N1935" t="str">
        <f t="shared" si="60"/>
        <v>2. 1-24 hours</v>
      </c>
      <c r="O1935" t="str">
        <f t="shared" si="61"/>
        <v>2025-11</v>
      </c>
    </row>
    <row r="1936" spans="1:15" x14ac:dyDescent="0.3">
      <c r="A1936" t="s">
        <v>4577</v>
      </c>
      <c r="B1936" t="s">
        <v>4578</v>
      </c>
      <c r="C1936" t="s">
        <v>37</v>
      </c>
      <c r="D1936" t="s">
        <v>54</v>
      </c>
      <c r="E1936" t="s">
        <v>30</v>
      </c>
      <c r="F1936" t="s">
        <v>78</v>
      </c>
      <c r="G1936">
        <v>1.8</v>
      </c>
      <c r="H1936" t="s">
        <v>32</v>
      </c>
      <c r="I1936" t="s">
        <v>33</v>
      </c>
      <c r="K1936">
        <v>575.53</v>
      </c>
      <c r="L1936" t="s">
        <v>4579</v>
      </c>
      <c r="M1936">
        <f>VLOOKUP(H1936,'Stage Order'!$A$2:$B$8,2,FALSE)</f>
        <v>7</v>
      </c>
      <c r="N1936" t="str">
        <f t="shared" si="60"/>
        <v>2. 1-24 hours</v>
      </c>
      <c r="O1936" t="str">
        <f t="shared" si="61"/>
        <v>2025-05</v>
      </c>
    </row>
    <row r="1937" spans="1:15" x14ac:dyDescent="0.3">
      <c r="A1937" t="s">
        <v>4580</v>
      </c>
      <c r="B1937" t="s">
        <v>4581</v>
      </c>
      <c r="C1937" t="s">
        <v>58</v>
      </c>
      <c r="D1937" t="s">
        <v>97</v>
      </c>
      <c r="E1937" t="s">
        <v>59</v>
      </c>
      <c r="F1937" t="s">
        <v>137</v>
      </c>
      <c r="G1937">
        <v>1.1000000000000001</v>
      </c>
      <c r="H1937" t="s">
        <v>128</v>
      </c>
      <c r="I1937" t="s">
        <v>42</v>
      </c>
      <c r="M1937">
        <f>VLOOKUP(H1937,'Stage Order'!$A$2:$B$8,2,FALSE)</f>
        <v>3</v>
      </c>
      <c r="N1937" t="str">
        <f t="shared" si="60"/>
        <v>2. 1-24 hours</v>
      </c>
      <c r="O1937" t="str">
        <f t="shared" si="61"/>
        <v>2026-05</v>
      </c>
    </row>
    <row r="1938" spans="1:15" x14ac:dyDescent="0.3">
      <c r="A1938" t="s">
        <v>4582</v>
      </c>
      <c r="B1938" t="s">
        <v>4583</v>
      </c>
      <c r="C1938" t="s">
        <v>58</v>
      </c>
      <c r="D1938" t="s">
        <v>29</v>
      </c>
      <c r="E1938" t="s">
        <v>39</v>
      </c>
      <c r="F1938" t="s">
        <v>106</v>
      </c>
      <c r="G1938">
        <v>2.86</v>
      </c>
      <c r="H1938" t="s">
        <v>146</v>
      </c>
      <c r="I1938" t="s">
        <v>48</v>
      </c>
      <c r="J1938" t="s">
        <v>742</v>
      </c>
      <c r="K1938">
        <v>538.78</v>
      </c>
      <c r="L1938" t="s">
        <v>4584</v>
      </c>
      <c r="M1938">
        <f>VLOOKUP(H1938,'Stage Order'!$A$2:$B$8,2,FALSE)</f>
        <v>5</v>
      </c>
      <c r="N1938" t="str">
        <f t="shared" si="60"/>
        <v>2. 1-24 hours</v>
      </c>
      <c r="O1938" t="str">
        <f t="shared" si="61"/>
        <v>2025-12</v>
      </c>
    </row>
    <row r="1939" spans="1:15" x14ac:dyDescent="0.3">
      <c r="A1939" t="s">
        <v>4585</v>
      </c>
      <c r="B1939" t="s">
        <v>4586</v>
      </c>
      <c r="C1939" t="s">
        <v>58</v>
      </c>
      <c r="D1939" t="s">
        <v>77</v>
      </c>
      <c r="E1939" t="s">
        <v>45</v>
      </c>
      <c r="F1939" t="s">
        <v>55</v>
      </c>
      <c r="G1939">
        <v>1.96</v>
      </c>
      <c r="H1939" t="s">
        <v>47</v>
      </c>
      <c r="I1939" t="s">
        <v>48</v>
      </c>
      <c r="J1939" t="s">
        <v>139</v>
      </c>
      <c r="K1939">
        <v>956.12</v>
      </c>
      <c r="L1939" t="s">
        <v>4587</v>
      </c>
      <c r="M1939">
        <f>VLOOKUP(H1939,'Stage Order'!$A$2:$B$8,2,FALSE)</f>
        <v>4</v>
      </c>
      <c r="N1939" t="str">
        <f t="shared" si="60"/>
        <v>2. 1-24 hours</v>
      </c>
      <c r="O1939" t="str">
        <f t="shared" si="61"/>
        <v>2025-10</v>
      </c>
    </row>
    <row r="1940" spans="1:15" x14ac:dyDescent="0.3">
      <c r="A1940" t="s">
        <v>4588</v>
      </c>
      <c r="B1940" t="s">
        <v>4589</v>
      </c>
      <c r="C1940" t="s">
        <v>58</v>
      </c>
      <c r="D1940" t="s">
        <v>77</v>
      </c>
      <c r="E1940" t="s">
        <v>45</v>
      </c>
      <c r="F1940" t="s">
        <v>94</v>
      </c>
      <c r="G1940">
        <v>2.15</v>
      </c>
      <c r="H1940" t="s">
        <v>41</v>
      </c>
      <c r="I1940" t="s">
        <v>42</v>
      </c>
      <c r="M1940">
        <f>VLOOKUP(H1940,'Stage Order'!$A$2:$B$8,2,FALSE)</f>
        <v>2</v>
      </c>
      <c r="N1940" t="str">
        <f t="shared" si="60"/>
        <v>2. 1-24 hours</v>
      </c>
      <c r="O1940" t="str">
        <f t="shared" si="61"/>
        <v>2025-08</v>
      </c>
    </row>
    <row r="1941" spans="1:15" x14ac:dyDescent="0.3">
      <c r="A1941" t="s">
        <v>4590</v>
      </c>
      <c r="B1941" t="s">
        <v>4591</v>
      </c>
      <c r="C1941" t="s">
        <v>125</v>
      </c>
      <c r="D1941" t="s">
        <v>29</v>
      </c>
      <c r="E1941" t="s">
        <v>90</v>
      </c>
      <c r="F1941" t="s">
        <v>112</v>
      </c>
      <c r="G1941">
        <v>1.54</v>
      </c>
      <c r="H1941" t="s">
        <v>41</v>
      </c>
      <c r="I1941" t="s">
        <v>42</v>
      </c>
      <c r="M1941">
        <f>VLOOKUP(H1941,'Stage Order'!$A$2:$B$8,2,FALSE)</f>
        <v>2</v>
      </c>
      <c r="N1941" t="str">
        <f t="shared" si="60"/>
        <v>2. 1-24 hours</v>
      </c>
      <c r="O1941" t="str">
        <f t="shared" si="61"/>
        <v>2025-01</v>
      </c>
    </row>
    <row r="1942" spans="1:15" x14ac:dyDescent="0.3">
      <c r="A1942" t="s">
        <v>4592</v>
      </c>
      <c r="B1942" t="s">
        <v>4593</v>
      </c>
      <c r="C1942" t="s">
        <v>53</v>
      </c>
      <c r="D1942" t="s">
        <v>38</v>
      </c>
      <c r="E1942" t="s">
        <v>59</v>
      </c>
      <c r="F1942" t="s">
        <v>117</v>
      </c>
      <c r="G1942">
        <v>0.76</v>
      </c>
      <c r="H1942" t="s">
        <v>32</v>
      </c>
      <c r="I1942" t="s">
        <v>33</v>
      </c>
      <c r="K1942">
        <v>385.64</v>
      </c>
      <c r="L1942" t="s">
        <v>4594</v>
      </c>
      <c r="M1942">
        <f>VLOOKUP(H1942,'Stage Order'!$A$2:$B$8,2,FALSE)</f>
        <v>7</v>
      </c>
      <c r="N1942" t="str">
        <f t="shared" si="60"/>
        <v>1. Under 1 hour</v>
      </c>
      <c r="O1942" t="str">
        <f t="shared" si="61"/>
        <v>2026-02</v>
      </c>
    </row>
    <row r="1943" spans="1:15" x14ac:dyDescent="0.3">
      <c r="A1943" t="s">
        <v>4595</v>
      </c>
      <c r="B1943" t="s">
        <v>4596</v>
      </c>
      <c r="C1943" t="s">
        <v>53</v>
      </c>
      <c r="D1943" t="s">
        <v>29</v>
      </c>
      <c r="E1943" t="s">
        <v>90</v>
      </c>
      <c r="F1943" t="s">
        <v>145</v>
      </c>
      <c r="G1943">
        <v>3.31</v>
      </c>
      <c r="H1943" t="s">
        <v>146</v>
      </c>
      <c r="I1943" t="s">
        <v>48</v>
      </c>
      <c r="J1943" t="s">
        <v>139</v>
      </c>
      <c r="K1943">
        <v>610.32000000000005</v>
      </c>
      <c r="L1943" t="s">
        <v>4597</v>
      </c>
      <c r="M1943">
        <f>VLOOKUP(H1943,'Stage Order'!$A$2:$B$8,2,FALSE)</f>
        <v>5</v>
      </c>
      <c r="N1943" t="str">
        <f t="shared" si="60"/>
        <v>2. 1-24 hours</v>
      </c>
      <c r="O1943" t="str">
        <f t="shared" si="61"/>
        <v>2026-05</v>
      </c>
    </row>
    <row r="1944" spans="1:15" x14ac:dyDescent="0.3">
      <c r="A1944" t="s">
        <v>4598</v>
      </c>
      <c r="B1944" t="s">
        <v>4599</v>
      </c>
      <c r="C1944" t="s">
        <v>81</v>
      </c>
      <c r="D1944" t="s">
        <v>97</v>
      </c>
      <c r="E1944" t="s">
        <v>39</v>
      </c>
      <c r="F1944" t="s">
        <v>40</v>
      </c>
      <c r="G1944">
        <v>2.38</v>
      </c>
      <c r="H1944" t="s">
        <v>61</v>
      </c>
      <c r="I1944" t="s">
        <v>42</v>
      </c>
      <c r="M1944">
        <f>VLOOKUP(H1944,'Stage Order'!$A$2:$B$8,2,FALSE)</f>
        <v>1</v>
      </c>
      <c r="N1944" t="str">
        <f t="shared" si="60"/>
        <v>2. 1-24 hours</v>
      </c>
      <c r="O1944" t="str">
        <f t="shared" si="61"/>
        <v>2025-03</v>
      </c>
    </row>
    <row r="1945" spans="1:15" x14ac:dyDescent="0.3">
      <c r="A1945" t="s">
        <v>4600</v>
      </c>
      <c r="B1945" t="s">
        <v>4601</v>
      </c>
      <c r="C1945" t="s">
        <v>81</v>
      </c>
      <c r="D1945" t="s">
        <v>38</v>
      </c>
      <c r="E1945" t="s">
        <v>39</v>
      </c>
      <c r="F1945" t="s">
        <v>40</v>
      </c>
      <c r="G1945">
        <v>7.1</v>
      </c>
      <c r="H1945" t="s">
        <v>128</v>
      </c>
      <c r="I1945" t="s">
        <v>42</v>
      </c>
      <c r="M1945">
        <f>VLOOKUP(H1945,'Stage Order'!$A$2:$B$8,2,FALSE)</f>
        <v>3</v>
      </c>
      <c r="N1945" t="str">
        <f t="shared" si="60"/>
        <v>2. 1-24 hours</v>
      </c>
      <c r="O1945" t="str">
        <f t="shared" si="61"/>
        <v>2026-06</v>
      </c>
    </row>
    <row r="1946" spans="1:15" x14ac:dyDescent="0.3">
      <c r="A1946" t="s">
        <v>4602</v>
      </c>
      <c r="B1946" t="s">
        <v>4603</v>
      </c>
      <c r="C1946" t="s">
        <v>81</v>
      </c>
      <c r="D1946" t="s">
        <v>29</v>
      </c>
      <c r="E1946" t="s">
        <v>45</v>
      </c>
      <c r="F1946" t="s">
        <v>55</v>
      </c>
      <c r="G1946">
        <v>4.3899999999999997</v>
      </c>
      <c r="H1946" t="s">
        <v>61</v>
      </c>
      <c r="I1946" t="s">
        <v>42</v>
      </c>
      <c r="M1946">
        <f>VLOOKUP(H1946,'Stage Order'!$A$2:$B$8,2,FALSE)</f>
        <v>1</v>
      </c>
      <c r="N1946" t="str">
        <f t="shared" si="60"/>
        <v>2. 1-24 hours</v>
      </c>
      <c r="O1946" t="str">
        <f t="shared" si="61"/>
        <v>2026-01</v>
      </c>
    </row>
    <row r="1947" spans="1:15" x14ac:dyDescent="0.3">
      <c r="A1947" t="s">
        <v>4604</v>
      </c>
      <c r="B1947" t="s">
        <v>4605</v>
      </c>
      <c r="C1947" t="s">
        <v>58</v>
      </c>
      <c r="D1947" t="s">
        <v>77</v>
      </c>
      <c r="E1947" t="s">
        <v>90</v>
      </c>
      <c r="F1947" t="s">
        <v>91</v>
      </c>
      <c r="G1947">
        <v>6.68</v>
      </c>
      <c r="H1947" t="s">
        <v>61</v>
      </c>
      <c r="I1947" t="s">
        <v>42</v>
      </c>
      <c r="M1947">
        <f>VLOOKUP(H1947,'Stage Order'!$A$2:$B$8,2,FALSE)</f>
        <v>1</v>
      </c>
      <c r="N1947" t="str">
        <f t="shared" si="60"/>
        <v>2. 1-24 hours</v>
      </c>
      <c r="O1947" t="str">
        <f t="shared" si="61"/>
        <v>2025-12</v>
      </c>
    </row>
    <row r="1948" spans="1:15" x14ac:dyDescent="0.3">
      <c r="A1948" t="s">
        <v>4606</v>
      </c>
      <c r="B1948" t="s">
        <v>4607</v>
      </c>
      <c r="C1948" t="s">
        <v>37</v>
      </c>
      <c r="D1948" t="s">
        <v>54</v>
      </c>
      <c r="E1948" t="s">
        <v>39</v>
      </c>
      <c r="F1948" t="s">
        <v>106</v>
      </c>
      <c r="G1948">
        <v>1.42</v>
      </c>
      <c r="H1948" t="s">
        <v>47</v>
      </c>
      <c r="I1948" t="s">
        <v>48</v>
      </c>
      <c r="J1948" t="s">
        <v>49</v>
      </c>
      <c r="K1948">
        <v>522.23</v>
      </c>
      <c r="L1948" t="s">
        <v>4608</v>
      </c>
      <c r="M1948">
        <f>VLOOKUP(H1948,'Stage Order'!$A$2:$B$8,2,FALSE)</f>
        <v>4</v>
      </c>
      <c r="N1948" t="str">
        <f t="shared" si="60"/>
        <v>2. 1-24 hours</v>
      </c>
      <c r="O1948" t="str">
        <f t="shared" si="61"/>
        <v>2026-05</v>
      </c>
    </row>
    <row r="1949" spans="1:15" x14ac:dyDescent="0.3">
      <c r="A1949" t="s">
        <v>4609</v>
      </c>
      <c r="B1949" t="s">
        <v>4610</v>
      </c>
      <c r="C1949" t="s">
        <v>53</v>
      </c>
      <c r="D1949" t="s">
        <v>77</v>
      </c>
      <c r="E1949" t="s">
        <v>90</v>
      </c>
      <c r="F1949" t="s">
        <v>91</v>
      </c>
      <c r="G1949">
        <v>2.95</v>
      </c>
      <c r="H1949" t="s">
        <v>41</v>
      </c>
      <c r="I1949" t="s">
        <v>42</v>
      </c>
      <c r="M1949">
        <f>VLOOKUP(H1949,'Stage Order'!$A$2:$B$8,2,FALSE)</f>
        <v>2</v>
      </c>
      <c r="N1949" t="str">
        <f t="shared" si="60"/>
        <v>2. 1-24 hours</v>
      </c>
      <c r="O1949" t="str">
        <f t="shared" si="61"/>
        <v>2026-03</v>
      </c>
    </row>
    <row r="1950" spans="1:15" x14ac:dyDescent="0.3">
      <c r="A1950" t="s">
        <v>4611</v>
      </c>
      <c r="B1950" t="s">
        <v>4612</v>
      </c>
      <c r="C1950" t="s">
        <v>37</v>
      </c>
      <c r="D1950" t="s">
        <v>29</v>
      </c>
      <c r="E1950" t="s">
        <v>45</v>
      </c>
      <c r="F1950" t="s">
        <v>55</v>
      </c>
      <c r="G1950">
        <v>4.8499999999999996</v>
      </c>
      <c r="H1950" t="s">
        <v>41</v>
      </c>
      <c r="I1950" t="s">
        <v>42</v>
      </c>
      <c r="M1950">
        <f>VLOOKUP(H1950,'Stage Order'!$A$2:$B$8,2,FALSE)</f>
        <v>2</v>
      </c>
      <c r="N1950" t="str">
        <f t="shared" si="60"/>
        <v>2. 1-24 hours</v>
      </c>
      <c r="O1950" t="str">
        <f t="shared" si="61"/>
        <v>2026-01</v>
      </c>
    </row>
    <row r="1951" spans="1:15" x14ac:dyDescent="0.3">
      <c r="A1951" t="s">
        <v>4613</v>
      </c>
      <c r="B1951" t="s">
        <v>4614</v>
      </c>
      <c r="C1951" t="s">
        <v>37</v>
      </c>
      <c r="D1951" t="s">
        <v>54</v>
      </c>
      <c r="E1951" t="s">
        <v>45</v>
      </c>
      <c r="F1951" t="s">
        <v>55</v>
      </c>
      <c r="G1951">
        <v>2.1800000000000002</v>
      </c>
      <c r="H1951" t="s">
        <v>41</v>
      </c>
      <c r="I1951" t="s">
        <v>42</v>
      </c>
      <c r="M1951">
        <f>VLOOKUP(H1951,'Stage Order'!$A$2:$B$8,2,FALSE)</f>
        <v>2</v>
      </c>
      <c r="N1951" t="str">
        <f t="shared" si="60"/>
        <v>2. 1-24 hours</v>
      </c>
      <c r="O1951" t="str">
        <f t="shared" si="61"/>
        <v>2026-01</v>
      </c>
    </row>
    <row r="1952" spans="1:15" x14ac:dyDescent="0.3">
      <c r="A1952" t="s">
        <v>4615</v>
      </c>
      <c r="B1952" t="s">
        <v>4616</v>
      </c>
      <c r="C1952" t="s">
        <v>53</v>
      </c>
      <c r="D1952" t="s">
        <v>29</v>
      </c>
      <c r="E1952" t="s">
        <v>45</v>
      </c>
      <c r="F1952" t="s">
        <v>46</v>
      </c>
      <c r="G1952">
        <v>5.1100000000000003</v>
      </c>
      <c r="H1952" t="s">
        <v>32</v>
      </c>
      <c r="I1952" t="s">
        <v>33</v>
      </c>
      <c r="K1952">
        <v>532.87</v>
      </c>
      <c r="L1952" t="s">
        <v>4617</v>
      </c>
      <c r="M1952">
        <f>VLOOKUP(H1952,'Stage Order'!$A$2:$B$8,2,FALSE)</f>
        <v>7</v>
      </c>
      <c r="N1952" t="str">
        <f t="shared" si="60"/>
        <v>2. 1-24 hours</v>
      </c>
      <c r="O1952" t="str">
        <f t="shared" si="61"/>
        <v>2026-06</v>
      </c>
    </row>
    <row r="1953" spans="1:15" x14ac:dyDescent="0.3">
      <c r="A1953" t="s">
        <v>4618</v>
      </c>
      <c r="B1953" t="s">
        <v>4619</v>
      </c>
      <c r="C1953" t="s">
        <v>28</v>
      </c>
      <c r="D1953" t="s">
        <v>38</v>
      </c>
      <c r="E1953" t="s">
        <v>39</v>
      </c>
      <c r="F1953" t="s">
        <v>106</v>
      </c>
      <c r="G1953">
        <v>9.08</v>
      </c>
      <c r="H1953" t="s">
        <v>32</v>
      </c>
      <c r="I1953" t="s">
        <v>33</v>
      </c>
      <c r="K1953">
        <v>384.43</v>
      </c>
      <c r="L1953" t="s">
        <v>4620</v>
      </c>
      <c r="M1953">
        <f>VLOOKUP(H1953,'Stage Order'!$A$2:$B$8,2,FALSE)</f>
        <v>7</v>
      </c>
      <c r="N1953" t="str">
        <f t="shared" si="60"/>
        <v>2. 1-24 hours</v>
      </c>
      <c r="O1953" t="str">
        <f t="shared" si="61"/>
        <v>2025-07</v>
      </c>
    </row>
    <row r="1954" spans="1:15" x14ac:dyDescent="0.3">
      <c r="A1954" t="s">
        <v>4621</v>
      </c>
      <c r="B1954" t="s">
        <v>4622</v>
      </c>
      <c r="C1954" t="s">
        <v>37</v>
      </c>
      <c r="D1954" t="s">
        <v>54</v>
      </c>
      <c r="E1954" t="s">
        <v>45</v>
      </c>
      <c r="F1954" t="s">
        <v>55</v>
      </c>
      <c r="G1954">
        <v>3.7</v>
      </c>
      <c r="H1954" t="s">
        <v>146</v>
      </c>
      <c r="I1954" t="s">
        <v>48</v>
      </c>
      <c r="J1954" t="s">
        <v>49</v>
      </c>
      <c r="K1954">
        <v>454.42</v>
      </c>
      <c r="L1954" t="s">
        <v>4623</v>
      </c>
      <c r="M1954">
        <f>VLOOKUP(H1954,'Stage Order'!$A$2:$B$8,2,FALSE)</f>
        <v>5</v>
      </c>
      <c r="N1954" t="str">
        <f t="shared" si="60"/>
        <v>2. 1-24 hours</v>
      </c>
      <c r="O1954" t="str">
        <f t="shared" si="61"/>
        <v>2025-06</v>
      </c>
    </row>
    <row r="1955" spans="1:15" x14ac:dyDescent="0.3">
      <c r="A1955" t="s">
        <v>4624</v>
      </c>
      <c r="B1955" t="s">
        <v>4625</v>
      </c>
      <c r="C1955" t="s">
        <v>58</v>
      </c>
      <c r="D1955" t="s">
        <v>97</v>
      </c>
      <c r="E1955" t="s">
        <v>90</v>
      </c>
      <c r="F1955" t="s">
        <v>145</v>
      </c>
      <c r="G1955">
        <v>4.08</v>
      </c>
      <c r="H1955" t="s">
        <v>47</v>
      </c>
      <c r="I1955" t="s">
        <v>48</v>
      </c>
      <c r="J1955" t="s">
        <v>139</v>
      </c>
      <c r="K1955">
        <v>1670.48</v>
      </c>
      <c r="L1955" t="s">
        <v>4626</v>
      </c>
      <c r="M1955">
        <f>VLOOKUP(H1955,'Stage Order'!$A$2:$B$8,2,FALSE)</f>
        <v>4</v>
      </c>
      <c r="N1955" t="str">
        <f t="shared" si="60"/>
        <v>2. 1-24 hours</v>
      </c>
      <c r="O1955" t="str">
        <f t="shared" si="61"/>
        <v>2025-10</v>
      </c>
    </row>
    <row r="1956" spans="1:15" x14ac:dyDescent="0.3">
      <c r="A1956" t="s">
        <v>4627</v>
      </c>
      <c r="B1956" t="s">
        <v>4628</v>
      </c>
      <c r="C1956" t="s">
        <v>81</v>
      </c>
      <c r="D1956" t="s">
        <v>29</v>
      </c>
      <c r="E1956" t="s">
        <v>59</v>
      </c>
      <c r="F1956" t="s">
        <v>60</v>
      </c>
      <c r="G1956">
        <v>2.2000000000000002</v>
      </c>
      <c r="H1956" t="s">
        <v>41</v>
      </c>
      <c r="I1956" t="s">
        <v>42</v>
      </c>
      <c r="M1956">
        <f>VLOOKUP(H1956,'Stage Order'!$A$2:$B$8,2,FALSE)</f>
        <v>2</v>
      </c>
      <c r="N1956" t="str">
        <f t="shared" si="60"/>
        <v>2. 1-24 hours</v>
      </c>
      <c r="O1956" t="str">
        <f t="shared" si="61"/>
        <v>2026-06</v>
      </c>
    </row>
    <row r="1957" spans="1:15" x14ac:dyDescent="0.3">
      <c r="A1957" t="s">
        <v>4629</v>
      </c>
      <c r="B1957" t="s">
        <v>4630</v>
      </c>
      <c r="C1957" t="s">
        <v>125</v>
      </c>
      <c r="D1957" t="s">
        <v>29</v>
      </c>
      <c r="E1957" t="s">
        <v>45</v>
      </c>
      <c r="F1957" t="s">
        <v>46</v>
      </c>
      <c r="G1957">
        <v>10.15</v>
      </c>
      <c r="H1957" t="s">
        <v>41</v>
      </c>
      <c r="I1957" t="s">
        <v>42</v>
      </c>
      <c r="M1957">
        <f>VLOOKUP(H1957,'Stage Order'!$A$2:$B$8,2,FALSE)</f>
        <v>2</v>
      </c>
      <c r="N1957" t="str">
        <f t="shared" si="60"/>
        <v>2. 1-24 hours</v>
      </c>
      <c r="O1957" t="str">
        <f t="shared" si="61"/>
        <v>2025-06</v>
      </c>
    </row>
    <row r="1958" spans="1:15" x14ac:dyDescent="0.3">
      <c r="A1958" t="s">
        <v>4631</v>
      </c>
      <c r="B1958" t="s">
        <v>4632</v>
      </c>
      <c r="C1958" t="s">
        <v>37</v>
      </c>
      <c r="D1958" t="s">
        <v>54</v>
      </c>
      <c r="E1958" t="s">
        <v>39</v>
      </c>
      <c r="F1958" t="s">
        <v>106</v>
      </c>
      <c r="G1958">
        <v>1.5</v>
      </c>
      <c r="H1958" t="s">
        <v>138</v>
      </c>
      <c r="I1958" t="s">
        <v>48</v>
      </c>
      <c r="J1958" t="s">
        <v>49</v>
      </c>
      <c r="K1958">
        <v>595.54999999999995</v>
      </c>
      <c r="L1958" t="s">
        <v>4633</v>
      </c>
      <c r="M1958">
        <f>VLOOKUP(H1958,'Stage Order'!$A$2:$B$8,2,FALSE)</f>
        <v>6</v>
      </c>
      <c r="N1958" t="str">
        <f t="shared" si="60"/>
        <v>2. 1-24 hours</v>
      </c>
      <c r="O1958" t="str">
        <f t="shared" si="61"/>
        <v>2026-04</v>
      </c>
    </row>
    <row r="1959" spans="1:15" x14ac:dyDescent="0.3">
      <c r="A1959" t="s">
        <v>4634</v>
      </c>
      <c r="B1959" t="s">
        <v>4635</v>
      </c>
      <c r="C1959" t="s">
        <v>125</v>
      </c>
      <c r="D1959" t="s">
        <v>54</v>
      </c>
      <c r="E1959" t="s">
        <v>39</v>
      </c>
      <c r="F1959" t="s">
        <v>40</v>
      </c>
      <c r="G1959">
        <v>2.04</v>
      </c>
      <c r="H1959" t="s">
        <v>41</v>
      </c>
      <c r="I1959" t="s">
        <v>42</v>
      </c>
      <c r="M1959">
        <f>VLOOKUP(H1959,'Stage Order'!$A$2:$B$8,2,FALSE)</f>
        <v>2</v>
      </c>
      <c r="N1959" t="str">
        <f t="shared" si="60"/>
        <v>2. 1-24 hours</v>
      </c>
      <c r="O1959" t="str">
        <f t="shared" si="61"/>
        <v>2025-08</v>
      </c>
    </row>
    <row r="1960" spans="1:15" x14ac:dyDescent="0.3">
      <c r="A1960" t="s">
        <v>4636</v>
      </c>
      <c r="B1960" t="s">
        <v>4637</v>
      </c>
      <c r="C1960" t="s">
        <v>53</v>
      </c>
      <c r="D1960" t="s">
        <v>54</v>
      </c>
      <c r="E1960" t="s">
        <v>39</v>
      </c>
      <c r="F1960" t="s">
        <v>106</v>
      </c>
      <c r="G1960">
        <v>0.66</v>
      </c>
      <c r="H1960" t="s">
        <v>138</v>
      </c>
      <c r="I1960" t="s">
        <v>48</v>
      </c>
      <c r="J1960" t="s">
        <v>113</v>
      </c>
      <c r="K1960">
        <v>466.49</v>
      </c>
      <c r="L1960" t="s">
        <v>4638</v>
      </c>
      <c r="M1960">
        <f>VLOOKUP(H1960,'Stage Order'!$A$2:$B$8,2,FALSE)</f>
        <v>6</v>
      </c>
      <c r="N1960" t="str">
        <f t="shared" si="60"/>
        <v>1. Under 1 hour</v>
      </c>
      <c r="O1960" t="str">
        <f t="shared" si="61"/>
        <v>2025-08</v>
      </c>
    </row>
    <row r="1961" spans="1:15" x14ac:dyDescent="0.3">
      <c r="A1961" t="s">
        <v>4639</v>
      </c>
      <c r="B1961" t="s">
        <v>4640</v>
      </c>
      <c r="C1961" t="s">
        <v>125</v>
      </c>
      <c r="D1961" t="s">
        <v>29</v>
      </c>
      <c r="E1961" t="s">
        <v>39</v>
      </c>
      <c r="F1961" t="s">
        <v>106</v>
      </c>
      <c r="G1961">
        <v>1.98</v>
      </c>
      <c r="H1961" t="s">
        <v>61</v>
      </c>
      <c r="I1961" t="s">
        <v>42</v>
      </c>
      <c r="M1961">
        <f>VLOOKUP(H1961,'Stage Order'!$A$2:$B$8,2,FALSE)</f>
        <v>1</v>
      </c>
      <c r="N1961" t="str">
        <f t="shared" si="60"/>
        <v>2. 1-24 hours</v>
      </c>
      <c r="O1961" t="str">
        <f t="shared" si="61"/>
        <v>2025-11</v>
      </c>
    </row>
    <row r="1962" spans="1:15" x14ac:dyDescent="0.3">
      <c r="A1962" t="s">
        <v>4641</v>
      </c>
      <c r="B1962" t="s">
        <v>4642</v>
      </c>
      <c r="C1962" t="s">
        <v>58</v>
      </c>
      <c r="D1962" t="s">
        <v>54</v>
      </c>
      <c r="E1962" t="s">
        <v>39</v>
      </c>
      <c r="F1962" t="s">
        <v>66</v>
      </c>
      <c r="G1962">
        <v>2.14</v>
      </c>
      <c r="H1962" t="s">
        <v>41</v>
      </c>
      <c r="I1962" t="s">
        <v>42</v>
      </c>
      <c r="M1962">
        <f>VLOOKUP(H1962,'Stage Order'!$A$2:$B$8,2,FALSE)</f>
        <v>2</v>
      </c>
      <c r="N1962" t="str">
        <f t="shared" si="60"/>
        <v>2. 1-24 hours</v>
      </c>
      <c r="O1962" t="str">
        <f t="shared" si="61"/>
        <v>2025-12</v>
      </c>
    </row>
    <row r="1963" spans="1:15" x14ac:dyDescent="0.3">
      <c r="A1963" t="s">
        <v>4643</v>
      </c>
      <c r="B1963" t="s">
        <v>4644</v>
      </c>
      <c r="C1963" t="s">
        <v>76</v>
      </c>
      <c r="D1963" t="s">
        <v>77</v>
      </c>
      <c r="E1963" t="s">
        <v>30</v>
      </c>
      <c r="F1963" t="s">
        <v>82</v>
      </c>
      <c r="G1963">
        <v>3.76</v>
      </c>
      <c r="H1963" t="s">
        <v>146</v>
      </c>
      <c r="I1963" t="s">
        <v>48</v>
      </c>
      <c r="J1963" t="s">
        <v>49</v>
      </c>
      <c r="K1963">
        <v>904.16</v>
      </c>
      <c r="L1963" t="s">
        <v>4645</v>
      </c>
      <c r="M1963">
        <f>VLOOKUP(H1963,'Stage Order'!$A$2:$B$8,2,FALSE)</f>
        <v>5</v>
      </c>
      <c r="N1963" t="str">
        <f t="shared" si="60"/>
        <v>2. 1-24 hours</v>
      </c>
      <c r="O1963" t="str">
        <f t="shared" si="61"/>
        <v>2025-07</v>
      </c>
    </row>
    <row r="1964" spans="1:15" x14ac:dyDescent="0.3">
      <c r="A1964" t="s">
        <v>4646</v>
      </c>
      <c r="B1964" t="s">
        <v>4647</v>
      </c>
      <c r="C1964" t="s">
        <v>125</v>
      </c>
      <c r="D1964" t="s">
        <v>77</v>
      </c>
      <c r="E1964" t="s">
        <v>30</v>
      </c>
      <c r="F1964" t="s">
        <v>78</v>
      </c>
      <c r="G1964">
        <v>14.14</v>
      </c>
      <c r="H1964" t="s">
        <v>61</v>
      </c>
      <c r="I1964" t="s">
        <v>42</v>
      </c>
      <c r="M1964">
        <f>VLOOKUP(H1964,'Stage Order'!$A$2:$B$8,2,FALSE)</f>
        <v>1</v>
      </c>
      <c r="N1964" t="str">
        <f t="shared" si="60"/>
        <v>2. 1-24 hours</v>
      </c>
      <c r="O1964" t="str">
        <f t="shared" si="61"/>
        <v>2026-04</v>
      </c>
    </row>
    <row r="1965" spans="1:15" x14ac:dyDescent="0.3">
      <c r="A1965" t="s">
        <v>4648</v>
      </c>
      <c r="B1965" t="s">
        <v>4649</v>
      </c>
      <c r="C1965" t="s">
        <v>81</v>
      </c>
      <c r="D1965" t="s">
        <v>77</v>
      </c>
      <c r="E1965" t="s">
        <v>59</v>
      </c>
      <c r="F1965" t="s">
        <v>60</v>
      </c>
      <c r="G1965">
        <v>5.77</v>
      </c>
      <c r="H1965" t="s">
        <v>41</v>
      </c>
      <c r="I1965" t="s">
        <v>42</v>
      </c>
      <c r="M1965">
        <f>VLOOKUP(H1965,'Stage Order'!$A$2:$B$8,2,FALSE)</f>
        <v>2</v>
      </c>
      <c r="N1965" t="str">
        <f t="shared" si="60"/>
        <v>2. 1-24 hours</v>
      </c>
      <c r="O1965" t="str">
        <f t="shared" si="61"/>
        <v>2025-10</v>
      </c>
    </row>
    <row r="1966" spans="1:15" x14ac:dyDescent="0.3">
      <c r="A1966" t="s">
        <v>4650</v>
      </c>
      <c r="B1966" t="s">
        <v>4651</v>
      </c>
      <c r="C1966" t="s">
        <v>81</v>
      </c>
      <c r="D1966" t="s">
        <v>77</v>
      </c>
      <c r="E1966" t="s">
        <v>59</v>
      </c>
      <c r="F1966" t="s">
        <v>137</v>
      </c>
      <c r="G1966">
        <v>5.93</v>
      </c>
      <c r="H1966" t="s">
        <v>61</v>
      </c>
      <c r="I1966" t="s">
        <v>42</v>
      </c>
      <c r="M1966">
        <f>VLOOKUP(H1966,'Stage Order'!$A$2:$B$8,2,FALSE)</f>
        <v>1</v>
      </c>
      <c r="N1966" t="str">
        <f t="shared" si="60"/>
        <v>2. 1-24 hours</v>
      </c>
      <c r="O1966" t="str">
        <f t="shared" si="61"/>
        <v>2025-03</v>
      </c>
    </row>
    <row r="1967" spans="1:15" x14ac:dyDescent="0.3">
      <c r="A1967" t="s">
        <v>4652</v>
      </c>
      <c r="B1967" t="s">
        <v>4653</v>
      </c>
      <c r="C1967" t="s">
        <v>81</v>
      </c>
      <c r="D1967" t="s">
        <v>38</v>
      </c>
      <c r="E1967" t="s">
        <v>45</v>
      </c>
      <c r="F1967" t="s">
        <v>46</v>
      </c>
      <c r="G1967">
        <v>2.15</v>
      </c>
      <c r="H1967" t="s">
        <v>61</v>
      </c>
      <c r="I1967" t="s">
        <v>42</v>
      </c>
      <c r="M1967">
        <f>VLOOKUP(H1967,'Stage Order'!$A$2:$B$8,2,FALSE)</f>
        <v>1</v>
      </c>
      <c r="N1967" t="str">
        <f t="shared" si="60"/>
        <v>2. 1-24 hours</v>
      </c>
      <c r="O1967" t="str">
        <f t="shared" si="61"/>
        <v>2025-01</v>
      </c>
    </row>
    <row r="1968" spans="1:15" x14ac:dyDescent="0.3">
      <c r="A1968" t="s">
        <v>4654</v>
      </c>
      <c r="B1968" t="s">
        <v>4655</v>
      </c>
      <c r="C1968" t="s">
        <v>58</v>
      </c>
      <c r="D1968" t="s">
        <v>38</v>
      </c>
      <c r="E1968" t="s">
        <v>45</v>
      </c>
      <c r="F1968" t="s">
        <v>46</v>
      </c>
      <c r="G1968">
        <v>2.5499999999999998</v>
      </c>
      <c r="H1968" t="s">
        <v>41</v>
      </c>
      <c r="I1968" t="s">
        <v>42</v>
      </c>
      <c r="M1968">
        <f>VLOOKUP(H1968,'Stage Order'!$A$2:$B$8,2,FALSE)</f>
        <v>2</v>
      </c>
      <c r="N1968" t="str">
        <f t="shared" si="60"/>
        <v>2. 1-24 hours</v>
      </c>
      <c r="O1968" t="str">
        <f t="shared" si="61"/>
        <v>2026-01</v>
      </c>
    </row>
    <row r="1969" spans="1:15" x14ac:dyDescent="0.3">
      <c r="A1969" t="s">
        <v>4656</v>
      </c>
      <c r="B1969" t="s">
        <v>4657</v>
      </c>
      <c r="C1969" t="s">
        <v>125</v>
      </c>
      <c r="D1969" t="s">
        <v>54</v>
      </c>
      <c r="E1969" t="s">
        <v>59</v>
      </c>
      <c r="F1969" t="s">
        <v>137</v>
      </c>
      <c r="G1969">
        <v>2.2999999999999998</v>
      </c>
      <c r="H1969" t="s">
        <v>128</v>
      </c>
      <c r="I1969" t="s">
        <v>42</v>
      </c>
      <c r="M1969">
        <f>VLOOKUP(H1969,'Stage Order'!$A$2:$B$8,2,FALSE)</f>
        <v>3</v>
      </c>
      <c r="N1969" t="str">
        <f t="shared" si="60"/>
        <v>2. 1-24 hours</v>
      </c>
      <c r="O1969" t="str">
        <f t="shared" si="61"/>
        <v>2025-08</v>
      </c>
    </row>
    <row r="1970" spans="1:15" x14ac:dyDescent="0.3">
      <c r="A1970" t="s">
        <v>4658</v>
      </c>
      <c r="B1970" t="s">
        <v>4659</v>
      </c>
      <c r="C1970" t="s">
        <v>37</v>
      </c>
      <c r="D1970" t="s">
        <v>54</v>
      </c>
      <c r="E1970" t="s">
        <v>39</v>
      </c>
      <c r="F1970" t="s">
        <v>66</v>
      </c>
      <c r="G1970">
        <v>1.55</v>
      </c>
      <c r="H1970" t="s">
        <v>61</v>
      </c>
      <c r="I1970" t="s">
        <v>42</v>
      </c>
      <c r="M1970">
        <f>VLOOKUP(H1970,'Stage Order'!$A$2:$B$8,2,FALSE)</f>
        <v>1</v>
      </c>
      <c r="N1970" t="str">
        <f t="shared" si="60"/>
        <v>2. 1-24 hours</v>
      </c>
      <c r="O1970" t="str">
        <f t="shared" si="61"/>
        <v>2026-02</v>
      </c>
    </row>
    <row r="1971" spans="1:15" x14ac:dyDescent="0.3">
      <c r="A1971" t="s">
        <v>4660</v>
      </c>
      <c r="B1971" t="s">
        <v>4661</v>
      </c>
      <c r="C1971" t="s">
        <v>53</v>
      </c>
      <c r="D1971" t="s">
        <v>97</v>
      </c>
      <c r="E1971" t="s">
        <v>90</v>
      </c>
      <c r="F1971" t="s">
        <v>112</v>
      </c>
      <c r="G1971">
        <v>2.85</v>
      </c>
      <c r="H1971" t="s">
        <v>138</v>
      </c>
      <c r="I1971" t="s">
        <v>48</v>
      </c>
      <c r="J1971" t="s">
        <v>113</v>
      </c>
      <c r="K1971">
        <v>1614.46</v>
      </c>
      <c r="L1971" t="s">
        <v>4662</v>
      </c>
      <c r="M1971">
        <f>VLOOKUP(H1971,'Stage Order'!$A$2:$B$8,2,FALSE)</f>
        <v>6</v>
      </c>
      <c r="N1971" t="str">
        <f t="shared" si="60"/>
        <v>2. 1-24 hours</v>
      </c>
      <c r="O1971" t="str">
        <f t="shared" si="61"/>
        <v>2025-11</v>
      </c>
    </row>
    <row r="1972" spans="1:15" x14ac:dyDescent="0.3">
      <c r="A1972" t="s">
        <v>4663</v>
      </c>
      <c r="B1972" t="s">
        <v>4664</v>
      </c>
      <c r="C1972" t="s">
        <v>28</v>
      </c>
      <c r="D1972" t="s">
        <v>38</v>
      </c>
      <c r="E1972" t="s">
        <v>59</v>
      </c>
      <c r="F1972" t="s">
        <v>60</v>
      </c>
      <c r="G1972">
        <v>0.57999999999999996</v>
      </c>
      <c r="H1972" t="s">
        <v>32</v>
      </c>
      <c r="I1972" t="s">
        <v>33</v>
      </c>
      <c r="K1972">
        <v>334.11</v>
      </c>
      <c r="L1972" t="s">
        <v>4665</v>
      </c>
      <c r="M1972">
        <f>VLOOKUP(H1972,'Stage Order'!$A$2:$B$8,2,FALSE)</f>
        <v>7</v>
      </c>
      <c r="N1972" t="str">
        <f t="shared" si="60"/>
        <v>1. Under 1 hour</v>
      </c>
      <c r="O1972" t="str">
        <f t="shared" si="61"/>
        <v>2025-09</v>
      </c>
    </row>
    <row r="1973" spans="1:15" x14ac:dyDescent="0.3">
      <c r="A1973" t="s">
        <v>4666</v>
      </c>
      <c r="B1973" t="s">
        <v>4667</v>
      </c>
      <c r="C1973" t="s">
        <v>58</v>
      </c>
      <c r="D1973" t="s">
        <v>77</v>
      </c>
      <c r="E1973" t="s">
        <v>39</v>
      </c>
      <c r="F1973" t="s">
        <v>66</v>
      </c>
      <c r="G1973">
        <v>6.82</v>
      </c>
      <c r="H1973" t="s">
        <v>41</v>
      </c>
      <c r="I1973" t="s">
        <v>42</v>
      </c>
      <c r="M1973">
        <f>VLOOKUP(H1973,'Stage Order'!$A$2:$B$8,2,FALSE)</f>
        <v>2</v>
      </c>
      <c r="N1973" t="str">
        <f t="shared" si="60"/>
        <v>2. 1-24 hours</v>
      </c>
      <c r="O1973" t="str">
        <f t="shared" si="61"/>
        <v>2025-02</v>
      </c>
    </row>
    <row r="1974" spans="1:15" x14ac:dyDescent="0.3">
      <c r="A1974" t="s">
        <v>4668</v>
      </c>
      <c r="B1974" t="s">
        <v>4669</v>
      </c>
      <c r="C1974" t="s">
        <v>28</v>
      </c>
      <c r="D1974" t="s">
        <v>54</v>
      </c>
      <c r="E1974" t="s">
        <v>30</v>
      </c>
      <c r="F1974" t="s">
        <v>78</v>
      </c>
      <c r="G1974">
        <v>2.79</v>
      </c>
      <c r="H1974" t="s">
        <v>47</v>
      </c>
      <c r="I1974" t="s">
        <v>48</v>
      </c>
      <c r="J1974" t="s">
        <v>98</v>
      </c>
      <c r="K1974">
        <v>547.51</v>
      </c>
      <c r="L1974" t="s">
        <v>4670</v>
      </c>
      <c r="M1974">
        <f>VLOOKUP(H1974,'Stage Order'!$A$2:$B$8,2,FALSE)</f>
        <v>4</v>
      </c>
      <c r="N1974" t="str">
        <f t="shared" si="60"/>
        <v>2. 1-24 hours</v>
      </c>
      <c r="O1974" t="str">
        <f t="shared" si="61"/>
        <v>2026-04</v>
      </c>
    </row>
    <row r="1975" spans="1:15" x14ac:dyDescent="0.3">
      <c r="A1975" t="s">
        <v>4671</v>
      </c>
      <c r="B1975" t="s">
        <v>4672</v>
      </c>
      <c r="C1975" t="s">
        <v>125</v>
      </c>
      <c r="D1975" t="s">
        <v>54</v>
      </c>
      <c r="E1975" t="s">
        <v>59</v>
      </c>
      <c r="F1975" t="s">
        <v>137</v>
      </c>
      <c r="G1975">
        <v>1.64</v>
      </c>
      <c r="H1975" t="s">
        <v>41</v>
      </c>
      <c r="I1975" t="s">
        <v>42</v>
      </c>
      <c r="M1975">
        <f>VLOOKUP(H1975,'Stage Order'!$A$2:$B$8,2,FALSE)</f>
        <v>2</v>
      </c>
      <c r="N1975" t="str">
        <f t="shared" si="60"/>
        <v>2. 1-24 hours</v>
      </c>
      <c r="O1975" t="str">
        <f t="shared" si="61"/>
        <v>2025-08</v>
      </c>
    </row>
    <row r="1976" spans="1:15" x14ac:dyDescent="0.3">
      <c r="A1976" t="s">
        <v>4673</v>
      </c>
      <c r="B1976" t="s">
        <v>4674</v>
      </c>
      <c r="C1976" t="s">
        <v>28</v>
      </c>
      <c r="D1976" t="s">
        <v>54</v>
      </c>
      <c r="E1976" t="s">
        <v>45</v>
      </c>
      <c r="F1976" t="s">
        <v>94</v>
      </c>
      <c r="G1976">
        <v>0.6</v>
      </c>
      <c r="H1976" t="s">
        <v>32</v>
      </c>
      <c r="I1976" t="s">
        <v>33</v>
      </c>
      <c r="K1976">
        <v>502.88</v>
      </c>
      <c r="L1976" t="s">
        <v>4675</v>
      </c>
      <c r="M1976">
        <f>VLOOKUP(H1976,'Stage Order'!$A$2:$B$8,2,FALSE)</f>
        <v>7</v>
      </c>
      <c r="N1976" t="str">
        <f t="shared" si="60"/>
        <v>1. Under 1 hour</v>
      </c>
      <c r="O1976" t="str">
        <f t="shared" si="61"/>
        <v>2026-04</v>
      </c>
    </row>
    <row r="1977" spans="1:15" x14ac:dyDescent="0.3">
      <c r="A1977" t="s">
        <v>4676</v>
      </c>
      <c r="B1977" t="s">
        <v>4677</v>
      </c>
      <c r="C1977" t="s">
        <v>28</v>
      </c>
      <c r="D1977" t="s">
        <v>29</v>
      </c>
      <c r="E1977" t="s">
        <v>30</v>
      </c>
      <c r="F1977" t="s">
        <v>78</v>
      </c>
      <c r="G1977">
        <v>2.88</v>
      </c>
      <c r="H1977" t="s">
        <v>41</v>
      </c>
      <c r="I1977" t="s">
        <v>42</v>
      </c>
      <c r="M1977">
        <f>VLOOKUP(H1977,'Stage Order'!$A$2:$B$8,2,FALSE)</f>
        <v>2</v>
      </c>
      <c r="N1977" t="str">
        <f t="shared" si="60"/>
        <v>2. 1-24 hours</v>
      </c>
      <c r="O1977" t="str">
        <f t="shared" si="61"/>
        <v>2026-05</v>
      </c>
    </row>
    <row r="1978" spans="1:15" x14ac:dyDescent="0.3">
      <c r="A1978" t="s">
        <v>4678</v>
      </c>
      <c r="B1978" t="s">
        <v>4679</v>
      </c>
      <c r="C1978" t="s">
        <v>81</v>
      </c>
      <c r="D1978" t="s">
        <v>97</v>
      </c>
      <c r="E1978" t="s">
        <v>45</v>
      </c>
      <c r="F1978" t="s">
        <v>55</v>
      </c>
      <c r="G1978">
        <v>0.71</v>
      </c>
      <c r="H1978" t="s">
        <v>47</v>
      </c>
      <c r="I1978" t="s">
        <v>48</v>
      </c>
      <c r="J1978" t="s">
        <v>113</v>
      </c>
      <c r="K1978">
        <v>1583.72</v>
      </c>
      <c r="L1978" t="s">
        <v>4680</v>
      </c>
      <c r="M1978">
        <f>VLOOKUP(H1978,'Stage Order'!$A$2:$B$8,2,FALSE)</f>
        <v>4</v>
      </c>
      <c r="N1978" t="str">
        <f t="shared" si="60"/>
        <v>1. Under 1 hour</v>
      </c>
      <c r="O1978" t="str">
        <f t="shared" si="61"/>
        <v>2025-12</v>
      </c>
    </row>
    <row r="1979" spans="1:15" x14ac:dyDescent="0.3">
      <c r="A1979" t="s">
        <v>4681</v>
      </c>
      <c r="B1979" t="s">
        <v>4682</v>
      </c>
      <c r="C1979" t="s">
        <v>37</v>
      </c>
      <c r="D1979" t="s">
        <v>54</v>
      </c>
      <c r="E1979" t="s">
        <v>59</v>
      </c>
      <c r="F1979" t="s">
        <v>117</v>
      </c>
      <c r="G1979">
        <v>1.33</v>
      </c>
      <c r="H1979" t="s">
        <v>61</v>
      </c>
      <c r="I1979" t="s">
        <v>42</v>
      </c>
      <c r="M1979">
        <f>VLOOKUP(H1979,'Stage Order'!$A$2:$B$8,2,FALSE)</f>
        <v>1</v>
      </c>
      <c r="N1979" t="str">
        <f t="shared" si="60"/>
        <v>2. 1-24 hours</v>
      </c>
      <c r="O1979" t="str">
        <f t="shared" si="61"/>
        <v>2025-03</v>
      </c>
    </row>
    <row r="1980" spans="1:15" x14ac:dyDescent="0.3">
      <c r="A1980" t="s">
        <v>4683</v>
      </c>
      <c r="B1980" t="s">
        <v>4684</v>
      </c>
      <c r="C1980" t="s">
        <v>58</v>
      </c>
      <c r="D1980" t="s">
        <v>29</v>
      </c>
      <c r="E1980" t="s">
        <v>30</v>
      </c>
      <c r="F1980" t="s">
        <v>78</v>
      </c>
      <c r="G1980">
        <v>2.36</v>
      </c>
      <c r="H1980" t="s">
        <v>138</v>
      </c>
      <c r="I1980" t="s">
        <v>48</v>
      </c>
      <c r="J1980" t="s">
        <v>49</v>
      </c>
      <c r="K1980">
        <v>600.62</v>
      </c>
      <c r="L1980" t="s">
        <v>4685</v>
      </c>
      <c r="M1980">
        <f>VLOOKUP(H1980,'Stage Order'!$A$2:$B$8,2,FALSE)</f>
        <v>6</v>
      </c>
      <c r="N1980" t="str">
        <f t="shared" si="60"/>
        <v>2. 1-24 hours</v>
      </c>
      <c r="O1980" t="str">
        <f t="shared" si="61"/>
        <v>2025-11</v>
      </c>
    </row>
    <row r="1981" spans="1:15" x14ac:dyDescent="0.3">
      <c r="A1981" t="s">
        <v>4686</v>
      </c>
      <c r="B1981" t="s">
        <v>4687</v>
      </c>
      <c r="C1981" t="s">
        <v>28</v>
      </c>
      <c r="D1981" t="s">
        <v>97</v>
      </c>
      <c r="E1981" t="s">
        <v>59</v>
      </c>
      <c r="F1981" t="s">
        <v>117</v>
      </c>
      <c r="G1981">
        <v>8.7200000000000006</v>
      </c>
      <c r="H1981" t="s">
        <v>41</v>
      </c>
      <c r="I1981" t="s">
        <v>42</v>
      </c>
      <c r="M1981">
        <f>VLOOKUP(H1981,'Stage Order'!$A$2:$B$8,2,FALSE)</f>
        <v>2</v>
      </c>
      <c r="N1981" t="str">
        <f t="shared" si="60"/>
        <v>2. 1-24 hours</v>
      </c>
      <c r="O1981" t="str">
        <f t="shared" si="61"/>
        <v>2026-05</v>
      </c>
    </row>
    <row r="1982" spans="1:15" x14ac:dyDescent="0.3">
      <c r="A1982" t="s">
        <v>4688</v>
      </c>
      <c r="B1982" t="s">
        <v>4689</v>
      </c>
      <c r="C1982" t="s">
        <v>37</v>
      </c>
      <c r="D1982" t="s">
        <v>54</v>
      </c>
      <c r="E1982" t="s">
        <v>39</v>
      </c>
      <c r="F1982" t="s">
        <v>40</v>
      </c>
      <c r="G1982">
        <v>3.3</v>
      </c>
      <c r="H1982" t="s">
        <v>41</v>
      </c>
      <c r="I1982" t="s">
        <v>42</v>
      </c>
      <c r="M1982">
        <f>VLOOKUP(H1982,'Stage Order'!$A$2:$B$8,2,FALSE)</f>
        <v>2</v>
      </c>
      <c r="N1982" t="str">
        <f t="shared" si="60"/>
        <v>2. 1-24 hours</v>
      </c>
      <c r="O1982" t="str">
        <f t="shared" si="61"/>
        <v>2025-05</v>
      </c>
    </row>
    <row r="1983" spans="1:15" x14ac:dyDescent="0.3">
      <c r="A1983" t="s">
        <v>4690</v>
      </c>
      <c r="B1983" t="s">
        <v>4691</v>
      </c>
      <c r="C1983" t="s">
        <v>37</v>
      </c>
      <c r="D1983" t="s">
        <v>38</v>
      </c>
      <c r="E1983" t="s">
        <v>30</v>
      </c>
      <c r="F1983" t="s">
        <v>78</v>
      </c>
      <c r="G1983">
        <v>6.21</v>
      </c>
      <c r="H1983" t="s">
        <v>41</v>
      </c>
      <c r="I1983" t="s">
        <v>42</v>
      </c>
      <c r="M1983">
        <f>VLOOKUP(H1983,'Stage Order'!$A$2:$B$8,2,FALSE)</f>
        <v>2</v>
      </c>
      <c r="N1983" t="str">
        <f t="shared" si="60"/>
        <v>2. 1-24 hours</v>
      </c>
      <c r="O1983" t="str">
        <f t="shared" si="61"/>
        <v>2025-07</v>
      </c>
    </row>
    <row r="1984" spans="1:15" x14ac:dyDescent="0.3">
      <c r="A1984" t="s">
        <v>4692</v>
      </c>
      <c r="B1984" t="s">
        <v>4693</v>
      </c>
      <c r="C1984" t="s">
        <v>37</v>
      </c>
      <c r="D1984" t="s">
        <v>38</v>
      </c>
      <c r="E1984" t="s">
        <v>30</v>
      </c>
      <c r="F1984" t="s">
        <v>78</v>
      </c>
      <c r="G1984">
        <v>5.09</v>
      </c>
      <c r="H1984" t="s">
        <v>41</v>
      </c>
      <c r="I1984" t="s">
        <v>42</v>
      </c>
      <c r="M1984">
        <f>VLOOKUP(H1984,'Stage Order'!$A$2:$B$8,2,FALSE)</f>
        <v>2</v>
      </c>
      <c r="N1984" t="str">
        <f t="shared" si="60"/>
        <v>2. 1-24 hours</v>
      </c>
      <c r="O1984" t="str">
        <f t="shared" si="61"/>
        <v>2025-08</v>
      </c>
    </row>
    <row r="1985" spans="1:15" x14ac:dyDescent="0.3">
      <c r="A1985" t="s">
        <v>4694</v>
      </c>
      <c r="B1985" t="s">
        <v>4695</v>
      </c>
      <c r="C1985" t="s">
        <v>28</v>
      </c>
      <c r="D1985" t="s">
        <v>54</v>
      </c>
      <c r="E1985" t="s">
        <v>39</v>
      </c>
      <c r="F1985" t="s">
        <v>106</v>
      </c>
      <c r="G1985">
        <v>4.72</v>
      </c>
      <c r="H1985" t="s">
        <v>32</v>
      </c>
      <c r="I1985" t="s">
        <v>33</v>
      </c>
      <c r="K1985">
        <v>482.82</v>
      </c>
      <c r="L1985" t="s">
        <v>4696</v>
      </c>
      <c r="M1985">
        <f>VLOOKUP(H1985,'Stage Order'!$A$2:$B$8,2,FALSE)</f>
        <v>7</v>
      </c>
      <c r="N1985" t="str">
        <f t="shared" si="60"/>
        <v>2. 1-24 hours</v>
      </c>
      <c r="O1985" t="str">
        <f t="shared" si="61"/>
        <v>2025-10</v>
      </c>
    </row>
    <row r="1986" spans="1:15" x14ac:dyDescent="0.3">
      <c r="A1986" t="s">
        <v>4697</v>
      </c>
      <c r="B1986" t="s">
        <v>4698</v>
      </c>
      <c r="C1986" t="s">
        <v>76</v>
      </c>
      <c r="D1986" t="s">
        <v>97</v>
      </c>
      <c r="E1986" t="s">
        <v>30</v>
      </c>
      <c r="F1986" t="s">
        <v>82</v>
      </c>
      <c r="G1986">
        <v>3.55</v>
      </c>
      <c r="H1986" t="s">
        <v>138</v>
      </c>
      <c r="I1986" t="s">
        <v>48</v>
      </c>
      <c r="J1986" t="s">
        <v>49</v>
      </c>
      <c r="K1986">
        <v>1496.6</v>
      </c>
      <c r="L1986" t="s">
        <v>4699</v>
      </c>
      <c r="M1986">
        <f>VLOOKUP(H1986,'Stage Order'!$A$2:$B$8,2,FALSE)</f>
        <v>6</v>
      </c>
      <c r="N1986" t="str">
        <f t="shared" ref="N1986:N2049" si="62">IF(G1986&lt;=1,"1. Under 1 hour",IF(G1986&lt;=24,"2. 1-24 hours",IF(G1986&lt;=72,"3. 1-3 days","4. Over 3 days")))</f>
        <v>2. 1-24 hours</v>
      </c>
      <c r="O1986" t="str">
        <f t="shared" ref="O1986:O2049" si="63">TEXT(B1986,"YYYY-MM")</f>
        <v>2025-06</v>
      </c>
    </row>
    <row r="1987" spans="1:15" x14ac:dyDescent="0.3">
      <c r="A1987" t="s">
        <v>4700</v>
      </c>
      <c r="B1987" t="s">
        <v>4701</v>
      </c>
      <c r="C1987" t="s">
        <v>28</v>
      </c>
      <c r="D1987" t="s">
        <v>97</v>
      </c>
      <c r="E1987" t="s">
        <v>90</v>
      </c>
      <c r="F1987" t="s">
        <v>91</v>
      </c>
      <c r="G1987">
        <v>3.43</v>
      </c>
      <c r="H1987" t="s">
        <v>41</v>
      </c>
      <c r="I1987" t="s">
        <v>42</v>
      </c>
      <c r="M1987">
        <f>VLOOKUP(H1987,'Stage Order'!$A$2:$B$8,2,FALSE)</f>
        <v>2</v>
      </c>
      <c r="N1987" t="str">
        <f t="shared" si="62"/>
        <v>2. 1-24 hours</v>
      </c>
      <c r="O1987" t="str">
        <f t="shared" si="63"/>
        <v>2026-03</v>
      </c>
    </row>
    <row r="1988" spans="1:15" x14ac:dyDescent="0.3">
      <c r="A1988" t="s">
        <v>4702</v>
      </c>
      <c r="B1988" t="s">
        <v>4703</v>
      </c>
      <c r="C1988" t="s">
        <v>37</v>
      </c>
      <c r="D1988" t="s">
        <v>97</v>
      </c>
      <c r="E1988" t="s">
        <v>59</v>
      </c>
      <c r="F1988" t="s">
        <v>137</v>
      </c>
      <c r="G1988">
        <v>4.0999999999999996</v>
      </c>
      <c r="H1988" t="s">
        <v>41</v>
      </c>
      <c r="I1988" t="s">
        <v>42</v>
      </c>
      <c r="M1988">
        <f>VLOOKUP(H1988,'Stage Order'!$A$2:$B$8,2,FALSE)</f>
        <v>2</v>
      </c>
      <c r="N1988" t="str">
        <f t="shared" si="62"/>
        <v>2. 1-24 hours</v>
      </c>
      <c r="O1988" t="str">
        <f t="shared" si="63"/>
        <v>2026-01</v>
      </c>
    </row>
    <row r="1989" spans="1:15" x14ac:dyDescent="0.3">
      <c r="A1989" t="s">
        <v>4704</v>
      </c>
      <c r="B1989" t="s">
        <v>4705</v>
      </c>
      <c r="C1989" t="s">
        <v>125</v>
      </c>
      <c r="D1989" t="s">
        <v>54</v>
      </c>
      <c r="E1989" t="s">
        <v>45</v>
      </c>
      <c r="F1989" t="s">
        <v>46</v>
      </c>
      <c r="G1989">
        <v>4.0999999999999996</v>
      </c>
      <c r="H1989" t="s">
        <v>41</v>
      </c>
      <c r="I1989" t="s">
        <v>42</v>
      </c>
      <c r="M1989">
        <f>VLOOKUP(H1989,'Stage Order'!$A$2:$B$8,2,FALSE)</f>
        <v>2</v>
      </c>
      <c r="N1989" t="str">
        <f t="shared" si="62"/>
        <v>2. 1-24 hours</v>
      </c>
      <c r="O1989" t="str">
        <f t="shared" si="63"/>
        <v>2026-01</v>
      </c>
    </row>
    <row r="1990" spans="1:15" x14ac:dyDescent="0.3">
      <c r="A1990" t="s">
        <v>4706</v>
      </c>
      <c r="B1990" t="s">
        <v>4707</v>
      </c>
      <c r="C1990" t="s">
        <v>37</v>
      </c>
      <c r="D1990" t="s">
        <v>29</v>
      </c>
      <c r="E1990" t="s">
        <v>45</v>
      </c>
      <c r="F1990" t="s">
        <v>94</v>
      </c>
      <c r="G1990">
        <v>3.85</v>
      </c>
      <c r="H1990" t="s">
        <v>47</v>
      </c>
      <c r="I1990" t="s">
        <v>48</v>
      </c>
      <c r="J1990" t="s">
        <v>139</v>
      </c>
      <c r="K1990">
        <v>538.42999999999995</v>
      </c>
      <c r="L1990" t="s">
        <v>4708</v>
      </c>
      <c r="M1990">
        <f>VLOOKUP(H1990,'Stage Order'!$A$2:$B$8,2,FALSE)</f>
        <v>4</v>
      </c>
      <c r="N1990" t="str">
        <f t="shared" si="62"/>
        <v>2. 1-24 hours</v>
      </c>
      <c r="O1990" t="str">
        <f t="shared" si="63"/>
        <v>2025-11</v>
      </c>
    </row>
    <row r="1991" spans="1:15" x14ac:dyDescent="0.3">
      <c r="A1991" t="s">
        <v>4709</v>
      </c>
      <c r="B1991" t="s">
        <v>4710</v>
      </c>
      <c r="C1991" t="s">
        <v>53</v>
      </c>
      <c r="D1991" t="s">
        <v>29</v>
      </c>
      <c r="E1991" t="s">
        <v>30</v>
      </c>
      <c r="F1991" t="s">
        <v>78</v>
      </c>
      <c r="G1991">
        <v>4.63</v>
      </c>
      <c r="H1991" t="s">
        <v>41</v>
      </c>
      <c r="I1991" t="s">
        <v>42</v>
      </c>
      <c r="M1991">
        <f>VLOOKUP(H1991,'Stage Order'!$A$2:$B$8,2,FALSE)</f>
        <v>2</v>
      </c>
      <c r="N1991" t="str">
        <f t="shared" si="62"/>
        <v>2. 1-24 hours</v>
      </c>
      <c r="O1991" t="str">
        <f t="shared" si="63"/>
        <v>2025-11</v>
      </c>
    </row>
    <row r="1992" spans="1:15" x14ac:dyDescent="0.3">
      <c r="A1992" t="s">
        <v>4711</v>
      </c>
      <c r="B1992" t="s">
        <v>4712</v>
      </c>
      <c r="C1992" t="s">
        <v>37</v>
      </c>
      <c r="D1992" t="s">
        <v>54</v>
      </c>
      <c r="E1992" t="s">
        <v>90</v>
      </c>
      <c r="F1992" t="s">
        <v>112</v>
      </c>
      <c r="G1992">
        <v>4.12</v>
      </c>
      <c r="H1992" t="s">
        <v>41</v>
      </c>
      <c r="I1992" t="s">
        <v>42</v>
      </c>
      <c r="M1992">
        <f>VLOOKUP(H1992,'Stage Order'!$A$2:$B$8,2,FALSE)</f>
        <v>2</v>
      </c>
      <c r="N1992" t="str">
        <f t="shared" si="62"/>
        <v>2. 1-24 hours</v>
      </c>
      <c r="O1992" t="str">
        <f t="shared" si="63"/>
        <v>2025-02</v>
      </c>
    </row>
    <row r="1993" spans="1:15" x14ac:dyDescent="0.3">
      <c r="A1993" t="s">
        <v>4713</v>
      </c>
      <c r="B1993" t="s">
        <v>4714</v>
      </c>
      <c r="C1993" t="s">
        <v>37</v>
      </c>
      <c r="D1993" t="s">
        <v>29</v>
      </c>
      <c r="E1993" t="s">
        <v>45</v>
      </c>
      <c r="F1993" t="s">
        <v>94</v>
      </c>
      <c r="G1993">
        <v>6.84</v>
      </c>
      <c r="H1993" t="s">
        <v>47</v>
      </c>
      <c r="I1993" t="s">
        <v>48</v>
      </c>
      <c r="J1993" t="s">
        <v>113</v>
      </c>
      <c r="K1993">
        <v>738.81</v>
      </c>
      <c r="L1993" t="s">
        <v>4715</v>
      </c>
      <c r="M1993">
        <f>VLOOKUP(H1993,'Stage Order'!$A$2:$B$8,2,FALSE)</f>
        <v>4</v>
      </c>
      <c r="N1993" t="str">
        <f t="shared" si="62"/>
        <v>2. 1-24 hours</v>
      </c>
      <c r="O1993" t="str">
        <f t="shared" si="63"/>
        <v>2025-02</v>
      </c>
    </row>
    <row r="1994" spans="1:15" x14ac:dyDescent="0.3">
      <c r="A1994" t="s">
        <v>4716</v>
      </c>
      <c r="B1994" t="s">
        <v>4717</v>
      </c>
      <c r="C1994" t="s">
        <v>125</v>
      </c>
      <c r="D1994" t="s">
        <v>77</v>
      </c>
      <c r="E1994" t="s">
        <v>45</v>
      </c>
      <c r="F1994" t="s">
        <v>94</v>
      </c>
      <c r="G1994">
        <v>4.16</v>
      </c>
      <c r="H1994" t="s">
        <v>41</v>
      </c>
      <c r="I1994" t="s">
        <v>42</v>
      </c>
      <c r="M1994">
        <f>VLOOKUP(H1994,'Stage Order'!$A$2:$B$8,2,FALSE)</f>
        <v>2</v>
      </c>
      <c r="N1994" t="str">
        <f t="shared" si="62"/>
        <v>2. 1-24 hours</v>
      </c>
      <c r="O1994" t="str">
        <f t="shared" si="63"/>
        <v>2025-11</v>
      </c>
    </row>
    <row r="1995" spans="1:15" x14ac:dyDescent="0.3">
      <c r="A1995" t="s">
        <v>4718</v>
      </c>
      <c r="B1995" t="s">
        <v>4719</v>
      </c>
      <c r="C1995" t="s">
        <v>58</v>
      </c>
      <c r="D1995" t="s">
        <v>97</v>
      </c>
      <c r="E1995" t="s">
        <v>59</v>
      </c>
      <c r="F1995" t="s">
        <v>60</v>
      </c>
      <c r="G1995">
        <v>1.48</v>
      </c>
      <c r="H1995" t="s">
        <v>32</v>
      </c>
      <c r="I1995" t="s">
        <v>33</v>
      </c>
      <c r="K1995">
        <v>1683.28</v>
      </c>
      <c r="L1995" t="s">
        <v>4720</v>
      </c>
      <c r="M1995">
        <f>VLOOKUP(H1995,'Stage Order'!$A$2:$B$8,2,FALSE)</f>
        <v>7</v>
      </c>
      <c r="N1995" t="str">
        <f t="shared" si="62"/>
        <v>2. 1-24 hours</v>
      </c>
      <c r="O1995" t="str">
        <f t="shared" si="63"/>
        <v>2025-02</v>
      </c>
    </row>
    <row r="1996" spans="1:15" x14ac:dyDescent="0.3">
      <c r="A1996" t="s">
        <v>4721</v>
      </c>
      <c r="B1996" t="s">
        <v>4722</v>
      </c>
      <c r="C1996" t="s">
        <v>37</v>
      </c>
      <c r="D1996" t="s">
        <v>29</v>
      </c>
      <c r="E1996" t="s">
        <v>59</v>
      </c>
      <c r="F1996" t="s">
        <v>60</v>
      </c>
      <c r="G1996">
        <v>13.18</v>
      </c>
      <c r="H1996" t="s">
        <v>47</v>
      </c>
      <c r="I1996" t="s">
        <v>48</v>
      </c>
      <c r="J1996" t="s">
        <v>98</v>
      </c>
      <c r="K1996">
        <v>582.1</v>
      </c>
      <c r="L1996" t="s">
        <v>4723</v>
      </c>
      <c r="M1996">
        <f>VLOOKUP(H1996,'Stage Order'!$A$2:$B$8,2,FALSE)</f>
        <v>4</v>
      </c>
      <c r="N1996" t="str">
        <f t="shared" si="62"/>
        <v>2. 1-24 hours</v>
      </c>
      <c r="O1996" t="str">
        <f t="shared" si="63"/>
        <v>2026-06</v>
      </c>
    </row>
    <row r="1997" spans="1:15" x14ac:dyDescent="0.3">
      <c r="A1997" t="s">
        <v>4724</v>
      </c>
      <c r="B1997" t="s">
        <v>4725</v>
      </c>
      <c r="C1997" t="s">
        <v>37</v>
      </c>
      <c r="D1997" t="s">
        <v>97</v>
      </c>
      <c r="E1997" t="s">
        <v>45</v>
      </c>
      <c r="F1997" t="s">
        <v>55</v>
      </c>
      <c r="G1997">
        <v>0.95</v>
      </c>
      <c r="H1997" t="s">
        <v>32</v>
      </c>
      <c r="I1997" t="s">
        <v>33</v>
      </c>
      <c r="K1997">
        <v>1392.53</v>
      </c>
      <c r="L1997" t="s">
        <v>4726</v>
      </c>
      <c r="M1997">
        <f>VLOOKUP(H1997,'Stage Order'!$A$2:$B$8,2,FALSE)</f>
        <v>7</v>
      </c>
      <c r="N1997" t="str">
        <f t="shared" si="62"/>
        <v>1. Under 1 hour</v>
      </c>
      <c r="O1997" t="str">
        <f t="shared" si="63"/>
        <v>2025-10</v>
      </c>
    </row>
    <row r="1998" spans="1:15" x14ac:dyDescent="0.3">
      <c r="A1998" t="s">
        <v>4727</v>
      </c>
      <c r="B1998" t="s">
        <v>4728</v>
      </c>
      <c r="C1998" t="s">
        <v>37</v>
      </c>
      <c r="D1998" t="s">
        <v>54</v>
      </c>
      <c r="E1998" t="s">
        <v>59</v>
      </c>
      <c r="F1998" t="s">
        <v>137</v>
      </c>
      <c r="G1998">
        <v>3.11</v>
      </c>
      <c r="H1998" t="s">
        <v>47</v>
      </c>
      <c r="I1998" t="s">
        <v>48</v>
      </c>
      <c r="J1998" t="s">
        <v>139</v>
      </c>
      <c r="K1998">
        <v>461.45</v>
      </c>
      <c r="L1998" t="s">
        <v>4729</v>
      </c>
      <c r="M1998">
        <f>VLOOKUP(H1998,'Stage Order'!$A$2:$B$8,2,FALSE)</f>
        <v>4</v>
      </c>
      <c r="N1998" t="str">
        <f t="shared" si="62"/>
        <v>2. 1-24 hours</v>
      </c>
      <c r="O1998" t="str">
        <f t="shared" si="63"/>
        <v>2025-11</v>
      </c>
    </row>
    <row r="1999" spans="1:15" x14ac:dyDescent="0.3">
      <c r="A1999" t="s">
        <v>4730</v>
      </c>
      <c r="B1999" t="s">
        <v>4731</v>
      </c>
      <c r="C1999" t="s">
        <v>37</v>
      </c>
      <c r="D1999" t="s">
        <v>77</v>
      </c>
      <c r="E1999" t="s">
        <v>45</v>
      </c>
      <c r="F1999" t="s">
        <v>55</v>
      </c>
      <c r="G1999">
        <v>5.24</v>
      </c>
      <c r="H1999" t="s">
        <v>138</v>
      </c>
      <c r="I1999" t="s">
        <v>48</v>
      </c>
      <c r="J1999" t="s">
        <v>139</v>
      </c>
      <c r="K1999">
        <v>922.76</v>
      </c>
      <c r="L1999" t="s">
        <v>4732</v>
      </c>
      <c r="M1999">
        <f>VLOOKUP(H1999,'Stage Order'!$A$2:$B$8,2,FALSE)</f>
        <v>6</v>
      </c>
      <c r="N1999" t="str">
        <f t="shared" si="62"/>
        <v>2. 1-24 hours</v>
      </c>
      <c r="O1999" t="str">
        <f t="shared" si="63"/>
        <v>2025-02</v>
      </c>
    </row>
    <row r="2000" spans="1:15" x14ac:dyDescent="0.3">
      <c r="A2000" t="s">
        <v>4733</v>
      </c>
      <c r="B2000" t="s">
        <v>4734</v>
      </c>
      <c r="C2000" t="s">
        <v>37</v>
      </c>
      <c r="D2000" t="s">
        <v>77</v>
      </c>
      <c r="E2000" t="s">
        <v>90</v>
      </c>
      <c r="F2000" t="s">
        <v>91</v>
      </c>
      <c r="G2000">
        <v>1.68</v>
      </c>
      <c r="H2000" t="s">
        <v>61</v>
      </c>
      <c r="I2000" t="s">
        <v>42</v>
      </c>
      <c r="M2000">
        <f>VLOOKUP(H2000,'Stage Order'!$A$2:$B$8,2,FALSE)</f>
        <v>1</v>
      </c>
      <c r="N2000" t="str">
        <f t="shared" si="62"/>
        <v>2. 1-24 hours</v>
      </c>
      <c r="O2000" t="str">
        <f t="shared" si="63"/>
        <v>2026-06</v>
      </c>
    </row>
    <row r="2001" spans="1:15" x14ac:dyDescent="0.3">
      <c r="A2001" t="s">
        <v>4735</v>
      </c>
      <c r="B2001" t="s">
        <v>4736</v>
      </c>
      <c r="C2001" t="s">
        <v>37</v>
      </c>
      <c r="D2001" t="s">
        <v>77</v>
      </c>
      <c r="E2001" t="s">
        <v>90</v>
      </c>
      <c r="F2001" t="s">
        <v>91</v>
      </c>
      <c r="G2001">
        <v>4.05</v>
      </c>
      <c r="H2001" t="s">
        <v>41</v>
      </c>
      <c r="I2001" t="s">
        <v>42</v>
      </c>
      <c r="M2001">
        <f>VLOOKUP(H2001,'Stage Order'!$A$2:$B$8,2,FALSE)</f>
        <v>2</v>
      </c>
      <c r="N2001" t="str">
        <f t="shared" si="62"/>
        <v>2. 1-24 hours</v>
      </c>
      <c r="O2001" t="str">
        <f t="shared" si="63"/>
        <v>2025-06</v>
      </c>
    </row>
    <row r="2002" spans="1:15" x14ac:dyDescent="0.3">
      <c r="A2002" t="s">
        <v>4737</v>
      </c>
      <c r="B2002" t="s">
        <v>4738</v>
      </c>
      <c r="C2002" t="s">
        <v>53</v>
      </c>
      <c r="D2002" t="s">
        <v>97</v>
      </c>
      <c r="E2002" t="s">
        <v>45</v>
      </c>
      <c r="F2002" t="s">
        <v>46</v>
      </c>
      <c r="G2002">
        <v>0.98</v>
      </c>
      <c r="H2002" t="s">
        <v>41</v>
      </c>
      <c r="I2002" t="s">
        <v>42</v>
      </c>
      <c r="M2002">
        <f>VLOOKUP(H2002,'Stage Order'!$A$2:$B$8,2,FALSE)</f>
        <v>2</v>
      </c>
      <c r="N2002" t="str">
        <f t="shared" si="62"/>
        <v>1. Under 1 hour</v>
      </c>
      <c r="O2002" t="str">
        <f t="shared" si="63"/>
        <v>2026-04</v>
      </c>
    </row>
    <row r="2003" spans="1:15" x14ac:dyDescent="0.3">
      <c r="A2003" t="s">
        <v>4739</v>
      </c>
      <c r="B2003" t="s">
        <v>4740</v>
      </c>
      <c r="C2003" t="s">
        <v>53</v>
      </c>
      <c r="D2003" t="s">
        <v>54</v>
      </c>
      <c r="E2003" t="s">
        <v>59</v>
      </c>
      <c r="F2003" t="s">
        <v>117</v>
      </c>
      <c r="G2003">
        <v>3.96</v>
      </c>
      <c r="H2003" t="s">
        <v>32</v>
      </c>
      <c r="I2003" t="s">
        <v>33</v>
      </c>
      <c r="K2003">
        <v>549.51</v>
      </c>
      <c r="L2003" t="s">
        <v>4741</v>
      </c>
      <c r="M2003">
        <f>VLOOKUP(H2003,'Stage Order'!$A$2:$B$8,2,FALSE)</f>
        <v>7</v>
      </c>
      <c r="N2003" t="str">
        <f t="shared" si="62"/>
        <v>2. 1-24 hours</v>
      </c>
      <c r="O2003" t="str">
        <f t="shared" si="63"/>
        <v>2025-04</v>
      </c>
    </row>
    <row r="2004" spans="1:15" x14ac:dyDescent="0.3">
      <c r="A2004" t="s">
        <v>4742</v>
      </c>
      <c r="B2004" t="s">
        <v>4743</v>
      </c>
      <c r="C2004" t="s">
        <v>125</v>
      </c>
      <c r="D2004" t="s">
        <v>97</v>
      </c>
      <c r="E2004" t="s">
        <v>90</v>
      </c>
      <c r="F2004" t="s">
        <v>145</v>
      </c>
      <c r="G2004">
        <v>0.6</v>
      </c>
      <c r="H2004" t="s">
        <v>61</v>
      </c>
      <c r="I2004" t="s">
        <v>42</v>
      </c>
      <c r="M2004">
        <f>VLOOKUP(H2004,'Stage Order'!$A$2:$B$8,2,FALSE)</f>
        <v>1</v>
      </c>
      <c r="N2004" t="str">
        <f t="shared" si="62"/>
        <v>1. Under 1 hour</v>
      </c>
      <c r="O2004" t="str">
        <f t="shared" si="63"/>
        <v>2025-09</v>
      </c>
    </row>
    <row r="2005" spans="1:15" x14ac:dyDescent="0.3">
      <c r="A2005" t="s">
        <v>4744</v>
      </c>
      <c r="B2005" t="s">
        <v>4745</v>
      </c>
      <c r="C2005" t="s">
        <v>28</v>
      </c>
      <c r="D2005" t="s">
        <v>38</v>
      </c>
      <c r="E2005" t="s">
        <v>45</v>
      </c>
      <c r="F2005" t="s">
        <v>46</v>
      </c>
      <c r="G2005">
        <v>5.82</v>
      </c>
      <c r="H2005" t="s">
        <v>41</v>
      </c>
      <c r="I2005" t="s">
        <v>42</v>
      </c>
      <c r="M2005">
        <f>VLOOKUP(H2005,'Stage Order'!$A$2:$B$8,2,FALSE)</f>
        <v>2</v>
      </c>
      <c r="N2005" t="str">
        <f t="shared" si="62"/>
        <v>2. 1-24 hours</v>
      </c>
      <c r="O2005" t="str">
        <f t="shared" si="63"/>
        <v>2026-04</v>
      </c>
    </row>
    <row r="2006" spans="1:15" x14ac:dyDescent="0.3">
      <c r="A2006" t="s">
        <v>4746</v>
      </c>
      <c r="B2006" t="s">
        <v>4747</v>
      </c>
      <c r="C2006" t="s">
        <v>81</v>
      </c>
      <c r="D2006" t="s">
        <v>97</v>
      </c>
      <c r="E2006" t="s">
        <v>59</v>
      </c>
      <c r="F2006" t="s">
        <v>60</v>
      </c>
      <c r="G2006">
        <v>4.05</v>
      </c>
      <c r="H2006" t="s">
        <v>61</v>
      </c>
      <c r="I2006" t="s">
        <v>42</v>
      </c>
      <c r="M2006">
        <f>VLOOKUP(H2006,'Stage Order'!$A$2:$B$8,2,FALSE)</f>
        <v>1</v>
      </c>
      <c r="N2006" t="str">
        <f t="shared" si="62"/>
        <v>2. 1-24 hours</v>
      </c>
      <c r="O2006" t="str">
        <f t="shared" si="63"/>
        <v>2025-10</v>
      </c>
    </row>
    <row r="2007" spans="1:15" x14ac:dyDescent="0.3">
      <c r="A2007" t="s">
        <v>4748</v>
      </c>
      <c r="B2007" t="s">
        <v>4749</v>
      </c>
      <c r="C2007" t="s">
        <v>53</v>
      </c>
      <c r="D2007" t="s">
        <v>29</v>
      </c>
      <c r="E2007" t="s">
        <v>59</v>
      </c>
      <c r="F2007" t="s">
        <v>60</v>
      </c>
      <c r="G2007">
        <v>8.27</v>
      </c>
      <c r="H2007" t="s">
        <v>41</v>
      </c>
      <c r="I2007" t="s">
        <v>42</v>
      </c>
      <c r="M2007">
        <f>VLOOKUP(H2007,'Stage Order'!$A$2:$B$8,2,FALSE)</f>
        <v>2</v>
      </c>
      <c r="N2007" t="str">
        <f t="shared" si="62"/>
        <v>2. 1-24 hours</v>
      </c>
      <c r="O2007" t="str">
        <f t="shared" si="63"/>
        <v>2026-01</v>
      </c>
    </row>
    <row r="2008" spans="1:15" x14ac:dyDescent="0.3">
      <c r="A2008" t="s">
        <v>4750</v>
      </c>
      <c r="B2008" t="s">
        <v>4751</v>
      </c>
      <c r="C2008" t="s">
        <v>58</v>
      </c>
      <c r="D2008" t="s">
        <v>38</v>
      </c>
      <c r="E2008" t="s">
        <v>30</v>
      </c>
      <c r="F2008" t="s">
        <v>78</v>
      </c>
      <c r="G2008">
        <v>0.89</v>
      </c>
      <c r="H2008" t="s">
        <v>41</v>
      </c>
      <c r="I2008" t="s">
        <v>42</v>
      </c>
      <c r="M2008">
        <f>VLOOKUP(H2008,'Stage Order'!$A$2:$B$8,2,FALSE)</f>
        <v>2</v>
      </c>
      <c r="N2008" t="str">
        <f t="shared" si="62"/>
        <v>1. Under 1 hour</v>
      </c>
      <c r="O2008" t="str">
        <f t="shared" si="63"/>
        <v>2025-07</v>
      </c>
    </row>
    <row r="2009" spans="1:15" x14ac:dyDescent="0.3">
      <c r="A2009" t="s">
        <v>4752</v>
      </c>
      <c r="B2009" t="s">
        <v>4753</v>
      </c>
      <c r="C2009" t="s">
        <v>81</v>
      </c>
      <c r="D2009" t="s">
        <v>38</v>
      </c>
      <c r="E2009" t="s">
        <v>90</v>
      </c>
      <c r="F2009" t="s">
        <v>91</v>
      </c>
      <c r="G2009">
        <v>4.1399999999999997</v>
      </c>
      <c r="H2009" t="s">
        <v>61</v>
      </c>
      <c r="I2009" t="s">
        <v>42</v>
      </c>
      <c r="M2009">
        <f>VLOOKUP(H2009,'Stage Order'!$A$2:$B$8,2,FALSE)</f>
        <v>1</v>
      </c>
      <c r="N2009" t="str">
        <f t="shared" si="62"/>
        <v>2. 1-24 hours</v>
      </c>
      <c r="O2009" t="str">
        <f t="shared" si="63"/>
        <v>2025-02</v>
      </c>
    </row>
    <row r="2010" spans="1:15" x14ac:dyDescent="0.3">
      <c r="A2010" t="s">
        <v>4754</v>
      </c>
      <c r="B2010" t="s">
        <v>4755</v>
      </c>
      <c r="C2010" t="s">
        <v>37</v>
      </c>
      <c r="D2010" t="s">
        <v>54</v>
      </c>
      <c r="E2010" t="s">
        <v>39</v>
      </c>
      <c r="F2010" t="s">
        <v>40</v>
      </c>
      <c r="G2010">
        <v>3.49</v>
      </c>
      <c r="H2010" t="s">
        <v>41</v>
      </c>
      <c r="I2010" t="s">
        <v>42</v>
      </c>
      <c r="M2010">
        <f>VLOOKUP(H2010,'Stage Order'!$A$2:$B$8,2,FALSE)</f>
        <v>2</v>
      </c>
      <c r="N2010" t="str">
        <f t="shared" si="62"/>
        <v>2. 1-24 hours</v>
      </c>
      <c r="O2010" t="str">
        <f t="shared" si="63"/>
        <v>2025-11</v>
      </c>
    </row>
    <row r="2011" spans="1:15" x14ac:dyDescent="0.3">
      <c r="A2011" t="s">
        <v>4756</v>
      </c>
      <c r="B2011" t="s">
        <v>4757</v>
      </c>
      <c r="C2011" t="s">
        <v>58</v>
      </c>
      <c r="D2011" t="s">
        <v>77</v>
      </c>
      <c r="E2011" t="s">
        <v>59</v>
      </c>
      <c r="F2011" t="s">
        <v>137</v>
      </c>
      <c r="G2011">
        <v>4.71</v>
      </c>
      <c r="H2011" t="s">
        <v>41</v>
      </c>
      <c r="I2011" t="s">
        <v>42</v>
      </c>
      <c r="M2011">
        <f>VLOOKUP(H2011,'Stage Order'!$A$2:$B$8,2,FALSE)</f>
        <v>2</v>
      </c>
      <c r="N2011" t="str">
        <f t="shared" si="62"/>
        <v>2. 1-24 hours</v>
      </c>
      <c r="O2011" t="str">
        <f t="shared" si="63"/>
        <v>2025-10</v>
      </c>
    </row>
    <row r="2012" spans="1:15" x14ac:dyDescent="0.3">
      <c r="A2012" t="s">
        <v>4758</v>
      </c>
      <c r="B2012" t="s">
        <v>4759</v>
      </c>
      <c r="C2012" t="s">
        <v>53</v>
      </c>
      <c r="D2012" t="s">
        <v>77</v>
      </c>
      <c r="E2012" t="s">
        <v>30</v>
      </c>
      <c r="F2012" t="s">
        <v>78</v>
      </c>
      <c r="G2012">
        <v>3.12</v>
      </c>
      <c r="H2012" t="s">
        <v>146</v>
      </c>
      <c r="I2012" t="s">
        <v>48</v>
      </c>
      <c r="J2012" t="s">
        <v>139</v>
      </c>
      <c r="K2012">
        <v>900.1</v>
      </c>
      <c r="L2012" t="s">
        <v>4760</v>
      </c>
      <c r="M2012">
        <f>VLOOKUP(H2012,'Stage Order'!$A$2:$B$8,2,FALSE)</f>
        <v>5</v>
      </c>
      <c r="N2012" t="str">
        <f t="shared" si="62"/>
        <v>2. 1-24 hours</v>
      </c>
      <c r="O2012" t="str">
        <f t="shared" si="63"/>
        <v>2025-09</v>
      </c>
    </row>
    <row r="2013" spans="1:15" x14ac:dyDescent="0.3">
      <c r="A2013" t="s">
        <v>4761</v>
      </c>
      <c r="B2013" t="s">
        <v>4762</v>
      </c>
      <c r="C2013" t="s">
        <v>76</v>
      </c>
      <c r="D2013" t="s">
        <v>29</v>
      </c>
      <c r="E2013" t="s">
        <v>39</v>
      </c>
      <c r="F2013" t="s">
        <v>66</v>
      </c>
      <c r="G2013">
        <v>4.87</v>
      </c>
      <c r="H2013" t="s">
        <v>41</v>
      </c>
      <c r="I2013" t="s">
        <v>42</v>
      </c>
      <c r="M2013">
        <f>VLOOKUP(H2013,'Stage Order'!$A$2:$B$8,2,FALSE)</f>
        <v>2</v>
      </c>
      <c r="N2013" t="str">
        <f t="shared" si="62"/>
        <v>2. 1-24 hours</v>
      </c>
      <c r="O2013" t="str">
        <f t="shared" si="63"/>
        <v>2025-09</v>
      </c>
    </row>
    <row r="2014" spans="1:15" x14ac:dyDescent="0.3">
      <c r="A2014" t="s">
        <v>4763</v>
      </c>
      <c r="B2014" t="s">
        <v>4764</v>
      </c>
      <c r="C2014" t="s">
        <v>37</v>
      </c>
      <c r="D2014" t="s">
        <v>97</v>
      </c>
      <c r="E2014" t="s">
        <v>45</v>
      </c>
      <c r="F2014" t="s">
        <v>55</v>
      </c>
      <c r="G2014">
        <v>10.130000000000001</v>
      </c>
      <c r="H2014" t="s">
        <v>61</v>
      </c>
      <c r="I2014" t="s">
        <v>42</v>
      </c>
      <c r="M2014">
        <f>VLOOKUP(H2014,'Stage Order'!$A$2:$B$8,2,FALSE)</f>
        <v>1</v>
      </c>
      <c r="N2014" t="str">
        <f t="shared" si="62"/>
        <v>2. 1-24 hours</v>
      </c>
      <c r="O2014" t="str">
        <f t="shared" si="63"/>
        <v>2025-04</v>
      </c>
    </row>
    <row r="2015" spans="1:15" x14ac:dyDescent="0.3">
      <c r="A2015" t="s">
        <v>4765</v>
      </c>
      <c r="B2015" t="s">
        <v>4766</v>
      </c>
      <c r="C2015" t="s">
        <v>125</v>
      </c>
      <c r="D2015" t="s">
        <v>97</v>
      </c>
      <c r="E2015" t="s">
        <v>90</v>
      </c>
      <c r="F2015" t="s">
        <v>91</v>
      </c>
      <c r="G2015">
        <v>4.6900000000000004</v>
      </c>
      <c r="H2015" t="s">
        <v>61</v>
      </c>
      <c r="I2015" t="s">
        <v>42</v>
      </c>
      <c r="M2015">
        <f>VLOOKUP(H2015,'Stage Order'!$A$2:$B$8,2,FALSE)</f>
        <v>1</v>
      </c>
      <c r="N2015" t="str">
        <f t="shared" si="62"/>
        <v>2. 1-24 hours</v>
      </c>
      <c r="O2015" t="str">
        <f t="shared" si="63"/>
        <v>2025-02</v>
      </c>
    </row>
    <row r="2016" spans="1:15" x14ac:dyDescent="0.3">
      <c r="A2016" t="s">
        <v>4767</v>
      </c>
      <c r="B2016" t="s">
        <v>4768</v>
      </c>
      <c r="C2016" t="s">
        <v>37</v>
      </c>
      <c r="D2016" t="s">
        <v>54</v>
      </c>
      <c r="E2016" t="s">
        <v>39</v>
      </c>
      <c r="F2016" t="s">
        <v>40</v>
      </c>
      <c r="G2016">
        <v>1.76</v>
      </c>
      <c r="H2016" t="s">
        <v>32</v>
      </c>
      <c r="I2016" t="s">
        <v>33</v>
      </c>
      <c r="K2016">
        <v>563.76</v>
      </c>
      <c r="L2016" t="s">
        <v>4769</v>
      </c>
      <c r="M2016">
        <f>VLOOKUP(H2016,'Stage Order'!$A$2:$B$8,2,FALSE)</f>
        <v>7</v>
      </c>
      <c r="N2016" t="str">
        <f t="shared" si="62"/>
        <v>2. 1-24 hours</v>
      </c>
      <c r="O2016" t="str">
        <f t="shared" si="63"/>
        <v>2025-12</v>
      </c>
    </row>
    <row r="2017" spans="1:15" x14ac:dyDescent="0.3">
      <c r="A2017" t="s">
        <v>4770</v>
      </c>
      <c r="B2017" t="s">
        <v>4771</v>
      </c>
      <c r="C2017" t="s">
        <v>37</v>
      </c>
      <c r="D2017" t="s">
        <v>54</v>
      </c>
      <c r="E2017" t="s">
        <v>45</v>
      </c>
      <c r="F2017" t="s">
        <v>55</v>
      </c>
      <c r="G2017">
        <v>9.25</v>
      </c>
      <c r="H2017" t="s">
        <v>41</v>
      </c>
      <c r="I2017" t="s">
        <v>42</v>
      </c>
      <c r="M2017">
        <f>VLOOKUP(H2017,'Stage Order'!$A$2:$B$8,2,FALSE)</f>
        <v>2</v>
      </c>
      <c r="N2017" t="str">
        <f t="shared" si="62"/>
        <v>2. 1-24 hours</v>
      </c>
      <c r="O2017" t="str">
        <f t="shared" si="63"/>
        <v>2025-06</v>
      </c>
    </row>
    <row r="2018" spans="1:15" x14ac:dyDescent="0.3">
      <c r="A2018" t="s">
        <v>4772</v>
      </c>
      <c r="B2018" t="s">
        <v>4773</v>
      </c>
      <c r="C2018" t="s">
        <v>37</v>
      </c>
      <c r="D2018" t="s">
        <v>38</v>
      </c>
      <c r="E2018" t="s">
        <v>39</v>
      </c>
      <c r="F2018" t="s">
        <v>40</v>
      </c>
      <c r="G2018">
        <v>2.83</v>
      </c>
      <c r="H2018" t="s">
        <v>41</v>
      </c>
      <c r="I2018" t="s">
        <v>42</v>
      </c>
      <c r="M2018">
        <f>VLOOKUP(H2018,'Stage Order'!$A$2:$B$8,2,FALSE)</f>
        <v>2</v>
      </c>
      <c r="N2018" t="str">
        <f t="shared" si="62"/>
        <v>2. 1-24 hours</v>
      </c>
      <c r="O2018" t="str">
        <f t="shared" si="63"/>
        <v>2025-09</v>
      </c>
    </row>
    <row r="2019" spans="1:15" x14ac:dyDescent="0.3">
      <c r="A2019" t="s">
        <v>4774</v>
      </c>
      <c r="B2019" t="s">
        <v>4775</v>
      </c>
      <c r="C2019" t="s">
        <v>58</v>
      </c>
      <c r="D2019" t="s">
        <v>77</v>
      </c>
      <c r="E2019" t="s">
        <v>45</v>
      </c>
      <c r="F2019" t="s">
        <v>94</v>
      </c>
      <c r="G2019">
        <v>3.16</v>
      </c>
      <c r="H2019" t="s">
        <v>41</v>
      </c>
      <c r="I2019" t="s">
        <v>42</v>
      </c>
      <c r="M2019">
        <f>VLOOKUP(H2019,'Stage Order'!$A$2:$B$8,2,FALSE)</f>
        <v>2</v>
      </c>
      <c r="N2019" t="str">
        <f t="shared" si="62"/>
        <v>2. 1-24 hours</v>
      </c>
      <c r="O2019" t="str">
        <f t="shared" si="63"/>
        <v>2025-10</v>
      </c>
    </row>
    <row r="2020" spans="1:15" x14ac:dyDescent="0.3">
      <c r="A2020" t="s">
        <v>4776</v>
      </c>
      <c r="B2020" t="s">
        <v>4777</v>
      </c>
      <c r="C2020" t="s">
        <v>53</v>
      </c>
      <c r="D2020" t="s">
        <v>77</v>
      </c>
      <c r="E2020" t="s">
        <v>90</v>
      </c>
      <c r="F2020" t="s">
        <v>112</v>
      </c>
      <c r="G2020">
        <v>5.32</v>
      </c>
      <c r="H2020" t="s">
        <v>32</v>
      </c>
      <c r="I2020" t="s">
        <v>33</v>
      </c>
      <c r="K2020">
        <v>974.84</v>
      </c>
      <c r="L2020" t="s">
        <v>4778</v>
      </c>
      <c r="M2020">
        <f>VLOOKUP(H2020,'Stage Order'!$A$2:$B$8,2,FALSE)</f>
        <v>7</v>
      </c>
      <c r="N2020" t="str">
        <f t="shared" si="62"/>
        <v>2. 1-24 hours</v>
      </c>
      <c r="O2020" t="str">
        <f t="shared" si="63"/>
        <v>2025-04</v>
      </c>
    </row>
    <row r="2021" spans="1:15" x14ac:dyDescent="0.3">
      <c r="A2021" t="s">
        <v>4779</v>
      </c>
      <c r="B2021" t="s">
        <v>4780</v>
      </c>
      <c r="C2021" t="s">
        <v>76</v>
      </c>
      <c r="D2021" t="s">
        <v>38</v>
      </c>
      <c r="E2021" t="s">
        <v>39</v>
      </c>
      <c r="F2021" t="s">
        <v>40</v>
      </c>
      <c r="G2021">
        <v>3.23</v>
      </c>
      <c r="H2021" t="s">
        <v>41</v>
      </c>
      <c r="I2021" t="s">
        <v>42</v>
      </c>
      <c r="M2021">
        <f>VLOOKUP(H2021,'Stage Order'!$A$2:$B$8,2,FALSE)</f>
        <v>2</v>
      </c>
      <c r="N2021" t="str">
        <f t="shared" si="62"/>
        <v>2. 1-24 hours</v>
      </c>
      <c r="O2021" t="str">
        <f t="shared" si="63"/>
        <v>2026-06</v>
      </c>
    </row>
    <row r="2022" spans="1:15" x14ac:dyDescent="0.3">
      <c r="A2022" t="s">
        <v>4781</v>
      </c>
      <c r="B2022" t="s">
        <v>4782</v>
      </c>
      <c r="C2022" t="s">
        <v>76</v>
      </c>
      <c r="D2022" t="s">
        <v>54</v>
      </c>
      <c r="E2022" t="s">
        <v>90</v>
      </c>
      <c r="F2022" t="s">
        <v>145</v>
      </c>
      <c r="G2022">
        <v>1.81</v>
      </c>
      <c r="H2022" t="s">
        <v>61</v>
      </c>
      <c r="I2022" t="s">
        <v>42</v>
      </c>
      <c r="M2022">
        <f>VLOOKUP(H2022,'Stage Order'!$A$2:$B$8,2,FALSE)</f>
        <v>1</v>
      </c>
      <c r="N2022" t="str">
        <f t="shared" si="62"/>
        <v>2. 1-24 hours</v>
      </c>
      <c r="O2022" t="str">
        <f t="shared" si="63"/>
        <v>2026-01</v>
      </c>
    </row>
    <row r="2023" spans="1:15" x14ac:dyDescent="0.3">
      <c r="A2023" t="s">
        <v>4783</v>
      </c>
      <c r="B2023" t="s">
        <v>4784</v>
      </c>
      <c r="C2023" t="s">
        <v>58</v>
      </c>
      <c r="D2023" t="s">
        <v>77</v>
      </c>
      <c r="E2023" t="s">
        <v>59</v>
      </c>
      <c r="F2023" t="s">
        <v>137</v>
      </c>
      <c r="G2023">
        <v>1.62</v>
      </c>
      <c r="H2023" t="s">
        <v>138</v>
      </c>
      <c r="I2023" t="s">
        <v>48</v>
      </c>
      <c r="J2023" t="s">
        <v>98</v>
      </c>
      <c r="K2023">
        <v>861.62</v>
      </c>
      <c r="L2023" t="s">
        <v>4785</v>
      </c>
      <c r="M2023">
        <f>VLOOKUP(H2023,'Stage Order'!$A$2:$B$8,2,FALSE)</f>
        <v>6</v>
      </c>
      <c r="N2023" t="str">
        <f t="shared" si="62"/>
        <v>2. 1-24 hours</v>
      </c>
      <c r="O2023" t="str">
        <f t="shared" si="63"/>
        <v>2026-01</v>
      </c>
    </row>
    <row r="2024" spans="1:15" x14ac:dyDescent="0.3">
      <c r="A2024" t="s">
        <v>4786</v>
      </c>
      <c r="B2024" t="s">
        <v>4787</v>
      </c>
      <c r="C2024" t="s">
        <v>125</v>
      </c>
      <c r="D2024" t="s">
        <v>54</v>
      </c>
      <c r="E2024" t="s">
        <v>39</v>
      </c>
      <c r="F2024" t="s">
        <v>66</v>
      </c>
      <c r="G2024">
        <v>6.1</v>
      </c>
      <c r="H2024" t="s">
        <v>41</v>
      </c>
      <c r="I2024" t="s">
        <v>42</v>
      </c>
      <c r="M2024">
        <f>VLOOKUP(H2024,'Stage Order'!$A$2:$B$8,2,FALSE)</f>
        <v>2</v>
      </c>
      <c r="N2024" t="str">
        <f t="shared" si="62"/>
        <v>2. 1-24 hours</v>
      </c>
      <c r="O2024" t="str">
        <f t="shared" si="63"/>
        <v>2025-10</v>
      </c>
    </row>
    <row r="2025" spans="1:15" x14ac:dyDescent="0.3">
      <c r="A2025" t="s">
        <v>4788</v>
      </c>
      <c r="B2025" t="s">
        <v>4789</v>
      </c>
      <c r="C2025" t="s">
        <v>37</v>
      </c>
      <c r="D2025" t="s">
        <v>54</v>
      </c>
      <c r="E2025" t="s">
        <v>90</v>
      </c>
      <c r="F2025" t="s">
        <v>145</v>
      </c>
      <c r="G2025">
        <v>3.03</v>
      </c>
      <c r="H2025" t="s">
        <v>61</v>
      </c>
      <c r="I2025" t="s">
        <v>42</v>
      </c>
      <c r="M2025">
        <f>VLOOKUP(H2025,'Stage Order'!$A$2:$B$8,2,FALSE)</f>
        <v>1</v>
      </c>
      <c r="N2025" t="str">
        <f t="shared" si="62"/>
        <v>2. 1-24 hours</v>
      </c>
      <c r="O2025" t="str">
        <f t="shared" si="63"/>
        <v>2026-02</v>
      </c>
    </row>
    <row r="2026" spans="1:15" x14ac:dyDescent="0.3">
      <c r="A2026" t="s">
        <v>4790</v>
      </c>
      <c r="B2026" t="s">
        <v>4791</v>
      </c>
      <c r="C2026" t="s">
        <v>125</v>
      </c>
      <c r="D2026" t="s">
        <v>54</v>
      </c>
      <c r="E2026" t="s">
        <v>39</v>
      </c>
      <c r="F2026" t="s">
        <v>66</v>
      </c>
      <c r="G2026">
        <v>2.82</v>
      </c>
      <c r="H2026" t="s">
        <v>47</v>
      </c>
      <c r="I2026" t="s">
        <v>48</v>
      </c>
      <c r="J2026" t="s">
        <v>139</v>
      </c>
      <c r="K2026">
        <v>590.36</v>
      </c>
      <c r="L2026" t="s">
        <v>4792</v>
      </c>
      <c r="M2026">
        <f>VLOOKUP(H2026,'Stage Order'!$A$2:$B$8,2,FALSE)</f>
        <v>4</v>
      </c>
      <c r="N2026" t="str">
        <f t="shared" si="62"/>
        <v>2. 1-24 hours</v>
      </c>
      <c r="O2026" t="str">
        <f t="shared" si="63"/>
        <v>2025-01</v>
      </c>
    </row>
    <row r="2027" spans="1:15" x14ac:dyDescent="0.3">
      <c r="A2027" t="s">
        <v>4793</v>
      </c>
      <c r="B2027" t="s">
        <v>918</v>
      </c>
      <c r="C2027" t="s">
        <v>58</v>
      </c>
      <c r="D2027" t="s">
        <v>29</v>
      </c>
      <c r="E2027" t="s">
        <v>90</v>
      </c>
      <c r="F2027" t="s">
        <v>145</v>
      </c>
      <c r="G2027">
        <v>3.27</v>
      </c>
      <c r="H2027" t="s">
        <v>41</v>
      </c>
      <c r="I2027" t="s">
        <v>42</v>
      </c>
      <c r="M2027">
        <f>VLOOKUP(H2027,'Stage Order'!$A$2:$B$8,2,FALSE)</f>
        <v>2</v>
      </c>
      <c r="N2027" t="str">
        <f t="shared" si="62"/>
        <v>2. 1-24 hours</v>
      </c>
      <c r="O2027" t="str">
        <f t="shared" si="63"/>
        <v>2025-01</v>
      </c>
    </row>
    <row r="2028" spans="1:15" x14ac:dyDescent="0.3">
      <c r="A2028" t="s">
        <v>4794</v>
      </c>
      <c r="B2028" t="s">
        <v>4795</v>
      </c>
      <c r="C2028" t="s">
        <v>76</v>
      </c>
      <c r="D2028" t="s">
        <v>54</v>
      </c>
      <c r="E2028" t="s">
        <v>90</v>
      </c>
      <c r="F2028" t="s">
        <v>112</v>
      </c>
      <c r="G2028">
        <v>4.96</v>
      </c>
      <c r="H2028" t="s">
        <v>61</v>
      </c>
      <c r="I2028" t="s">
        <v>42</v>
      </c>
      <c r="M2028">
        <f>VLOOKUP(H2028,'Stage Order'!$A$2:$B$8,2,FALSE)</f>
        <v>1</v>
      </c>
      <c r="N2028" t="str">
        <f t="shared" si="62"/>
        <v>2. 1-24 hours</v>
      </c>
      <c r="O2028" t="str">
        <f t="shared" si="63"/>
        <v>2025-02</v>
      </c>
    </row>
    <row r="2029" spans="1:15" x14ac:dyDescent="0.3">
      <c r="A2029" t="s">
        <v>4796</v>
      </c>
      <c r="B2029" t="s">
        <v>4797</v>
      </c>
      <c r="C2029" t="s">
        <v>76</v>
      </c>
      <c r="D2029" t="s">
        <v>29</v>
      </c>
      <c r="E2029" t="s">
        <v>59</v>
      </c>
      <c r="F2029" t="s">
        <v>117</v>
      </c>
      <c r="G2029">
        <v>1.34</v>
      </c>
      <c r="H2029" t="s">
        <v>41</v>
      </c>
      <c r="I2029" t="s">
        <v>42</v>
      </c>
      <c r="M2029">
        <f>VLOOKUP(H2029,'Stage Order'!$A$2:$B$8,2,FALSE)</f>
        <v>2</v>
      </c>
      <c r="N2029" t="str">
        <f t="shared" si="62"/>
        <v>2. 1-24 hours</v>
      </c>
      <c r="O2029" t="str">
        <f t="shared" si="63"/>
        <v>2025-07</v>
      </c>
    </row>
    <row r="2030" spans="1:15" x14ac:dyDescent="0.3">
      <c r="A2030" t="s">
        <v>4798</v>
      </c>
      <c r="B2030" t="s">
        <v>4799</v>
      </c>
      <c r="C2030" t="s">
        <v>28</v>
      </c>
      <c r="D2030" t="s">
        <v>38</v>
      </c>
      <c r="E2030" t="s">
        <v>59</v>
      </c>
      <c r="F2030" t="s">
        <v>137</v>
      </c>
      <c r="G2030">
        <v>3.74</v>
      </c>
      <c r="H2030" t="s">
        <v>41</v>
      </c>
      <c r="I2030" t="s">
        <v>42</v>
      </c>
      <c r="M2030">
        <f>VLOOKUP(H2030,'Stage Order'!$A$2:$B$8,2,FALSE)</f>
        <v>2</v>
      </c>
      <c r="N2030" t="str">
        <f t="shared" si="62"/>
        <v>2. 1-24 hours</v>
      </c>
      <c r="O2030" t="str">
        <f t="shared" si="63"/>
        <v>2025-06</v>
      </c>
    </row>
    <row r="2031" spans="1:15" x14ac:dyDescent="0.3">
      <c r="A2031" t="s">
        <v>4800</v>
      </c>
      <c r="B2031" t="s">
        <v>4801</v>
      </c>
      <c r="C2031" t="s">
        <v>37</v>
      </c>
      <c r="D2031" t="s">
        <v>77</v>
      </c>
      <c r="E2031" t="s">
        <v>30</v>
      </c>
      <c r="F2031" t="s">
        <v>82</v>
      </c>
      <c r="G2031">
        <v>1.86</v>
      </c>
      <c r="H2031" t="s">
        <v>41</v>
      </c>
      <c r="I2031" t="s">
        <v>42</v>
      </c>
      <c r="M2031">
        <f>VLOOKUP(H2031,'Stage Order'!$A$2:$B$8,2,FALSE)</f>
        <v>2</v>
      </c>
      <c r="N2031" t="str">
        <f t="shared" si="62"/>
        <v>2. 1-24 hours</v>
      </c>
      <c r="O2031" t="str">
        <f t="shared" si="63"/>
        <v>2025-10</v>
      </c>
    </row>
    <row r="2032" spans="1:15" x14ac:dyDescent="0.3">
      <c r="A2032" t="s">
        <v>4802</v>
      </c>
      <c r="B2032" t="s">
        <v>4803</v>
      </c>
      <c r="C2032" t="s">
        <v>53</v>
      </c>
      <c r="D2032" t="s">
        <v>38</v>
      </c>
      <c r="E2032" t="s">
        <v>39</v>
      </c>
      <c r="F2032" t="s">
        <v>40</v>
      </c>
      <c r="G2032">
        <v>2.29</v>
      </c>
      <c r="H2032" t="s">
        <v>41</v>
      </c>
      <c r="I2032" t="s">
        <v>42</v>
      </c>
      <c r="M2032">
        <f>VLOOKUP(H2032,'Stage Order'!$A$2:$B$8,2,FALSE)</f>
        <v>2</v>
      </c>
      <c r="N2032" t="str">
        <f t="shared" si="62"/>
        <v>2. 1-24 hours</v>
      </c>
      <c r="O2032" t="str">
        <f t="shared" si="63"/>
        <v>2025-10</v>
      </c>
    </row>
    <row r="2033" spans="1:15" x14ac:dyDescent="0.3">
      <c r="A2033" t="s">
        <v>4804</v>
      </c>
      <c r="B2033" t="s">
        <v>4805</v>
      </c>
      <c r="C2033" t="s">
        <v>125</v>
      </c>
      <c r="D2033" t="s">
        <v>38</v>
      </c>
      <c r="E2033" t="s">
        <v>45</v>
      </c>
      <c r="F2033" t="s">
        <v>55</v>
      </c>
      <c r="G2033">
        <v>4.75</v>
      </c>
      <c r="H2033" t="s">
        <v>41</v>
      </c>
      <c r="I2033" t="s">
        <v>42</v>
      </c>
      <c r="M2033">
        <f>VLOOKUP(H2033,'Stage Order'!$A$2:$B$8,2,FALSE)</f>
        <v>2</v>
      </c>
      <c r="N2033" t="str">
        <f t="shared" si="62"/>
        <v>2. 1-24 hours</v>
      </c>
      <c r="O2033" t="str">
        <f t="shared" si="63"/>
        <v>2025-04</v>
      </c>
    </row>
    <row r="2034" spans="1:15" x14ac:dyDescent="0.3">
      <c r="A2034" t="s">
        <v>4806</v>
      </c>
      <c r="B2034" t="s">
        <v>4807</v>
      </c>
      <c r="C2034" t="s">
        <v>28</v>
      </c>
      <c r="D2034" t="s">
        <v>54</v>
      </c>
      <c r="E2034" t="s">
        <v>39</v>
      </c>
      <c r="F2034" t="s">
        <v>66</v>
      </c>
      <c r="G2034">
        <v>2.59</v>
      </c>
      <c r="H2034" t="s">
        <v>32</v>
      </c>
      <c r="I2034" t="s">
        <v>33</v>
      </c>
      <c r="K2034">
        <v>423.52</v>
      </c>
      <c r="L2034" t="s">
        <v>4808</v>
      </c>
      <c r="M2034">
        <f>VLOOKUP(H2034,'Stage Order'!$A$2:$B$8,2,FALSE)</f>
        <v>7</v>
      </c>
      <c r="N2034" t="str">
        <f t="shared" si="62"/>
        <v>2. 1-24 hours</v>
      </c>
      <c r="O2034" t="str">
        <f t="shared" si="63"/>
        <v>2025-10</v>
      </c>
    </row>
    <row r="2035" spans="1:15" x14ac:dyDescent="0.3">
      <c r="A2035" t="s">
        <v>4809</v>
      </c>
      <c r="B2035" t="s">
        <v>4810</v>
      </c>
      <c r="C2035" t="s">
        <v>58</v>
      </c>
      <c r="D2035" t="s">
        <v>77</v>
      </c>
      <c r="E2035" t="s">
        <v>90</v>
      </c>
      <c r="F2035" t="s">
        <v>91</v>
      </c>
      <c r="G2035">
        <v>5.49</v>
      </c>
      <c r="H2035" t="s">
        <v>41</v>
      </c>
      <c r="I2035" t="s">
        <v>42</v>
      </c>
      <c r="M2035">
        <f>VLOOKUP(H2035,'Stage Order'!$A$2:$B$8,2,FALSE)</f>
        <v>2</v>
      </c>
      <c r="N2035" t="str">
        <f t="shared" si="62"/>
        <v>2. 1-24 hours</v>
      </c>
      <c r="O2035" t="str">
        <f t="shared" si="63"/>
        <v>2025-01</v>
      </c>
    </row>
    <row r="2036" spans="1:15" x14ac:dyDescent="0.3">
      <c r="A2036" t="s">
        <v>4811</v>
      </c>
      <c r="B2036" t="s">
        <v>4812</v>
      </c>
      <c r="C2036" t="s">
        <v>37</v>
      </c>
      <c r="D2036" t="s">
        <v>97</v>
      </c>
      <c r="E2036" t="s">
        <v>90</v>
      </c>
      <c r="F2036" t="s">
        <v>145</v>
      </c>
      <c r="G2036">
        <v>8.65</v>
      </c>
      <c r="H2036" t="s">
        <v>61</v>
      </c>
      <c r="I2036" t="s">
        <v>42</v>
      </c>
      <c r="M2036">
        <f>VLOOKUP(H2036,'Stage Order'!$A$2:$B$8,2,FALSE)</f>
        <v>1</v>
      </c>
      <c r="N2036" t="str">
        <f t="shared" si="62"/>
        <v>2. 1-24 hours</v>
      </c>
      <c r="O2036" t="str">
        <f t="shared" si="63"/>
        <v>2025-11</v>
      </c>
    </row>
    <row r="2037" spans="1:15" x14ac:dyDescent="0.3">
      <c r="A2037" t="s">
        <v>4813</v>
      </c>
      <c r="B2037" t="s">
        <v>4814</v>
      </c>
      <c r="C2037" t="s">
        <v>125</v>
      </c>
      <c r="D2037" t="s">
        <v>54</v>
      </c>
      <c r="E2037" t="s">
        <v>90</v>
      </c>
      <c r="F2037" t="s">
        <v>91</v>
      </c>
      <c r="G2037">
        <v>1.77</v>
      </c>
      <c r="H2037" t="s">
        <v>41</v>
      </c>
      <c r="I2037" t="s">
        <v>42</v>
      </c>
      <c r="M2037">
        <f>VLOOKUP(H2037,'Stage Order'!$A$2:$B$8,2,FALSE)</f>
        <v>2</v>
      </c>
      <c r="N2037" t="str">
        <f t="shared" si="62"/>
        <v>2. 1-24 hours</v>
      </c>
      <c r="O2037" t="str">
        <f t="shared" si="63"/>
        <v>2025-06</v>
      </c>
    </row>
    <row r="2038" spans="1:15" x14ac:dyDescent="0.3">
      <c r="A2038" t="s">
        <v>4815</v>
      </c>
      <c r="B2038" t="s">
        <v>4816</v>
      </c>
      <c r="C2038" t="s">
        <v>53</v>
      </c>
      <c r="D2038" t="s">
        <v>54</v>
      </c>
      <c r="E2038" t="s">
        <v>39</v>
      </c>
      <c r="F2038" t="s">
        <v>66</v>
      </c>
      <c r="G2038">
        <v>1.43</v>
      </c>
      <c r="H2038" t="s">
        <v>138</v>
      </c>
      <c r="I2038" t="s">
        <v>48</v>
      </c>
      <c r="J2038" t="s">
        <v>139</v>
      </c>
      <c r="K2038">
        <v>495.77</v>
      </c>
      <c r="L2038" t="s">
        <v>4817</v>
      </c>
      <c r="M2038">
        <f>VLOOKUP(H2038,'Stage Order'!$A$2:$B$8,2,FALSE)</f>
        <v>6</v>
      </c>
      <c r="N2038" t="str">
        <f t="shared" si="62"/>
        <v>2. 1-24 hours</v>
      </c>
      <c r="O2038" t="str">
        <f t="shared" si="63"/>
        <v>2025-08</v>
      </c>
    </row>
    <row r="2039" spans="1:15" x14ac:dyDescent="0.3">
      <c r="A2039" t="s">
        <v>4818</v>
      </c>
      <c r="B2039" t="s">
        <v>4819</v>
      </c>
      <c r="C2039" t="s">
        <v>125</v>
      </c>
      <c r="D2039" t="s">
        <v>38</v>
      </c>
      <c r="E2039" t="s">
        <v>59</v>
      </c>
      <c r="F2039" t="s">
        <v>117</v>
      </c>
      <c r="G2039">
        <v>5.37</v>
      </c>
      <c r="H2039" t="s">
        <v>41</v>
      </c>
      <c r="I2039" t="s">
        <v>42</v>
      </c>
      <c r="M2039">
        <f>VLOOKUP(H2039,'Stage Order'!$A$2:$B$8,2,FALSE)</f>
        <v>2</v>
      </c>
      <c r="N2039" t="str">
        <f t="shared" si="62"/>
        <v>2. 1-24 hours</v>
      </c>
      <c r="O2039" t="str">
        <f t="shared" si="63"/>
        <v>2025-08</v>
      </c>
    </row>
    <row r="2040" spans="1:15" x14ac:dyDescent="0.3">
      <c r="A2040" t="s">
        <v>4820</v>
      </c>
      <c r="B2040" t="s">
        <v>4821</v>
      </c>
      <c r="C2040" t="s">
        <v>76</v>
      </c>
      <c r="D2040" t="s">
        <v>38</v>
      </c>
      <c r="E2040" t="s">
        <v>59</v>
      </c>
      <c r="F2040" t="s">
        <v>117</v>
      </c>
      <c r="G2040">
        <v>4.3</v>
      </c>
      <c r="H2040" t="s">
        <v>32</v>
      </c>
      <c r="I2040" t="s">
        <v>33</v>
      </c>
      <c r="K2040">
        <v>313.98</v>
      </c>
      <c r="L2040" t="s">
        <v>4822</v>
      </c>
      <c r="M2040">
        <f>VLOOKUP(H2040,'Stage Order'!$A$2:$B$8,2,FALSE)</f>
        <v>7</v>
      </c>
      <c r="N2040" t="str">
        <f t="shared" si="62"/>
        <v>2. 1-24 hours</v>
      </c>
      <c r="O2040" t="str">
        <f t="shared" si="63"/>
        <v>2025-02</v>
      </c>
    </row>
    <row r="2041" spans="1:15" x14ac:dyDescent="0.3">
      <c r="A2041" t="s">
        <v>4823</v>
      </c>
      <c r="B2041" t="s">
        <v>4824</v>
      </c>
      <c r="C2041" t="s">
        <v>58</v>
      </c>
      <c r="D2041" t="s">
        <v>38</v>
      </c>
      <c r="E2041" t="s">
        <v>30</v>
      </c>
      <c r="F2041" t="s">
        <v>78</v>
      </c>
      <c r="G2041">
        <v>7.38</v>
      </c>
      <c r="H2041" t="s">
        <v>41</v>
      </c>
      <c r="I2041" t="s">
        <v>42</v>
      </c>
      <c r="M2041">
        <f>VLOOKUP(H2041,'Stage Order'!$A$2:$B$8,2,FALSE)</f>
        <v>2</v>
      </c>
      <c r="N2041" t="str">
        <f t="shared" si="62"/>
        <v>2. 1-24 hours</v>
      </c>
      <c r="O2041" t="str">
        <f t="shared" si="63"/>
        <v>2026-06</v>
      </c>
    </row>
    <row r="2042" spans="1:15" x14ac:dyDescent="0.3">
      <c r="A2042" t="s">
        <v>4825</v>
      </c>
      <c r="B2042" t="s">
        <v>4826</v>
      </c>
      <c r="C2042" t="s">
        <v>81</v>
      </c>
      <c r="D2042" t="s">
        <v>97</v>
      </c>
      <c r="E2042" t="s">
        <v>45</v>
      </c>
      <c r="F2042" t="s">
        <v>55</v>
      </c>
      <c r="G2042">
        <v>1.44</v>
      </c>
      <c r="H2042" t="s">
        <v>128</v>
      </c>
      <c r="I2042" t="s">
        <v>42</v>
      </c>
      <c r="M2042">
        <f>VLOOKUP(H2042,'Stage Order'!$A$2:$B$8,2,FALSE)</f>
        <v>3</v>
      </c>
      <c r="N2042" t="str">
        <f t="shared" si="62"/>
        <v>2. 1-24 hours</v>
      </c>
      <c r="O2042" t="str">
        <f t="shared" si="63"/>
        <v>2026-04</v>
      </c>
    </row>
    <row r="2043" spans="1:15" x14ac:dyDescent="0.3">
      <c r="A2043" t="s">
        <v>4827</v>
      </c>
      <c r="B2043" t="s">
        <v>4828</v>
      </c>
      <c r="C2043" t="s">
        <v>125</v>
      </c>
      <c r="D2043" t="s">
        <v>77</v>
      </c>
      <c r="E2043" t="s">
        <v>45</v>
      </c>
      <c r="F2043" t="s">
        <v>94</v>
      </c>
      <c r="G2043">
        <v>0.81</v>
      </c>
      <c r="H2043" t="s">
        <v>41</v>
      </c>
      <c r="I2043" t="s">
        <v>42</v>
      </c>
      <c r="M2043">
        <f>VLOOKUP(H2043,'Stage Order'!$A$2:$B$8,2,FALSE)</f>
        <v>2</v>
      </c>
      <c r="N2043" t="str">
        <f t="shared" si="62"/>
        <v>1. Under 1 hour</v>
      </c>
      <c r="O2043" t="str">
        <f t="shared" si="63"/>
        <v>2025-06</v>
      </c>
    </row>
    <row r="2044" spans="1:15" x14ac:dyDescent="0.3">
      <c r="A2044" t="s">
        <v>4829</v>
      </c>
      <c r="B2044" t="s">
        <v>4830</v>
      </c>
      <c r="C2044" t="s">
        <v>53</v>
      </c>
      <c r="D2044" t="s">
        <v>77</v>
      </c>
      <c r="E2044" t="s">
        <v>39</v>
      </c>
      <c r="F2044" t="s">
        <v>66</v>
      </c>
      <c r="G2044">
        <v>8.58</v>
      </c>
      <c r="H2044" t="s">
        <v>41</v>
      </c>
      <c r="I2044" t="s">
        <v>42</v>
      </c>
      <c r="M2044">
        <f>VLOOKUP(H2044,'Stage Order'!$A$2:$B$8,2,FALSE)</f>
        <v>2</v>
      </c>
      <c r="N2044" t="str">
        <f t="shared" si="62"/>
        <v>2. 1-24 hours</v>
      </c>
      <c r="O2044" t="str">
        <f t="shared" si="63"/>
        <v>2025-12</v>
      </c>
    </row>
    <row r="2045" spans="1:15" x14ac:dyDescent="0.3">
      <c r="A2045" t="s">
        <v>4831</v>
      </c>
      <c r="B2045" t="s">
        <v>4832</v>
      </c>
      <c r="C2045" t="s">
        <v>37</v>
      </c>
      <c r="D2045" t="s">
        <v>54</v>
      </c>
      <c r="E2045" t="s">
        <v>59</v>
      </c>
      <c r="F2045" t="s">
        <v>137</v>
      </c>
      <c r="G2045">
        <v>1.67</v>
      </c>
      <c r="H2045" t="s">
        <v>138</v>
      </c>
      <c r="I2045" t="s">
        <v>48</v>
      </c>
      <c r="J2045" t="s">
        <v>49</v>
      </c>
      <c r="K2045">
        <v>458.92</v>
      </c>
      <c r="L2045" t="s">
        <v>4833</v>
      </c>
      <c r="M2045">
        <f>VLOOKUP(H2045,'Stage Order'!$A$2:$B$8,2,FALSE)</f>
        <v>6</v>
      </c>
      <c r="N2045" t="str">
        <f t="shared" si="62"/>
        <v>2. 1-24 hours</v>
      </c>
      <c r="O2045" t="str">
        <f t="shared" si="63"/>
        <v>2026-01</v>
      </c>
    </row>
    <row r="2046" spans="1:15" x14ac:dyDescent="0.3">
      <c r="A2046" t="s">
        <v>4834</v>
      </c>
      <c r="B2046" t="s">
        <v>4835</v>
      </c>
      <c r="C2046" t="s">
        <v>81</v>
      </c>
      <c r="D2046" t="s">
        <v>97</v>
      </c>
      <c r="E2046" t="s">
        <v>59</v>
      </c>
      <c r="F2046" t="s">
        <v>60</v>
      </c>
      <c r="G2046">
        <v>10.37</v>
      </c>
      <c r="H2046" t="s">
        <v>146</v>
      </c>
      <c r="I2046" t="s">
        <v>48</v>
      </c>
      <c r="J2046" t="s">
        <v>49</v>
      </c>
      <c r="K2046">
        <v>1692.53</v>
      </c>
      <c r="L2046" t="s">
        <v>4836</v>
      </c>
      <c r="M2046">
        <f>VLOOKUP(H2046,'Stage Order'!$A$2:$B$8,2,FALSE)</f>
        <v>5</v>
      </c>
      <c r="N2046" t="str">
        <f t="shared" si="62"/>
        <v>2. 1-24 hours</v>
      </c>
      <c r="O2046" t="str">
        <f t="shared" si="63"/>
        <v>2025-11</v>
      </c>
    </row>
    <row r="2047" spans="1:15" x14ac:dyDescent="0.3">
      <c r="A2047" t="s">
        <v>4837</v>
      </c>
      <c r="B2047" t="s">
        <v>4838</v>
      </c>
      <c r="C2047" t="s">
        <v>37</v>
      </c>
      <c r="D2047" t="s">
        <v>54</v>
      </c>
      <c r="E2047" t="s">
        <v>30</v>
      </c>
      <c r="F2047" t="s">
        <v>31</v>
      </c>
      <c r="G2047">
        <v>9.6300000000000008</v>
      </c>
      <c r="H2047" t="s">
        <v>146</v>
      </c>
      <c r="I2047" t="s">
        <v>48</v>
      </c>
      <c r="J2047" t="s">
        <v>139</v>
      </c>
      <c r="K2047">
        <v>420.53</v>
      </c>
      <c r="L2047" t="s">
        <v>4839</v>
      </c>
      <c r="M2047">
        <f>VLOOKUP(H2047,'Stage Order'!$A$2:$B$8,2,FALSE)</f>
        <v>5</v>
      </c>
      <c r="N2047" t="str">
        <f t="shared" si="62"/>
        <v>2. 1-24 hours</v>
      </c>
      <c r="O2047" t="str">
        <f t="shared" si="63"/>
        <v>2025-11</v>
      </c>
    </row>
    <row r="2048" spans="1:15" x14ac:dyDescent="0.3">
      <c r="A2048" t="s">
        <v>4840</v>
      </c>
      <c r="B2048" t="s">
        <v>4841</v>
      </c>
      <c r="C2048" t="s">
        <v>58</v>
      </c>
      <c r="D2048" t="s">
        <v>97</v>
      </c>
      <c r="E2048" t="s">
        <v>39</v>
      </c>
      <c r="F2048" t="s">
        <v>40</v>
      </c>
      <c r="G2048">
        <v>3.69</v>
      </c>
      <c r="H2048" t="s">
        <v>61</v>
      </c>
      <c r="I2048" t="s">
        <v>42</v>
      </c>
      <c r="M2048">
        <f>VLOOKUP(H2048,'Stage Order'!$A$2:$B$8,2,FALSE)</f>
        <v>1</v>
      </c>
      <c r="N2048" t="str">
        <f t="shared" si="62"/>
        <v>2. 1-24 hours</v>
      </c>
      <c r="O2048" t="str">
        <f t="shared" si="63"/>
        <v>2025-02</v>
      </c>
    </row>
    <row r="2049" spans="1:15" x14ac:dyDescent="0.3">
      <c r="A2049" t="s">
        <v>4842</v>
      </c>
      <c r="B2049" t="s">
        <v>4843</v>
      </c>
      <c r="C2049" t="s">
        <v>76</v>
      </c>
      <c r="D2049" t="s">
        <v>54</v>
      </c>
      <c r="E2049" t="s">
        <v>59</v>
      </c>
      <c r="F2049" t="s">
        <v>60</v>
      </c>
      <c r="G2049">
        <v>2.34</v>
      </c>
      <c r="H2049" t="s">
        <v>41</v>
      </c>
      <c r="I2049" t="s">
        <v>42</v>
      </c>
      <c r="M2049">
        <f>VLOOKUP(H2049,'Stage Order'!$A$2:$B$8,2,FALSE)</f>
        <v>2</v>
      </c>
      <c r="N2049" t="str">
        <f t="shared" si="62"/>
        <v>2. 1-24 hours</v>
      </c>
      <c r="O2049" t="str">
        <f t="shared" si="63"/>
        <v>2025-06</v>
      </c>
    </row>
    <row r="2050" spans="1:15" x14ac:dyDescent="0.3">
      <c r="A2050" t="s">
        <v>4844</v>
      </c>
      <c r="B2050" t="s">
        <v>4845</v>
      </c>
      <c r="C2050" t="s">
        <v>58</v>
      </c>
      <c r="D2050" t="s">
        <v>54</v>
      </c>
      <c r="E2050" t="s">
        <v>59</v>
      </c>
      <c r="F2050" t="s">
        <v>117</v>
      </c>
      <c r="G2050">
        <v>3.49</v>
      </c>
      <c r="H2050" t="s">
        <v>41</v>
      </c>
      <c r="I2050" t="s">
        <v>42</v>
      </c>
      <c r="M2050">
        <f>VLOOKUP(H2050,'Stage Order'!$A$2:$B$8,2,FALSE)</f>
        <v>2</v>
      </c>
      <c r="N2050" t="str">
        <f t="shared" ref="N2050:N2113" si="64">IF(G2050&lt;=1,"1. Under 1 hour",IF(G2050&lt;=24,"2. 1-24 hours",IF(G2050&lt;=72,"3. 1-3 days","4. Over 3 days")))</f>
        <v>2. 1-24 hours</v>
      </c>
      <c r="O2050" t="str">
        <f t="shared" ref="O2050:O2113" si="65">TEXT(B2050,"YYYY-MM")</f>
        <v>2026-03</v>
      </c>
    </row>
    <row r="2051" spans="1:15" x14ac:dyDescent="0.3">
      <c r="A2051" t="s">
        <v>4846</v>
      </c>
      <c r="B2051" t="s">
        <v>4847</v>
      </c>
      <c r="C2051" t="s">
        <v>125</v>
      </c>
      <c r="D2051" t="s">
        <v>29</v>
      </c>
      <c r="E2051" t="s">
        <v>90</v>
      </c>
      <c r="F2051" t="s">
        <v>91</v>
      </c>
      <c r="G2051">
        <v>17.78</v>
      </c>
      <c r="H2051" t="s">
        <v>41</v>
      </c>
      <c r="I2051" t="s">
        <v>42</v>
      </c>
      <c r="M2051">
        <f>VLOOKUP(H2051,'Stage Order'!$A$2:$B$8,2,FALSE)</f>
        <v>2</v>
      </c>
      <c r="N2051" t="str">
        <f t="shared" si="64"/>
        <v>2. 1-24 hours</v>
      </c>
      <c r="O2051" t="str">
        <f t="shared" si="65"/>
        <v>2025-06</v>
      </c>
    </row>
    <row r="2052" spans="1:15" x14ac:dyDescent="0.3">
      <c r="A2052" t="s">
        <v>4848</v>
      </c>
      <c r="B2052" t="s">
        <v>4849</v>
      </c>
      <c r="C2052" t="s">
        <v>53</v>
      </c>
      <c r="D2052" t="s">
        <v>77</v>
      </c>
      <c r="E2052" t="s">
        <v>59</v>
      </c>
      <c r="F2052" t="s">
        <v>117</v>
      </c>
      <c r="G2052">
        <v>5.53</v>
      </c>
      <c r="H2052" t="s">
        <v>32</v>
      </c>
      <c r="I2052" t="s">
        <v>33</v>
      </c>
      <c r="K2052">
        <v>1023.85</v>
      </c>
      <c r="L2052" t="s">
        <v>4850</v>
      </c>
      <c r="M2052">
        <f>VLOOKUP(H2052,'Stage Order'!$A$2:$B$8,2,FALSE)</f>
        <v>7</v>
      </c>
      <c r="N2052" t="str">
        <f t="shared" si="64"/>
        <v>2. 1-24 hours</v>
      </c>
      <c r="O2052" t="str">
        <f t="shared" si="65"/>
        <v>2025-06</v>
      </c>
    </row>
    <row r="2053" spans="1:15" x14ac:dyDescent="0.3">
      <c r="A2053" t="s">
        <v>4851</v>
      </c>
      <c r="B2053" t="s">
        <v>4852</v>
      </c>
      <c r="C2053" t="s">
        <v>81</v>
      </c>
      <c r="D2053" t="s">
        <v>54</v>
      </c>
      <c r="E2053" t="s">
        <v>45</v>
      </c>
      <c r="F2053" t="s">
        <v>55</v>
      </c>
      <c r="G2053">
        <v>6.38</v>
      </c>
      <c r="H2053" t="s">
        <v>61</v>
      </c>
      <c r="I2053" t="s">
        <v>42</v>
      </c>
      <c r="M2053">
        <f>VLOOKUP(H2053,'Stage Order'!$A$2:$B$8,2,FALSE)</f>
        <v>1</v>
      </c>
      <c r="N2053" t="str">
        <f t="shared" si="64"/>
        <v>2. 1-24 hours</v>
      </c>
      <c r="O2053" t="str">
        <f t="shared" si="65"/>
        <v>2026-05</v>
      </c>
    </row>
    <row r="2054" spans="1:15" x14ac:dyDescent="0.3">
      <c r="A2054" t="s">
        <v>4853</v>
      </c>
      <c r="B2054" t="s">
        <v>4854</v>
      </c>
      <c r="C2054" t="s">
        <v>53</v>
      </c>
      <c r="D2054" t="s">
        <v>54</v>
      </c>
      <c r="E2054" t="s">
        <v>30</v>
      </c>
      <c r="F2054" t="s">
        <v>78</v>
      </c>
      <c r="G2054">
        <v>4.12</v>
      </c>
      <c r="H2054" t="s">
        <v>32</v>
      </c>
      <c r="I2054" t="s">
        <v>33</v>
      </c>
      <c r="K2054">
        <v>550.49</v>
      </c>
      <c r="L2054" t="s">
        <v>4855</v>
      </c>
      <c r="M2054">
        <f>VLOOKUP(H2054,'Stage Order'!$A$2:$B$8,2,FALSE)</f>
        <v>7</v>
      </c>
      <c r="N2054" t="str">
        <f t="shared" si="64"/>
        <v>2. 1-24 hours</v>
      </c>
      <c r="O2054" t="str">
        <f t="shared" si="65"/>
        <v>2026-03</v>
      </c>
    </row>
    <row r="2055" spans="1:15" x14ac:dyDescent="0.3">
      <c r="A2055" t="s">
        <v>4856</v>
      </c>
      <c r="B2055" t="s">
        <v>4857</v>
      </c>
      <c r="C2055" t="s">
        <v>28</v>
      </c>
      <c r="D2055" t="s">
        <v>54</v>
      </c>
      <c r="E2055" t="s">
        <v>39</v>
      </c>
      <c r="F2055" t="s">
        <v>40</v>
      </c>
      <c r="G2055">
        <v>0.98</v>
      </c>
      <c r="H2055" t="s">
        <v>32</v>
      </c>
      <c r="I2055" t="s">
        <v>33</v>
      </c>
      <c r="K2055">
        <v>588.15</v>
      </c>
      <c r="L2055" t="s">
        <v>4858</v>
      </c>
      <c r="M2055">
        <f>VLOOKUP(H2055,'Stage Order'!$A$2:$B$8,2,FALSE)</f>
        <v>7</v>
      </c>
      <c r="N2055" t="str">
        <f t="shared" si="64"/>
        <v>1. Under 1 hour</v>
      </c>
      <c r="O2055" t="str">
        <f t="shared" si="65"/>
        <v>2025-08</v>
      </c>
    </row>
    <row r="2056" spans="1:15" x14ac:dyDescent="0.3">
      <c r="A2056" t="s">
        <v>4859</v>
      </c>
      <c r="B2056" t="s">
        <v>4860</v>
      </c>
      <c r="C2056" t="s">
        <v>125</v>
      </c>
      <c r="D2056" t="s">
        <v>29</v>
      </c>
      <c r="E2056" t="s">
        <v>59</v>
      </c>
      <c r="F2056" t="s">
        <v>137</v>
      </c>
      <c r="G2056">
        <v>1.38</v>
      </c>
      <c r="H2056" t="s">
        <v>41</v>
      </c>
      <c r="I2056" t="s">
        <v>42</v>
      </c>
      <c r="M2056">
        <f>VLOOKUP(H2056,'Stage Order'!$A$2:$B$8,2,FALSE)</f>
        <v>2</v>
      </c>
      <c r="N2056" t="str">
        <f t="shared" si="64"/>
        <v>2. 1-24 hours</v>
      </c>
      <c r="O2056" t="str">
        <f t="shared" si="65"/>
        <v>2026-01</v>
      </c>
    </row>
    <row r="2057" spans="1:15" x14ac:dyDescent="0.3">
      <c r="A2057" t="s">
        <v>4861</v>
      </c>
      <c r="B2057" t="s">
        <v>4862</v>
      </c>
      <c r="C2057" t="s">
        <v>81</v>
      </c>
      <c r="D2057" t="s">
        <v>54</v>
      </c>
      <c r="E2057" t="s">
        <v>90</v>
      </c>
      <c r="F2057" t="s">
        <v>112</v>
      </c>
      <c r="G2057">
        <v>2.72</v>
      </c>
      <c r="H2057" t="s">
        <v>61</v>
      </c>
      <c r="I2057" t="s">
        <v>42</v>
      </c>
      <c r="M2057">
        <f>VLOOKUP(H2057,'Stage Order'!$A$2:$B$8,2,FALSE)</f>
        <v>1</v>
      </c>
      <c r="N2057" t="str">
        <f t="shared" si="64"/>
        <v>2. 1-24 hours</v>
      </c>
      <c r="O2057" t="str">
        <f t="shared" si="65"/>
        <v>2026-02</v>
      </c>
    </row>
    <row r="2058" spans="1:15" x14ac:dyDescent="0.3">
      <c r="A2058" t="s">
        <v>4863</v>
      </c>
      <c r="B2058" t="s">
        <v>4864</v>
      </c>
      <c r="C2058" t="s">
        <v>28</v>
      </c>
      <c r="D2058" t="s">
        <v>77</v>
      </c>
      <c r="E2058" t="s">
        <v>45</v>
      </c>
      <c r="F2058" t="s">
        <v>55</v>
      </c>
      <c r="G2058">
        <v>3.7</v>
      </c>
      <c r="H2058" t="s">
        <v>41</v>
      </c>
      <c r="I2058" t="s">
        <v>42</v>
      </c>
      <c r="M2058">
        <f>VLOOKUP(H2058,'Stage Order'!$A$2:$B$8,2,FALSE)</f>
        <v>2</v>
      </c>
      <c r="N2058" t="str">
        <f t="shared" si="64"/>
        <v>2. 1-24 hours</v>
      </c>
      <c r="O2058" t="str">
        <f t="shared" si="65"/>
        <v>2026-02</v>
      </c>
    </row>
    <row r="2059" spans="1:15" x14ac:dyDescent="0.3">
      <c r="A2059" t="s">
        <v>4865</v>
      </c>
      <c r="B2059" t="s">
        <v>4866</v>
      </c>
      <c r="C2059" t="s">
        <v>125</v>
      </c>
      <c r="D2059" t="s">
        <v>77</v>
      </c>
      <c r="E2059" t="s">
        <v>90</v>
      </c>
      <c r="F2059" t="s">
        <v>145</v>
      </c>
      <c r="G2059">
        <v>3.82</v>
      </c>
      <c r="H2059" t="s">
        <v>61</v>
      </c>
      <c r="I2059" t="s">
        <v>42</v>
      </c>
      <c r="M2059">
        <f>VLOOKUP(H2059,'Stage Order'!$A$2:$B$8,2,FALSE)</f>
        <v>1</v>
      </c>
      <c r="N2059" t="str">
        <f t="shared" si="64"/>
        <v>2. 1-24 hours</v>
      </c>
      <c r="O2059" t="str">
        <f t="shared" si="65"/>
        <v>2025-02</v>
      </c>
    </row>
    <row r="2060" spans="1:15" x14ac:dyDescent="0.3">
      <c r="A2060" t="s">
        <v>4867</v>
      </c>
      <c r="B2060" t="s">
        <v>4868</v>
      </c>
      <c r="C2060" t="s">
        <v>37</v>
      </c>
      <c r="D2060" t="s">
        <v>29</v>
      </c>
      <c r="E2060" t="s">
        <v>59</v>
      </c>
      <c r="F2060" t="s">
        <v>60</v>
      </c>
      <c r="G2060">
        <v>3.36</v>
      </c>
      <c r="H2060" t="s">
        <v>47</v>
      </c>
      <c r="I2060" t="s">
        <v>48</v>
      </c>
      <c r="J2060" t="s">
        <v>98</v>
      </c>
      <c r="K2060">
        <v>646.33000000000004</v>
      </c>
      <c r="L2060" t="s">
        <v>4869</v>
      </c>
      <c r="M2060">
        <f>VLOOKUP(H2060,'Stage Order'!$A$2:$B$8,2,FALSE)</f>
        <v>4</v>
      </c>
      <c r="N2060" t="str">
        <f t="shared" si="64"/>
        <v>2. 1-24 hours</v>
      </c>
      <c r="O2060" t="str">
        <f t="shared" si="65"/>
        <v>2025-02</v>
      </c>
    </row>
    <row r="2061" spans="1:15" x14ac:dyDescent="0.3">
      <c r="A2061" t="s">
        <v>4870</v>
      </c>
      <c r="B2061" t="s">
        <v>4871</v>
      </c>
      <c r="C2061" t="s">
        <v>81</v>
      </c>
      <c r="D2061" t="s">
        <v>38</v>
      </c>
      <c r="E2061" t="s">
        <v>45</v>
      </c>
      <c r="F2061" t="s">
        <v>55</v>
      </c>
      <c r="G2061">
        <v>3.91</v>
      </c>
      <c r="H2061" t="s">
        <v>41</v>
      </c>
      <c r="I2061" t="s">
        <v>42</v>
      </c>
      <c r="M2061">
        <f>VLOOKUP(H2061,'Stage Order'!$A$2:$B$8,2,FALSE)</f>
        <v>2</v>
      </c>
      <c r="N2061" t="str">
        <f t="shared" si="64"/>
        <v>2. 1-24 hours</v>
      </c>
      <c r="O2061" t="str">
        <f t="shared" si="65"/>
        <v>2026-06</v>
      </c>
    </row>
    <row r="2062" spans="1:15" x14ac:dyDescent="0.3">
      <c r="A2062" t="s">
        <v>4872</v>
      </c>
      <c r="B2062" t="s">
        <v>4873</v>
      </c>
      <c r="C2062" t="s">
        <v>28</v>
      </c>
      <c r="D2062" t="s">
        <v>77</v>
      </c>
      <c r="E2062" t="s">
        <v>59</v>
      </c>
      <c r="F2062" t="s">
        <v>137</v>
      </c>
      <c r="G2062">
        <v>3.8</v>
      </c>
      <c r="H2062" t="s">
        <v>41</v>
      </c>
      <c r="I2062" t="s">
        <v>42</v>
      </c>
      <c r="M2062">
        <f>VLOOKUP(H2062,'Stage Order'!$A$2:$B$8,2,FALSE)</f>
        <v>2</v>
      </c>
      <c r="N2062" t="str">
        <f t="shared" si="64"/>
        <v>2. 1-24 hours</v>
      </c>
      <c r="O2062" t="str">
        <f t="shared" si="65"/>
        <v>2025-06</v>
      </c>
    </row>
    <row r="2063" spans="1:15" x14ac:dyDescent="0.3">
      <c r="A2063" t="s">
        <v>4874</v>
      </c>
      <c r="B2063" t="s">
        <v>4875</v>
      </c>
      <c r="C2063" t="s">
        <v>53</v>
      </c>
      <c r="D2063" t="s">
        <v>77</v>
      </c>
      <c r="E2063" t="s">
        <v>90</v>
      </c>
      <c r="F2063" t="s">
        <v>145</v>
      </c>
      <c r="G2063">
        <v>3.55</v>
      </c>
      <c r="H2063" t="s">
        <v>41</v>
      </c>
      <c r="I2063" t="s">
        <v>42</v>
      </c>
      <c r="M2063">
        <f>VLOOKUP(H2063,'Stage Order'!$A$2:$B$8,2,FALSE)</f>
        <v>2</v>
      </c>
      <c r="N2063" t="str">
        <f t="shared" si="64"/>
        <v>2. 1-24 hours</v>
      </c>
      <c r="O2063" t="str">
        <f t="shared" si="65"/>
        <v>2025-11</v>
      </c>
    </row>
    <row r="2064" spans="1:15" x14ac:dyDescent="0.3">
      <c r="A2064" t="s">
        <v>4876</v>
      </c>
      <c r="B2064" t="s">
        <v>4877</v>
      </c>
      <c r="C2064" t="s">
        <v>28</v>
      </c>
      <c r="D2064" t="s">
        <v>97</v>
      </c>
      <c r="E2064" t="s">
        <v>39</v>
      </c>
      <c r="F2064" t="s">
        <v>66</v>
      </c>
      <c r="G2064">
        <v>5.82</v>
      </c>
      <c r="H2064" t="s">
        <v>138</v>
      </c>
      <c r="I2064" t="s">
        <v>48</v>
      </c>
      <c r="J2064" t="s">
        <v>98</v>
      </c>
      <c r="K2064">
        <v>1562.29</v>
      </c>
      <c r="L2064" t="s">
        <v>4878</v>
      </c>
      <c r="M2064">
        <f>VLOOKUP(H2064,'Stage Order'!$A$2:$B$8,2,FALSE)</f>
        <v>6</v>
      </c>
      <c r="N2064" t="str">
        <f t="shared" si="64"/>
        <v>2. 1-24 hours</v>
      </c>
      <c r="O2064" t="str">
        <f t="shared" si="65"/>
        <v>2025-04</v>
      </c>
    </row>
    <row r="2065" spans="1:15" x14ac:dyDescent="0.3">
      <c r="A2065" t="s">
        <v>4879</v>
      </c>
      <c r="B2065" t="s">
        <v>4880</v>
      </c>
      <c r="C2065" t="s">
        <v>81</v>
      </c>
      <c r="D2065" t="s">
        <v>29</v>
      </c>
      <c r="E2065" t="s">
        <v>90</v>
      </c>
      <c r="F2065" t="s">
        <v>112</v>
      </c>
      <c r="G2065">
        <v>0.73</v>
      </c>
      <c r="H2065" t="s">
        <v>61</v>
      </c>
      <c r="I2065" t="s">
        <v>42</v>
      </c>
      <c r="M2065">
        <f>VLOOKUP(H2065,'Stage Order'!$A$2:$B$8,2,FALSE)</f>
        <v>1</v>
      </c>
      <c r="N2065" t="str">
        <f t="shared" si="64"/>
        <v>1. Under 1 hour</v>
      </c>
      <c r="O2065" t="str">
        <f t="shared" si="65"/>
        <v>2025-07</v>
      </c>
    </row>
    <row r="2066" spans="1:15" x14ac:dyDescent="0.3">
      <c r="A2066" t="s">
        <v>4881</v>
      </c>
      <c r="B2066" t="s">
        <v>4882</v>
      </c>
      <c r="C2066" t="s">
        <v>81</v>
      </c>
      <c r="D2066" t="s">
        <v>29</v>
      </c>
      <c r="E2066" t="s">
        <v>45</v>
      </c>
      <c r="F2066" t="s">
        <v>94</v>
      </c>
      <c r="G2066">
        <v>4.34</v>
      </c>
      <c r="H2066" t="s">
        <v>61</v>
      </c>
      <c r="I2066" t="s">
        <v>42</v>
      </c>
      <c r="M2066">
        <f>VLOOKUP(H2066,'Stage Order'!$A$2:$B$8,2,FALSE)</f>
        <v>1</v>
      </c>
      <c r="N2066" t="str">
        <f t="shared" si="64"/>
        <v>2. 1-24 hours</v>
      </c>
      <c r="O2066" t="str">
        <f t="shared" si="65"/>
        <v>2025-03</v>
      </c>
    </row>
    <row r="2067" spans="1:15" x14ac:dyDescent="0.3">
      <c r="A2067" t="s">
        <v>4883</v>
      </c>
      <c r="B2067" t="s">
        <v>4884</v>
      </c>
      <c r="C2067" t="s">
        <v>125</v>
      </c>
      <c r="D2067" t="s">
        <v>54</v>
      </c>
      <c r="E2067" t="s">
        <v>59</v>
      </c>
      <c r="F2067" t="s">
        <v>117</v>
      </c>
      <c r="G2067">
        <v>7.57</v>
      </c>
      <c r="H2067" t="s">
        <v>47</v>
      </c>
      <c r="I2067" t="s">
        <v>48</v>
      </c>
      <c r="J2067" t="s">
        <v>742</v>
      </c>
      <c r="K2067">
        <v>460.18</v>
      </c>
      <c r="L2067" t="s">
        <v>4885</v>
      </c>
      <c r="M2067">
        <f>VLOOKUP(H2067,'Stage Order'!$A$2:$B$8,2,FALSE)</f>
        <v>4</v>
      </c>
      <c r="N2067" t="str">
        <f t="shared" si="64"/>
        <v>2. 1-24 hours</v>
      </c>
      <c r="O2067" t="str">
        <f t="shared" si="65"/>
        <v>2025-08</v>
      </c>
    </row>
    <row r="2068" spans="1:15" x14ac:dyDescent="0.3">
      <c r="A2068" t="s">
        <v>4886</v>
      </c>
      <c r="B2068" t="s">
        <v>4887</v>
      </c>
      <c r="C2068" t="s">
        <v>37</v>
      </c>
      <c r="D2068" t="s">
        <v>29</v>
      </c>
      <c r="E2068" t="s">
        <v>45</v>
      </c>
      <c r="F2068" t="s">
        <v>94</v>
      </c>
      <c r="G2068">
        <v>4.45</v>
      </c>
      <c r="H2068" t="s">
        <v>138</v>
      </c>
      <c r="I2068" t="s">
        <v>48</v>
      </c>
      <c r="J2068" t="s">
        <v>139</v>
      </c>
      <c r="K2068">
        <v>668.29</v>
      </c>
      <c r="L2068" t="s">
        <v>4888</v>
      </c>
      <c r="M2068">
        <f>VLOOKUP(H2068,'Stage Order'!$A$2:$B$8,2,FALSE)</f>
        <v>6</v>
      </c>
      <c r="N2068" t="str">
        <f t="shared" si="64"/>
        <v>2. 1-24 hours</v>
      </c>
      <c r="O2068" t="str">
        <f t="shared" si="65"/>
        <v>2025-09</v>
      </c>
    </row>
    <row r="2069" spans="1:15" x14ac:dyDescent="0.3">
      <c r="A2069" t="s">
        <v>4889</v>
      </c>
      <c r="B2069" t="s">
        <v>4890</v>
      </c>
      <c r="C2069" t="s">
        <v>53</v>
      </c>
      <c r="D2069" t="s">
        <v>54</v>
      </c>
      <c r="E2069" t="s">
        <v>90</v>
      </c>
      <c r="F2069" t="s">
        <v>145</v>
      </c>
      <c r="G2069">
        <v>12.04</v>
      </c>
      <c r="H2069" t="s">
        <v>41</v>
      </c>
      <c r="I2069" t="s">
        <v>42</v>
      </c>
      <c r="M2069">
        <f>VLOOKUP(H2069,'Stage Order'!$A$2:$B$8,2,FALSE)</f>
        <v>2</v>
      </c>
      <c r="N2069" t="str">
        <f t="shared" si="64"/>
        <v>2. 1-24 hours</v>
      </c>
      <c r="O2069" t="str">
        <f t="shared" si="65"/>
        <v>2025-05</v>
      </c>
    </row>
    <row r="2070" spans="1:15" x14ac:dyDescent="0.3">
      <c r="A2070" t="s">
        <v>4891</v>
      </c>
      <c r="B2070" t="s">
        <v>2665</v>
      </c>
      <c r="C2070" t="s">
        <v>28</v>
      </c>
      <c r="D2070" t="s">
        <v>54</v>
      </c>
      <c r="E2070" t="s">
        <v>45</v>
      </c>
      <c r="F2070" t="s">
        <v>94</v>
      </c>
      <c r="G2070">
        <v>2.59</v>
      </c>
      <c r="H2070" t="s">
        <v>41</v>
      </c>
      <c r="I2070" t="s">
        <v>42</v>
      </c>
      <c r="M2070">
        <f>VLOOKUP(H2070,'Stage Order'!$A$2:$B$8,2,FALSE)</f>
        <v>2</v>
      </c>
      <c r="N2070" t="str">
        <f t="shared" si="64"/>
        <v>2. 1-24 hours</v>
      </c>
      <c r="O2070" t="str">
        <f t="shared" si="65"/>
        <v>2025-03</v>
      </c>
    </row>
    <row r="2071" spans="1:15" x14ac:dyDescent="0.3">
      <c r="A2071" t="s">
        <v>4892</v>
      </c>
      <c r="B2071" t="s">
        <v>4893</v>
      </c>
      <c r="C2071" t="s">
        <v>58</v>
      </c>
      <c r="D2071" t="s">
        <v>77</v>
      </c>
      <c r="E2071" t="s">
        <v>39</v>
      </c>
      <c r="F2071" t="s">
        <v>40</v>
      </c>
      <c r="G2071">
        <v>1.55</v>
      </c>
      <c r="H2071" t="s">
        <v>32</v>
      </c>
      <c r="I2071" t="s">
        <v>33</v>
      </c>
      <c r="K2071">
        <v>1001.55</v>
      </c>
      <c r="L2071" t="s">
        <v>4894</v>
      </c>
      <c r="M2071">
        <f>VLOOKUP(H2071,'Stage Order'!$A$2:$B$8,2,FALSE)</f>
        <v>7</v>
      </c>
      <c r="N2071" t="str">
        <f t="shared" si="64"/>
        <v>2. 1-24 hours</v>
      </c>
      <c r="O2071" t="str">
        <f t="shared" si="65"/>
        <v>2025-11</v>
      </c>
    </row>
    <row r="2072" spans="1:15" x14ac:dyDescent="0.3">
      <c r="A2072" t="s">
        <v>4895</v>
      </c>
      <c r="B2072" t="s">
        <v>4896</v>
      </c>
      <c r="C2072" t="s">
        <v>125</v>
      </c>
      <c r="D2072" t="s">
        <v>29</v>
      </c>
      <c r="E2072" t="s">
        <v>45</v>
      </c>
      <c r="F2072" t="s">
        <v>55</v>
      </c>
      <c r="G2072">
        <v>3.14</v>
      </c>
      <c r="H2072" t="s">
        <v>41</v>
      </c>
      <c r="I2072" t="s">
        <v>42</v>
      </c>
      <c r="M2072">
        <f>VLOOKUP(H2072,'Stage Order'!$A$2:$B$8,2,FALSE)</f>
        <v>2</v>
      </c>
      <c r="N2072" t="str">
        <f t="shared" si="64"/>
        <v>2. 1-24 hours</v>
      </c>
      <c r="O2072" t="str">
        <f t="shared" si="65"/>
        <v>2025-07</v>
      </c>
    </row>
    <row r="2073" spans="1:15" x14ac:dyDescent="0.3">
      <c r="A2073" t="s">
        <v>4897</v>
      </c>
      <c r="B2073" t="s">
        <v>4898</v>
      </c>
      <c r="C2073" t="s">
        <v>125</v>
      </c>
      <c r="D2073" t="s">
        <v>29</v>
      </c>
      <c r="E2073" t="s">
        <v>45</v>
      </c>
      <c r="F2073" t="s">
        <v>94</v>
      </c>
      <c r="G2073">
        <v>8.14</v>
      </c>
      <c r="H2073" t="s">
        <v>41</v>
      </c>
      <c r="I2073" t="s">
        <v>42</v>
      </c>
      <c r="M2073">
        <f>VLOOKUP(H2073,'Stage Order'!$A$2:$B$8,2,FALSE)</f>
        <v>2</v>
      </c>
      <c r="N2073" t="str">
        <f t="shared" si="64"/>
        <v>2. 1-24 hours</v>
      </c>
      <c r="O2073" t="str">
        <f t="shared" si="65"/>
        <v>2025-02</v>
      </c>
    </row>
    <row r="2074" spans="1:15" x14ac:dyDescent="0.3">
      <c r="A2074" t="s">
        <v>4899</v>
      </c>
      <c r="B2074" t="s">
        <v>4900</v>
      </c>
      <c r="C2074" t="s">
        <v>81</v>
      </c>
      <c r="D2074" t="s">
        <v>38</v>
      </c>
      <c r="E2074" t="s">
        <v>39</v>
      </c>
      <c r="F2074" t="s">
        <v>106</v>
      </c>
      <c r="G2074">
        <v>7.24</v>
      </c>
      <c r="H2074" t="s">
        <v>41</v>
      </c>
      <c r="I2074" t="s">
        <v>42</v>
      </c>
      <c r="M2074">
        <f>VLOOKUP(H2074,'Stage Order'!$A$2:$B$8,2,FALSE)</f>
        <v>2</v>
      </c>
      <c r="N2074" t="str">
        <f t="shared" si="64"/>
        <v>2. 1-24 hours</v>
      </c>
      <c r="O2074" t="str">
        <f t="shared" si="65"/>
        <v>2025-09</v>
      </c>
    </row>
    <row r="2075" spans="1:15" x14ac:dyDescent="0.3">
      <c r="A2075" t="s">
        <v>4901</v>
      </c>
      <c r="B2075" t="s">
        <v>4902</v>
      </c>
      <c r="C2075" t="s">
        <v>37</v>
      </c>
      <c r="D2075" t="s">
        <v>97</v>
      </c>
      <c r="E2075" t="s">
        <v>90</v>
      </c>
      <c r="F2075" t="s">
        <v>145</v>
      </c>
      <c r="G2075">
        <v>3.52</v>
      </c>
      <c r="H2075" t="s">
        <v>41</v>
      </c>
      <c r="I2075" t="s">
        <v>42</v>
      </c>
      <c r="M2075">
        <f>VLOOKUP(H2075,'Stage Order'!$A$2:$B$8,2,FALSE)</f>
        <v>2</v>
      </c>
      <c r="N2075" t="str">
        <f t="shared" si="64"/>
        <v>2. 1-24 hours</v>
      </c>
      <c r="O2075" t="str">
        <f t="shared" si="65"/>
        <v>2026-04</v>
      </c>
    </row>
    <row r="2076" spans="1:15" x14ac:dyDescent="0.3">
      <c r="A2076" t="s">
        <v>4903</v>
      </c>
      <c r="B2076" t="s">
        <v>4904</v>
      </c>
      <c r="C2076" t="s">
        <v>37</v>
      </c>
      <c r="D2076" t="s">
        <v>77</v>
      </c>
      <c r="E2076" t="s">
        <v>90</v>
      </c>
      <c r="F2076" t="s">
        <v>145</v>
      </c>
      <c r="G2076">
        <v>7.89</v>
      </c>
      <c r="H2076" t="s">
        <v>41</v>
      </c>
      <c r="I2076" t="s">
        <v>42</v>
      </c>
      <c r="M2076">
        <f>VLOOKUP(H2076,'Stage Order'!$A$2:$B$8,2,FALSE)</f>
        <v>2</v>
      </c>
      <c r="N2076" t="str">
        <f t="shared" si="64"/>
        <v>2. 1-24 hours</v>
      </c>
      <c r="O2076" t="str">
        <f t="shared" si="65"/>
        <v>2025-10</v>
      </c>
    </row>
    <row r="2077" spans="1:15" x14ac:dyDescent="0.3">
      <c r="A2077" t="s">
        <v>4905</v>
      </c>
      <c r="B2077" t="s">
        <v>4906</v>
      </c>
      <c r="C2077" t="s">
        <v>37</v>
      </c>
      <c r="D2077" t="s">
        <v>77</v>
      </c>
      <c r="E2077" t="s">
        <v>30</v>
      </c>
      <c r="F2077" t="s">
        <v>78</v>
      </c>
      <c r="G2077">
        <v>6.32</v>
      </c>
      <c r="H2077" t="s">
        <v>61</v>
      </c>
      <c r="I2077" t="s">
        <v>42</v>
      </c>
      <c r="M2077">
        <f>VLOOKUP(H2077,'Stage Order'!$A$2:$B$8,2,FALSE)</f>
        <v>1</v>
      </c>
      <c r="N2077" t="str">
        <f t="shared" si="64"/>
        <v>2. 1-24 hours</v>
      </c>
      <c r="O2077" t="str">
        <f t="shared" si="65"/>
        <v>2025-10</v>
      </c>
    </row>
    <row r="2078" spans="1:15" x14ac:dyDescent="0.3">
      <c r="A2078" t="s">
        <v>4907</v>
      </c>
      <c r="B2078" t="s">
        <v>4908</v>
      </c>
      <c r="C2078" t="s">
        <v>53</v>
      </c>
      <c r="D2078" t="s">
        <v>29</v>
      </c>
      <c r="E2078" t="s">
        <v>45</v>
      </c>
      <c r="F2078" t="s">
        <v>55</v>
      </c>
      <c r="G2078">
        <v>2.41</v>
      </c>
      <c r="H2078" t="s">
        <v>32</v>
      </c>
      <c r="I2078" t="s">
        <v>33</v>
      </c>
      <c r="K2078">
        <v>583.97</v>
      </c>
      <c r="L2078" t="s">
        <v>4909</v>
      </c>
      <c r="M2078">
        <f>VLOOKUP(H2078,'Stage Order'!$A$2:$B$8,2,FALSE)</f>
        <v>7</v>
      </c>
      <c r="N2078" t="str">
        <f t="shared" si="64"/>
        <v>2. 1-24 hours</v>
      </c>
      <c r="O2078" t="str">
        <f t="shared" si="65"/>
        <v>2025-11</v>
      </c>
    </row>
    <row r="2079" spans="1:15" x14ac:dyDescent="0.3">
      <c r="A2079" t="s">
        <v>4910</v>
      </c>
      <c r="B2079" t="s">
        <v>4911</v>
      </c>
      <c r="C2079" t="s">
        <v>28</v>
      </c>
      <c r="D2079" t="s">
        <v>77</v>
      </c>
      <c r="E2079" t="s">
        <v>59</v>
      </c>
      <c r="F2079" t="s">
        <v>137</v>
      </c>
      <c r="G2079">
        <v>1.58</v>
      </c>
      <c r="H2079" t="s">
        <v>146</v>
      </c>
      <c r="I2079" t="s">
        <v>48</v>
      </c>
      <c r="J2079" t="s">
        <v>49</v>
      </c>
      <c r="K2079">
        <v>1173.0899999999999</v>
      </c>
      <c r="L2079" t="s">
        <v>4912</v>
      </c>
      <c r="M2079">
        <f>VLOOKUP(H2079,'Stage Order'!$A$2:$B$8,2,FALSE)</f>
        <v>5</v>
      </c>
      <c r="N2079" t="str">
        <f t="shared" si="64"/>
        <v>2. 1-24 hours</v>
      </c>
      <c r="O2079" t="str">
        <f t="shared" si="65"/>
        <v>2025-12</v>
      </c>
    </row>
    <row r="2080" spans="1:15" x14ac:dyDescent="0.3">
      <c r="A2080" t="s">
        <v>4913</v>
      </c>
      <c r="B2080" t="s">
        <v>4914</v>
      </c>
      <c r="C2080" t="s">
        <v>53</v>
      </c>
      <c r="D2080" t="s">
        <v>54</v>
      </c>
      <c r="E2080" t="s">
        <v>59</v>
      </c>
      <c r="F2080" t="s">
        <v>60</v>
      </c>
      <c r="G2080">
        <v>2.99</v>
      </c>
      <c r="H2080" t="s">
        <v>41</v>
      </c>
      <c r="I2080" t="s">
        <v>42</v>
      </c>
      <c r="M2080">
        <f>VLOOKUP(H2080,'Stage Order'!$A$2:$B$8,2,FALSE)</f>
        <v>2</v>
      </c>
      <c r="N2080" t="str">
        <f t="shared" si="64"/>
        <v>2. 1-24 hours</v>
      </c>
      <c r="O2080" t="str">
        <f t="shared" si="65"/>
        <v>2026-01</v>
      </c>
    </row>
    <row r="2081" spans="1:15" x14ac:dyDescent="0.3">
      <c r="A2081" t="s">
        <v>4915</v>
      </c>
      <c r="B2081" t="s">
        <v>4916</v>
      </c>
      <c r="C2081" t="s">
        <v>125</v>
      </c>
      <c r="D2081" t="s">
        <v>29</v>
      </c>
      <c r="E2081" t="s">
        <v>39</v>
      </c>
      <c r="F2081" t="s">
        <v>106</v>
      </c>
      <c r="G2081">
        <v>2</v>
      </c>
      <c r="H2081" t="s">
        <v>138</v>
      </c>
      <c r="I2081" t="s">
        <v>48</v>
      </c>
      <c r="J2081" t="s">
        <v>139</v>
      </c>
      <c r="K2081">
        <v>742.23</v>
      </c>
      <c r="L2081" t="s">
        <v>4917</v>
      </c>
      <c r="M2081">
        <f>VLOOKUP(H2081,'Stage Order'!$A$2:$B$8,2,FALSE)</f>
        <v>6</v>
      </c>
      <c r="N2081" t="str">
        <f t="shared" si="64"/>
        <v>2. 1-24 hours</v>
      </c>
      <c r="O2081" t="str">
        <f t="shared" si="65"/>
        <v>2025-05</v>
      </c>
    </row>
    <row r="2082" spans="1:15" x14ac:dyDescent="0.3">
      <c r="A2082" t="s">
        <v>4918</v>
      </c>
      <c r="B2082" t="s">
        <v>4919</v>
      </c>
      <c r="C2082" t="s">
        <v>58</v>
      </c>
      <c r="D2082" t="s">
        <v>29</v>
      </c>
      <c r="E2082" t="s">
        <v>39</v>
      </c>
      <c r="F2082" t="s">
        <v>40</v>
      </c>
      <c r="G2082">
        <v>3.65</v>
      </c>
      <c r="H2082" t="s">
        <v>41</v>
      </c>
      <c r="I2082" t="s">
        <v>42</v>
      </c>
      <c r="M2082">
        <f>VLOOKUP(H2082,'Stage Order'!$A$2:$B$8,2,FALSE)</f>
        <v>2</v>
      </c>
      <c r="N2082" t="str">
        <f t="shared" si="64"/>
        <v>2. 1-24 hours</v>
      </c>
      <c r="O2082" t="str">
        <f t="shared" si="65"/>
        <v>2025-03</v>
      </c>
    </row>
    <row r="2083" spans="1:15" x14ac:dyDescent="0.3">
      <c r="A2083" t="s">
        <v>4920</v>
      </c>
      <c r="B2083" t="s">
        <v>4921</v>
      </c>
      <c r="C2083" t="s">
        <v>58</v>
      </c>
      <c r="D2083" t="s">
        <v>29</v>
      </c>
      <c r="E2083" t="s">
        <v>30</v>
      </c>
      <c r="F2083" t="s">
        <v>78</v>
      </c>
      <c r="G2083">
        <v>4.53</v>
      </c>
      <c r="H2083" t="s">
        <v>47</v>
      </c>
      <c r="I2083" t="s">
        <v>48</v>
      </c>
      <c r="J2083" t="s">
        <v>139</v>
      </c>
      <c r="K2083">
        <v>725.02</v>
      </c>
      <c r="L2083" t="s">
        <v>4922</v>
      </c>
      <c r="M2083">
        <f>VLOOKUP(H2083,'Stage Order'!$A$2:$B$8,2,FALSE)</f>
        <v>4</v>
      </c>
      <c r="N2083" t="str">
        <f t="shared" si="64"/>
        <v>2. 1-24 hours</v>
      </c>
      <c r="O2083" t="str">
        <f t="shared" si="65"/>
        <v>2025-01</v>
      </c>
    </row>
    <row r="2084" spans="1:15" x14ac:dyDescent="0.3">
      <c r="A2084" t="s">
        <v>4923</v>
      </c>
      <c r="B2084" t="s">
        <v>4924</v>
      </c>
      <c r="C2084" t="s">
        <v>53</v>
      </c>
      <c r="D2084" t="s">
        <v>77</v>
      </c>
      <c r="E2084" t="s">
        <v>59</v>
      </c>
      <c r="F2084" t="s">
        <v>60</v>
      </c>
      <c r="G2084">
        <v>0.62</v>
      </c>
      <c r="H2084" t="s">
        <v>138</v>
      </c>
      <c r="I2084" t="s">
        <v>48</v>
      </c>
      <c r="J2084" t="s">
        <v>139</v>
      </c>
      <c r="K2084">
        <v>953.82</v>
      </c>
      <c r="L2084" t="s">
        <v>4925</v>
      </c>
      <c r="M2084">
        <f>VLOOKUP(H2084,'Stage Order'!$A$2:$B$8,2,FALSE)</f>
        <v>6</v>
      </c>
      <c r="N2084" t="str">
        <f t="shared" si="64"/>
        <v>1. Under 1 hour</v>
      </c>
      <c r="O2084" t="str">
        <f t="shared" si="65"/>
        <v>2025-08</v>
      </c>
    </row>
    <row r="2085" spans="1:15" x14ac:dyDescent="0.3">
      <c r="A2085" t="s">
        <v>4926</v>
      </c>
      <c r="B2085" t="s">
        <v>4927</v>
      </c>
      <c r="C2085" t="s">
        <v>37</v>
      </c>
      <c r="D2085" t="s">
        <v>77</v>
      </c>
      <c r="E2085" t="s">
        <v>59</v>
      </c>
      <c r="F2085" t="s">
        <v>60</v>
      </c>
      <c r="G2085">
        <v>1.35</v>
      </c>
      <c r="H2085" t="s">
        <v>41</v>
      </c>
      <c r="I2085" t="s">
        <v>42</v>
      </c>
      <c r="M2085">
        <f>VLOOKUP(H2085,'Stage Order'!$A$2:$B$8,2,FALSE)</f>
        <v>2</v>
      </c>
      <c r="N2085" t="str">
        <f t="shared" si="64"/>
        <v>2. 1-24 hours</v>
      </c>
      <c r="O2085" t="str">
        <f t="shared" si="65"/>
        <v>2025-03</v>
      </c>
    </row>
    <row r="2086" spans="1:15" x14ac:dyDescent="0.3">
      <c r="A2086" t="s">
        <v>4928</v>
      </c>
      <c r="B2086" t="s">
        <v>4929</v>
      </c>
      <c r="C2086" t="s">
        <v>125</v>
      </c>
      <c r="D2086" t="s">
        <v>29</v>
      </c>
      <c r="E2086" t="s">
        <v>39</v>
      </c>
      <c r="F2086" t="s">
        <v>66</v>
      </c>
      <c r="G2086">
        <v>1.96</v>
      </c>
      <c r="H2086" t="s">
        <v>41</v>
      </c>
      <c r="I2086" t="s">
        <v>42</v>
      </c>
      <c r="M2086">
        <f>VLOOKUP(H2086,'Stage Order'!$A$2:$B$8,2,FALSE)</f>
        <v>2</v>
      </c>
      <c r="N2086" t="str">
        <f t="shared" si="64"/>
        <v>2. 1-24 hours</v>
      </c>
      <c r="O2086" t="str">
        <f t="shared" si="65"/>
        <v>2025-06</v>
      </c>
    </row>
    <row r="2087" spans="1:15" x14ac:dyDescent="0.3">
      <c r="A2087" t="s">
        <v>4930</v>
      </c>
      <c r="B2087" t="s">
        <v>4931</v>
      </c>
      <c r="C2087" t="s">
        <v>37</v>
      </c>
      <c r="D2087" t="s">
        <v>97</v>
      </c>
      <c r="E2087" t="s">
        <v>39</v>
      </c>
      <c r="F2087" t="s">
        <v>40</v>
      </c>
      <c r="G2087">
        <v>6.11</v>
      </c>
      <c r="H2087" t="s">
        <v>41</v>
      </c>
      <c r="I2087" t="s">
        <v>42</v>
      </c>
      <c r="M2087">
        <f>VLOOKUP(H2087,'Stage Order'!$A$2:$B$8,2,FALSE)</f>
        <v>2</v>
      </c>
      <c r="N2087" t="str">
        <f t="shared" si="64"/>
        <v>2. 1-24 hours</v>
      </c>
      <c r="O2087" t="str">
        <f t="shared" si="65"/>
        <v>2025-05</v>
      </c>
    </row>
    <row r="2088" spans="1:15" x14ac:dyDescent="0.3">
      <c r="A2088" t="s">
        <v>4932</v>
      </c>
      <c r="B2088" t="s">
        <v>4933</v>
      </c>
      <c r="C2088" t="s">
        <v>58</v>
      </c>
      <c r="D2088" t="s">
        <v>38</v>
      </c>
      <c r="E2088" t="s">
        <v>45</v>
      </c>
      <c r="F2088" t="s">
        <v>94</v>
      </c>
      <c r="G2088">
        <v>0.66</v>
      </c>
      <c r="H2088" t="s">
        <v>146</v>
      </c>
      <c r="I2088" t="s">
        <v>48</v>
      </c>
      <c r="J2088" t="s">
        <v>113</v>
      </c>
      <c r="K2088">
        <v>409.22</v>
      </c>
      <c r="L2088" t="s">
        <v>4934</v>
      </c>
      <c r="M2088">
        <f>VLOOKUP(H2088,'Stage Order'!$A$2:$B$8,2,FALSE)</f>
        <v>5</v>
      </c>
      <c r="N2088" t="str">
        <f t="shared" si="64"/>
        <v>1. Under 1 hour</v>
      </c>
      <c r="O2088" t="str">
        <f t="shared" si="65"/>
        <v>2025-10</v>
      </c>
    </row>
    <row r="2089" spans="1:15" x14ac:dyDescent="0.3">
      <c r="A2089" t="s">
        <v>4935</v>
      </c>
      <c r="B2089" t="s">
        <v>4936</v>
      </c>
      <c r="C2089" t="s">
        <v>76</v>
      </c>
      <c r="D2089" t="s">
        <v>54</v>
      </c>
      <c r="E2089" t="s">
        <v>59</v>
      </c>
      <c r="F2089" t="s">
        <v>137</v>
      </c>
      <c r="G2089">
        <v>2.48</v>
      </c>
      <c r="H2089" t="s">
        <v>41</v>
      </c>
      <c r="I2089" t="s">
        <v>42</v>
      </c>
      <c r="M2089">
        <f>VLOOKUP(H2089,'Stage Order'!$A$2:$B$8,2,FALSE)</f>
        <v>2</v>
      </c>
      <c r="N2089" t="str">
        <f t="shared" si="64"/>
        <v>2. 1-24 hours</v>
      </c>
      <c r="O2089" t="str">
        <f t="shared" si="65"/>
        <v>2025-04</v>
      </c>
    </row>
    <row r="2090" spans="1:15" x14ac:dyDescent="0.3">
      <c r="A2090" t="s">
        <v>4937</v>
      </c>
      <c r="B2090" t="s">
        <v>4938</v>
      </c>
      <c r="C2090" t="s">
        <v>37</v>
      </c>
      <c r="D2090" t="s">
        <v>54</v>
      </c>
      <c r="E2090" t="s">
        <v>39</v>
      </c>
      <c r="F2090" t="s">
        <v>66</v>
      </c>
      <c r="G2090">
        <v>2.88</v>
      </c>
      <c r="H2090" t="s">
        <v>41</v>
      </c>
      <c r="I2090" t="s">
        <v>42</v>
      </c>
      <c r="M2090">
        <f>VLOOKUP(H2090,'Stage Order'!$A$2:$B$8,2,FALSE)</f>
        <v>2</v>
      </c>
      <c r="N2090" t="str">
        <f t="shared" si="64"/>
        <v>2. 1-24 hours</v>
      </c>
      <c r="O2090" t="str">
        <f t="shared" si="65"/>
        <v>2025-12</v>
      </c>
    </row>
    <row r="2091" spans="1:15" x14ac:dyDescent="0.3">
      <c r="A2091" t="s">
        <v>4939</v>
      </c>
      <c r="B2091" t="s">
        <v>4940</v>
      </c>
      <c r="C2091" t="s">
        <v>28</v>
      </c>
      <c r="D2091" t="s">
        <v>38</v>
      </c>
      <c r="E2091" t="s">
        <v>45</v>
      </c>
      <c r="F2091" t="s">
        <v>46</v>
      </c>
      <c r="G2091">
        <v>1.37</v>
      </c>
      <c r="H2091" t="s">
        <v>41</v>
      </c>
      <c r="I2091" t="s">
        <v>42</v>
      </c>
      <c r="M2091">
        <f>VLOOKUP(H2091,'Stage Order'!$A$2:$B$8,2,FALSE)</f>
        <v>2</v>
      </c>
      <c r="N2091" t="str">
        <f t="shared" si="64"/>
        <v>2. 1-24 hours</v>
      </c>
      <c r="O2091" t="str">
        <f t="shared" si="65"/>
        <v>2026-01</v>
      </c>
    </row>
    <row r="2092" spans="1:15" x14ac:dyDescent="0.3">
      <c r="A2092" t="s">
        <v>4941</v>
      </c>
      <c r="B2092" t="s">
        <v>4942</v>
      </c>
      <c r="C2092" t="s">
        <v>81</v>
      </c>
      <c r="D2092" t="s">
        <v>54</v>
      </c>
      <c r="E2092" t="s">
        <v>39</v>
      </c>
      <c r="F2092" t="s">
        <v>40</v>
      </c>
      <c r="G2092">
        <v>1.6</v>
      </c>
      <c r="H2092" t="s">
        <v>61</v>
      </c>
      <c r="I2092" t="s">
        <v>42</v>
      </c>
      <c r="M2092">
        <f>VLOOKUP(H2092,'Stage Order'!$A$2:$B$8,2,FALSE)</f>
        <v>1</v>
      </c>
      <c r="N2092" t="str">
        <f t="shared" si="64"/>
        <v>2. 1-24 hours</v>
      </c>
      <c r="O2092" t="str">
        <f t="shared" si="65"/>
        <v>2025-12</v>
      </c>
    </row>
    <row r="2093" spans="1:15" x14ac:dyDescent="0.3">
      <c r="A2093" t="s">
        <v>4943</v>
      </c>
      <c r="B2093" t="s">
        <v>4944</v>
      </c>
      <c r="C2093" t="s">
        <v>37</v>
      </c>
      <c r="D2093" t="s">
        <v>77</v>
      </c>
      <c r="E2093" t="s">
        <v>39</v>
      </c>
      <c r="F2093" t="s">
        <v>40</v>
      </c>
      <c r="G2093">
        <v>1.23</v>
      </c>
      <c r="H2093" t="s">
        <v>41</v>
      </c>
      <c r="I2093" t="s">
        <v>42</v>
      </c>
      <c r="M2093">
        <f>VLOOKUP(H2093,'Stage Order'!$A$2:$B$8,2,FALSE)</f>
        <v>2</v>
      </c>
      <c r="N2093" t="str">
        <f t="shared" si="64"/>
        <v>2. 1-24 hours</v>
      </c>
      <c r="O2093" t="str">
        <f t="shared" si="65"/>
        <v>2026-03</v>
      </c>
    </row>
    <row r="2094" spans="1:15" x14ac:dyDescent="0.3">
      <c r="A2094" t="s">
        <v>4945</v>
      </c>
      <c r="B2094" t="s">
        <v>4946</v>
      </c>
      <c r="C2094" t="s">
        <v>76</v>
      </c>
      <c r="D2094" t="s">
        <v>38</v>
      </c>
      <c r="E2094" t="s">
        <v>39</v>
      </c>
      <c r="F2094" t="s">
        <v>66</v>
      </c>
      <c r="G2094">
        <v>2.59</v>
      </c>
      <c r="H2094" t="s">
        <v>146</v>
      </c>
      <c r="I2094" t="s">
        <v>48</v>
      </c>
      <c r="J2094" t="s">
        <v>49</v>
      </c>
      <c r="K2094">
        <v>389.38</v>
      </c>
      <c r="L2094" t="s">
        <v>4947</v>
      </c>
      <c r="M2094">
        <f>VLOOKUP(H2094,'Stage Order'!$A$2:$B$8,2,FALSE)</f>
        <v>5</v>
      </c>
      <c r="N2094" t="str">
        <f t="shared" si="64"/>
        <v>2. 1-24 hours</v>
      </c>
      <c r="O2094" t="str">
        <f t="shared" si="65"/>
        <v>2025-01</v>
      </c>
    </row>
    <row r="2095" spans="1:15" x14ac:dyDescent="0.3">
      <c r="A2095" t="s">
        <v>4948</v>
      </c>
      <c r="B2095" t="s">
        <v>4949</v>
      </c>
      <c r="C2095" t="s">
        <v>37</v>
      </c>
      <c r="D2095" t="s">
        <v>54</v>
      </c>
      <c r="E2095" t="s">
        <v>59</v>
      </c>
      <c r="F2095" t="s">
        <v>137</v>
      </c>
      <c r="G2095">
        <v>7.53</v>
      </c>
      <c r="H2095" t="s">
        <v>61</v>
      </c>
      <c r="I2095" t="s">
        <v>42</v>
      </c>
      <c r="M2095">
        <f>VLOOKUP(H2095,'Stage Order'!$A$2:$B$8,2,FALSE)</f>
        <v>1</v>
      </c>
      <c r="N2095" t="str">
        <f t="shared" si="64"/>
        <v>2. 1-24 hours</v>
      </c>
      <c r="O2095" t="str">
        <f t="shared" si="65"/>
        <v>2025-07</v>
      </c>
    </row>
    <row r="2096" spans="1:15" x14ac:dyDescent="0.3">
      <c r="A2096" t="s">
        <v>4950</v>
      </c>
      <c r="B2096" t="s">
        <v>4951</v>
      </c>
      <c r="C2096" t="s">
        <v>81</v>
      </c>
      <c r="D2096" t="s">
        <v>54</v>
      </c>
      <c r="E2096" t="s">
        <v>59</v>
      </c>
      <c r="F2096" t="s">
        <v>137</v>
      </c>
      <c r="G2096">
        <v>21.25</v>
      </c>
      <c r="H2096" t="s">
        <v>61</v>
      </c>
      <c r="I2096" t="s">
        <v>42</v>
      </c>
      <c r="M2096">
        <f>VLOOKUP(H2096,'Stage Order'!$A$2:$B$8,2,FALSE)</f>
        <v>1</v>
      </c>
      <c r="N2096" t="str">
        <f t="shared" si="64"/>
        <v>2. 1-24 hours</v>
      </c>
      <c r="O2096" t="str">
        <f t="shared" si="65"/>
        <v>2025-03</v>
      </c>
    </row>
    <row r="2097" spans="1:15" x14ac:dyDescent="0.3">
      <c r="A2097" t="s">
        <v>4952</v>
      </c>
      <c r="B2097" t="s">
        <v>4953</v>
      </c>
      <c r="C2097" t="s">
        <v>37</v>
      </c>
      <c r="D2097" t="s">
        <v>38</v>
      </c>
      <c r="E2097" t="s">
        <v>45</v>
      </c>
      <c r="F2097" t="s">
        <v>94</v>
      </c>
      <c r="G2097">
        <v>7.48</v>
      </c>
      <c r="H2097" t="s">
        <v>41</v>
      </c>
      <c r="I2097" t="s">
        <v>42</v>
      </c>
      <c r="M2097">
        <f>VLOOKUP(H2097,'Stage Order'!$A$2:$B$8,2,FALSE)</f>
        <v>2</v>
      </c>
      <c r="N2097" t="str">
        <f t="shared" si="64"/>
        <v>2. 1-24 hours</v>
      </c>
      <c r="O2097" t="str">
        <f t="shared" si="65"/>
        <v>2025-04</v>
      </c>
    </row>
    <row r="2098" spans="1:15" x14ac:dyDescent="0.3">
      <c r="A2098" t="s">
        <v>4954</v>
      </c>
      <c r="B2098" t="s">
        <v>4955</v>
      </c>
      <c r="C2098" t="s">
        <v>76</v>
      </c>
      <c r="D2098" t="s">
        <v>29</v>
      </c>
      <c r="E2098" t="s">
        <v>45</v>
      </c>
      <c r="F2098" t="s">
        <v>46</v>
      </c>
      <c r="G2098">
        <v>3.3</v>
      </c>
      <c r="H2098" t="s">
        <v>146</v>
      </c>
      <c r="I2098" t="s">
        <v>48</v>
      </c>
      <c r="J2098" t="s">
        <v>139</v>
      </c>
      <c r="K2098">
        <v>723.98</v>
      </c>
      <c r="L2098" t="s">
        <v>4956</v>
      </c>
      <c r="M2098">
        <f>VLOOKUP(H2098,'Stage Order'!$A$2:$B$8,2,FALSE)</f>
        <v>5</v>
      </c>
      <c r="N2098" t="str">
        <f t="shared" si="64"/>
        <v>2. 1-24 hours</v>
      </c>
      <c r="O2098" t="str">
        <f t="shared" si="65"/>
        <v>2025-05</v>
      </c>
    </row>
    <row r="2099" spans="1:15" x14ac:dyDescent="0.3">
      <c r="A2099" t="s">
        <v>4957</v>
      </c>
      <c r="B2099" t="s">
        <v>4958</v>
      </c>
      <c r="C2099" t="s">
        <v>28</v>
      </c>
      <c r="D2099" t="s">
        <v>29</v>
      </c>
      <c r="E2099" t="s">
        <v>39</v>
      </c>
      <c r="F2099" t="s">
        <v>66</v>
      </c>
      <c r="G2099">
        <v>0.85</v>
      </c>
      <c r="H2099" t="s">
        <v>146</v>
      </c>
      <c r="I2099" t="s">
        <v>48</v>
      </c>
      <c r="J2099" t="s">
        <v>139</v>
      </c>
      <c r="K2099">
        <v>570.59</v>
      </c>
      <c r="L2099" t="s">
        <v>4959</v>
      </c>
      <c r="M2099">
        <f>VLOOKUP(H2099,'Stage Order'!$A$2:$B$8,2,FALSE)</f>
        <v>5</v>
      </c>
      <c r="N2099" t="str">
        <f t="shared" si="64"/>
        <v>1. Under 1 hour</v>
      </c>
      <c r="O2099" t="str">
        <f t="shared" si="65"/>
        <v>2026-04</v>
      </c>
    </row>
    <row r="2100" spans="1:15" x14ac:dyDescent="0.3">
      <c r="A2100" t="s">
        <v>4960</v>
      </c>
      <c r="B2100" t="s">
        <v>4961</v>
      </c>
      <c r="C2100" t="s">
        <v>53</v>
      </c>
      <c r="D2100" t="s">
        <v>97</v>
      </c>
      <c r="E2100" t="s">
        <v>90</v>
      </c>
      <c r="F2100" t="s">
        <v>112</v>
      </c>
      <c r="G2100">
        <v>3.32</v>
      </c>
      <c r="H2100" t="s">
        <v>41</v>
      </c>
      <c r="I2100" t="s">
        <v>42</v>
      </c>
      <c r="M2100">
        <f>VLOOKUP(H2100,'Stage Order'!$A$2:$B$8,2,FALSE)</f>
        <v>2</v>
      </c>
      <c r="N2100" t="str">
        <f t="shared" si="64"/>
        <v>2. 1-24 hours</v>
      </c>
      <c r="O2100" t="str">
        <f t="shared" si="65"/>
        <v>2025-08</v>
      </c>
    </row>
    <row r="2101" spans="1:15" x14ac:dyDescent="0.3">
      <c r="A2101" t="s">
        <v>4962</v>
      </c>
      <c r="B2101" t="s">
        <v>4963</v>
      </c>
      <c r="C2101" t="s">
        <v>37</v>
      </c>
      <c r="D2101" t="s">
        <v>77</v>
      </c>
      <c r="E2101" t="s">
        <v>45</v>
      </c>
      <c r="F2101" t="s">
        <v>94</v>
      </c>
      <c r="G2101">
        <v>0.37</v>
      </c>
      <c r="H2101" t="s">
        <v>41</v>
      </c>
      <c r="I2101" t="s">
        <v>42</v>
      </c>
      <c r="M2101">
        <f>VLOOKUP(H2101,'Stage Order'!$A$2:$B$8,2,FALSE)</f>
        <v>2</v>
      </c>
      <c r="N2101" t="str">
        <f t="shared" si="64"/>
        <v>1. Under 1 hour</v>
      </c>
      <c r="O2101" t="str">
        <f t="shared" si="65"/>
        <v>2026-04</v>
      </c>
    </row>
    <row r="2102" spans="1:15" x14ac:dyDescent="0.3">
      <c r="A2102" t="s">
        <v>4964</v>
      </c>
      <c r="B2102" t="s">
        <v>4965</v>
      </c>
      <c r="C2102" t="s">
        <v>58</v>
      </c>
      <c r="D2102" t="s">
        <v>38</v>
      </c>
      <c r="E2102" t="s">
        <v>30</v>
      </c>
      <c r="F2102" t="s">
        <v>78</v>
      </c>
      <c r="G2102">
        <v>3.18</v>
      </c>
      <c r="H2102" t="s">
        <v>61</v>
      </c>
      <c r="I2102" t="s">
        <v>42</v>
      </c>
      <c r="M2102">
        <f>VLOOKUP(H2102,'Stage Order'!$A$2:$B$8,2,FALSE)</f>
        <v>1</v>
      </c>
      <c r="N2102" t="str">
        <f t="shared" si="64"/>
        <v>2. 1-24 hours</v>
      </c>
      <c r="O2102" t="str">
        <f t="shared" si="65"/>
        <v>2025-10</v>
      </c>
    </row>
    <row r="2103" spans="1:15" x14ac:dyDescent="0.3">
      <c r="A2103" t="s">
        <v>4966</v>
      </c>
      <c r="B2103" t="s">
        <v>4967</v>
      </c>
      <c r="C2103" t="s">
        <v>76</v>
      </c>
      <c r="D2103" t="s">
        <v>77</v>
      </c>
      <c r="E2103" t="s">
        <v>39</v>
      </c>
      <c r="F2103" t="s">
        <v>40</v>
      </c>
      <c r="G2103">
        <v>1.67</v>
      </c>
      <c r="H2103" t="s">
        <v>41</v>
      </c>
      <c r="I2103" t="s">
        <v>42</v>
      </c>
      <c r="M2103">
        <f>VLOOKUP(H2103,'Stage Order'!$A$2:$B$8,2,FALSE)</f>
        <v>2</v>
      </c>
      <c r="N2103" t="str">
        <f t="shared" si="64"/>
        <v>2. 1-24 hours</v>
      </c>
      <c r="O2103" t="str">
        <f t="shared" si="65"/>
        <v>2026-04</v>
      </c>
    </row>
    <row r="2104" spans="1:15" x14ac:dyDescent="0.3">
      <c r="A2104" t="s">
        <v>4968</v>
      </c>
      <c r="B2104" t="s">
        <v>4969</v>
      </c>
      <c r="C2104" t="s">
        <v>58</v>
      </c>
      <c r="D2104" t="s">
        <v>97</v>
      </c>
      <c r="E2104" t="s">
        <v>30</v>
      </c>
      <c r="F2104" t="s">
        <v>82</v>
      </c>
      <c r="G2104">
        <v>1.83</v>
      </c>
      <c r="H2104" t="s">
        <v>61</v>
      </c>
      <c r="I2104" t="s">
        <v>42</v>
      </c>
      <c r="M2104">
        <f>VLOOKUP(H2104,'Stage Order'!$A$2:$B$8,2,FALSE)</f>
        <v>1</v>
      </c>
      <c r="N2104" t="str">
        <f t="shared" si="64"/>
        <v>2. 1-24 hours</v>
      </c>
      <c r="O2104" t="str">
        <f t="shared" si="65"/>
        <v>2025-08</v>
      </c>
    </row>
    <row r="2105" spans="1:15" x14ac:dyDescent="0.3">
      <c r="A2105" t="s">
        <v>4970</v>
      </c>
      <c r="B2105" t="s">
        <v>4971</v>
      </c>
      <c r="C2105" t="s">
        <v>37</v>
      </c>
      <c r="D2105" t="s">
        <v>38</v>
      </c>
      <c r="E2105" t="s">
        <v>59</v>
      </c>
      <c r="F2105" t="s">
        <v>117</v>
      </c>
      <c r="G2105">
        <v>2.04</v>
      </c>
      <c r="H2105" t="s">
        <v>41</v>
      </c>
      <c r="I2105" t="s">
        <v>42</v>
      </c>
      <c r="M2105">
        <f>VLOOKUP(H2105,'Stage Order'!$A$2:$B$8,2,FALSE)</f>
        <v>2</v>
      </c>
      <c r="N2105" t="str">
        <f t="shared" si="64"/>
        <v>2. 1-24 hours</v>
      </c>
      <c r="O2105" t="str">
        <f t="shared" si="65"/>
        <v>2025-03</v>
      </c>
    </row>
    <row r="2106" spans="1:15" x14ac:dyDescent="0.3">
      <c r="A2106" t="s">
        <v>4972</v>
      </c>
      <c r="B2106" t="s">
        <v>4973</v>
      </c>
      <c r="C2106" t="s">
        <v>125</v>
      </c>
      <c r="D2106" t="s">
        <v>77</v>
      </c>
      <c r="E2106" t="s">
        <v>59</v>
      </c>
      <c r="F2106" t="s">
        <v>117</v>
      </c>
      <c r="G2106">
        <v>3.36</v>
      </c>
      <c r="H2106" t="s">
        <v>138</v>
      </c>
      <c r="I2106" t="s">
        <v>48</v>
      </c>
      <c r="J2106" t="s">
        <v>139</v>
      </c>
      <c r="K2106">
        <v>1181.24</v>
      </c>
      <c r="L2106" t="s">
        <v>4974</v>
      </c>
      <c r="M2106">
        <f>VLOOKUP(H2106,'Stage Order'!$A$2:$B$8,2,FALSE)</f>
        <v>6</v>
      </c>
      <c r="N2106" t="str">
        <f t="shared" si="64"/>
        <v>2. 1-24 hours</v>
      </c>
      <c r="O2106" t="str">
        <f t="shared" si="65"/>
        <v>2026-03</v>
      </c>
    </row>
    <row r="2107" spans="1:15" x14ac:dyDescent="0.3">
      <c r="A2107" t="s">
        <v>4975</v>
      </c>
      <c r="B2107" t="s">
        <v>4976</v>
      </c>
      <c r="C2107" t="s">
        <v>125</v>
      </c>
      <c r="D2107" t="s">
        <v>29</v>
      </c>
      <c r="E2107" t="s">
        <v>39</v>
      </c>
      <c r="F2107" t="s">
        <v>66</v>
      </c>
      <c r="G2107">
        <v>10.199999999999999</v>
      </c>
      <c r="H2107" t="s">
        <v>41</v>
      </c>
      <c r="I2107" t="s">
        <v>42</v>
      </c>
      <c r="M2107">
        <f>VLOOKUP(H2107,'Stage Order'!$A$2:$B$8,2,FALSE)</f>
        <v>2</v>
      </c>
      <c r="N2107" t="str">
        <f t="shared" si="64"/>
        <v>2. 1-24 hours</v>
      </c>
      <c r="O2107" t="str">
        <f t="shared" si="65"/>
        <v>2025-09</v>
      </c>
    </row>
    <row r="2108" spans="1:15" x14ac:dyDescent="0.3">
      <c r="A2108" t="s">
        <v>4977</v>
      </c>
      <c r="B2108" t="s">
        <v>4978</v>
      </c>
      <c r="C2108" t="s">
        <v>125</v>
      </c>
      <c r="D2108" t="s">
        <v>54</v>
      </c>
      <c r="E2108" t="s">
        <v>59</v>
      </c>
      <c r="F2108" t="s">
        <v>137</v>
      </c>
      <c r="G2108">
        <v>2.54</v>
      </c>
      <c r="H2108" t="s">
        <v>61</v>
      </c>
      <c r="I2108" t="s">
        <v>42</v>
      </c>
      <c r="M2108">
        <f>VLOOKUP(H2108,'Stage Order'!$A$2:$B$8,2,FALSE)</f>
        <v>1</v>
      </c>
      <c r="N2108" t="str">
        <f t="shared" si="64"/>
        <v>2. 1-24 hours</v>
      </c>
      <c r="O2108" t="str">
        <f t="shared" si="65"/>
        <v>2026-01</v>
      </c>
    </row>
    <row r="2109" spans="1:15" x14ac:dyDescent="0.3">
      <c r="A2109" t="s">
        <v>4979</v>
      </c>
      <c r="B2109" t="s">
        <v>4980</v>
      </c>
      <c r="C2109" t="s">
        <v>53</v>
      </c>
      <c r="D2109" t="s">
        <v>29</v>
      </c>
      <c r="E2109" t="s">
        <v>45</v>
      </c>
      <c r="F2109" t="s">
        <v>46</v>
      </c>
      <c r="G2109">
        <v>3.66</v>
      </c>
      <c r="H2109" t="s">
        <v>138</v>
      </c>
      <c r="I2109" t="s">
        <v>48</v>
      </c>
      <c r="J2109" t="s">
        <v>139</v>
      </c>
      <c r="K2109">
        <v>707.61</v>
      </c>
      <c r="L2109" t="s">
        <v>4981</v>
      </c>
      <c r="M2109">
        <f>VLOOKUP(H2109,'Stage Order'!$A$2:$B$8,2,FALSE)</f>
        <v>6</v>
      </c>
      <c r="N2109" t="str">
        <f t="shared" si="64"/>
        <v>2. 1-24 hours</v>
      </c>
      <c r="O2109" t="str">
        <f t="shared" si="65"/>
        <v>2026-01</v>
      </c>
    </row>
    <row r="2110" spans="1:15" x14ac:dyDescent="0.3">
      <c r="A2110" t="s">
        <v>4982</v>
      </c>
      <c r="B2110" t="s">
        <v>4983</v>
      </c>
      <c r="C2110" t="s">
        <v>76</v>
      </c>
      <c r="D2110" t="s">
        <v>54</v>
      </c>
      <c r="E2110" t="s">
        <v>30</v>
      </c>
      <c r="F2110" t="s">
        <v>31</v>
      </c>
      <c r="G2110">
        <v>0.5</v>
      </c>
      <c r="H2110" t="s">
        <v>41</v>
      </c>
      <c r="I2110" t="s">
        <v>42</v>
      </c>
      <c r="M2110">
        <f>VLOOKUP(H2110,'Stage Order'!$A$2:$B$8,2,FALSE)</f>
        <v>2</v>
      </c>
      <c r="N2110" t="str">
        <f t="shared" si="64"/>
        <v>1. Under 1 hour</v>
      </c>
      <c r="O2110" t="str">
        <f t="shared" si="65"/>
        <v>2026-05</v>
      </c>
    </row>
    <row r="2111" spans="1:15" x14ac:dyDescent="0.3">
      <c r="A2111" t="s">
        <v>4984</v>
      </c>
      <c r="B2111" t="s">
        <v>4985</v>
      </c>
      <c r="C2111" t="s">
        <v>125</v>
      </c>
      <c r="D2111" t="s">
        <v>29</v>
      </c>
      <c r="E2111" t="s">
        <v>39</v>
      </c>
      <c r="F2111" t="s">
        <v>106</v>
      </c>
      <c r="G2111">
        <v>0.72</v>
      </c>
      <c r="H2111" t="s">
        <v>41</v>
      </c>
      <c r="I2111" t="s">
        <v>42</v>
      </c>
      <c r="M2111">
        <f>VLOOKUP(H2111,'Stage Order'!$A$2:$B$8,2,FALSE)</f>
        <v>2</v>
      </c>
      <c r="N2111" t="str">
        <f t="shared" si="64"/>
        <v>1. Under 1 hour</v>
      </c>
      <c r="O2111" t="str">
        <f t="shared" si="65"/>
        <v>2025-05</v>
      </c>
    </row>
    <row r="2112" spans="1:15" x14ac:dyDescent="0.3">
      <c r="A2112" t="s">
        <v>4986</v>
      </c>
      <c r="B2112" t="s">
        <v>4987</v>
      </c>
      <c r="C2112" t="s">
        <v>37</v>
      </c>
      <c r="D2112" t="s">
        <v>38</v>
      </c>
      <c r="E2112" t="s">
        <v>39</v>
      </c>
      <c r="F2112" t="s">
        <v>106</v>
      </c>
      <c r="G2112">
        <v>1.63</v>
      </c>
      <c r="H2112" t="s">
        <v>138</v>
      </c>
      <c r="I2112" t="s">
        <v>48</v>
      </c>
      <c r="J2112" t="s">
        <v>98</v>
      </c>
      <c r="K2112">
        <v>318.39999999999998</v>
      </c>
      <c r="L2112" t="s">
        <v>4988</v>
      </c>
      <c r="M2112">
        <f>VLOOKUP(H2112,'Stage Order'!$A$2:$B$8,2,FALSE)</f>
        <v>6</v>
      </c>
      <c r="N2112" t="str">
        <f t="shared" si="64"/>
        <v>2. 1-24 hours</v>
      </c>
      <c r="O2112" t="str">
        <f t="shared" si="65"/>
        <v>2025-06</v>
      </c>
    </row>
    <row r="2113" spans="1:15" x14ac:dyDescent="0.3">
      <c r="A2113" t="s">
        <v>4989</v>
      </c>
      <c r="B2113" t="s">
        <v>4990</v>
      </c>
      <c r="C2113" t="s">
        <v>76</v>
      </c>
      <c r="D2113" t="s">
        <v>29</v>
      </c>
      <c r="E2113" t="s">
        <v>45</v>
      </c>
      <c r="F2113" t="s">
        <v>46</v>
      </c>
      <c r="G2113">
        <v>2.04</v>
      </c>
      <c r="H2113" t="s">
        <v>41</v>
      </c>
      <c r="I2113" t="s">
        <v>42</v>
      </c>
      <c r="M2113">
        <f>VLOOKUP(H2113,'Stage Order'!$A$2:$B$8,2,FALSE)</f>
        <v>2</v>
      </c>
      <c r="N2113" t="str">
        <f t="shared" si="64"/>
        <v>2. 1-24 hours</v>
      </c>
      <c r="O2113" t="str">
        <f t="shared" si="65"/>
        <v>2026-04</v>
      </c>
    </row>
    <row r="2114" spans="1:15" x14ac:dyDescent="0.3">
      <c r="A2114" t="s">
        <v>4991</v>
      </c>
      <c r="B2114" t="s">
        <v>4992</v>
      </c>
      <c r="C2114" t="s">
        <v>81</v>
      </c>
      <c r="D2114" t="s">
        <v>77</v>
      </c>
      <c r="E2114" t="s">
        <v>45</v>
      </c>
      <c r="F2114" t="s">
        <v>94</v>
      </c>
      <c r="G2114">
        <v>7.8</v>
      </c>
      <c r="H2114" t="s">
        <v>61</v>
      </c>
      <c r="I2114" t="s">
        <v>42</v>
      </c>
      <c r="M2114">
        <f>VLOOKUP(H2114,'Stage Order'!$A$2:$B$8,2,FALSE)</f>
        <v>1</v>
      </c>
      <c r="N2114" t="str">
        <f t="shared" ref="N2114:N2177" si="66">IF(G2114&lt;=1,"1. Under 1 hour",IF(G2114&lt;=24,"2. 1-24 hours",IF(G2114&lt;=72,"3. 1-3 days","4. Over 3 days")))</f>
        <v>2. 1-24 hours</v>
      </c>
      <c r="O2114" t="str">
        <f t="shared" ref="O2114:O2177" si="67">TEXT(B2114,"YYYY-MM")</f>
        <v>2025-09</v>
      </c>
    </row>
    <row r="2115" spans="1:15" x14ac:dyDescent="0.3">
      <c r="A2115" t="s">
        <v>4993</v>
      </c>
      <c r="B2115" t="s">
        <v>4994</v>
      </c>
      <c r="C2115" t="s">
        <v>81</v>
      </c>
      <c r="D2115" t="s">
        <v>29</v>
      </c>
      <c r="E2115" t="s">
        <v>45</v>
      </c>
      <c r="F2115" t="s">
        <v>55</v>
      </c>
      <c r="G2115">
        <v>2.4</v>
      </c>
      <c r="H2115" t="s">
        <v>41</v>
      </c>
      <c r="I2115" t="s">
        <v>42</v>
      </c>
      <c r="M2115">
        <f>VLOOKUP(H2115,'Stage Order'!$A$2:$B$8,2,FALSE)</f>
        <v>2</v>
      </c>
      <c r="N2115" t="str">
        <f t="shared" si="66"/>
        <v>2. 1-24 hours</v>
      </c>
      <c r="O2115" t="str">
        <f t="shared" si="67"/>
        <v>2025-05</v>
      </c>
    </row>
    <row r="2116" spans="1:15" x14ac:dyDescent="0.3">
      <c r="A2116" t="s">
        <v>4995</v>
      </c>
      <c r="B2116" t="s">
        <v>4996</v>
      </c>
      <c r="C2116" t="s">
        <v>58</v>
      </c>
      <c r="D2116" t="s">
        <v>38</v>
      </c>
      <c r="E2116" t="s">
        <v>30</v>
      </c>
      <c r="F2116" t="s">
        <v>31</v>
      </c>
      <c r="G2116">
        <v>0.67</v>
      </c>
      <c r="H2116" t="s">
        <v>146</v>
      </c>
      <c r="I2116" t="s">
        <v>48</v>
      </c>
      <c r="J2116" t="s">
        <v>113</v>
      </c>
      <c r="K2116">
        <v>303.88</v>
      </c>
      <c r="L2116" t="s">
        <v>4997</v>
      </c>
      <c r="M2116">
        <f>VLOOKUP(H2116,'Stage Order'!$A$2:$B$8,2,FALSE)</f>
        <v>5</v>
      </c>
      <c r="N2116" t="str">
        <f t="shared" si="66"/>
        <v>1. Under 1 hour</v>
      </c>
      <c r="O2116" t="str">
        <f t="shared" si="67"/>
        <v>2025-08</v>
      </c>
    </row>
    <row r="2117" spans="1:15" x14ac:dyDescent="0.3">
      <c r="A2117" t="s">
        <v>4998</v>
      </c>
      <c r="B2117" t="s">
        <v>4999</v>
      </c>
      <c r="C2117" t="s">
        <v>58</v>
      </c>
      <c r="D2117" t="s">
        <v>29</v>
      </c>
      <c r="E2117" t="s">
        <v>90</v>
      </c>
      <c r="F2117" t="s">
        <v>91</v>
      </c>
      <c r="G2117">
        <v>4.95</v>
      </c>
      <c r="H2117" t="s">
        <v>47</v>
      </c>
      <c r="I2117" t="s">
        <v>48</v>
      </c>
      <c r="J2117" t="s">
        <v>113</v>
      </c>
      <c r="K2117">
        <v>660.45</v>
      </c>
      <c r="L2117" t="s">
        <v>5000</v>
      </c>
      <c r="M2117">
        <f>VLOOKUP(H2117,'Stage Order'!$A$2:$B$8,2,FALSE)</f>
        <v>4</v>
      </c>
      <c r="N2117" t="str">
        <f t="shared" si="66"/>
        <v>2. 1-24 hours</v>
      </c>
      <c r="O2117" t="str">
        <f t="shared" si="67"/>
        <v>2026-02</v>
      </c>
    </row>
    <row r="2118" spans="1:15" x14ac:dyDescent="0.3">
      <c r="A2118" t="s">
        <v>5001</v>
      </c>
      <c r="B2118" t="s">
        <v>5002</v>
      </c>
      <c r="C2118" t="s">
        <v>37</v>
      </c>
      <c r="D2118" t="s">
        <v>38</v>
      </c>
      <c r="E2118" t="s">
        <v>45</v>
      </c>
      <c r="F2118" t="s">
        <v>55</v>
      </c>
      <c r="G2118">
        <v>7.86</v>
      </c>
      <c r="H2118" t="s">
        <v>138</v>
      </c>
      <c r="I2118" t="s">
        <v>48</v>
      </c>
      <c r="J2118" t="s">
        <v>139</v>
      </c>
      <c r="K2118">
        <v>423.4</v>
      </c>
      <c r="L2118" t="s">
        <v>5003</v>
      </c>
      <c r="M2118">
        <f>VLOOKUP(H2118,'Stage Order'!$A$2:$B$8,2,FALSE)</f>
        <v>6</v>
      </c>
      <c r="N2118" t="str">
        <f t="shared" si="66"/>
        <v>2. 1-24 hours</v>
      </c>
      <c r="O2118" t="str">
        <f t="shared" si="67"/>
        <v>2025-04</v>
      </c>
    </row>
    <row r="2119" spans="1:15" x14ac:dyDescent="0.3">
      <c r="A2119" t="s">
        <v>5004</v>
      </c>
      <c r="B2119" t="s">
        <v>5005</v>
      </c>
      <c r="C2119" t="s">
        <v>81</v>
      </c>
      <c r="D2119" t="s">
        <v>38</v>
      </c>
      <c r="E2119" t="s">
        <v>30</v>
      </c>
      <c r="F2119" t="s">
        <v>78</v>
      </c>
      <c r="G2119">
        <v>3.64</v>
      </c>
      <c r="H2119" t="s">
        <v>61</v>
      </c>
      <c r="I2119" t="s">
        <v>42</v>
      </c>
      <c r="M2119">
        <f>VLOOKUP(H2119,'Stage Order'!$A$2:$B$8,2,FALSE)</f>
        <v>1</v>
      </c>
      <c r="N2119" t="str">
        <f t="shared" si="66"/>
        <v>2. 1-24 hours</v>
      </c>
      <c r="O2119" t="str">
        <f t="shared" si="67"/>
        <v>2025-04</v>
      </c>
    </row>
    <row r="2120" spans="1:15" x14ac:dyDescent="0.3">
      <c r="A2120" t="s">
        <v>5006</v>
      </c>
      <c r="B2120" t="s">
        <v>5007</v>
      </c>
      <c r="C2120" t="s">
        <v>37</v>
      </c>
      <c r="D2120" t="s">
        <v>29</v>
      </c>
      <c r="E2120" t="s">
        <v>30</v>
      </c>
      <c r="F2120" t="s">
        <v>82</v>
      </c>
      <c r="G2120">
        <v>1.38</v>
      </c>
      <c r="H2120" t="s">
        <v>61</v>
      </c>
      <c r="I2120" t="s">
        <v>42</v>
      </c>
      <c r="M2120">
        <f>VLOOKUP(H2120,'Stage Order'!$A$2:$B$8,2,FALSE)</f>
        <v>1</v>
      </c>
      <c r="N2120" t="str">
        <f t="shared" si="66"/>
        <v>2. 1-24 hours</v>
      </c>
      <c r="O2120" t="str">
        <f t="shared" si="67"/>
        <v>2025-11</v>
      </c>
    </row>
    <row r="2121" spans="1:15" x14ac:dyDescent="0.3">
      <c r="A2121" t="s">
        <v>5008</v>
      </c>
      <c r="B2121" t="s">
        <v>5009</v>
      </c>
      <c r="C2121" t="s">
        <v>28</v>
      </c>
      <c r="D2121" t="s">
        <v>38</v>
      </c>
      <c r="E2121" t="s">
        <v>90</v>
      </c>
      <c r="F2121" t="s">
        <v>145</v>
      </c>
      <c r="G2121">
        <v>3.05</v>
      </c>
      <c r="H2121" t="s">
        <v>128</v>
      </c>
      <c r="I2121" t="s">
        <v>42</v>
      </c>
      <c r="M2121">
        <f>VLOOKUP(H2121,'Stage Order'!$A$2:$B$8,2,FALSE)</f>
        <v>3</v>
      </c>
      <c r="N2121" t="str">
        <f t="shared" si="66"/>
        <v>2. 1-24 hours</v>
      </c>
      <c r="O2121" t="str">
        <f t="shared" si="67"/>
        <v>2025-05</v>
      </c>
    </row>
    <row r="2122" spans="1:15" x14ac:dyDescent="0.3">
      <c r="A2122" t="s">
        <v>5010</v>
      </c>
      <c r="B2122" t="s">
        <v>5011</v>
      </c>
      <c r="C2122" t="s">
        <v>58</v>
      </c>
      <c r="D2122" t="s">
        <v>54</v>
      </c>
      <c r="E2122" t="s">
        <v>30</v>
      </c>
      <c r="F2122" t="s">
        <v>78</v>
      </c>
      <c r="G2122">
        <v>1.4</v>
      </c>
      <c r="H2122" t="s">
        <v>146</v>
      </c>
      <c r="I2122" t="s">
        <v>48</v>
      </c>
      <c r="J2122" t="s">
        <v>139</v>
      </c>
      <c r="K2122">
        <v>543.4</v>
      </c>
      <c r="L2122" t="s">
        <v>5012</v>
      </c>
      <c r="M2122">
        <f>VLOOKUP(H2122,'Stage Order'!$A$2:$B$8,2,FALSE)</f>
        <v>5</v>
      </c>
      <c r="N2122" t="str">
        <f t="shared" si="66"/>
        <v>2. 1-24 hours</v>
      </c>
      <c r="O2122" t="str">
        <f t="shared" si="67"/>
        <v>2026-02</v>
      </c>
    </row>
    <row r="2123" spans="1:15" x14ac:dyDescent="0.3">
      <c r="A2123" t="s">
        <v>5013</v>
      </c>
      <c r="B2123" t="s">
        <v>5014</v>
      </c>
      <c r="C2123" t="s">
        <v>37</v>
      </c>
      <c r="D2123" t="s">
        <v>54</v>
      </c>
      <c r="E2123" t="s">
        <v>45</v>
      </c>
      <c r="F2123" t="s">
        <v>46</v>
      </c>
      <c r="G2123">
        <v>4.0999999999999996</v>
      </c>
      <c r="H2123" t="s">
        <v>41</v>
      </c>
      <c r="I2123" t="s">
        <v>42</v>
      </c>
      <c r="M2123">
        <f>VLOOKUP(H2123,'Stage Order'!$A$2:$B$8,2,FALSE)</f>
        <v>2</v>
      </c>
      <c r="N2123" t="str">
        <f t="shared" si="66"/>
        <v>2. 1-24 hours</v>
      </c>
      <c r="O2123" t="str">
        <f t="shared" si="67"/>
        <v>2025-12</v>
      </c>
    </row>
    <row r="2124" spans="1:15" x14ac:dyDescent="0.3">
      <c r="A2124" t="s">
        <v>5015</v>
      </c>
      <c r="B2124" t="s">
        <v>5016</v>
      </c>
      <c r="C2124" t="s">
        <v>76</v>
      </c>
      <c r="D2124" t="s">
        <v>29</v>
      </c>
      <c r="E2124" t="s">
        <v>90</v>
      </c>
      <c r="F2124" t="s">
        <v>112</v>
      </c>
      <c r="G2124">
        <v>2.31</v>
      </c>
      <c r="H2124" t="s">
        <v>128</v>
      </c>
      <c r="I2124" t="s">
        <v>42</v>
      </c>
      <c r="M2124">
        <f>VLOOKUP(H2124,'Stage Order'!$A$2:$B$8,2,FALSE)</f>
        <v>3</v>
      </c>
      <c r="N2124" t="str">
        <f t="shared" si="66"/>
        <v>2. 1-24 hours</v>
      </c>
      <c r="O2124" t="str">
        <f t="shared" si="67"/>
        <v>2025-01</v>
      </c>
    </row>
    <row r="2125" spans="1:15" x14ac:dyDescent="0.3">
      <c r="A2125" t="s">
        <v>5017</v>
      </c>
      <c r="B2125" t="s">
        <v>5018</v>
      </c>
      <c r="C2125" t="s">
        <v>53</v>
      </c>
      <c r="D2125" t="s">
        <v>54</v>
      </c>
      <c r="E2125" t="s">
        <v>39</v>
      </c>
      <c r="F2125" t="s">
        <v>106</v>
      </c>
      <c r="G2125">
        <v>2.89</v>
      </c>
      <c r="H2125" t="s">
        <v>32</v>
      </c>
      <c r="I2125" t="s">
        <v>33</v>
      </c>
      <c r="K2125">
        <v>543.24</v>
      </c>
      <c r="L2125" t="s">
        <v>5019</v>
      </c>
      <c r="M2125">
        <f>VLOOKUP(H2125,'Stage Order'!$A$2:$B$8,2,FALSE)</f>
        <v>7</v>
      </c>
      <c r="N2125" t="str">
        <f t="shared" si="66"/>
        <v>2. 1-24 hours</v>
      </c>
      <c r="O2125" t="str">
        <f t="shared" si="67"/>
        <v>2026-01</v>
      </c>
    </row>
    <row r="2126" spans="1:15" x14ac:dyDescent="0.3">
      <c r="A2126" t="s">
        <v>5020</v>
      </c>
      <c r="B2126" t="s">
        <v>5021</v>
      </c>
      <c r="C2126" t="s">
        <v>37</v>
      </c>
      <c r="D2126" t="s">
        <v>54</v>
      </c>
      <c r="E2126" t="s">
        <v>90</v>
      </c>
      <c r="F2126" t="s">
        <v>91</v>
      </c>
      <c r="G2126">
        <v>4.2699999999999996</v>
      </c>
      <c r="H2126" t="s">
        <v>138</v>
      </c>
      <c r="I2126" t="s">
        <v>48</v>
      </c>
      <c r="J2126" t="s">
        <v>98</v>
      </c>
      <c r="K2126">
        <v>594.30999999999995</v>
      </c>
      <c r="L2126" t="s">
        <v>5022</v>
      </c>
      <c r="M2126">
        <f>VLOOKUP(H2126,'Stage Order'!$A$2:$B$8,2,FALSE)</f>
        <v>6</v>
      </c>
      <c r="N2126" t="str">
        <f t="shared" si="66"/>
        <v>2. 1-24 hours</v>
      </c>
      <c r="O2126" t="str">
        <f t="shared" si="67"/>
        <v>2025-07</v>
      </c>
    </row>
    <row r="2127" spans="1:15" x14ac:dyDescent="0.3">
      <c r="A2127" t="s">
        <v>5023</v>
      </c>
      <c r="B2127" t="s">
        <v>5024</v>
      </c>
      <c r="C2127" t="s">
        <v>37</v>
      </c>
      <c r="D2127" t="s">
        <v>29</v>
      </c>
      <c r="E2127" t="s">
        <v>59</v>
      </c>
      <c r="F2127" t="s">
        <v>137</v>
      </c>
      <c r="G2127">
        <v>0.73</v>
      </c>
      <c r="H2127" t="s">
        <v>41</v>
      </c>
      <c r="I2127" t="s">
        <v>42</v>
      </c>
      <c r="M2127">
        <f>VLOOKUP(H2127,'Stage Order'!$A$2:$B$8,2,FALSE)</f>
        <v>2</v>
      </c>
      <c r="N2127" t="str">
        <f t="shared" si="66"/>
        <v>1. Under 1 hour</v>
      </c>
      <c r="O2127" t="str">
        <f t="shared" si="67"/>
        <v>2025-06</v>
      </c>
    </row>
    <row r="2128" spans="1:15" x14ac:dyDescent="0.3">
      <c r="A2128" t="s">
        <v>5025</v>
      </c>
      <c r="B2128" t="s">
        <v>5026</v>
      </c>
      <c r="C2128" t="s">
        <v>28</v>
      </c>
      <c r="D2128" t="s">
        <v>54</v>
      </c>
      <c r="E2128" t="s">
        <v>45</v>
      </c>
      <c r="F2128" t="s">
        <v>46</v>
      </c>
      <c r="G2128">
        <v>1.5</v>
      </c>
      <c r="H2128" t="s">
        <v>41</v>
      </c>
      <c r="I2128" t="s">
        <v>42</v>
      </c>
      <c r="M2128">
        <f>VLOOKUP(H2128,'Stage Order'!$A$2:$B$8,2,FALSE)</f>
        <v>2</v>
      </c>
      <c r="N2128" t="str">
        <f t="shared" si="66"/>
        <v>2. 1-24 hours</v>
      </c>
      <c r="O2128" t="str">
        <f t="shared" si="67"/>
        <v>2025-04</v>
      </c>
    </row>
    <row r="2129" spans="1:15" x14ac:dyDescent="0.3">
      <c r="A2129" t="s">
        <v>5027</v>
      </c>
      <c r="B2129" t="s">
        <v>5028</v>
      </c>
      <c r="C2129" t="s">
        <v>53</v>
      </c>
      <c r="D2129" t="s">
        <v>38</v>
      </c>
      <c r="E2129" t="s">
        <v>59</v>
      </c>
      <c r="F2129" t="s">
        <v>137</v>
      </c>
      <c r="G2129">
        <v>3.12</v>
      </c>
      <c r="H2129" t="s">
        <v>61</v>
      </c>
      <c r="I2129" t="s">
        <v>42</v>
      </c>
      <c r="M2129">
        <f>VLOOKUP(H2129,'Stage Order'!$A$2:$B$8,2,FALSE)</f>
        <v>1</v>
      </c>
      <c r="N2129" t="str">
        <f t="shared" si="66"/>
        <v>2. 1-24 hours</v>
      </c>
      <c r="O2129" t="str">
        <f t="shared" si="67"/>
        <v>2026-05</v>
      </c>
    </row>
    <row r="2130" spans="1:15" x14ac:dyDescent="0.3">
      <c r="A2130" t="s">
        <v>5029</v>
      </c>
      <c r="B2130" t="s">
        <v>5030</v>
      </c>
      <c r="C2130" t="s">
        <v>28</v>
      </c>
      <c r="D2130" t="s">
        <v>38</v>
      </c>
      <c r="E2130" t="s">
        <v>45</v>
      </c>
      <c r="F2130" t="s">
        <v>46</v>
      </c>
      <c r="G2130">
        <v>2.37</v>
      </c>
      <c r="H2130" t="s">
        <v>32</v>
      </c>
      <c r="I2130" t="s">
        <v>33</v>
      </c>
      <c r="K2130">
        <v>371.82</v>
      </c>
      <c r="L2130" t="s">
        <v>5031</v>
      </c>
      <c r="M2130">
        <f>VLOOKUP(H2130,'Stage Order'!$A$2:$B$8,2,FALSE)</f>
        <v>7</v>
      </c>
      <c r="N2130" t="str">
        <f t="shared" si="66"/>
        <v>2. 1-24 hours</v>
      </c>
      <c r="O2130" t="str">
        <f t="shared" si="67"/>
        <v>2025-10</v>
      </c>
    </row>
    <row r="2131" spans="1:15" x14ac:dyDescent="0.3">
      <c r="A2131" t="s">
        <v>5032</v>
      </c>
      <c r="B2131" t="s">
        <v>5033</v>
      </c>
      <c r="C2131" t="s">
        <v>53</v>
      </c>
      <c r="D2131" t="s">
        <v>38</v>
      </c>
      <c r="E2131" t="s">
        <v>45</v>
      </c>
      <c r="F2131" t="s">
        <v>46</v>
      </c>
      <c r="G2131">
        <v>5.48</v>
      </c>
      <c r="H2131" t="s">
        <v>138</v>
      </c>
      <c r="I2131" t="s">
        <v>48</v>
      </c>
      <c r="J2131" t="s">
        <v>113</v>
      </c>
      <c r="K2131">
        <v>315.79000000000002</v>
      </c>
      <c r="L2131" t="s">
        <v>5034</v>
      </c>
      <c r="M2131">
        <f>VLOOKUP(H2131,'Stage Order'!$A$2:$B$8,2,FALSE)</f>
        <v>6</v>
      </c>
      <c r="N2131" t="str">
        <f t="shared" si="66"/>
        <v>2. 1-24 hours</v>
      </c>
      <c r="O2131" t="str">
        <f t="shared" si="67"/>
        <v>2025-10</v>
      </c>
    </row>
    <row r="2132" spans="1:15" x14ac:dyDescent="0.3">
      <c r="A2132" t="s">
        <v>5035</v>
      </c>
      <c r="B2132" t="s">
        <v>5036</v>
      </c>
      <c r="C2132" t="s">
        <v>81</v>
      </c>
      <c r="D2132" t="s">
        <v>54</v>
      </c>
      <c r="E2132" t="s">
        <v>45</v>
      </c>
      <c r="F2132" t="s">
        <v>94</v>
      </c>
      <c r="G2132">
        <v>1</v>
      </c>
      <c r="H2132" t="s">
        <v>61</v>
      </c>
      <c r="I2132" t="s">
        <v>42</v>
      </c>
      <c r="M2132">
        <f>VLOOKUP(H2132,'Stage Order'!$A$2:$B$8,2,FALSE)</f>
        <v>1</v>
      </c>
      <c r="N2132" t="str">
        <f t="shared" si="66"/>
        <v>1. Under 1 hour</v>
      </c>
      <c r="O2132" t="str">
        <f t="shared" si="67"/>
        <v>2026-06</v>
      </c>
    </row>
    <row r="2133" spans="1:15" x14ac:dyDescent="0.3">
      <c r="A2133" t="s">
        <v>5037</v>
      </c>
      <c r="B2133" t="s">
        <v>5038</v>
      </c>
      <c r="C2133" t="s">
        <v>125</v>
      </c>
      <c r="D2133" t="s">
        <v>77</v>
      </c>
      <c r="E2133" t="s">
        <v>39</v>
      </c>
      <c r="F2133" t="s">
        <v>106</v>
      </c>
      <c r="G2133">
        <v>6.4</v>
      </c>
      <c r="H2133" t="s">
        <v>146</v>
      </c>
      <c r="I2133" t="s">
        <v>48</v>
      </c>
      <c r="J2133" t="s">
        <v>113</v>
      </c>
      <c r="K2133">
        <v>1042.8</v>
      </c>
      <c r="L2133" t="s">
        <v>5039</v>
      </c>
      <c r="M2133">
        <f>VLOOKUP(H2133,'Stage Order'!$A$2:$B$8,2,FALSE)</f>
        <v>5</v>
      </c>
      <c r="N2133" t="str">
        <f t="shared" si="66"/>
        <v>2. 1-24 hours</v>
      </c>
      <c r="O2133" t="str">
        <f t="shared" si="67"/>
        <v>2025-05</v>
      </c>
    </row>
    <row r="2134" spans="1:15" x14ac:dyDescent="0.3">
      <c r="A2134" t="s">
        <v>5040</v>
      </c>
      <c r="B2134" t="s">
        <v>5041</v>
      </c>
      <c r="C2134" t="s">
        <v>81</v>
      </c>
      <c r="D2134" t="s">
        <v>97</v>
      </c>
      <c r="E2134" t="s">
        <v>39</v>
      </c>
      <c r="F2134" t="s">
        <v>66</v>
      </c>
      <c r="G2134">
        <v>11.05</v>
      </c>
      <c r="H2134" t="s">
        <v>47</v>
      </c>
      <c r="I2134" t="s">
        <v>48</v>
      </c>
      <c r="J2134" t="s">
        <v>113</v>
      </c>
      <c r="K2134">
        <v>1492.03</v>
      </c>
      <c r="L2134" t="s">
        <v>5042</v>
      </c>
      <c r="M2134">
        <f>VLOOKUP(H2134,'Stage Order'!$A$2:$B$8,2,FALSE)</f>
        <v>4</v>
      </c>
      <c r="N2134" t="str">
        <f t="shared" si="66"/>
        <v>2. 1-24 hours</v>
      </c>
      <c r="O2134" t="str">
        <f t="shared" si="67"/>
        <v>2025-10</v>
      </c>
    </row>
    <row r="2135" spans="1:15" x14ac:dyDescent="0.3">
      <c r="A2135" t="s">
        <v>5043</v>
      </c>
      <c r="B2135" t="s">
        <v>5044</v>
      </c>
      <c r="C2135" t="s">
        <v>53</v>
      </c>
      <c r="D2135" t="s">
        <v>38</v>
      </c>
      <c r="E2135" t="s">
        <v>45</v>
      </c>
      <c r="F2135" t="s">
        <v>46</v>
      </c>
      <c r="G2135">
        <v>2.71</v>
      </c>
      <c r="H2135" t="s">
        <v>32</v>
      </c>
      <c r="I2135" t="s">
        <v>33</v>
      </c>
      <c r="K2135">
        <v>378.6</v>
      </c>
      <c r="L2135" t="s">
        <v>5045</v>
      </c>
      <c r="M2135">
        <f>VLOOKUP(H2135,'Stage Order'!$A$2:$B$8,2,FALSE)</f>
        <v>7</v>
      </c>
      <c r="N2135" t="str">
        <f t="shared" si="66"/>
        <v>2. 1-24 hours</v>
      </c>
      <c r="O2135" t="str">
        <f t="shared" si="67"/>
        <v>2026-01</v>
      </c>
    </row>
    <row r="2136" spans="1:15" x14ac:dyDescent="0.3">
      <c r="A2136" t="s">
        <v>5046</v>
      </c>
      <c r="B2136" t="s">
        <v>5047</v>
      </c>
      <c r="C2136" t="s">
        <v>81</v>
      </c>
      <c r="D2136" t="s">
        <v>97</v>
      </c>
      <c r="E2136" t="s">
        <v>45</v>
      </c>
      <c r="F2136" t="s">
        <v>55</v>
      </c>
      <c r="G2136">
        <v>1.1200000000000001</v>
      </c>
      <c r="H2136" t="s">
        <v>61</v>
      </c>
      <c r="I2136" t="s">
        <v>42</v>
      </c>
      <c r="M2136">
        <f>VLOOKUP(H2136,'Stage Order'!$A$2:$B$8,2,FALSE)</f>
        <v>1</v>
      </c>
      <c r="N2136" t="str">
        <f t="shared" si="66"/>
        <v>2. 1-24 hours</v>
      </c>
      <c r="O2136" t="str">
        <f t="shared" si="67"/>
        <v>2025-06</v>
      </c>
    </row>
    <row r="2137" spans="1:15" x14ac:dyDescent="0.3">
      <c r="A2137" t="s">
        <v>5048</v>
      </c>
      <c r="B2137" t="s">
        <v>5049</v>
      </c>
      <c r="C2137" t="s">
        <v>58</v>
      </c>
      <c r="D2137" t="s">
        <v>77</v>
      </c>
      <c r="E2137" t="s">
        <v>45</v>
      </c>
      <c r="F2137" t="s">
        <v>94</v>
      </c>
      <c r="G2137">
        <v>0.53</v>
      </c>
      <c r="H2137" t="s">
        <v>41</v>
      </c>
      <c r="I2137" t="s">
        <v>42</v>
      </c>
      <c r="M2137">
        <f>VLOOKUP(H2137,'Stage Order'!$A$2:$B$8,2,FALSE)</f>
        <v>2</v>
      </c>
      <c r="N2137" t="str">
        <f t="shared" si="66"/>
        <v>1. Under 1 hour</v>
      </c>
      <c r="O2137" t="str">
        <f t="shared" si="67"/>
        <v>2025-01</v>
      </c>
    </row>
    <row r="2138" spans="1:15" x14ac:dyDescent="0.3">
      <c r="A2138" t="s">
        <v>5050</v>
      </c>
      <c r="B2138" t="s">
        <v>5051</v>
      </c>
      <c r="C2138" t="s">
        <v>76</v>
      </c>
      <c r="D2138" t="s">
        <v>77</v>
      </c>
      <c r="E2138" t="s">
        <v>45</v>
      </c>
      <c r="F2138" t="s">
        <v>46</v>
      </c>
      <c r="G2138">
        <v>7.56</v>
      </c>
      <c r="H2138" t="s">
        <v>41</v>
      </c>
      <c r="I2138" t="s">
        <v>42</v>
      </c>
      <c r="M2138">
        <f>VLOOKUP(H2138,'Stage Order'!$A$2:$B$8,2,FALSE)</f>
        <v>2</v>
      </c>
      <c r="N2138" t="str">
        <f t="shared" si="66"/>
        <v>2. 1-24 hours</v>
      </c>
      <c r="O2138" t="str">
        <f t="shared" si="67"/>
        <v>2026-05</v>
      </c>
    </row>
    <row r="2139" spans="1:15" x14ac:dyDescent="0.3">
      <c r="A2139" t="s">
        <v>5052</v>
      </c>
      <c r="B2139" t="s">
        <v>5053</v>
      </c>
      <c r="C2139" t="s">
        <v>53</v>
      </c>
      <c r="D2139" t="s">
        <v>38</v>
      </c>
      <c r="E2139" t="s">
        <v>90</v>
      </c>
      <c r="F2139" t="s">
        <v>145</v>
      </c>
      <c r="G2139">
        <v>2.74</v>
      </c>
      <c r="H2139" t="s">
        <v>47</v>
      </c>
      <c r="I2139" t="s">
        <v>48</v>
      </c>
      <c r="J2139" t="s">
        <v>139</v>
      </c>
      <c r="K2139">
        <v>314.54000000000002</v>
      </c>
      <c r="L2139" t="s">
        <v>5054</v>
      </c>
      <c r="M2139">
        <f>VLOOKUP(H2139,'Stage Order'!$A$2:$B$8,2,FALSE)</f>
        <v>4</v>
      </c>
      <c r="N2139" t="str">
        <f t="shared" si="66"/>
        <v>2. 1-24 hours</v>
      </c>
      <c r="O2139" t="str">
        <f t="shared" si="67"/>
        <v>2025-03</v>
      </c>
    </row>
    <row r="2140" spans="1:15" x14ac:dyDescent="0.3">
      <c r="A2140" t="s">
        <v>5055</v>
      </c>
      <c r="B2140" t="s">
        <v>5056</v>
      </c>
      <c r="C2140" t="s">
        <v>37</v>
      </c>
      <c r="D2140" t="s">
        <v>77</v>
      </c>
      <c r="E2140" t="s">
        <v>45</v>
      </c>
      <c r="F2140" t="s">
        <v>46</v>
      </c>
      <c r="G2140">
        <v>1.06</v>
      </c>
      <c r="H2140" t="s">
        <v>41</v>
      </c>
      <c r="I2140" t="s">
        <v>42</v>
      </c>
      <c r="M2140">
        <f>VLOOKUP(H2140,'Stage Order'!$A$2:$B$8,2,FALSE)</f>
        <v>2</v>
      </c>
      <c r="N2140" t="str">
        <f t="shared" si="66"/>
        <v>2. 1-24 hours</v>
      </c>
      <c r="O2140" t="str">
        <f t="shared" si="67"/>
        <v>2025-05</v>
      </c>
    </row>
    <row r="2141" spans="1:15" x14ac:dyDescent="0.3">
      <c r="A2141" t="s">
        <v>5057</v>
      </c>
      <c r="B2141" t="s">
        <v>5058</v>
      </c>
      <c r="C2141" t="s">
        <v>125</v>
      </c>
      <c r="D2141" t="s">
        <v>54</v>
      </c>
      <c r="E2141" t="s">
        <v>45</v>
      </c>
      <c r="F2141" t="s">
        <v>55</v>
      </c>
      <c r="G2141">
        <v>1.95</v>
      </c>
      <c r="H2141" t="s">
        <v>146</v>
      </c>
      <c r="I2141" t="s">
        <v>48</v>
      </c>
      <c r="J2141" t="s">
        <v>113</v>
      </c>
      <c r="K2141">
        <v>495.08</v>
      </c>
      <c r="L2141" t="s">
        <v>5059</v>
      </c>
      <c r="M2141">
        <f>VLOOKUP(H2141,'Stage Order'!$A$2:$B$8,2,FALSE)</f>
        <v>5</v>
      </c>
      <c r="N2141" t="str">
        <f t="shared" si="66"/>
        <v>2. 1-24 hours</v>
      </c>
      <c r="O2141" t="str">
        <f t="shared" si="67"/>
        <v>2026-02</v>
      </c>
    </row>
    <row r="2142" spans="1:15" x14ac:dyDescent="0.3">
      <c r="A2142" t="s">
        <v>5060</v>
      </c>
      <c r="B2142" t="s">
        <v>5061</v>
      </c>
      <c r="C2142" t="s">
        <v>28</v>
      </c>
      <c r="D2142" t="s">
        <v>97</v>
      </c>
      <c r="E2142" t="s">
        <v>45</v>
      </c>
      <c r="F2142" t="s">
        <v>94</v>
      </c>
      <c r="G2142">
        <v>1.2</v>
      </c>
      <c r="H2142" t="s">
        <v>32</v>
      </c>
      <c r="I2142" t="s">
        <v>33</v>
      </c>
      <c r="K2142">
        <v>1707.56</v>
      </c>
      <c r="L2142" t="s">
        <v>5062</v>
      </c>
      <c r="M2142">
        <f>VLOOKUP(H2142,'Stage Order'!$A$2:$B$8,2,FALSE)</f>
        <v>7</v>
      </c>
      <c r="N2142" t="str">
        <f t="shared" si="66"/>
        <v>2. 1-24 hours</v>
      </c>
      <c r="O2142" t="str">
        <f t="shared" si="67"/>
        <v>2025-04</v>
      </c>
    </row>
    <row r="2143" spans="1:15" x14ac:dyDescent="0.3">
      <c r="A2143" t="s">
        <v>5063</v>
      </c>
      <c r="B2143" t="s">
        <v>5064</v>
      </c>
      <c r="C2143" t="s">
        <v>53</v>
      </c>
      <c r="D2143" t="s">
        <v>77</v>
      </c>
      <c r="E2143" t="s">
        <v>45</v>
      </c>
      <c r="F2143" t="s">
        <v>46</v>
      </c>
      <c r="G2143">
        <v>4.1399999999999997</v>
      </c>
      <c r="H2143" t="s">
        <v>128</v>
      </c>
      <c r="I2143" t="s">
        <v>42</v>
      </c>
      <c r="M2143">
        <f>VLOOKUP(H2143,'Stage Order'!$A$2:$B$8,2,FALSE)</f>
        <v>3</v>
      </c>
      <c r="N2143" t="str">
        <f t="shared" si="66"/>
        <v>2. 1-24 hours</v>
      </c>
      <c r="O2143" t="str">
        <f t="shared" si="67"/>
        <v>2026-04</v>
      </c>
    </row>
    <row r="2144" spans="1:15" x14ac:dyDescent="0.3">
      <c r="A2144" t="s">
        <v>5065</v>
      </c>
      <c r="B2144" t="s">
        <v>5066</v>
      </c>
      <c r="C2144" t="s">
        <v>76</v>
      </c>
      <c r="D2144" t="s">
        <v>54</v>
      </c>
      <c r="E2144" t="s">
        <v>39</v>
      </c>
      <c r="F2144" t="s">
        <v>40</v>
      </c>
      <c r="G2144">
        <v>9.4</v>
      </c>
      <c r="H2144" t="s">
        <v>47</v>
      </c>
      <c r="I2144" t="s">
        <v>48</v>
      </c>
      <c r="J2144" t="s">
        <v>98</v>
      </c>
      <c r="K2144">
        <v>460.1</v>
      </c>
      <c r="L2144" t="s">
        <v>5067</v>
      </c>
      <c r="M2144">
        <f>VLOOKUP(H2144,'Stage Order'!$A$2:$B$8,2,FALSE)</f>
        <v>4</v>
      </c>
      <c r="N2144" t="str">
        <f t="shared" si="66"/>
        <v>2. 1-24 hours</v>
      </c>
      <c r="O2144" t="str">
        <f t="shared" si="67"/>
        <v>2025-04</v>
      </c>
    </row>
    <row r="2145" spans="1:15" x14ac:dyDescent="0.3">
      <c r="A2145" t="s">
        <v>5068</v>
      </c>
      <c r="B2145" t="s">
        <v>5069</v>
      </c>
      <c r="C2145" t="s">
        <v>58</v>
      </c>
      <c r="D2145" t="s">
        <v>77</v>
      </c>
      <c r="E2145" t="s">
        <v>45</v>
      </c>
      <c r="F2145" t="s">
        <v>94</v>
      </c>
      <c r="G2145">
        <v>27.67</v>
      </c>
      <c r="H2145" t="s">
        <v>41</v>
      </c>
      <c r="I2145" t="s">
        <v>42</v>
      </c>
      <c r="M2145">
        <f>VLOOKUP(H2145,'Stage Order'!$A$2:$B$8,2,FALSE)</f>
        <v>2</v>
      </c>
      <c r="N2145" t="str">
        <f t="shared" si="66"/>
        <v>3. 1-3 days</v>
      </c>
      <c r="O2145" t="str">
        <f t="shared" si="67"/>
        <v>2025-12</v>
      </c>
    </row>
    <row r="2146" spans="1:15" x14ac:dyDescent="0.3">
      <c r="A2146" t="s">
        <v>5070</v>
      </c>
      <c r="B2146" t="s">
        <v>5071</v>
      </c>
      <c r="C2146" t="s">
        <v>58</v>
      </c>
      <c r="D2146" t="s">
        <v>77</v>
      </c>
      <c r="E2146" t="s">
        <v>45</v>
      </c>
      <c r="F2146" t="s">
        <v>46</v>
      </c>
      <c r="G2146">
        <v>3.06</v>
      </c>
      <c r="H2146" t="s">
        <v>146</v>
      </c>
      <c r="I2146" t="s">
        <v>48</v>
      </c>
      <c r="J2146" t="s">
        <v>98</v>
      </c>
      <c r="K2146">
        <v>1007.78</v>
      </c>
      <c r="L2146" t="s">
        <v>5072</v>
      </c>
      <c r="M2146">
        <f>VLOOKUP(H2146,'Stage Order'!$A$2:$B$8,2,FALSE)</f>
        <v>5</v>
      </c>
      <c r="N2146" t="str">
        <f t="shared" si="66"/>
        <v>2. 1-24 hours</v>
      </c>
      <c r="O2146" t="str">
        <f t="shared" si="67"/>
        <v>2026-06</v>
      </c>
    </row>
    <row r="2147" spans="1:15" x14ac:dyDescent="0.3">
      <c r="A2147" t="s">
        <v>5073</v>
      </c>
      <c r="B2147" t="s">
        <v>5074</v>
      </c>
      <c r="C2147" t="s">
        <v>37</v>
      </c>
      <c r="D2147" t="s">
        <v>54</v>
      </c>
      <c r="E2147" t="s">
        <v>90</v>
      </c>
      <c r="F2147" t="s">
        <v>91</v>
      </c>
      <c r="G2147">
        <v>3.23</v>
      </c>
      <c r="H2147" t="s">
        <v>41</v>
      </c>
      <c r="I2147" t="s">
        <v>42</v>
      </c>
      <c r="M2147">
        <f>VLOOKUP(H2147,'Stage Order'!$A$2:$B$8,2,FALSE)</f>
        <v>2</v>
      </c>
      <c r="N2147" t="str">
        <f t="shared" si="66"/>
        <v>2. 1-24 hours</v>
      </c>
      <c r="O2147" t="str">
        <f t="shared" si="67"/>
        <v>2026-02</v>
      </c>
    </row>
    <row r="2148" spans="1:15" x14ac:dyDescent="0.3">
      <c r="A2148" t="s">
        <v>5075</v>
      </c>
      <c r="B2148" t="s">
        <v>5076</v>
      </c>
      <c r="C2148" t="s">
        <v>58</v>
      </c>
      <c r="D2148" t="s">
        <v>54</v>
      </c>
      <c r="E2148" t="s">
        <v>30</v>
      </c>
      <c r="F2148" t="s">
        <v>31</v>
      </c>
      <c r="G2148">
        <v>2.93</v>
      </c>
      <c r="H2148" t="s">
        <v>41</v>
      </c>
      <c r="I2148" t="s">
        <v>42</v>
      </c>
      <c r="M2148">
        <f>VLOOKUP(H2148,'Stage Order'!$A$2:$B$8,2,FALSE)</f>
        <v>2</v>
      </c>
      <c r="N2148" t="str">
        <f t="shared" si="66"/>
        <v>2. 1-24 hours</v>
      </c>
      <c r="O2148" t="str">
        <f t="shared" si="67"/>
        <v>2026-02</v>
      </c>
    </row>
    <row r="2149" spans="1:15" x14ac:dyDescent="0.3">
      <c r="A2149" t="s">
        <v>5077</v>
      </c>
      <c r="B2149" t="s">
        <v>5078</v>
      </c>
      <c r="C2149" t="s">
        <v>76</v>
      </c>
      <c r="D2149" t="s">
        <v>54</v>
      </c>
      <c r="E2149" t="s">
        <v>39</v>
      </c>
      <c r="F2149" t="s">
        <v>40</v>
      </c>
      <c r="G2149">
        <v>2.37</v>
      </c>
      <c r="H2149" t="s">
        <v>138</v>
      </c>
      <c r="I2149" t="s">
        <v>48</v>
      </c>
      <c r="J2149" t="s">
        <v>139</v>
      </c>
      <c r="K2149">
        <v>428.55</v>
      </c>
      <c r="L2149" t="s">
        <v>5079</v>
      </c>
      <c r="M2149">
        <f>VLOOKUP(H2149,'Stage Order'!$A$2:$B$8,2,FALSE)</f>
        <v>6</v>
      </c>
      <c r="N2149" t="str">
        <f t="shared" si="66"/>
        <v>2. 1-24 hours</v>
      </c>
      <c r="O2149" t="str">
        <f t="shared" si="67"/>
        <v>2025-07</v>
      </c>
    </row>
    <row r="2150" spans="1:15" x14ac:dyDescent="0.3">
      <c r="A2150" t="s">
        <v>5080</v>
      </c>
      <c r="B2150" t="s">
        <v>5081</v>
      </c>
      <c r="C2150" t="s">
        <v>37</v>
      </c>
      <c r="D2150" t="s">
        <v>54</v>
      </c>
      <c r="E2150" t="s">
        <v>59</v>
      </c>
      <c r="F2150" t="s">
        <v>137</v>
      </c>
      <c r="G2150">
        <v>2.06</v>
      </c>
      <c r="H2150" t="s">
        <v>41</v>
      </c>
      <c r="I2150" t="s">
        <v>42</v>
      </c>
      <c r="M2150">
        <f>VLOOKUP(H2150,'Stage Order'!$A$2:$B$8,2,FALSE)</f>
        <v>2</v>
      </c>
      <c r="N2150" t="str">
        <f t="shared" si="66"/>
        <v>2. 1-24 hours</v>
      </c>
      <c r="O2150" t="str">
        <f t="shared" si="67"/>
        <v>2025-10</v>
      </c>
    </row>
    <row r="2151" spans="1:15" x14ac:dyDescent="0.3">
      <c r="A2151" t="s">
        <v>5082</v>
      </c>
      <c r="B2151" t="s">
        <v>5083</v>
      </c>
      <c r="C2151" t="s">
        <v>53</v>
      </c>
      <c r="D2151" t="s">
        <v>54</v>
      </c>
      <c r="E2151" t="s">
        <v>59</v>
      </c>
      <c r="F2151" t="s">
        <v>117</v>
      </c>
      <c r="G2151">
        <v>0.66</v>
      </c>
      <c r="H2151" t="s">
        <v>32</v>
      </c>
      <c r="I2151" t="s">
        <v>33</v>
      </c>
      <c r="K2151">
        <v>416.28</v>
      </c>
      <c r="L2151" t="s">
        <v>5084</v>
      </c>
      <c r="M2151">
        <f>VLOOKUP(H2151,'Stage Order'!$A$2:$B$8,2,FALSE)</f>
        <v>7</v>
      </c>
      <c r="N2151" t="str">
        <f t="shared" si="66"/>
        <v>1. Under 1 hour</v>
      </c>
      <c r="O2151" t="str">
        <f t="shared" si="67"/>
        <v>2026-02</v>
      </c>
    </row>
    <row r="2152" spans="1:15" x14ac:dyDescent="0.3">
      <c r="A2152" t="s">
        <v>5085</v>
      </c>
      <c r="B2152" t="s">
        <v>5086</v>
      </c>
      <c r="C2152" t="s">
        <v>81</v>
      </c>
      <c r="D2152" t="s">
        <v>77</v>
      </c>
      <c r="E2152" t="s">
        <v>59</v>
      </c>
      <c r="F2152" t="s">
        <v>137</v>
      </c>
      <c r="G2152">
        <v>3.74</v>
      </c>
      <c r="H2152" t="s">
        <v>61</v>
      </c>
      <c r="I2152" t="s">
        <v>42</v>
      </c>
      <c r="M2152">
        <f>VLOOKUP(H2152,'Stage Order'!$A$2:$B$8,2,FALSE)</f>
        <v>1</v>
      </c>
      <c r="N2152" t="str">
        <f t="shared" si="66"/>
        <v>2. 1-24 hours</v>
      </c>
      <c r="O2152" t="str">
        <f t="shared" si="67"/>
        <v>2025-07</v>
      </c>
    </row>
    <row r="2153" spans="1:15" x14ac:dyDescent="0.3">
      <c r="A2153" t="s">
        <v>5087</v>
      </c>
      <c r="B2153" t="s">
        <v>5088</v>
      </c>
      <c r="C2153" t="s">
        <v>81</v>
      </c>
      <c r="D2153" t="s">
        <v>54</v>
      </c>
      <c r="E2153" t="s">
        <v>90</v>
      </c>
      <c r="F2153" t="s">
        <v>91</v>
      </c>
      <c r="G2153">
        <v>12.91</v>
      </c>
      <c r="H2153" t="s">
        <v>41</v>
      </c>
      <c r="I2153" t="s">
        <v>42</v>
      </c>
      <c r="M2153">
        <f>VLOOKUP(H2153,'Stage Order'!$A$2:$B$8,2,FALSE)</f>
        <v>2</v>
      </c>
      <c r="N2153" t="str">
        <f t="shared" si="66"/>
        <v>2. 1-24 hours</v>
      </c>
      <c r="O2153" t="str">
        <f t="shared" si="67"/>
        <v>2025-03</v>
      </c>
    </row>
    <row r="2154" spans="1:15" x14ac:dyDescent="0.3">
      <c r="A2154" t="s">
        <v>5089</v>
      </c>
      <c r="B2154" t="s">
        <v>5090</v>
      </c>
      <c r="C2154" t="s">
        <v>125</v>
      </c>
      <c r="D2154" t="s">
        <v>38</v>
      </c>
      <c r="E2154" t="s">
        <v>39</v>
      </c>
      <c r="F2154" t="s">
        <v>106</v>
      </c>
      <c r="G2154">
        <v>4.38</v>
      </c>
      <c r="H2154" t="s">
        <v>146</v>
      </c>
      <c r="I2154" t="s">
        <v>48</v>
      </c>
      <c r="J2154" t="s">
        <v>742</v>
      </c>
      <c r="K2154">
        <v>422.66</v>
      </c>
      <c r="L2154" t="s">
        <v>5091</v>
      </c>
      <c r="M2154">
        <f>VLOOKUP(H2154,'Stage Order'!$A$2:$B$8,2,FALSE)</f>
        <v>5</v>
      </c>
      <c r="N2154" t="str">
        <f t="shared" si="66"/>
        <v>2. 1-24 hours</v>
      </c>
      <c r="O2154" t="str">
        <f t="shared" si="67"/>
        <v>2025-05</v>
      </c>
    </row>
    <row r="2155" spans="1:15" x14ac:dyDescent="0.3">
      <c r="A2155" t="s">
        <v>5092</v>
      </c>
      <c r="B2155" t="s">
        <v>5093</v>
      </c>
      <c r="C2155" t="s">
        <v>125</v>
      </c>
      <c r="D2155" t="s">
        <v>54</v>
      </c>
      <c r="E2155" t="s">
        <v>45</v>
      </c>
      <c r="F2155" t="s">
        <v>55</v>
      </c>
      <c r="G2155">
        <v>0.79</v>
      </c>
      <c r="H2155" t="s">
        <v>41</v>
      </c>
      <c r="I2155" t="s">
        <v>42</v>
      </c>
      <c r="M2155">
        <f>VLOOKUP(H2155,'Stage Order'!$A$2:$B$8,2,FALSE)</f>
        <v>2</v>
      </c>
      <c r="N2155" t="str">
        <f t="shared" si="66"/>
        <v>1. Under 1 hour</v>
      </c>
      <c r="O2155" t="str">
        <f t="shared" si="67"/>
        <v>2025-05</v>
      </c>
    </row>
    <row r="2156" spans="1:15" x14ac:dyDescent="0.3">
      <c r="A2156" t="s">
        <v>5094</v>
      </c>
      <c r="B2156" t="s">
        <v>5095</v>
      </c>
      <c r="C2156" t="s">
        <v>37</v>
      </c>
      <c r="D2156" t="s">
        <v>29</v>
      </c>
      <c r="E2156" t="s">
        <v>45</v>
      </c>
      <c r="F2156" t="s">
        <v>94</v>
      </c>
      <c r="G2156">
        <v>0.45</v>
      </c>
      <c r="H2156" t="s">
        <v>41</v>
      </c>
      <c r="I2156" t="s">
        <v>42</v>
      </c>
      <c r="M2156">
        <f>VLOOKUP(H2156,'Stage Order'!$A$2:$B$8,2,FALSE)</f>
        <v>2</v>
      </c>
      <c r="N2156" t="str">
        <f t="shared" si="66"/>
        <v>1. Under 1 hour</v>
      </c>
      <c r="O2156" t="str">
        <f t="shared" si="67"/>
        <v>2025-01</v>
      </c>
    </row>
    <row r="2157" spans="1:15" x14ac:dyDescent="0.3">
      <c r="A2157" t="s">
        <v>5096</v>
      </c>
      <c r="B2157" t="s">
        <v>5097</v>
      </c>
      <c r="C2157" t="s">
        <v>53</v>
      </c>
      <c r="D2157" t="s">
        <v>77</v>
      </c>
      <c r="E2157" t="s">
        <v>90</v>
      </c>
      <c r="F2157" t="s">
        <v>112</v>
      </c>
      <c r="G2157">
        <v>0.99</v>
      </c>
      <c r="H2157" t="s">
        <v>32</v>
      </c>
      <c r="I2157" t="s">
        <v>33</v>
      </c>
      <c r="K2157">
        <v>1078.04</v>
      </c>
      <c r="L2157" t="s">
        <v>5098</v>
      </c>
      <c r="M2157">
        <f>VLOOKUP(H2157,'Stage Order'!$A$2:$B$8,2,FALSE)</f>
        <v>7</v>
      </c>
      <c r="N2157" t="str">
        <f t="shared" si="66"/>
        <v>1. Under 1 hour</v>
      </c>
      <c r="O2157" t="str">
        <f t="shared" si="67"/>
        <v>2026-03</v>
      </c>
    </row>
    <row r="2158" spans="1:15" x14ac:dyDescent="0.3">
      <c r="A2158" t="s">
        <v>5099</v>
      </c>
      <c r="B2158" t="s">
        <v>5100</v>
      </c>
      <c r="C2158" t="s">
        <v>81</v>
      </c>
      <c r="D2158" t="s">
        <v>29</v>
      </c>
      <c r="E2158" t="s">
        <v>45</v>
      </c>
      <c r="F2158" t="s">
        <v>55</v>
      </c>
      <c r="G2158">
        <v>2.12</v>
      </c>
      <c r="H2158" t="s">
        <v>41</v>
      </c>
      <c r="I2158" t="s">
        <v>42</v>
      </c>
      <c r="M2158">
        <f>VLOOKUP(H2158,'Stage Order'!$A$2:$B$8,2,FALSE)</f>
        <v>2</v>
      </c>
      <c r="N2158" t="str">
        <f t="shared" si="66"/>
        <v>2. 1-24 hours</v>
      </c>
      <c r="O2158" t="str">
        <f t="shared" si="67"/>
        <v>2026-06</v>
      </c>
    </row>
    <row r="2159" spans="1:15" x14ac:dyDescent="0.3">
      <c r="A2159" t="s">
        <v>5101</v>
      </c>
      <c r="B2159" t="s">
        <v>5102</v>
      </c>
      <c r="C2159" t="s">
        <v>37</v>
      </c>
      <c r="D2159" t="s">
        <v>54</v>
      </c>
      <c r="E2159" t="s">
        <v>45</v>
      </c>
      <c r="F2159" t="s">
        <v>46</v>
      </c>
      <c r="G2159">
        <v>2.29</v>
      </c>
      <c r="H2159" t="s">
        <v>41</v>
      </c>
      <c r="I2159" t="s">
        <v>42</v>
      </c>
      <c r="M2159">
        <f>VLOOKUP(H2159,'Stage Order'!$A$2:$B$8,2,FALSE)</f>
        <v>2</v>
      </c>
      <c r="N2159" t="str">
        <f t="shared" si="66"/>
        <v>2. 1-24 hours</v>
      </c>
      <c r="O2159" t="str">
        <f t="shared" si="67"/>
        <v>2025-08</v>
      </c>
    </row>
    <row r="2160" spans="1:15" x14ac:dyDescent="0.3">
      <c r="A2160" t="s">
        <v>5103</v>
      </c>
      <c r="B2160" t="s">
        <v>5104</v>
      </c>
      <c r="C2160" t="s">
        <v>53</v>
      </c>
      <c r="D2160" t="s">
        <v>54</v>
      </c>
      <c r="E2160" t="s">
        <v>90</v>
      </c>
      <c r="F2160" t="s">
        <v>112</v>
      </c>
      <c r="G2160">
        <v>15.11</v>
      </c>
      <c r="H2160" t="s">
        <v>138</v>
      </c>
      <c r="I2160" t="s">
        <v>48</v>
      </c>
      <c r="J2160" t="s">
        <v>139</v>
      </c>
      <c r="K2160">
        <v>492.75</v>
      </c>
      <c r="L2160" t="s">
        <v>5105</v>
      </c>
      <c r="M2160">
        <f>VLOOKUP(H2160,'Stage Order'!$A$2:$B$8,2,FALSE)</f>
        <v>6</v>
      </c>
      <c r="N2160" t="str">
        <f t="shared" si="66"/>
        <v>2. 1-24 hours</v>
      </c>
      <c r="O2160" t="str">
        <f t="shared" si="67"/>
        <v>2025-06</v>
      </c>
    </row>
    <row r="2161" spans="1:15" x14ac:dyDescent="0.3">
      <c r="A2161" t="s">
        <v>5106</v>
      </c>
      <c r="B2161" t="s">
        <v>5107</v>
      </c>
      <c r="C2161" t="s">
        <v>28</v>
      </c>
      <c r="D2161" t="s">
        <v>38</v>
      </c>
      <c r="E2161" t="s">
        <v>39</v>
      </c>
      <c r="F2161" t="s">
        <v>106</v>
      </c>
      <c r="G2161">
        <v>0.92</v>
      </c>
      <c r="H2161" t="s">
        <v>61</v>
      </c>
      <c r="I2161" t="s">
        <v>42</v>
      </c>
      <c r="M2161">
        <f>VLOOKUP(H2161,'Stage Order'!$A$2:$B$8,2,FALSE)</f>
        <v>1</v>
      </c>
      <c r="N2161" t="str">
        <f t="shared" si="66"/>
        <v>1. Under 1 hour</v>
      </c>
      <c r="O2161" t="str">
        <f t="shared" si="67"/>
        <v>2025-11</v>
      </c>
    </row>
    <row r="2162" spans="1:15" x14ac:dyDescent="0.3">
      <c r="A2162" t="s">
        <v>5108</v>
      </c>
      <c r="B2162" t="s">
        <v>5109</v>
      </c>
      <c r="C2162" t="s">
        <v>81</v>
      </c>
      <c r="D2162" t="s">
        <v>29</v>
      </c>
      <c r="E2162" t="s">
        <v>30</v>
      </c>
      <c r="F2162" t="s">
        <v>31</v>
      </c>
      <c r="G2162">
        <v>0.74</v>
      </c>
      <c r="H2162" t="s">
        <v>47</v>
      </c>
      <c r="I2162" t="s">
        <v>48</v>
      </c>
      <c r="J2162" t="s">
        <v>49</v>
      </c>
      <c r="K2162">
        <v>612.05999999999995</v>
      </c>
      <c r="L2162" t="s">
        <v>5110</v>
      </c>
      <c r="M2162">
        <f>VLOOKUP(H2162,'Stage Order'!$A$2:$B$8,2,FALSE)</f>
        <v>4</v>
      </c>
      <c r="N2162" t="str">
        <f t="shared" si="66"/>
        <v>1. Under 1 hour</v>
      </c>
      <c r="O2162" t="str">
        <f t="shared" si="67"/>
        <v>2025-11</v>
      </c>
    </row>
    <row r="2163" spans="1:15" x14ac:dyDescent="0.3">
      <c r="A2163" t="s">
        <v>5111</v>
      </c>
      <c r="B2163" t="s">
        <v>5112</v>
      </c>
      <c r="C2163" t="s">
        <v>81</v>
      </c>
      <c r="D2163" t="s">
        <v>29</v>
      </c>
      <c r="E2163" t="s">
        <v>59</v>
      </c>
      <c r="F2163" t="s">
        <v>137</v>
      </c>
      <c r="G2163">
        <v>0.96</v>
      </c>
      <c r="H2163" t="s">
        <v>41</v>
      </c>
      <c r="I2163" t="s">
        <v>42</v>
      </c>
      <c r="M2163">
        <f>VLOOKUP(H2163,'Stage Order'!$A$2:$B$8,2,FALSE)</f>
        <v>2</v>
      </c>
      <c r="N2163" t="str">
        <f t="shared" si="66"/>
        <v>1. Under 1 hour</v>
      </c>
      <c r="O2163" t="str">
        <f t="shared" si="67"/>
        <v>2025-11</v>
      </c>
    </row>
    <row r="2164" spans="1:15" x14ac:dyDescent="0.3">
      <c r="A2164" t="s">
        <v>5113</v>
      </c>
      <c r="B2164" t="s">
        <v>5114</v>
      </c>
      <c r="C2164" t="s">
        <v>53</v>
      </c>
      <c r="D2164" t="s">
        <v>54</v>
      </c>
      <c r="E2164" t="s">
        <v>59</v>
      </c>
      <c r="F2164" t="s">
        <v>137</v>
      </c>
      <c r="G2164">
        <v>2.08</v>
      </c>
      <c r="H2164" t="s">
        <v>32</v>
      </c>
      <c r="I2164" t="s">
        <v>33</v>
      </c>
      <c r="K2164">
        <v>468.08</v>
      </c>
      <c r="L2164" t="s">
        <v>5115</v>
      </c>
      <c r="M2164">
        <f>VLOOKUP(H2164,'Stage Order'!$A$2:$B$8,2,FALSE)</f>
        <v>7</v>
      </c>
      <c r="N2164" t="str">
        <f t="shared" si="66"/>
        <v>2. 1-24 hours</v>
      </c>
      <c r="O2164" t="str">
        <f t="shared" si="67"/>
        <v>2025-04</v>
      </c>
    </row>
    <row r="2165" spans="1:15" x14ac:dyDescent="0.3">
      <c r="A2165" t="s">
        <v>5116</v>
      </c>
      <c r="B2165" t="s">
        <v>5117</v>
      </c>
      <c r="C2165" t="s">
        <v>76</v>
      </c>
      <c r="D2165" t="s">
        <v>54</v>
      </c>
      <c r="E2165" t="s">
        <v>45</v>
      </c>
      <c r="F2165" t="s">
        <v>94</v>
      </c>
      <c r="G2165">
        <v>3.28</v>
      </c>
      <c r="H2165" t="s">
        <v>32</v>
      </c>
      <c r="I2165" t="s">
        <v>33</v>
      </c>
      <c r="K2165">
        <v>593.70000000000005</v>
      </c>
      <c r="L2165" t="s">
        <v>5118</v>
      </c>
      <c r="M2165">
        <f>VLOOKUP(H2165,'Stage Order'!$A$2:$B$8,2,FALSE)</f>
        <v>7</v>
      </c>
      <c r="N2165" t="str">
        <f t="shared" si="66"/>
        <v>2. 1-24 hours</v>
      </c>
      <c r="O2165" t="str">
        <f t="shared" si="67"/>
        <v>2026-06</v>
      </c>
    </row>
    <row r="2166" spans="1:15" x14ac:dyDescent="0.3">
      <c r="A2166" t="s">
        <v>5119</v>
      </c>
      <c r="B2166" t="s">
        <v>5120</v>
      </c>
      <c r="C2166" t="s">
        <v>37</v>
      </c>
      <c r="D2166" t="s">
        <v>77</v>
      </c>
      <c r="E2166" t="s">
        <v>45</v>
      </c>
      <c r="F2166" t="s">
        <v>55</v>
      </c>
      <c r="G2166">
        <v>0.9</v>
      </c>
      <c r="H2166" t="s">
        <v>41</v>
      </c>
      <c r="I2166" t="s">
        <v>42</v>
      </c>
      <c r="M2166">
        <f>VLOOKUP(H2166,'Stage Order'!$A$2:$B$8,2,FALSE)</f>
        <v>2</v>
      </c>
      <c r="N2166" t="str">
        <f t="shared" si="66"/>
        <v>1. Under 1 hour</v>
      </c>
      <c r="O2166" t="str">
        <f t="shared" si="67"/>
        <v>2025-06</v>
      </c>
    </row>
    <row r="2167" spans="1:15" x14ac:dyDescent="0.3">
      <c r="A2167" t="s">
        <v>5121</v>
      </c>
      <c r="B2167" t="s">
        <v>5122</v>
      </c>
      <c r="C2167" t="s">
        <v>53</v>
      </c>
      <c r="D2167" t="s">
        <v>29</v>
      </c>
      <c r="E2167" t="s">
        <v>39</v>
      </c>
      <c r="F2167" t="s">
        <v>40</v>
      </c>
      <c r="G2167">
        <v>7.64</v>
      </c>
      <c r="H2167" t="s">
        <v>41</v>
      </c>
      <c r="I2167" t="s">
        <v>42</v>
      </c>
      <c r="M2167">
        <f>VLOOKUP(H2167,'Stage Order'!$A$2:$B$8,2,FALSE)</f>
        <v>2</v>
      </c>
      <c r="N2167" t="str">
        <f t="shared" si="66"/>
        <v>2. 1-24 hours</v>
      </c>
      <c r="O2167" t="str">
        <f t="shared" si="67"/>
        <v>2025-04</v>
      </c>
    </row>
    <row r="2168" spans="1:15" x14ac:dyDescent="0.3">
      <c r="A2168" t="s">
        <v>5123</v>
      </c>
      <c r="B2168" t="s">
        <v>5124</v>
      </c>
      <c r="C2168" t="s">
        <v>76</v>
      </c>
      <c r="D2168" t="s">
        <v>29</v>
      </c>
      <c r="E2168" t="s">
        <v>59</v>
      </c>
      <c r="F2168" t="s">
        <v>60</v>
      </c>
      <c r="G2168">
        <v>1.82</v>
      </c>
      <c r="H2168" t="s">
        <v>41</v>
      </c>
      <c r="I2168" t="s">
        <v>42</v>
      </c>
      <c r="M2168">
        <f>VLOOKUP(H2168,'Stage Order'!$A$2:$B$8,2,FALSE)</f>
        <v>2</v>
      </c>
      <c r="N2168" t="str">
        <f t="shared" si="66"/>
        <v>2. 1-24 hours</v>
      </c>
      <c r="O2168" t="str">
        <f t="shared" si="67"/>
        <v>2025-01</v>
      </c>
    </row>
    <row r="2169" spans="1:15" x14ac:dyDescent="0.3">
      <c r="A2169" t="s">
        <v>5125</v>
      </c>
      <c r="B2169" t="s">
        <v>5126</v>
      </c>
      <c r="C2169" t="s">
        <v>37</v>
      </c>
      <c r="D2169" t="s">
        <v>54</v>
      </c>
      <c r="E2169" t="s">
        <v>45</v>
      </c>
      <c r="F2169" t="s">
        <v>46</v>
      </c>
      <c r="G2169">
        <v>1.23</v>
      </c>
      <c r="H2169" t="s">
        <v>138</v>
      </c>
      <c r="I2169" t="s">
        <v>48</v>
      </c>
      <c r="J2169" t="s">
        <v>113</v>
      </c>
      <c r="K2169">
        <v>527.15</v>
      </c>
      <c r="L2169" t="s">
        <v>5127</v>
      </c>
      <c r="M2169">
        <f>VLOOKUP(H2169,'Stage Order'!$A$2:$B$8,2,FALSE)</f>
        <v>6</v>
      </c>
      <c r="N2169" t="str">
        <f t="shared" si="66"/>
        <v>2. 1-24 hours</v>
      </c>
      <c r="O2169" t="str">
        <f t="shared" si="67"/>
        <v>2025-01</v>
      </c>
    </row>
    <row r="2170" spans="1:15" x14ac:dyDescent="0.3">
      <c r="A2170" t="s">
        <v>5128</v>
      </c>
      <c r="B2170" t="s">
        <v>5129</v>
      </c>
      <c r="C2170" t="s">
        <v>53</v>
      </c>
      <c r="D2170" t="s">
        <v>54</v>
      </c>
      <c r="E2170" t="s">
        <v>59</v>
      </c>
      <c r="F2170" t="s">
        <v>117</v>
      </c>
      <c r="G2170">
        <v>2.76</v>
      </c>
      <c r="H2170" t="s">
        <v>32</v>
      </c>
      <c r="I2170" t="s">
        <v>33</v>
      </c>
      <c r="K2170">
        <v>567.47</v>
      </c>
      <c r="L2170" t="s">
        <v>5130</v>
      </c>
      <c r="M2170">
        <f>VLOOKUP(H2170,'Stage Order'!$A$2:$B$8,2,FALSE)</f>
        <v>7</v>
      </c>
      <c r="N2170" t="str">
        <f t="shared" si="66"/>
        <v>2. 1-24 hours</v>
      </c>
      <c r="O2170" t="str">
        <f t="shared" si="67"/>
        <v>2025-07</v>
      </c>
    </row>
    <row r="2171" spans="1:15" x14ac:dyDescent="0.3">
      <c r="A2171" t="s">
        <v>5131</v>
      </c>
      <c r="B2171" t="s">
        <v>5132</v>
      </c>
      <c r="C2171" t="s">
        <v>37</v>
      </c>
      <c r="D2171" t="s">
        <v>97</v>
      </c>
      <c r="E2171" t="s">
        <v>59</v>
      </c>
      <c r="F2171" t="s">
        <v>137</v>
      </c>
      <c r="G2171">
        <v>3.66</v>
      </c>
      <c r="H2171" t="s">
        <v>32</v>
      </c>
      <c r="I2171" t="s">
        <v>33</v>
      </c>
      <c r="K2171">
        <v>1461.92</v>
      </c>
      <c r="L2171" t="s">
        <v>5133</v>
      </c>
      <c r="M2171">
        <f>VLOOKUP(H2171,'Stage Order'!$A$2:$B$8,2,FALSE)</f>
        <v>7</v>
      </c>
      <c r="N2171" t="str">
        <f t="shared" si="66"/>
        <v>2. 1-24 hours</v>
      </c>
      <c r="O2171" t="str">
        <f t="shared" si="67"/>
        <v>2025-06</v>
      </c>
    </row>
    <row r="2172" spans="1:15" x14ac:dyDescent="0.3">
      <c r="A2172" t="s">
        <v>5134</v>
      </c>
      <c r="B2172" t="s">
        <v>5135</v>
      </c>
      <c r="C2172" t="s">
        <v>125</v>
      </c>
      <c r="D2172" t="s">
        <v>54</v>
      </c>
      <c r="E2172" t="s">
        <v>39</v>
      </c>
      <c r="F2172" t="s">
        <v>106</v>
      </c>
      <c r="G2172">
        <v>3.77</v>
      </c>
      <c r="H2172" t="s">
        <v>41</v>
      </c>
      <c r="I2172" t="s">
        <v>42</v>
      </c>
      <c r="M2172">
        <f>VLOOKUP(H2172,'Stage Order'!$A$2:$B$8,2,FALSE)</f>
        <v>2</v>
      </c>
      <c r="N2172" t="str">
        <f t="shared" si="66"/>
        <v>2. 1-24 hours</v>
      </c>
      <c r="O2172" t="str">
        <f t="shared" si="67"/>
        <v>2026-03</v>
      </c>
    </row>
    <row r="2173" spans="1:15" x14ac:dyDescent="0.3">
      <c r="A2173" t="s">
        <v>5136</v>
      </c>
      <c r="B2173" t="s">
        <v>5137</v>
      </c>
      <c r="C2173" t="s">
        <v>125</v>
      </c>
      <c r="D2173" t="s">
        <v>97</v>
      </c>
      <c r="E2173" t="s">
        <v>45</v>
      </c>
      <c r="F2173" t="s">
        <v>46</v>
      </c>
      <c r="G2173">
        <v>10.01</v>
      </c>
      <c r="H2173" t="s">
        <v>61</v>
      </c>
      <c r="I2173" t="s">
        <v>42</v>
      </c>
      <c r="M2173">
        <f>VLOOKUP(H2173,'Stage Order'!$A$2:$B$8,2,FALSE)</f>
        <v>1</v>
      </c>
      <c r="N2173" t="str">
        <f t="shared" si="66"/>
        <v>2. 1-24 hours</v>
      </c>
      <c r="O2173" t="str">
        <f t="shared" si="67"/>
        <v>2025-08</v>
      </c>
    </row>
    <row r="2174" spans="1:15" x14ac:dyDescent="0.3">
      <c r="A2174" t="s">
        <v>5138</v>
      </c>
      <c r="B2174" t="s">
        <v>5139</v>
      </c>
      <c r="C2174" t="s">
        <v>37</v>
      </c>
      <c r="D2174" t="s">
        <v>54</v>
      </c>
      <c r="E2174" t="s">
        <v>90</v>
      </c>
      <c r="F2174" t="s">
        <v>112</v>
      </c>
      <c r="G2174">
        <v>3.33</v>
      </c>
      <c r="H2174" t="s">
        <v>138</v>
      </c>
      <c r="I2174" t="s">
        <v>48</v>
      </c>
      <c r="J2174" t="s">
        <v>98</v>
      </c>
      <c r="K2174">
        <v>575.12</v>
      </c>
      <c r="L2174" t="s">
        <v>5140</v>
      </c>
      <c r="M2174">
        <f>VLOOKUP(H2174,'Stage Order'!$A$2:$B$8,2,FALSE)</f>
        <v>6</v>
      </c>
      <c r="N2174" t="str">
        <f t="shared" si="66"/>
        <v>2. 1-24 hours</v>
      </c>
      <c r="O2174" t="str">
        <f t="shared" si="67"/>
        <v>2025-06</v>
      </c>
    </row>
    <row r="2175" spans="1:15" x14ac:dyDescent="0.3">
      <c r="A2175" t="s">
        <v>5141</v>
      </c>
      <c r="B2175" t="s">
        <v>5142</v>
      </c>
      <c r="C2175" t="s">
        <v>58</v>
      </c>
      <c r="D2175" t="s">
        <v>29</v>
      </c>
      <c r="E2175" t="s">
        <v>59</v>
      </c>
      <c r="F2175" t="s">
        <v>137</v>
      </c>
      <c r="G2175">
        <v>2.72</v>
      </c>
      <c r="H2175" t="s">
        <v>128</v>
      </c>
      <c r="I2175" t="s">
        <v>42</v>
      </c>
      <c r="M2175">
        <f>VLOOKUP(H2175,'Stage Order'!$A$2:$B$8,2,FALSE)</f>
        <v>3</v>
      </c>
      <c r="N2175" t="str">
        <f t="shared" si="66"/>
        <v>2. 1-24 hours</v>
      </c>
      <c r="O2175" t="str">
        <f t="shared" si="67"/>
        <v>2025-07</v>
      </c>
    </row>
    <row r="2176" spans="1:15" x14ac:dyDescent="0.3">
      <c r="A2176" t="s">
        <v>5143</v>
      </c>
      <c r="B2176" t="s">
        <v>5144</v>
      </c>
      <c r="C2176" t="s">
        <v>125</v>
      </c>
      <c r="D2176" t="s">
        <v>97</v>
      </c>
      <c r="E2176" t="s">
        <v>45</v>
      </c>
      <c r="F2176" t="s">
        <v>55</v>
      </c>
      <c r="G2176">
        <v>1.59</v>
      </c>
      <c r="H2176" t="s">
        <v>41</v>
      </c>
      <c r="I2176" t="s">
        <v>42</v>
      </c>
      <c r="M2176">
        <f>VLOOKUP(H2176,'Stage Order'!$A$2:$B$8,2,FALSE)</f>
        <v>2</v>
      </c>
      <c r="N2176" t="str">
        <f t="shared" si="66"/>
        <v>2. 1-24 hours</v>
      </c>
      <c r="O2176" t="str">
        <f t="shared" si="67"/>
        <v>2026-05</v>
      </c>
    </row>
    <row r="2177" spans="1:15" x14ac:dyDescent="0.3">
      <c r="A2177" t="s">
        <v>5145</v>
      </c>
      <c r="B2177" t="s">
        <v>5146</v>
      </c>
      <c r="C2177" t="s">
        <v>125</v>
      </c>
      <c r="D2177" t="s">
        <v>54</v>
      </c>
      <c r="E2177" t="s">
        <v>45</v>
      </c>
      <c r="F2177" t="s">
        <v>55</v>
      </c>
      <c r="G2177">
        <v>2.02</v>
      </c>
      <c r="H2177" t="s">
        <v>47</v>
      </c>
      <c r="I2177" t="s">
        <v>48</v>
      </c>
      <c r="J2177" t="s">
        <v>742</v>
      </c>
      <c r="K2177">
        <v>555.59</v>
      </c>
      <c r="L2177" t="s">
        <v>5147</v>
      </c>
      <c r="M2177">
        <f>VLOOKUP(H2177,'Stage Order'!$A$2:$B$8,2,FALSE)</f>
        <v>4</v>
      </c>
      <c r="N2177" t="str">
        <f t="shared" si="66"/>
        <v>2. 1-24 hours</v>
      </c>
      <c r="O2177" t="str">
        <f t="shared" si="67"/>
        <v>2025-09</v>
      </c>
    </row>
    <row r="2178" spans="1:15" x14ac:dyDescent="0.3">
      <c r="A2178" t="s">
        <v>5148</v>
      </c>
      <c r="B2178" t="s">
        <v>5149</v>
      </c>
      <c r="C2178" t="s">
        <v>37</v>
      </c>
      <c r="D2178" t="s">
        <v>54</v>
      </c>
      <c r="E2178" t="s">
        <v>39</v>
      </c>
      <c r="F2178" t="s">
        <v>66</v>
      </c>
      <c r="G2178">
        <v>1.95</v>
      </c>
      <c r="H2178" t="s">
        <v>61</v>
      </c>
      <c r="I2178" t="s">
        <v>42</v>
      </c>
      <c r="M2178">
        <f>VLOOKUP(H2178,'Stage Order'!$A$2:$B$8,2,FALSE)</f>
        <v>1</v>
      </c>
      <c r="N2178" t="str">
        <f t="shared" ref="N2178:N2241" si="68">IF(G2178&lt;=1,"1. Under 1 hour",IF(G2178&lt;=24,"2. 1-24 hours",IF(G2178&lt;=72,"3. 1-3 days","4. Over 3 days")))</f>
        <v>2. 1-24 hours</v>
      </c>
      <c r="O2178" t="str">
        <f t="shared" ref="O2178:O2241" si="69">TEXT(B2178,"YYYY-MM")</f>
        <v>2026-06</v>
      </c>
    </row>
    <row r="2179" spans="1:15" x14ac:dyDescent="0.3">
      <c r="A2179" t="s">
        <v>5150</v>
      </c>
      <c r="B2179" t="s">
        <v>5151</v>
      </c>
      <c r="C2179" t="s">
        <v>37</v>
      </c>
      <c r="D2179" t="s">
        <v>97</v>
      </c>
      <c r="E2179" t="s">
        <v>45</v>
      </c>
      <c r="F2179" t="s">
        <v>94</v>
      </c>
      <c r="G2179">
        <v>7.1</v>
      </c>
      <c r="H2179" t="s">
        <v>41</v>
      </c>
      <c r="I2179" t="s">
        <v>42</v>
      </c>
      <c r="M2179">
        <f>VLOOKUP(H2179,'Stage Order'!$A$2:$B$8,2,FALSE)</f>
        <v>2</v>
      </c>
      <c r="N2179" t="str">
        <f t="shared" si="68"/>
        <v>2. 1-24 hours</v>
      </c>
      <c r="O2179" t="str">
        <f t="shared" si="69"/>
        <v>2025-05</v>
      </c>
    </row>
    <row r="2180" spans="1:15" x14ac:dyDescent="0.3">
      <c r="A2180" t="s">
        <v>5152</v>
      </c>
      <c r="B2180" t="s">
        <v>5153</v>
      </c>
      <c r="C2180" t="s">
        <v>53</v>
      </c>
      <c r="D2180" t="s">
        <v>38</v>
      </c>
      <c r="E2180" t="s">
        <v>39</v>
      </c>
      <c r="F2180" t="s">
        <v>40</v>
      </c>
      <c r="G2180">
        <v>2.13</v>
      </c>
      <c r="H2180" t="s">
        <v>41</v>
      </c>
      <c r="I2180" t="s">
        <v>42</v>
      </c>
      <c r="M2180">
        <f>VLOOKUP(H2180,'Stage Order'!$A$2:$B$8,2,FALSE)</f>
        <v>2</v>
      </c>
      <c r="N2180" t="str">
        <f t="shared" si="68"/>
        <v>2. 1-24 hours</v>
      </c>
      <c r="O2180" t="str">
        <f t="shared" si="69"/>
        <v>2025-02</v>
      </c>
    </row>
    <row r="2181" spans="1:15" x14ac:dyDescent="0.3">
      <c r="A2181" t="s">
        <v>5154</v>
      </c>
      <c r="B2181" t="s">
        <v>5155</v>
      </c>
      <c r="C2181" t="s">
        <v>125</v>
      </c>
      <c r="D2181" t="s">
        <v>77</v>
      </c>
      <c r="E2181" t="s">
        <v>59</v>
      </c>
      <c r="F2181" t="s">
        <v>60</v>
      </c>
      <c r="G2181">
        <v>4.4400000000000004</v>
      </c>
      <c r="H2181" t="s">
        <v>61</v>
      </c>
      <c r="I2181" t="s">
        <v>42</v>
      </c>
      <c r="M2181">
        <f>VLOOKUP(H2181,'Stage Order'!$A$2:$B$8,2,FALSE)</f>
        <v>1</v>
      </c>
      <c r="N2181" t="str">
        <f t="shared" si="68"/>
        <v>2. 1-24 hours</v>
      </c>
      <c r="O2181" t="str">
        <f t="shared" si="69"/>
        <v>2026-05</v>
      </c>
    </row>
    <row r="2182" spans="1:15" x14ac:dyDescent="0.3">
      <c r="A2182" t="s">
        <v>5156</v>
      </c>
      <c r="B2182" t="s">
        <v>5157</v>
      </c>
      <c r="C2182" t="s">
        <v>37</v>
      </c>
      <c r="D2182" t="s">
        <v>54</v>
      </c>
      <c r="E2182" t="s">
        <v>45</v>
      </c>
      <c r="F2182" t="s">
        <v>46</v>
      </c>
      <c r="G2182">
        <v>3.87</v>
      </c>
      <c r="H2182" t="s">
        <v>41</v>
      </c>
      <c r="I2182" t="s">
        <v>42</v>
      </c>
      <c r="M2182">
        <f>VLOOKUP(H2182,'Stage Order'!$A$2:$B$8,2,FALSE)</f>
        <v>2</v>
      </c>
      <c r="N2182" t="str">
        <f t="shared" si="68"/>
        <v>2. 1-24 hours</v>
      </c>
      <c r="O2182" t="str">
        <f t="shared" si="69"/>
        <v>2025-02</v>
      </c>
    </row>
    <row r="2183" spans="1:15" x14ac:dyDescent="0.3">
      <c r="A2183" t="s">
        <v>5158</v>
      </c>
      <c r="B2183" t="s">
        <v>5159</v>
      </c>
      <c r="C2183" t="s">
        <v>53</v>
      </c>
      <c r="D2183" t="s">
        <v>38</v>
      </c>
      <c r="E2183" t="s">
        <v>59</v>
      </c>
      <c r="F2183" t="s">
        <v>137</v>
      </c>
      <c r="G2183">
        <v>0.51</v>
      </c>
      <c r="H2183" t="s">
        <v>32</v>
      </c>
      <c r="I2183" t="s">
        <v>33</v>
      </c>
      <c r="K2183">
        <v>385.9</v>
      </c>
      <c r="L2183" t="s">
        <v>5160</v>
      </c>
      <c r="M2183">
        <f>VLOOKUP(H2183,'Stage Order'!$A$2:$B$8,2,FALSE)</f>
        <v>7</v>
      </c>
      <c r="N2183" t="str">
        <f t="shared" si="68"/>
        <v>1. Under 1 hour</v>
      </c>
      <c r="O2183" t="str">
        <f t="shared" si="69"/>
        <v>2025-10</v>
      </c>
    </row>
    <row r="2184" spans="1:15" x14ac:dyDescent="0.3">
      <c r="A2184" t="s">
        <v>5161</v>
      </c>
      <c r="B2184" t="s">
        <v>5162</v>
      </c>
      <c r="C2184" t="s">
        <v>53</v>
      </c>
      <c r="D2184" t="s">
        <v>29</v>
      </c>
      <c r="E2184" t="s">
        <v>59</v>
      </c>
      <c r="F2184" t="s">
        <v>137</v>
      </c>
      <c r="G2184">
        <v>11.66</v>
      </c>
      <c r="H2184" t="s">
        <v>41</v>
      </c>
      <c r="I2184" t="s">
        <v>42</v>
      </c>
      <c r="M2184">
        <f>VLOOKUP(H2184,'Stage Order'!$A$2:$B$8,2,FALSE)</f>
        <v>2</v>
      </c>
      <c r="N2184" t="str">
        <f t="shared" si="68"/>
        <v>2. 1-24 hours</v>
      </c>
      <c r="O2184" t="str">
        <f t="shared" si="69"/>
        <v>2025-03</v>
      </c>
    </row>
    <row r="2185" spans="1:15" x14ac:dyDescent="0.3">
      <c r="A2185" t="s">
        <v>5163</v>
      </c>
      <c r="B2185" t="s">
        <v>5164</v>
      </c>
      <c r="C2185" t="s">
        <v>37</v>
      </c>
      <c r="D2185" t="s">
        <v>29</v>
      </c>
      <c r="E2185" t="s">
        <v>39</v>
      </c>
      <c r="F2185" t="s">
        <v>106</v>
      </c>
      <c r="G2185">
        <v>2.2999999999999998</v>
      </c>
      <c r="H2185" t="s">
        <v>41</v>
      </c>
      <c r="I2185" t="s">
        <v>42</v>
      </c>
      <c r="M2185">
        <f>VLOOKUP(H2185,'Stage Order'!$A$2:$B$8,2,FALSE)</f>
        <v>2</v>
      </c>
      <c r="N2185" t="str">
        <f t="shared" si="68"/>
        <v>2. 1-24 hours</v>
      </c>
      <c r="O2185" t="str">
        <f t="shared" si="69"/>
        <v>2025-06</v>
      </c>
    </row>
    <row r="2186" spans="1:15" x14ac:dyDescent="0.3">
      <c r="A2186" t="s">
        <v>5165</v>
      </c>
      <c r="B2186" t="s">
        <v>5166</v>
      </c>
      <c r="C2186" t="s">
        <v>125</v>
      </c>
      <c r="D2186" t="s">
        <v>29</v>
      </c>
      <c r="E2186" t="s">
        <v>45</v>
      </c>
      <c r="F2186" t="s">
        <v>94</v>
      </c>
      <c r="G2186">
        <v>0.7</v>
      </c>
      <c r="H2186" t="s">
        <v>32</v>
      </c>
      <c r="I2186" t="s">
        <v>33</v>
      </c>
      <c r="K2186">
        <v>713.1</v>
      </c>
      <c r="L2186" t="s">
        <v>5167</v>
      </c>
      <c r="M2186">
        <f>VLOOKUP(H2186,'Stage Order'!$A$2:$B$8,2,FALSE)</f>
        <v>7</v>
      </c>
      <c r="N2186" t="str">
        <f t="shared" si="68"/>
        <v>1. Under 1 hour</v>
      </c>
      <c r="O2186" t="str">
        <f t="shared" si="69"/>
        <v>2025-08</v>
      </c>
    </row>
    <row r="2187" spans="1:15" x14ac:dyDescent="0.3">
      <c r="A2187" t="s">
        <v>5168</v>
      </c>
      <c r="B2187" t="s">
        <v>5169</v>
      </c>
      <c r="C2187" t="s">
        <v>58</v>
      </c>
      <c r="D2187" t="s">
        <v>29</v>
      </c>
      <c r="E2187" t="s">
        <v>59</v>
      </c>
      <c r="F2187" t="s">
        <v>60</v>
      </c>
      <c r="G2187">
        <v>7.1</v>
      </c>
      <c r="H2187" t="s">
        <v>47</v>
      </c>
      <c r="I2187" t="s">
        <v>48</v>
      </c>
      <c r="J2187" t="s">
        <v>113</v>
      </c>
      <c r="K2187">
        <v>698.71</v>
      </c>
      <c r="L2187" t="s">
        <v>5170</v>
      </c>
      <c r="M2187">
        <f>VLOOKUP(H2187,'Stage Order'!$A$2:$B$8,2,FALSE)</f>
        <v>4</v>
      </c>
      <c r="N2187" t="str">
        <f t="shared" si="68"/>
        <v>2. 1-24 hours</v>
      </c>
      <c r="O2187" t="str">
        <f t="shared" si="69"/>
        <v>2025-07</v>
      </c>
    </row>
    <row r="2188" spans="1:15" x14ac:dyDescent="0.3">
      <c r="A2188" t="s">
        <v>5171</v>
      </c>
      <c r="B2188" t="s">
        <v>5172</v>
      </c>
      <c r="C2188" t="s">
        <v>53</v>
      </c>
      <c r="D2188" t="s">
        <v>77</v>
      </c>
      <c r="E2188" t="s">
        <v>59</v>
      </c>
      <c r="F2188" t="s">
        <v>117</v>
      </c>
      <c r="G2188">
        <v>1.95</v>
      </c>
      <c r="H2188" t="s">
        <v>32</v>
      </c>
      <c r="I2188" t="s">
        <v>33</v>
      </c>
      <c r="K2188">
        <v>903.44</v>
      </c>
      <c r="L2188" t="s">
        <v>5173</v>
      </c>
      <c r="M2188">
        <f>VLOOKUP(H2188,'Stage Order'!$A$2:$B$8,2,FALSE)</f>
        <v>7</v>
      </c>
      <c r="N2188" t="str">
        <f t="shared" si="68"/>
        <v>2. 1-24 hours</v>
      </c>
      <c r="O2188" t="str">
        <f t="shared" si="69"/>
        <v>2025-05</v>
      </c>
    </row>
    <row r="2189" spans="1:15" x14ac:dyDescent="0.3">
      <c r="A2189" t="s">
        <v>5174</v>
      </c>
      <c r="B2189" t="s">
        <v>5175</v>
      </c>
      <c r="C2189" t="s">
        <v>58</v>
      </c>
      <c r="D2189" t="s">
        <v>54</v>
      </c>
      <c r="E2189" t="s">
        <v>90</v>
      </c>
      <c r="F2189" t="s">
        <v>91</v>
      </c>
      <c r="G2189">
        <v>2.2200000000000002</v>
      </c>
      <c r="H2189" t="s">
        <v>41</v>
      </c>
      <c r="I2189" t="s">
        <v>42</v>
      </c>
      <c r="M2189">
        <f>VLOOKUP(H2189,'Stage Order'!$A$2:$B$8,2,FALSE)</f>
        <v>2</v>
      </c>
      <c r="N2189" t="str">
        <f t="shared" si="68"/>
        <v>2. 1-24 hours</v>
      </c>
      <c r="O2189" t="str">
        <f t="shared" si="69"/>
        <v>2025-04</v>
      </c>
    </row>
    <row r="2190" spans="1:15" x14ac:dyDescent="0.3">
      <c r="A2190" t="s">
        <v>5176</v>
      </c>
      <c r="B2190" t="s">
        <v>5177</v>
      </c>
      <c r="C2190" t="s">
        <v>53</v>
      </c>
      <c r="D2190" t="s">
        <v>77</v>
      </c>
      <c r="E2190" t="s">
        <v>30</v>
      </c>
      <c r="F2190" t="s">
        <v>82</v>
      </c>
      <c r="G2190">
        <v>6.14</v>
      </c>
      <c r="H2190" t="s">
        <v>128</v>
      </c>
      <c r="I2190" t="s">
        <v>42</v>
      </c>
      <c r="M2190">
        <f>VLOOKUP(H2190,'Stage Order'!$A$2:$B$8,2,FALSE)</f>
        <v>3</v>
      </c>
      <c r="N2190" t="str">
        <f t="shared" si="68"/>
        <v>2. 1-24 hours</v>
      </c>
      <c r="O2190" t="str">
        <f t="shared" si="69"/>
        <v>2025-03</v>
      </c>
    </row>
    <row r="2191" spans="1:15" x14ac:dyDescent="0.3">
      <c r="A2191" t="s">
        <v>5178</v>
      </c>
      <c r="B2191" t="s">
        <v>1744</v>
      </c>
      <c r="C2191" t="s">
        <v>125</v>
      </c>
      <c r="D2191" t="s">
        <v>77</v>
      </c>
      <c r="E2191" t="s">
        <v>59</v>
      </c>
      <c r="F2191" t="s">
        <v>60</v>
      </c>
      <c r="G2191">
        <v>0.65</v>
      </c>
      <c r="H2191" t="s">
        <v>41</v>
      </c>
      <c r="I2191" t="s">
        <v>42</v>
      </c>
      <c r="M2191">
        <f>VLOOKUP(H2191,'Stage Order'!$A$2:$B$8,2,FALSE)</f>
        <v>2</v>
      </c>
      <c r="N2191" t="str">
        <f t="shared" si="68"/>
        <v>1. Under 1 hour</v>
      </c>
      <c r="O2191" t="str">
        <f t="shared" si="69"/>
        <v>2025-06</v>
      </c>
    </row>
    <row r="2192" spans="1:15" x14ac:dyDescent="0.3">
      <c r="A2192" t="s">
        <v>5179</v>
      </c>
      <c r="B2192" t="s">
        <v>5180</v>
      </c>
      <c r="C2192" t="s">
        <v>81</v>
      </c>
      <c r="D2192" t="s">
        <v>97</v>
      </c>
      <c r="E2192" t="s">
        <v>39</v>
      </c>
      <c r="F2192" t="s">
        <v>106</v>
      </c>
      <c r="G2192">
        <v>3.91</v>
      </c>
      <c r="H2192" t="s">
        <v>61</v>
      </c>
      <c r="I2192" t="s">
        <v>42</v>
      </c>
      <c r="M2192">
        <f>VLOOKUP(H2192,'Stage Order'!$A$2:$B$8,2,FALSE)</f>
        <v>1</v>
      </c>
      <c r="N2192" t="str">
        <f t="shared" si="68"/>
        <v>2. 1-24 hours</v>
      </c>
      <c r="O2192" t="str">
        <f t="shared" si="69"/>
        <v>2026-03</v>
      </c>
    </row>
    <row r="2193" spans="1:15" x14ac:dyDescent="0.3">
      <c r="A2193" t="s">
        <v>5181</v>
      </c>
      <c r="B2193" t="s">
        <v>5182</v>
      </c>
      <c r="C2193" t="s">
        <v>81</v>
      </c>
      <c r="D2193" t="s">
        <v>38</v>
      </c>
      <c r="E2193" t="s">
        <v>30</v>
      </c>
      <c r="F2193" t="s">
        <v>82</v>
      </c>
      <c r="G2193">
        <v>8.41</v>
      </c>
      <c r="H2193" t="s">
        <v>41</v>
      </c>
      <c r="I2193" t="s">
        <v>42</v>
      </c>
      <c r="M2193">
        <f>VLOOKUP(H2193,'Stage Order'!$A$2:$B$8,2,FALSE)</f>
        <v>2</v>
      </c>
      <c r="N2193" t="str">
        <f t="shared" si="68"/>
        <v>2. 1-24 hours</v>
      </c>
      <c r="O2193" t="str">
        <f t="shared" si="69"/>
        <v>2025-05</v>
      </c>
    </row>
    <row r="2194" spans="1:15" x14ac:dyDescent="0.3">
      <c r="A2194" t="s">
        <v>5183</v>
      </c>
      <c r="B2194" t="s">
        <v>5184</v>
      </c>
      <c r="C2194" t="s">
        <v>28</v>
      </c>
      <c r="D2194" t="s">
        <v>97</v>
      </c>
      <c r="E2194" t="s">
        <v>59</v>
      </c>
      <c r="F2194" t="s">
        <v>60</v>
      </c>
      <c r="G2194">
        <v>21.32</v>
      </c>
      <c r="H2194" t="s">
        <v>138</v>
      </c>
      <c r="I2194" t="s">
        <v>48</v>
      </c>
      <c r="J2194" t="s">
        <v>139</v>
      </c>
      <c r="K2194">
        <v>1557.17</v>
      </c>
      <c r="L2194" t="s">
        <v>5185</v>
      </c>
      <c r="M2194">
        <f>VLOOKUP(H2194,'Stage Order'!$A$2:$B$8,2,FALSE)</f>
        <v>6</v>
      </c>
      <c r="N2194" t="str">
        <f t="shared" si="68"/>
        <v>2. 1-24 hours</v>
      </c>
      <c r="O2194" t="str">
        <f t="shared" si="69"/>
        <v>2025-09</v>
      </c>
    </row>
    <row r="2195" spans="1:15" x14ac:dyDescent="0.3">
      <c r="A2195" t="s">
        <v>5186</v>
      </c>
      <c r="B2195" t="s">
        <v>5187</v>
      </c>
      <c r="C2195" t="s">
        <v>53</v>
      </c>
      <c r="D2195" t="s">
        <v>29</v>
      </c>
      <c r="E2195" t="s">
        <v>90</v>
      </c>
      <c r="F2195" t="s">
        <v>91</v>
      </c>
      <c r="G2195">
        <v>3.08</v>
      </c>
      <c r="H2195" t="s">
        <v>41</v>
      </c>
      <c r="I2195" t="s">
        <v>42</v>
      </c>
      <c r="M2195">
        <f>VLOOKUP(H2195,'Stage Order'!$A$2:$B$8,2,FALSE)</f>
        <v>2</v>
      </c>
      <c r="N2195" t="str">
        <f t="shared" si="68"/>
        <v>2. 1-24 hours</v>
      </c>
      <c r="O2195" t="str">
        <f t="shared" si="69"/>
        <v>2025-10</v>
      </c>
    </row>
    <row r="2196" spans="1:15" x14ac:dyDescent="0.3">
      <c r="A2196" t="s">
        <v>5188</v>
      </c>
      <c r="B2196" t="s">
        <v>5189</v>
      </c>
      <c r="C2196" t="s">
        <v>37</v>
      </c>
      <c r="D2196" t="s">
        <v>38</v>
      </c>
      <c r="E2196" t="s">
        <v>59</v>
      </c>
      <c r="F2196" t="s">
        <v>117</v>
      </c>
      <c r="G2196">
        <v>4.4400000000000004</v>
      </c>
      <c r="H2196" t="s">
        <v>32</v>
      </c>
      <c r="I2196" t="s">
        <v>33</v>
      </c>
      <c r="K2196">
        <v>391.74</v>
      </c>
      <c r="L2196" t="s">
        <v>5190</v>
      </c>
      <c r="M2196">
        <f>VLOOKUP(H2196,'Stage Order'!$A$2:$B$8,2,FALSE)</f>
        <v>7</v>
      </c>
      <c r="N2196" t="str">
        <f t="shared" si="68"/>
        <v>2. 1-24 hours</v>
      </c>
      <c r="O2196" t="str">
        <f t="shared" si="69"/>
        <v>2025-05</v>
      </c>
    </row>
    <row r="2197" spans="1:15" x14ac:dyDescent="0.3">
      <c r="A2197" t="s">
        <v>5191</v>
      </c>
      <c r="B2197" t="s">
        <v>5192</v>
      </c>
      <c r="C2197" t="s">
        <v>58</v>
      </c>
      <c r="D2197" t="s">
        <v>38</v>
      </c>
      <c r="E2197" t="s">
        <v>59</v>
      </c>
      <c r="F2197" t="s">
        <v>117</v>
      </c>
      <c r="G2197">
        <v>1.53</v>
      </c>
      <c r="H2197" t="s">
        <v>41</v>
      </c>
      <c r="I2197" t="s">
        <v>42</v>
      </c>
      <c r="M2197">
        <f>VLOOKUP(H2197,'Stage Order'!$A$2:$B$8,2,FALSE)</f>
        <v>2</v>
      </c>
      <c r="N2197" t="str">
        <f t="shared" si="68"/>
        <v>2. 1-24 hours</v>
      </c>
      <c r="O2197" t="str">
        <f t="shared" si="69"/>
        <v>2026-04</v>
      </c>
    </row>
    <row r="2198" spans="1:15" x14ac:dyDescent="0.3">
      <c r="A2198" t="s">
        <v>5193</v>
      </c>
      <c r="B2198" t="s">
        <v>5194</v>
      </c>
      <c r="C2198" t="s">
        <v>58</v>
      </c>
      <c r="D2198" t="s">
        <v>29</v>
      </c>
      <c r="E2198" t="s">
        <v>45</v>
      </c>
      <c r="F2198" t="s">
        <v>94</v>
      </c>
      <c r="G2198">
        <v>0.41</v>
      </c>
      <c r="H2198" t="s">
        <v>41</v>
      </c>
      <c r="I2198" t="s">
        <v>42</v>
      </c>
      <c r="M2198">
        <f>VLOOKUP(H2198,'Stage Order'!$A$2:$B$8,2,FALSE)</f>
        <v>2</v>
      </c>
      <c r="N2198" t="str">
        <f t="shared" si="68"/>
        <v>1. Under 1 hour</v>
      </c>
      <c r="O2198" t="str">
        <f t="shared" si="69"/>
        <v>2025-10</v>
      </c>
    </row>
    <row r="2199" spans="1:15" x14ac:dyDescent="0.3">
      <c r="A2199" t="s">
        <v>5195</v>
      </c>
      <c r="B2199" t="s">
        <v>5196</v>
      </c>
      <c r="C2199" t="s">
        <v>28</v>
      </c>
      <c r="D2199" t="s">
        <v>38</v>
      </c>
      <c r="E2199" t="s">
        <v>59</v>
      </c>
      <c r="F2199" t="s">
        <v>137</v>
      </c>
      <c r="G2199">
        <v>8.2200000000000006</v>
      </c>
      <c r="H2199" t="s">
        <v>61</v>
      </c>
      <c r="I2199" t="s">
        <v>42</v>
      </c>
      <c r="M2199">
        <f>VLOOKUP(H2199,'Stage Order'!$A$2:$B$8,2,FALSE)</f>
        <v>1</v>
      </c>
      <c r="N2199" t="str">
        <f t="shared" si="68"/>
        <v>2. 1-24 hours</v>
      </c>
      <c r="O2199" t="str">
        <f t="shared" si="69"/>
        <v>2026-03</v>
      </c>
    </row>
    <row r="2200" spans="1:15" x14ac:dyDescent="0.3">
      <c r="A2200" t="s">
        <v>5197</v>
      </c>
      <c r="B2200" t="s">
        <v>5198</v>
      </c>
      <c r="C2200" t="s">
        <v>37</v>
      </c>
      <c r="D2200" t="s">
        <v>77</v>
      </c>
      <c r="E2200" t="s">
        <v>45</v>
      </c>
      <c r="F2200" t="s">
        <v>55</v>
      </c>
      <c r="G2200">
        <v>5.51</v>
      </c>
      <c r="H2200" t="s">
        <v>41</v>
      </c>
      <c r="I2200" t="s">
        <v>42</v>
      </c>
      <c r="M2200">
        <f>VLOOKUP(H2200,'Stage Order'!$A$2:$B$8,2,FALSE)</f>
        <v>2</v>
      </c>
      <c r="N2200" t="str">
        <f t="shared" si="68"/>
        <v>2. 1-24 hours</v>
      </c>
      <c r="O2200" t="str">
        <f t="shared" si="69"/>
        <v>2025-10</v>
      </c>
    </row>
    <row r="2201" spans="1:15" x14ac:dyDescent="0.3">
      <c r="A2201" t="s">
        <v>5199</v>
      </c>
      <c r="B2201" t="s">
        <v>5200</v>
      </c>
      <c r="C2201" t="s">
        <v>125</v>
      </c>
      <c r="D2201" t="s">
        <v>29</v>
      </c>
      <c r="E2201" t="s">
        <v>90</v>
      </c>
      <c r="F2201" t="s">
        <v>145</v>
      </c>
      <c r="G2201">
        <v>3.25</v>
      </c>
      <c r="H2201" t="s">
        <v>41</v>
      </c>
      <c r="I2201" t="s">
        <v>42</v>
      </c>
      <c r="M2201">
        <f>VLOOKUP(H2201,'Stage Order'!$A$2:$B$8,2,FALSE)</f>
        <v>2</v>
      </c>
      <c r="N2201" t="str">
        <f t="shared" si="68"/>
        <v>2. 1-24 hours</v>
      </c>
      <c r="O2201" t="str">
        <f t="shared" si="69"/>
        <v>2026-05</v>
      </c>
    </row>
    <row r="2202" spans="1:15" x14ac:dyDescent="0.3">
      <c r="A2202" t="s">
        <v>5201</v>
      </c>
      <c r="B2202" t="s">
        <v>5202</v>
      </c>
      <c r="C2202" t="s">
        <v>37</v>
      </c>
      <c r="D2202" t="s">
        <v>97</v>
      </c>
      <c r="E2202" t="s">
        <v>30</v>
      </c>
      <c r="F2202" t="s">
        <v>82</v>
      </c>
      <c r="G2202">
        <v>1.03</v>
      </c>
      <c r="H2202" t="s">
        <v>41</v>
      </c>
      <c r="I2202" t="s">
        <v>42</v>
      </c>
      <c r="M2202">
        <f>VLOOKUP(H2202,'Stage Order'!$A$2:$B$8,2,FALSE)</f>
        <v>2</v>
      </c>
      <c r="N2202" t="str">
        <f t="shared" si="68"/>
        <v>2. 1-24 hours</v>
      </c>
      <c r="O2202" t="str">
        <f t="shared" si="69"/>
        <v>2025-05</v>
      </c>
    </row>
    <row r="2203" spans="1:15" x14ac:dyDescent="0.3">
      <c r="A2203" t="s">
        <v>5203</v>
      </c>
      <c r="B2203" t="s">
        <v>5204</v>
      </c>
      <c r="C2203" t="s">
        <v>37</v>
      </c>
      <c r="D2203" t="s">
        <v>54</v>
      </c>
      <c r="E2203" t="s">
        <v>59</v>
      </c>
      <c r="F2203" t="s">
        <v>60</v>
      </c>
      <c r="G2203">
        <v>3.58</v>
      </c>
      <c r="H2203" t="s">
        <v>146</v>
      </c>
      <c r="I2203" t="s">
        <v>48</v>
      </c>
      <c r="J2203" t="s">
        <v>139</v>
      </c>
      <c r="K2203">
        <v>484.04</v>
      </c>
      <c r="L2203" t="s">
        <v>5205</v>
      </c>
      <c r="M2203">
        <f>VLOOKUP(H2203,'Stage Order'!$A$2:$B$8,2,FALSE)</f>
        <v>5</v>
      </c>
      <c r="N2203" t="str">
        <f t="shared" si="68"/>
        <v>2. 1-24 hours</v>
      </c>
      <c r="O2203" t="str">
        <f t="shared" si="69"/>
        <v>2025-04</v>
      </c>
    </row>
    <row r="2204" spans="1:15" x14ac:dyDescent="0.3">
      <c r="A2204" t="s">
        <v>5206</v>
      </c>
      <c r="B2204" t="s">
        <v>5207</v>
      </c>
      <c r="C2204" t="s">
        <v>58</v>
      </c>
      <c r="D2204" t="s">
        <v>38</v>
      </c>
      <c r="E2204" t="s">
        <v>45</v>
      </c>
      <c r="F2204" t="s">
        <v>55</v>
      </c>
      <c r="G2204">
        <v>6.63</v>
      </c>
      <c r="H2204" t="s">
        <v>41</v>
      </c>
      <c r="I2204" t="s">
        <v>42</v>
      </c>
      <c r="M2204">
        <f>VLOOKUP(H2204,'Stage Order'!$A$2:$B$8,2,FALSE)</f>
        <v>2</v>
      </c>
      <c r="N2204" t="str">
        <f t="shared" si="68"/>
        <v>2. 1-24 hours</v>
      </c>
      <c r="O2204" t="str">
        <f t="shared" si="69"/>
        <v>2025-12</v>
      </c>
    </row>
    <row r="2205" spans="1:15" x14ac:dyDescent="0.3">
      <c r="A2205" t="s">
        <v>5208</v>
      </c>
      <c r="B2205" t="s">
        <v>5209</v>
      </c>
      <c r="C2205" t="s">
        <v>28</v>
      </c>
      <c r="D2205" t="s">
        <v>54</v>
      </c>
      <c r="E2205" t="s">
        <v>90</v>
      </c>
      <c r="F2205" t="s">
        <v>112</v>
      </c>
      <c r="G2205">
        <v>0.96</v>
      </c>
      <c r="H2205" t="s">
        <v>32</v>
      </c>
      <c r="I2205" t="s">
        <v>33</v>
      </c>
      <c r="K2205">
        <v>485.24</v>
      </c>
      <c r="L2205" t="s">
        <v>5210</v>
      </c>
      <c r="M2205">
        <f>VLOOKUP(H2205,'Stage Order'!$A$2:$B$8,2,FALSE)</f>
        <v>7</v>
      </c>
      <c r="N2205" t="str">
        <f t="shared" si="68"/>
        <v>1. Under 1 hour</v>
      </c>
      <c r="O2205" t="str">
        <f t="shared" si="69"/>
        <v>2025-08</v>
      </c>
    </row>
    <row r="2206" spans="1:15" x14ac:dyDescent="0.3">
      <c r="A2206" t="s">
        <v>5211</v>
      </c>
      <c r="B2206" t="s">
        <v>5212</v>
      </c>
      <c r="C2206" t="s">
        <v>58</v>
      </c>
      <c r="D2206" t="s">
        <v>97</v>
      </c>
      <c r="E2206" t="s">
        <v>59</v>
      </c>
      <c r="F2206" t="s">
        <v>137</v>
      </c>
      <c r="G2206">
        <v>1.74</v>
      </c>
      <c r="H2206" t="s">
        <v>41</v>
      </c>
      <c r="I2206" t="s">
        <v>42</v>
      </c>
      <c r="M2206">
        <f>VLOOKUP(H2206,'Stage Order'!$A$2:$B$8,2,FALSE)</f>
        <v>2</v>
      </c>
      <c r="N2206" t="str">
        <f t="shared" si="68"/>
        <v>2. 1-24 hours</v>
      </c>
      <c r="O2206" t="str">
        <f t="shared" si="69"/>
        <v>2025-11</v>
      </c>
    </row>
    <row r="2207" spans="1:15" x14ac:dyDescent="0.3">
      <c r="A2207" t="s">
        <v>5213</v>
      </c>
      <c r="B2207" t="s">
        <v>5214</v>
      </c>
      <c r="C2207" t="s">
        <v>37</v>
      </c>
      <c r="D2207" t="s">
        <v>77</v>
      </c>
      <c r="E2207" t="s">
        <v>59</v>
      </c>
      <c r="F2207" t="s">
        <v>117</v>
      </c>
      <c r="G2207">
        <v>2.67</v>
      </c>
      <c r="H2207" t="s">
        <v>41</v>
      </c>
      <c r="I2207" t="s">
        <v>42</v>
      </c>
      <c r="M2207">
        <f>VLOOKUP(H2207,'Stage Order'!$A$2:$B$8,2,FALSE)</f>
        <v>2</v>
      </c>
      <c r="N2207" t="str">
        <f t="shared" si="68"/>
        <v>2. 1-24 hours</v>
      </c>
      <c r="O2207" t="str">
        <f t="shared" si="69"/>
        <v>2025-05</v>
      </c>
    </row>
    <row r="2208" spans="1:15" x14ac:dyDescent="0.3">
      <c r="A2208" t="s">
        <v>5215</v>
      </c>
      <c r="B2208" t="s">
        <v>5216</v>
      </c>
      <c r="C2208" t="s">
        <v>58</v>
      </c>
      <c r="D2208" t="s">
        <v>29</v>
      </c>
      <c r="E2208" t="s">
        <v>39</v>
      </c>
      <c r="F2208" t="s">
        <v>106</v>
      </c>
      <c r="G2208">
        <v>2.4500000000000002</v>
      </c>
      <c r="H2208" t="s">
        <v>41</v>
      </c>
      <c r="I2208" t="s">
        <v>42</v>
      </c>
      <c r="M2208">
        <f>VLOOKUP(H2208,'Stage Order'!$A$2:$B$8,2,FALSE)</f>
        <v>2</v>
      </c>
      <c r="N2208" t="str">
        <f t="shared" si="68"/>
        <v>2. 1-24 hours</v>
      </c>
      <c r="O2208" t="str">
        <f t="shared" si="69"/>
        <v>2025-06</v>
      </c>
    </row>
    <row r="2209" spans="1:15" x14ac:dyDescent="0.3">
      <c r="A2209" t="s">
        <v>5217</v>
      </c>
      <c r="B2209" t="s">
        <v>5218</v>
      </c>
      <c r="C2209" t="s">
        <v>81</v>
      </c>
      <c r="D2209" t="s">
        <v>54</v>
      </c>
      <c r="E2209" t="s">
        <v>45</v>
      </c>
      <c r="F2209" t="s">
        <v>94</v>
      </c>
      <c r="G2209">
        <v>0.97</v>
      </c>
      <c r="H2209" t="s">
        <v>41</v>
      </c>
      <c r="I2209" t="s">
        <v>42</v>
      </c>
      <c r="M2209">
        <f>VLOOKUP(H2209,'Stage Order'!$A$2:$B$8,2,FALSE)</f>
        <v>2</v>
      </c>
      <c r="N2209" t="str">
        <f t="shared" si="68"/>
        <v>1. Under 1 hour</v>
      </c>
      <c r="O2209" t="str">
        <f t="shared" si="69"/>
        <v>2025-05</v>
      </c>
    </row>
    <row r="2210" spans="1:15" x14ac:dyDescent="0.3">
      <c r="A2210" t="s">
        <v>5219</v>
      </c>
      <c r="B2210" t="s">
        <v>5220</v>
      </c>
      <c r="C2210" t="s">
        <v>76</v>
      </c>
      <c r="D2210" t="s">
        <v>97</v>
      </c>
      <c r="E2210" t="s">
        <v>39</v>
      </c>
      <c r="F2210" t="s">
        <v>106</v>
      </c>
      <c r="G2210">
        <v>0.42</v>
      </c>
      <c r="H2210" t="s">
        <v>32</v>
      </c>
      <c r="I2210" t="s">
        <v>33</v>
      </c>
      <c r="K2210">
        <v>1383.98</v>
      </c>
      <c r="L2210" t="s">
        <v>5221</v>
      </c>
      <c r="M2210">
        <f>VLOOKUP(H2210,'Stage Order'!$A$2:$B$8,2,FALSE)</f>
        <v>7</v>
      </c>
      <c r="N2210" t="str">
        <f t="shared" si="68"/>
        <v>1. Under 1 hour</v>
      </c>
      <c r="O2210" t="str">
        <f t="shared" si="69"/>
        <v>2025-02</v>
      </c>
    </row>
    <row r="2211" spans="1:15" x14ac:dyDescent="0.3">
      <c r="A2211" t="s">
        <v>5222</v>
      </c>
      <c r="B2211" t="s">
        <v>5223</v>
      </c>
      <c r="C2211" t="s">
        <v>28</v>
      </c>
      <c r="D2211" t="s">
        <v>97</v>
      </c>
      <c r="E2211" t="s">
        <v>45</v>
      </c>
      <c r="F2211" t="s">
        <v>46</v>
      </c>
      <c r="G2211">
        <v>10.039999999999999</v>
      </c>
      <c r="H2211" t="s">
        <v>32</v>
      </c>
      <c r="I2211" t="s">
        <v>33</v>
      </c>
      <c r="K2211">
        <v>1435.53</v>
      </c>
      <c r="L2211" t="s">
        <v>5224</v>
      </c>
      <c r="M2211">
        <f>VLOOKUP(H2211,'Stage Order'!$A$2:$B$8,2,FALSE)</f>
        <v>7</v>
      </c>
      <c r="N2211" t="str">
        <f t="shared" si="68"/>
        <v>2. 1-24 hours</v>
      </c>
      <c r="O2211" t="str">
        <f t="shared" si="69"/>
        <v>2025-01</v>
      </c>
    </row>
    <row r="2212" spans="1:15" x14ac:dyDescent="0.3">
      <c r="A2212" t="s">
        <v>5225</v>
      </c>
      <c r="B2212" t="s">
        <v>5226</v>
      </c>
      <c r="C2212" t="s">
        <v>37</v>
      </c>
      <c r="D2212" t="s">
        <v>29</v>
      </c>
      <c r="E2212" t="s">
        <v>39</v>
      </c>
      <c r="F2212" t="s">
        <v>40</v>
      </c>
      <c r="G2212">
        <v>1.8</v>
      </c>
      <c r="H2212" t="s">
        <v>41</v>
      </c>
      <c r="I2212" t="s">
        <v>42</v>
      </c>
      <c r="M2212">
        <f>VLOOKUP(H2212,'Stage Order'!$A$2:$B$8,2,FALSE)</f>
        <v>2</v>
      </c>
      <c r="N2212" t="str">
        <f t="shared" si="68"/>
        <v>2. 1-24 hours</v>
      </c>
      <c r="O2212" t="str">
        <f t="shared" si="69"/>
        <v>2026-03</v>
      </c>
    </row>
    <row r="2213" spans="1:15" x14ac:dyDescent="0.3">
      <c r="A2213" t="s">
        <v>5227</v>
      </c>
      <c r="B2213" t="s">
        <v>5228</v>
      </c>
      <c r="C2213" t="s">
        <v>81</v>
      </c>
      <c r="D2213" t="s">
        <v>29</v>
      </c>
      <c r="E2213" t="s">
        <v>90</v>
      </c>
      <c r="F2213" t="s">
        <v>145</v>
      </c>
      <c r="G2213">
        <v>1.69</v>
      </c>
      <c r="H2213" t="s">
        <v>41</v>
      </c>
      <c r="I2213" t="s">
        <v>42</v>
      </c>
      <c r="M2213">
        <f>VLOOKUP(H2213,'Stage Order'!$A$2:$B$8,2,FALSE)</f>
        <v>2</v>
      </c>
      <c r="N2213" t="str">
        <f t="shared" si="68"/>
        <v>2. 1-24 hours</v>
      </c>
      <c r="O2213" t="str">
        <f t="shared" si="69"/>
        <v>2025-12</v>
      </c>
    </row>
    <row r="2214" spans="1:15" x14ac:dyDescent="0.3">
      <c r="A2214" t="s">
        <v>5229</v>
      </c>
      <c r="B2214" t="s">
        <v>5230</v>
      </c>
      <c r="C2214" t="s">
        <v>125</v>
      </c>
      <c r="D2214" t="s">
        <v>38</v>
      </c>
      <c r="E2214" t="s">
        <v>39</v>
      </c>
      <c r="F2214" t="s">
        <v>40</v>
      </c>
      <c r="G2214">
        <v>4.72</v>
      </c>
      <c r="H2214" t="s">
        <v>146</v>
      </c>
      <c r="I2214" t="s">
        <v>48</v>
      </c>
      <c r="J2214" t="s">
        <v>49</v>
      </c>
      <c r="K2214">
        <v>416.07</v>
      </c>
      <c r="L2214" t="s">
        <v>5231</v>
      </c>
      <c r="M2214">
        <f>VLOOKUP(H2214,'Stage Order'!$A$2:$B$8,2,FALSE)</f>
        <v>5</v>
      </c>
      <c r="N2214" t="str">
        <f t="shared" si="68"/>
        <v>2. 1-24 hours</v>
      </c>
      <c r="O2214" t="str">
        <f t="shared" si="69"/>
        <v>2026-03</v>
      </c>
    </row>
    <row r="2215" spans="1:15" x14ac:dyDescent="0.3">
      <c r="A2215" t="s">
        <v>5232</v>
      </c>
      <c r="B2215" t="s">
        <v>5233</v>
      </c>
      <c r="C2215" t="s">
        <v>58</v>
      </c>
      <c r="D2215" t="s">
        <v>29</v>
      </c>
      <c r="E2215" t="s">
        <v>90</v>
      </c>
      <c r="F2215" t="s">
        <v>112</v>
      </c>
      <c r="G2215">
        <v>4.04</v>
      </c>
      <c r="H2215" t="s">
        <v>41</v>
      </c>
      <c r="I2215" t="s">
        <v>42</v>
      </c>
      <c r="M2215">
        <f>VLOOKUP(H2215,'Stage Order'!$A$2:$B$8,2,FALSE)</f>
        <v>2</v>
      </c>
      <c r="N2215" t="str">
        <f t="shared" si="68"/>
        <v>2. 1-24 hours</v>
      </c>
      <c r="O2215" t="str">
        <f t="shared" si="69"/>
        <v>2025-09</v>
      </c>
    </row>
    <row r="2216" spans="1:15" x14ac:dyDescent="0.3">
      <c r="A2216" t="s">
        <v>5234</v>
      </c>
      <c r="B2216" t="s">
        <v>5235</v>
      </c>
      <c r="C2216" t="s">
        <v>28</v>
      </c>
      <c r="D2216" t="s">
        <v>54</v>
      </c>
      <c r="E2216" t="s">
        <v>90</v>
      </c>
      <c r="F2216" t="s">
        <v>91</v>
      </c>
      <c r="G2216">
        <v>1.33</v>
      </c>
      <c r="H2216" t="s">
        <v>41</v>
      </c>
      <c r="I2216" t="s">
        <v>42</v>
      </c>
      <c r="M2216">
        <f>VLOOKUP(H2216,'Stage Order'!$A$2:$B$8,2,FALSE)</f>
        <v>2</v>
      </c>
      <c r="N2216" t="str">
        <f t="shared" si="68"/>
        <v>2. 1-24 hours</v>
      </c>
      <c r="O2216" t="str">
        <f t="shared" si="69"/>
        <v>2025-05</v>
      </c>
    </row>
    <row r="2217" spans="1:15" x14ac:dyDescent="0.3">
      <c r="A2217" t="s">
        <v>5236</v>
      </c>
      <c r="B2217" t="s">
        <v>5237</v>
      </c>
      <c r="C2217" t="s">
        <v>37</v>
      </c>
      <c r="D2217" t="s">
        <v>54</v>
      </c>
      <c r="E2217" t="s">
        <v>39</v>
      </c>
      <c r="F2217" t="s">
        <v>106</v>
      </c>
      <c r="G2217">
        <v>1.19</v>
      </c>
      <c r="H2217" t="s">
        <v>61</v>
      </c>
      <c r="I2217" t="s">
        <v>42</v>
      </c>
      <c r="M2217">
        <f>VLOOKUP(H2217,'Stage Order'!$A$2:$B$8,2,FALSE)</f>
        <v>1</v>
      </c>
      <c r="N2217" t="str">
        <f t="shared" si="68"/>
        <v>2. 1-24 hours</v>
      </c>
      <c r="O2217" t="str">
        <f t="shared" si="69"/>
        <v>2025-09</v>
      </c>
    </row>
    <row r="2218" spans="1:15" x14ac:dyDescent="0.3">
      <c r="A2218" t="s">
        <v>5238</v>
      </c>
      <c r="B2218" t="s">
        <v>5239</v>
      </c>
      <c r="C2218" t="s">
        <v>76</v>
      </c>
      <c r="D2218" t="s">
        <v>38</v>
      </c>
      <c r="E2218" t="s">
        <v>39</v>
      </c>
      <c r="F2218" t="s">
        <v>40</v>
      </c>
      <c r="G2218">
        <v>0.63</v>
      </c>
      <c r="H2218" t="s">
        <v>41</v>
      </c>
      <c r="I2218" t="s">
        <v>42</v>
      </c>
      <c r="M2218">
        <f>VLOOKUP(H2218,'Stage Order'!$A$2:$B$8,2,FALSE)</f>
        <v>2</v>
      </c>
      <c r="N2218" t="str">
        <f t="shared" si="68"/>
        <v>1. Under 1 hour</v>
      </c>
      <c r="O2218" t="str">
        <f t="shared" si="69"/>
        <v>2025-07</v>
      </c>
    </row>
    <row r="2219" spans="1:15" x14ac:dyDescent="0.3">
      <c r="A2219" t="s">
        <v>5240</v>
      </c>
      <c r="B2219" t="s">
        <v>5241</v>
      </c>
      <c r="C2219" t="s">
        <v>28</v>
      </c>
      <c r="D2219" t="s">
        <v>29</v>
      </c>
      <c r="E2219" t="s">
        <v>45</v>
      </c>
      <c r="F2219" t="s">
        <v>46</v>
      </c>
      <c r="G2219">
        <v>2.2999999999999998</v>
      </c>
      <c r="H2219" t="s">
        <v>32</v>
      </c>
      <c r="I2219" t="s">
        <v>33</v>
      </c>
      <c r="K2219">
        <v>544.61</v>
      </c>
      <c r="L2219" t="s">
        <v>5242</v>
      </c>
      <c r="M2219">
        <f>VLOOKUP(H2219,'Stage Order'!$A$2:$B$8,2,FALSE)</f>
        <v>7</v>
      </c>
      <c r="N2219" t="str">
        <f t="shared" si="68"/>
        <v>2. 1-24 hours</v>
      </c>
      <c r="O2219" t="str">
        <f t="shared" si="69"/>
        <v>2025-05</v>
      </c>
    </row>
    <row r="2220" spans="1:15" x14ac:dyDescent="0.3">
      <c r="A2220" t="s">
        <v>5243</v>
      </c>
      <c r="B2220" t="s">
        <v>5244</v>
      </c>
      <c r="C2220" t="s">
        <v>58</v>
      </c>
      <c r="D2220" t="s">
        <v>54</v>
      </c>
      <c r="E2220" t="s">
        <v>45</v>
      </c>
      <c r="F2220" t="s">
        <v>94</v>
      </c>
      <c r="G2220">
        <v>15.46</v>
      </c>
      <c r="H2220" t="s">
        <v>41</v>
      </c>
      <c r="I2220" t="s">
        <v>42</v>
      </c>
      <c r="M2220">
        <f>VLOOKUP(H2220,'Stage Order'!$A$2:$B$8,2,FALSE)</f>
        <v>2</v>
      </c>
      <c r="N2220" t="str">
        <f t="shared" si="68"/>
        <v>2. 1-24 hours</v>
      </c>
      <c r="O2220" t="str">
        <f t="shared" si="69"/>
        <v>2026-02</v>
      </c>
    </row>
    <row r="2221" spans="1:15" x14ac:dyDescent="0.3">
      <c r="A2221" t="s">
        <v>5245</v>
      </c>
      <c r="B2221" t="s">
        <v>5246</v>
      </c>
      <c r="C2221" t="s">
        <v>53</v>
      </c>
      <c r="D2221" t="s">
        <v>54</v>
      </c>
      <c r="E2221" t="s">
        <v>59</v>
      </c>
      <c r="F2221" t="s">
        <v>60</v>
      </c>
      <c r="G2221">
        <v>1.52</v>
      </c>
      <c r="H2221" t="s">
        <v>138</v>
      </c>
      <c r="I2221" t="s">
        <v>48</v>
      </c>
      <c r="J2221" t="s">
        <v>742</v>
      </c>
      <c r="K2221">
        <v>590.29999999999995</v>
      </c>
      <c r="L2221" t="s">
        <v>5247</v>
      </c>
      <c r="M2221">
        <f>VLOOKUP(H2221,'Stage Order'!$A$2:$B$8,2,FALSE)</f>
        <v>6</v>
      </c>
      <c r="N2221" t="str">
        <f t="shared" si="68"/>
        <v>2. 1-24 hours</v>
      </c>
      <c r="O2221" t="str">
        <f t="shared" si="69"/>
        <v>2026-01</v>
      </c>
    </row>
    <row r="2222" spans="1:15" x14ac:dyDescent="0.3">
      <c r="A2222" t="s">
        <v>5248</v>
      </c>
      <c r="B2222" t="s">
        <v>5249</v>
      </c>
      <c r="C2222" t="s">
        <v>28</v>
      </c>
      <c r="D2222" t="s">
        <v>54</v>
      </c>
      <c r="E2222" t="s">
        <v>90</v>
      </c>
      <c r="F2222" t="s">
        <v>145</v>
      </c>
      <c r="G2222">
        <v>4.4400000000000004</v>
      </c>
      <c r="H2222" t="s">
        <v>41</v>
      </c>
      <c r="I2222" t="s">
        <v>42</v>
      </c>
      <c r="M2222">
        <f>VLOOKUP(H2222,'Stage Order'!$A$2:$B$8,2,FALSE)</f>
        <v>2</v>
      </c>
      <c r="N2222" t="str">
        <f t="shared" si="68"/>
        <v>2. 1-24 hours</v>
      </c>
      <c r="O2222" t="str">
        <f t="shared" si="69"/>
        <v>2026-03</v>
      </c>
    </row>
    <row r="2223" spans="1:15" x14ac:dyDescent="0.3">
      <c r="A2223" t="s">
        <v>5250</v>
      </c>
      <c r="B2223" t="s">
        <v>5251</v>
      </c>
      <c r="C2223" t="s">
        <v>81</v>
      </c>
      <c r="D2223" t="s">
        <v>29</v>
      </c>
      <c r="E2223" t="s">
        <v>59</v>
      </c>
      <c r="F2223" t="s">
        <v>60</v>
      </c>
      <c r="G2223">
        <v>2.39</v>
      </c>
      <c r="H2223" t="s">
        <v>61</v>
      </c>
      <c r="I2223" t="s">
        <v>42</v>
      </c>
      <c r="M2223">
        <f>VLOOKUP(H2223,'Stage Order'!$A$2:$B$8,2,FALSE)</f>
        <v>1</v>
      </c>
      <c r="N2223" t="str">
        <f t="shared" si="68"/>
        <v>2. 1-24 hours</v>
      </c>
      <c r="O2223" t="str">
        <f t="shared" si="69"/>
        <v>2026-03</v>
      </c>
    </row>
    <row r="2224" spans="1:15" x14ac:dyDescent="0.3">
      <c r="A2224" t="s">
        <v>5252</v>
      </c>
      <c r="B2224" t="s">
        <v>5253</v>
      </c>
      <c r="C2224" t="s">
        <v>125</v>
      </c>
      <c r="D2224" t="s">
        <v>54</v>
      </c>
      <c r="E2224" t="s">
        <v>39</v>
      </c>
      <c r="F2224" t="s">
        <v>40</v>
      </c>
      <c r="G2224">
        <v>1.57</v>
      </c>
      <c r="H2224" t="s">
        <v>41</v>
      </c>
      <c r="I2224" t="s">
        <v>42</v>
      </c>
      <c r="M2224">
        <f>VLOOKUP(H2224,'Stage Order'!$A$2:$B$8,2,FALSE)</f>
        <v>2</v>
      </c>
      <c r="N2224" t="str">
        <f t="shared" si="68"/>
        <v>2. 1-24 hours</v>
      </c>
      <c r="O2224" t="str">
        <f t="shared" si="69"/>
        <v>2025-07</v>
      </c>
    </row>
    <row r="2225" spans="1:15" x14ac:dyDescent="0.3">
      <c r="A2225" t="s">
        <v>5254</v>
      </c>
      <c r="B2225" t="s">
        <v>5255</v>
      </c>
      <c r="C2225" t="s">
        <v>37</v>
      </c>
      <c r="D2225" t="s">
        <v>54</v>
      </c>
      <c r="E2225" t="s">
        <v>39</v>
      </c>
      <c r="F2225" t="s">
        <v>40</v>
      </c>
      <c r="G2225">
        <v>4.74</v>
      </c>
      <c r="H2225" t="s">
        <v>146</v>
      </c>
      <c r="I2225" t="s">
        <v>48</v>
      </c>
      <c r="J2225" t="s">
        <v>113</v>
      </c>
      <c r="K2225">
        <v>442.25</v>
      </c>
      <c r="L2225" t="s">
        <v>5256</v>
      </c>
      <c r="M2225">
        <f>VLOOKUP(H2225,'Stage Order'!$A$2:$B$8,2,FALSE)</f>
        <v>5</v>
      </c>
      <c r="N2225" t="str">
        <f t="shared" si="68"/>
        <v>2. 1-24 hours</v>
      </c>
      <c r="O2225" t="str">
        <f t="shared" si="69"/>
        <v>2025-09</v>
      </c>
    </row>
    <row r="2226" spans="1:15" x14ac:dyDescent="0.3">
      <c r="A2226" t="s">
        <v>5257</v>
      </c>
      <c r="B2226" t="s">
        <v>5258</v>
      </c>
      <c r="C2226" t="s">
        <v>28</v>
      </c>
      <c r="D2226" t="s">
        <v>54</v>
      </c>
      <c r="E2226" t="s">
        <v>59</v>
      </c>
      <c r="F2226" t="s">
        <v>137</v>
      </c>
      <c r="G2226">
        <v>5.17</v>
      </c>
      <c r="H2226" t="s">
        <v>41</v>
      </c>
      <c r="I2226" t="s">
        <v>42</v>
      </c>
      <c r="M2226">
        <f>VLOOKUP(H2226,'Stage Order'!$A$2:$B$8,2,FALSE)</f>
        <v>2</v>
      </c>
      <c r="N2226" t="str">
        <f t="shared" si="68"/>
        <v>2. 1-24 hours</v>
      </c>
      <c r="O2226" t="str">
        <f t="shared" si="69"/>
        <v>2025-11</v>
      </c>
    </row>
    <row r="2227" spans="1:15" x14ac:dyDescent="0.3">
      <c r="A2227" t="s">
        <v>5259</v>
      </c>
      <c r="B2227" t="s">
        <v>5260</v>
      </c>
      <c r="C2227" t="s">
        <v>53</v>
      </c>
      <c r="D2227" t="s">
        <v>29</v>
      </c>
      <c r="E2227" t="s">
        <v>45</v>
      </c>
      <c r="F2227" t="s">
        <v>55</v>
      </c>
      <c r="G2227">
        <v>3.67</v>
      </c>
      <c r="H2227" t="s">
        <v>32</v>
      </c>
      <c r="I2227" t="s">
        <v>33</v>
      </c>
      <c r="K2227">
        <v>603.85</v>
      </c>
      <c r="L2227" t="s">
        <v>5261</v>
      </c>
      <c r="M2227">
        <f>VLOOKUP(H2227,'Stage Order'!$A$2:$B$8,2,FALSE)</f>
        <v>7</v>
      </c>
      <c r="N2227" t="str">
        <f t="shared" si="68"/>
        <v>2. 1-24 hours</v>
      </c>
      <c r="O2227" t="str">
        <f t="shared" si="69"/>
        <v>2025-01</v>
      </c>
    </row>
    <row r="2228" spans="1:15" x14ac:dyDescent="0.3">
      <c r="A2228" t="s">
        <v>5262</v>
      </c>
      <c r="B2228" t="s">
        <v>5263</v>
      </c>
      <c r="C2228" t="s">
        <v>58</v>
      </c>
      <c r="D2228" t="s">
        <v>29</v>
      </c>
      <c r="E2228" t="s">
        <v>45</v>
      </c>
      <c r="F2228" t="s">
        <v>94</v>
      </c>
      <c r="G2228">
        <v>3.48</v>
      </c>
      <c r="H2228" t="s">
        <v>32</v>
      </c>
      <c r="I2228" t="s">
        <v>33</v>
      </c>
      <c r="K2228">
        <v>705.14</v>
      </c>
      <c r="L2228" t="s">
        <v>5264</v>
      </c>
      <c r="M2228">
        <f>VLOOKUP(H2228,'Stage Order'!$A$2:$B$8,2,FALSE)</f>
        <v>7</v>
      </c>
      <c r="N2228" t="str">
        <f t="shared" si="68"/>
        <v>2. 1-24 hours</v>
      </c>
      <c r="O2228" t="str">
        <f t="shared" si="69"/>
        <v>2025-02</v>
      </c>
    </row>
    <row r="2229" spans="1:15" x14ac:dyDescent="0.3">
      <c r="A2229" t="s">
        <v>5265</v>
      </c>
      <c r="B2229" t="s">
        <v>5266</v>
      </c>
      <c r="C2229" t="s">
        <v>28</v>
      </c>
      <c r="D2229" t="s">
        <v>77</v>
      </c>
      <c r="E2229" t="s">
        <v>59</v>
      </c>
      <c r="F2229" t="s">
        <v>137</v>
      </c>
      <c r="G2229">
        <v>10.26</v>
      </c>
      <c r="H2229" t="s">
        <v>128</v>
      </c>
      <c r="I2229" t="s">
        <v>42</v>
      </c>
      <c r="M2229">
        <f>VLOOKUP(H2229,'Stage Order'!$A$2:$B$8,2,FALSE)</f>
        <v>3</v>
      </c>
      <c r="N2229" t="str">
        <f t="shared" si="68"/>
        <v>2. 1-24 hours</v>
      </c>
      <c r="O2229" t="str">
        <f t="shared" si="69"/>
        <v>2025-06</v>
      </c>
    </row>
    <row r="2230" spans="1:15" x14ac:dyDescent="0.3">
      <c r="A2230" t="s">
        <v>5267</v>
      </c>
      <c r="B2230" t="s">
        <v>5268</v>
      </c>
      <c r="C2230" t="s">
        <v>37</v>
      </c>
      <c r="D2230" t="s">
        <v>54</v>
      </c>
      <c r="E2230" t="s">
        <v>59</v>
      </c>
      <c r="F2230" t="s">
        <v>137</v>
      </c>
      <c r="G2230">
        <v>1.0900000000000001</v>
      </c>
      <c r="H2230" t="s">
        <v>47</v>
      </c>
      <c r="I2230" t="s">
        <v>48</v>
      </c>
      <c r="J2230" t="s">
        <v>139</v>
      </c>
      <c r="K2230">
        <v>464.78</v>
      </c>
      <c r="L2230" t="s">
        <v>5269</v>
      </c>
      <c r="M2230">
        <f>VLOOKUP(H2230,'Stage Order'!$A$2:$B$8,2,FALSE)</f>
        <v>4</v>
      </c>
      <c r="N2230" t="str">
        <f t="shared" si="68"/>
        <v>2. 1-24 hours</v>
      </c>
      <c r="O2230" t="str">
        <f t="shared" si="69"/>
        <v>2025-11</v>
      </c>
    </row>
    <row r="2231" spans="1:15" x14ac:dyDescent="0.3">
      <c r="A2231" t="s">
        <v>5270</v>
      </c>
      <c r="B2231" t="s">
        <v>5271</v>
      </c>
      <c r="C2231" t="s">
        <v>37</v>
      </c>
      <c r="D2231" t="s">
        <v>77</v>
      </c>
      <c r="E2231" t="s">
        <v>59</v>
      </c>
      <c r="F2231" t="s">
        <v>137</v>
      </c>
      <c r="G2231">
        <v>1.76</v>
      </c>
      <c r="H2231" t="s">
        <v>41</v>
      </c>
      <c r="I2231" t="s">
        <v>42</v>
      </c>
      <c r="M2231">
        <f>VLOOKUP(H2231,'Stage Order'!$A$2:$B$8,2,FALSE)</f>
        <v>2</v>
      </c>
      <c r="N2231" t="str">
        <f t="shared" si="68"/>
        <v>2. 1-24 hours</v>
      </c>
      <c r="O2231" t="str">
        <f t="shared" si="69"/>
        <v>2026-06</v>
      </c>
    </row>
    <row r="2232" spans="1:15" x14ac:dyDescent="0.3">
      <c r="A2232" t="s">
        <v>5272</v>
      </c>
      <c r="B2232" t="s">
        <v>5273</v>
      </c>
      <c r="C2232" t="s">
        <v>37</v>
      </c>
      <c r="D2232" t="s">
        <v>54</v>
      </c>
      <c r="E2232" t="s">
        <v>45</v>
      </c>
      <c r="F2232" t="s">
        <v>94</v>
      </c>
      <c r="G2232">
        <v>1.03</v>
      </c>
      <c r="H2232" t="s">
        <v>146</v>
      </c>
      <c r="I2232" t="s">
        <v>48</v>
      </c>
      <c r="J2232" t="s">
        <v>742</v>
      </c>
      <c r="K2232">
        <v>433.21</v>
      </c>
      <c r="L2232" t="s">
        <v>5274</v>
      </c>
      <c r="M2232">
        <f>VLOOKUP(H2232,'Stage Order'!$A$2:$B$8,2,FALSE)</f>
        <v>5</v>
      </c>
      <c r="N2232" t="str">
        <f t="shared" si="68"/>
        <v>2. 1-24 hours</v>
      </c>
      <c r="O2232" t="str">
        <f t="shared" si="69"/>
        <v>2026-05</v>
      </c>
    </row>
    <row r="2233" spans="1:15" x14ac:dyDescent="0.3">
      <c r="A2233" t="s">
        <v>5275</v>
      </c>
      <c r="B2233" t="s">
        <v>5276</v>
      </c>
      <c r="C2233" t="s">
        <v>58</v>
      </c>
      <c r="D2233" t="s">
        <v>38</v>
      </c>
      <c r="E2233" t="s">
        <v>39</v>
      </c>
      <c r="F2233" t="s">
        <v>66</v>
      </c>
      <c r="G2233">
        <v>2.13</v>
      </c>
      <c r="H2233" t="s">
        <v>61</v>
      </c>
      <c r="I2233" t="s">
        <v>42</v>
      </c>
      <c r="M2233">
        <f>VLOOKUP(H2233,'Stage Order'!$A$2:$B$8,2,FALSE)</f>
        <v>1</v>
      </c>
      <c r="N2233" t="str">
        <f t="shared" si="68"/>
        <v>2. 1-24 hours</v>
      </c>
      <c r="O2233" t="str">
        <f t="shared" si="69"/>
        <v>2026-01</v>
      </c>
    </row>
    <row r="2234" spans="1:15" x14ac:dyDescent="0.3">
      <c r="A2234" t="s">
        <v>5277</v>
      </c>
      <c r="B2234" t="s">
        <v>5278</v>
      </c>
      <c r="C2234" t="s">
        <v>58</v>
      </c>
      <c r="D2234" t="s">
        <v>38</v>
      </c>
      <c r="E2234" t="s">
        <v>45</v>
      </c>
      <c r="F2234" t="s">
        <v>55</v>
      </c>
      <c r="G2234">
        <v>8.81</v>
      </c>
      <c r="H2234" t="s">
        <v>47</v>
      </c>
      <c r="I2234" t="s">
        <v>48</v>
      </c>
      <c r="J2234" t="s">
        <v>139</v>
      </c>
      <c r="K2234">
        <v>326.75</v>
      </c>
      <c r="L2234" t="s">
        <v>5279</v>
      </c>
      <c r="M2234">
        <f>VLOOKUP(H2234,'Stage Order'!$A$2:$B$8,2,FALSE)</f>
        <v>4</v>
      </c>
      <c r="N2234" t="str">
        <f t="shared" si="68"/>
        <v>2. 1-24 hours</v>
      </c>
      <c r="O2234" t="str">
        <f t="shared" si="69"/>
        <v>2025-04</v>
      </c>
    </row>
    <row r="2235" spans="1:15" x14ac:dyDescent="0.3">
      <c r="A2235" t="s">
        <v>5280</v>
      </c>
      <c r="B2235" t="s">
        <v>5281</v>
      </c>
      <c r="C2235" t="s">
        <v>76</v>
      </c>
      <c r="D2235" t="s">
        <v>29</v>
      </c>
      <c r="E2235" t="s">
        <v>30</v>
      </c>
      <c r="F2235" t="s">
        <v>82</v>
      </c>
      <c r="G2235">
        <v>2.75</v>
      </c>
      <c r="H2235" t="s">
        <v>41</v>
      </c>
      <c r="I2235" t="s">
        <v>42</v>
      </c>
      <c r="M2235">
        <f>VLOOKUP(H2235,'Stage Order'!$A$2:$B$8,2,FALSE)</f>
        <v>2</v>
      </c>
      <c r="N2235" t="str">
        <f t="shared" si="68"/>
        <v>2. 1-24 hours</v>
      </c>
      <c r="O2235" t="str">
        <f t="shared" si="69"/>
        <v>2026-03</v>
      </c>
    </row>
    <row r="2236" spans="1:15" x14ac:dyDescent="0.3">
      <c r="A2236" t="s">
        <v>5282</v>
      </c>
      <c r="B2236" t="s">
        <v>5283</v>
      </c>
      <c r="C2236" t="s">
        <v>53</v>
      </c>
      <c r="D2236" t="s">
        <v>77</v>
      </c>
      <c r="E2236" t="s">
        <v>45</v>
      </c>
      <c r="F2236" t="s">
        <v>94</v>
      </c>
      <c r="G2236">
        <v>3.83</v>
      </c>
      <c r="H2236" t="s">
        <v>41</v>
      </c>
      <c r="I2236" t="s">
        <v>42</v>
      </c>
      <c r="M2236">
        <f>VLOOKUP(H2236,'Stage Order'!$A$2:$B$8,2,FALSE)</f>
        <v>2</v>
      </c>
      <c r="N2236" t="str">
        <f t="shared" si="68"/>
        <v>2. 1-24 hours</v>
      </c>
      <c r="O2236" t="str">
        <f t="shared" si="69"/>
        <v>2025-01</v>
      </c>
    </row>
    <row r="2237" spans="1:15" x14ac:dyDescent="0.3">
      <c r="A2237" t="s">
        <v>5284</v>
      </c>
      <c r="B2237" t="s">
        <v>5285</v>
      </c>
      <c r="C2237" t="s">
        <v>37</v>
      </c>
      <c r="D2237" t="s">
        <v>54</v>
      </c>
      <c r="E2237" t="s">
        <v>45</v>
      </c>
      <c r="F2237" t="s">
        <v>94</v>
      </c>
      <c r="G2237">
        <v>0.99</v>
      </c>
      <c r="H2237" t="s">
        <v>32</v>
      </c>
      <c r="I2237" t="s">
        <v>33</v>
      </c>
      <c r="K2237">
        <v>596.17999999999995</v>
      </c>
      <c r="L2237" t="s">
        <v>5286</v>
      </c>
      <c r="M2237">
        <f>VLOOKUP(H2237,'Stage Order'!$A$2:$B$8,2,FALSE)</f>
        <v>7</v>
      </c>
      <c r="N2237" t="str">
        <f t="shared" si="68"/>
        <v>1. Under 1 hour</v>
      </c>
      <c r="O2237" t="str">
        <f t="shared" si="69"/>
        <v>2025-05</v>
      </c>
    </row>
    <row r="2238" spans="1:15" x14ac:dyDescent="0.3">
      <c r="A2238" t="s">
        <v>5287</v>
      </c>
      <c r="B2238" t="s">
        <v>5288</v>
      </c>
      <c r="C2238" t="s">
        <v>53</v>
      </c>
      <c r="D2238" t="s">
        <v>38</v>
      </c>
      <c r="E2238" t="s">
        <v>90</v>
      </c>
      <c r="F2238" t="s">
        <v>112</v>
      </c>
      <c r="G2238">
        <v>4.5</v>
      </c>
      <c r="H2238" t="s">
        <v>138</v>
      </c>
      <c r="I2238" t="s">
        <v>48</v>
      </c>
      <c r="J2238" t="s">
        <v>113</v>
      </c>
      <c r="K2238">
        <v>420.35</v>
      </c>
      <c r="L2238" t="s">
        <v>5289</v>
      </c>
      <c r="M2238">
        <f>VLOOKUP(H2238,'Stage Order'!$A$2:$B$8,2,FALSE)</f>
        <v>6</v>
      </c>
      <c r="N2238" t="str">
        <f t="shared" si="68"/>
        <v>2. 1-24 hours</v>
      </c>
      <c r="O2238" t="str">
        <f t="shared" si="69"/>
        <v>2026-03</v>
      </c>
    </row>
    <row r="2239" spans="1:15" x14ac:dyDescent="0.3">
      <c r="A2239" t="s">
        <v>5290</v>
      </c>
      <c r="B2239" t="s">
        <v>5291</v>
      </c>
      <c r="C2239" t="s">
        <v>125</v>
      </c>
      <c r="D2239" t="s">
        <v>54</v>
      </c>
      <c r="E2239" t="s">
        <v>90</v>
      </c>
      <c r="F2239" t="s">
        <v>145</v>
      </c>
      <c r="G2239">
        <v>2.39</v>
      </c>
      <c r="H2239" t="s">
        <v>61</v>
      </c>
      <c r="I2239" t="s">
        <v>42</v>
      </c>
      <c r="M2239">
        <f>VLOOKUP(H2239,'Stage Order'!$A$2:$B$8,2,FALSE)</f>
        <v>1</v>
      </c>
      <c r="N2239" t="str">
        <f t="shared" si="68"/>
        <v>2. 1-24 hours</v>
      </c>
      <c r="O2239" t="str">
        <f t="shared" si="69"/>
        <v>2025-11</v>
      </c>
    </row>
    <row r="2240" spans="1:15" x14ac:dyDescent="0.3">
      <c r="A2240" t="s">
        <v>5292</v>
      </c>
      <c r="B2240" t="s">
        <v>5293</v>
      </c>
      <c r="C2240" t="s">
        <v>37</v>
      </c>
      <c r="D2240" t="s">
        <v>38</v>
      </c>
      <c r="E2240" t="s">
        <v>59</v>
      </c>
      <c r="F2240" t="s">
        <v>60</v>
      </c>
      <c r="G2240">
        <v>3.14</v>
      </c>
      <c r="H2240" t="s">
        <v>41</v>
      </c>
      <c r="I2240" t="s">
        <v>42</v>
      </c>
      <c r="M2240">
        <f>VLOOKUP(H2240,'Stage Order'!$A$2:$B$8,2,FALSE)</f>
        <v>2</v>
      </c>
      <c r="N2240" t="str">
        <f t="shared" si="68"/>
        <v>2. 1-24 hours</v>
      </c>
      <c r="O2240" t="str">
        <f t="shared" si="69"/>
        <v>2025-01</v>
      </c>
    </row>
    <row r="2241" spans="1:15" x14ac:dyDescent="0.3">
      <c r="A2241" t="s">
        <v>5294</v>
      </c>
      <c r="B2241" t="s">
        <v>5295</v>
      </c>
      <c r="C2241" t="s">
        <v>37</v>
      </c>
      <c r="D2241" t="s">
        <v>54</v>
      </c>
      <c r="E2241" t="s">
        <v>90</v>
      </c>
      <c r="F2241" t="s">
        <v>145</v>
      </c>
      <c r="G2241">
        <v>1.9</v>
      </c>
      <c r="H2241" t="s">
        <v>138</v>
      </c>
      <c r="I2241" t="s">
        <v>48</v>
      </c>
      <c r="J2241" t="s">
        <v>49</v>
      </c>
      <c r="K2241">
        <v>515.29999999999995</v>
      </c>
      <c r="L2241" t="s">
        <v>5296</v>
      </c>
      <c r="M2241">
        <f>VLOOKUP(H2241,'Stage Order'!$A$2:$B$8,2,FALSE)</f>
        <v>6</v>
      </c>
      <c r="N2241" t="str">
        <f t="shared" si="68"/>
        <v>2. 1-24 hours</v>
      </c>
      <c r="O2241" t="str">
        <f t="shared" si="69"/>
        <v>2026-02</v>
      </c>
    </row>
    <row r="2242" spans="1:15" x14ac:dyDescent="0.3">
      <c r="A2242" t="s">
        <v>5297</v>
      </c>
      <c r="B2242" t="s">
        <v>5298</v>
      </c>
      <c r="C2242" t="s">
        <v>53</v>
      </c>
      <c r="D2242" t="s">
        <v>54</v>
      </c>
      <c r="E2242" t="s">
        <v>30</v>
      </c>
      <c r="F2242" t="s">
        <v>78</v>
      </c>
      <c r="G2242">
        <v>1.63</v>
      </c>
      <c r="H2242" t="s">
        <v>138</v>
      </c>
      <c r="I2242" t="s">
        <v>48</v>
      </c>
      <c r="J2242" t="s">
        <v>49</v>
      </c>
      <c r="K2242">
        <v>524.32000000000005</v>
      </c>
      <c r="L2242" t="s">
        <v>5299</v>
      </c>
      <c r="M2242">
        <f>VLOOKUP(H2242,'Stage Order'!$A$2:$B$8,2,FALSE)</f>
        <v>6</v>
      </c>
      <c r="N2242" t="str">
        <f t="shared" ref="N2242:N2305" si="70">IF(G2242&lt;=1,"1. Under 1 hour",IF(G2242&lt;=24,"2. 1-24 hours",IF(G2242&lt;=72,"3. 1-3 days","4. Over 3 days")))</f>
        <v>2. 1-24 hours</v>
      </c>
      <c r="O2242" t="str">
        <f t="shared" ref="O2242:O2305" si="71">TEXT(B2242,"YYYY-MM")</f>
        <v>2025-03</v>
      </c>
    </row>
    <row r="2243" spans="1:15" x14ac:dyDescent="0.3">
      <c r="A2243" t="s">
        <v>5300</v>
      </c>
      <c r="B2243" t="s">
        <v>5301</v>
      </c>
      <c r="C2243" t="s">
        <v>37</v>
      </c>
      <c r="D2243" t="s">
        <v>77</v>
      </c>
      <c r="E2243" t="s">
        <v>39</v>
      </c>
      <c r="F2243" t="s">
        <v>106</v>
      </c>
      <c r="G2243">
        <v>4.84</v>
      </c>
      <c r="H2243" t="s">
        <v>41</v>
      </c>
      <c r="I2243" t="s">
        <v>42</v>
      </c>
      <c r="M2243">
        <f>VLOOKUP(H2243,'Stage Order'!$A$2:$B$8,2,FALSE)</f>
        <v>2</v>
      </c>
      <c r="N2243" t="str">
        <f t="shared" si="70"/>
        <v>2. 1-24 hours</v>
      </c>
      <c r="O2243" t="str">
        <f t="shared" si="71"/>
        <v>2025-12</v>
      </c>
    </row>
    <row r="2244" spans="1:15" x14ac:dyDescent="0.3">
      <c r="A2244" t="s">
        <v>5302</v>
      </c>
      <c r="B2244" t="s">
        <v>5303</v>
      </c>
      <c r="C2244" t="s">
        <v>53</v>
      </c>
      <c r="D2244" t="s">
        <v>54</v>
      </c>
      <c r="E2244" t="s">
        <v>45</v>
      </c>
      <c r="F2244" t="s">
        <v>55</v>
      </c>
      <c r="G2244">
        <v>1.45</v>
      </c>
      <c r="H2244" t="s">
        <v>32</v>
      </c>
      <c r="I2244" t="s">
        <v>33</v>
      </c>
      <c r="K2244">
        <v>569.86</v>
      </c>
      <c r="L2244" t="s">
        <v>5304</v>
      </c>
      <c r="M2244">
        <f>VLOOKUP(H2244,'Stage Order'!$A$2:$B$8,2,FALSE)</f>
        <v>7</v>
      </c>
      <c r="N2244" t="str">
        <f t="shared" si="70"/>
        <v>2. 1-24 hours</v>
      </c>
      <c r="O2244" t="str">
        <f t="shared" si="71"/>
        <v>2025-03</v>
      </c>
    </row>
    <row r="2245" spans="1:15" x14ac:dyDescent="0.3">
      <c r="A2245" t="s">
        <v>5305</v>
      </c>
      <c r="B2245" t="s">
        <v>5306</v>
      </c>
      <c r="C2245" t="s">
        <v>37</v>
      </c>
      <c r="D2245" t="s">
        <v>29</v>
      </c>
      <c r="E2245" t="s">
        <v>30</v>
      </c>
      <c r="F2245" t="s">
        <v>78</v>
      </c>
      <c r="G2245">
        <v>5.71</v>
      </c>
      <c r="H2245" t="s">
        <v>41</v>
      </c>
      <c r="I2245" t="s">
        <v>42</v>
      </c>
      <c r="M2245">
        <f>VLOOKUP(H2245,'Stage Order'!$A$2:$B$8,2,FALSE)</f>
        <v>2</v>
      </c>
      <c r="N2245" t="str">
        <f t="shared" si="70"/>
        <v>2. 1-24 hours</v>
      </c>
      <c r="O2245" t="str">
        <f t="shared" si="71"/>
        <v>2026-04</v>
      </c>
    </row>
    <row r="2246" spans="1:15" x14ac:dyDescent="0.3">
      <c r="A2246" t="s">
        <v>5307</v>
      </c>
      <c r="B2246" t="s">
        <v>5308</v>
      </c>
      <c r="C2246" t="s">
        <v>76</v>
      </c>
      <c r="D2246" t="s">
        <v>97</v>
      </c>
      <c r="E2246" t="s">
        <v>30</v>
      </c>
      <c r="F2246" t="s">
        <v>78</v>
      </c>
      <c r="G2246">
        <v>0.87</v>
      </c>
      <c r="H2246" t="s">
        <v>146</v>
      </c>
      <c r="I2246" t="s">
        <v>48</v>
      </c>
      <c r="J2246" t="s">
        <v>139</v>
      </c>
      <c r="K2246">
        <v>1306.23</v>
      </c>
      <c r="L2246" t="s">
        <v>5309</v>
      </c>
      <c r="M2246">
        <f>VLOOKUP(H2246,'Stage Order'!$A$2:$B$8,2,FALSE)</f>
        <v>5</v>
      </c>
      <c r="N2246" t="str">
        <f t="shared" si="70"/>
        <v>1. Under 1 hour</v>
      </c>
      <c r="O2246" t="str">
        <f t="shared" si="71"/>
        <v>2025-09</v>
      </c>
    </row>
    <row r="2247" spans="1:15" x14ac:dyDescent="0.3">
      <c r="A2247" t="s">
        <v>5310</v>
      </c>
      <c r="B2247" t="s">
        <v>5311</v>
      </c>
      <c r="C2247" t="s">
        <v>58</v>
      </c>
      <c r="D2247" t="s">
        <v>77</v>
      </c>
      <c r="E2247" t="s">
        <v>90</v>
      </c>
      <c r="F2247" t="s">
        <v>112</v>
      </c>
      <c r="G2247">
        <v>25.87</v>
      </c>
      <c r="H2247" t="s">
        <v>41</v>
      </c>
      <c r="I2247" t="s">
        <v>42</v>
      </c>
      <c r="M2247">
        <f>VLOOKUP(H2247,'Stage Order'!$A$2:$B$8,2,FALSE)</f>
        <v>2</v>
      </c>
      <c r="N2247" t="str">
        <f t="shared" si="70"/>
        <v>3. 1-3 days</v>
      </c>
      <c r="O2247" t="str">
        <f t="shared" si="71"/>
        <v>2026-02</v>
      </c>
    </row>
    <row r="2248" spans="1:15" x14ac:dyDescent="0.3">
      <c r="A2248" t="s">
        <v>5312</v>
      </c>
      <c r="B2248" t="s">
        <v>5313</v>
      </c>
      <c r="C2248" t="s">
        <v>37</v>
      </c>
      <c r="D2248" t="s">
        <v>29</v>
      </c>
      <c r="E2248" t="s">
        <v>45</v>
      </c>
      <c r="F2248" t="s">
        <v>55</v>
      </c>
      <c r="G2248">
        <v>6.58</v>
      </c>
      <c r="H2248" t="s">
        <v>138</v>
      </c>
      <c r="I2248" t="s">
        <v>48</v>
      </c>
      <c r="J2248" t="s">
        <v>139</v>
      </c>
      <c r="K2248">
        <v>588.1</v>
      </c>
      <c r="L2248" t="s">
        <v>5314</v>
      </c>
      <c r="M2248">
        <f>VLOOKUP(H2248,'Stage Order'!$A$2:$B$8,2,FALSE)</f>
        <v>6</v>
      </c>
      <c r="N2248" t="str">
        <f t="shared" si="70"/>
        <v>2. 1-24 hours</v>
      </c>
      <c r="O2248" t="str">
        <f t="shared" si="71"/>
        <v>2025-03</v>
      </c>
    </row>
    <row r="2249" spans="1:15" x14ac:dyDescent="0.3">
      <c r="A2249" t="s">
        <v>5315</v>
      </c>
      <c r="B2249" t="s">
        <v>5316</v>
      </c>
      <c r="C2249" t="s">
        <v>37</v>
      </c>
      <c r="D2249" t="s">
        <v>29</v>
      </c>
      <c r="E2249" t="s">
        <v>39</v>
      </c>
      <c r="F2249" t="s">
        <v>40</v>
      </c>
      <c r="G2249">
        <v>2.69</v>
      </c>
      <c r="H2249" t="s">
        <v>146</v>
      </c>
      <c r="I2249" t="s">
        <v>48</v>
      </c>
      <c r="J2249" t="s">
        <v>98</v>
      </c>
      <c r="K2249">
        <v>552.11</v>
      </c>
      <c r="L2249" t="s">
        <v>5317</v>
      </c>
      <c r="M2249">
        <f>VLOOKUP(H2249,'Stage Order'!$A$2:$B$8,2,FALSE)</f>
        <v>5</v>
      </c>
      <c r="N2249" t="str">
        <f t="shared" si="70"/>
        <v>2. 1-24 hours</v>
      </c>
      <c r="O2249" t="str">
        <f t="shared" si="71"/>
        <v>2026-03</v>
      </c>
    </row>
    <row r="2250" spans="1:15" x14ac:dyDescent="0.3">
      <c r="A2250" t="s">
        <v>5318</v>
      </c>
      <c r="B2250" t="s">
        <v>5319</v>
      </c>
      <c r="C2250" t="s">
        <v>125</v>
      </c>
      <c r="D2250" t="s">
        <v>97</v>
      </c>
      <c r="E2250" t="s">
        <v>59</v>
      </c>
      <c r="F2250" t="s">
        <v>117</v>
      </c>
      <c r="G2250">
        <v>0.79</v>
      </c>
      <c r="H2250" t="s">
        <v>41</v>
      </c>
      <c r="I2250" t="s">
        <v>42</v>
      </c>
      <c r="M2250">
        <f>VLOOKUP(H2250,'Stage Order'!$A$2:$B$8,2,FALSE)</f>
        <v>2</v>
      </c>
      <c r="N2250" t="str">
        <f t="shared" si="70"/>
        <v>1. Under 1 hour</v>
      </c>
      <c r="O2250" t="str">
        <f t="shared" si="71"/>
        <v>2026-04</v>
      </c>
    </row>
    <row r="2251" spans="1:15" x14ac:dyDescent="0.3">
      <c r="A2251" t="s">
        <v>5320</v>
      </c>
      <c r="B2251" t="s">
        <v>5321</v>
      </c>
      <c r="C2251" t="s">
        <v>28</v>
      </c>
      <c r="D2251" t="s">
        <v>77</v>
      </c>
      <c r="E2251" t="s">
        <v>39</v>
      </c>
      <c r="F2251" t="s">
        <v>40</v>
      </c>
      <c r="G2251">
        <v>5.05</v>
      </c>
      <c r="H2251" t="s">
        <v>41</v>
      </c>
      <c r="I2251" t="s">
        <v>42</v>
      </c>
      <c r="M2251">
        <f>VLOOKUP(H2251,'Stage Order'!$A$2:$B$8,2,FALSE)</f>
        <v>2</v>
      </c>
      <c r="N2251" t="str">
        <f t="shared" si="70"/>
        <v>2. 1-24 hours</v>
      </c>
      <c r="O2251" t="str">
        <f t="shared" si="71"/>
        <v>2026-01</v>
      </c>
    </row>
    <row r="2252" spans="1:15" x14ac:dyDescent="0.3">
      <c r="A2252" t="s">
        <v>5322</v>
      </c>
      <c r="B2252" t="s">
        <v>5323</v>
      </c>
      <c r="C2252" t="s">
        <v>58</v>
      </c>
      <c r="D2252" t="s">
        <v>29</v>
      </c>
      <c r="E2252" t="s">
        <v>45</v>
      </c>
      <c r="F2252" t="s">
        <v>46</v>
      </c>
      <c r="G2252">
        <v>2.2000000000000002</v>
      </c>
      <c r="H2252" t="s">
        <v>138</v>
      </c>
      <c r="I2252" t="s">
        <v>48</v>
      </c>
      <c r="J2252" t="s">
        <v>113</v>
      </c>
      <c r="K2252">
        <v>583.52</v>
      </c>
      <c r="L2252" t="s">
        <v>5324</v>
      </c>
      <c r="M2252">
        <f>VLOOKUP(H2252,'Stage Order'!$A$2:$B$8,2,FALSE)</f>
        <v>6</v>
      </c>
      <c r="N2252" t="str">
        <f t="shared" si="70"/>
        <v>2. 1-24 hours</v>
      </c>
      <c r="O2252" t="str">
        <f t="shared" si="71"/>
        <v>2026-03</v>
      </c>
    </row>
    <row r="2253" spans="1:15" x14ac:dyDescent="0.3">
      <c r="A2253" t="s">
        <v>5325</v>
      </c>
      <c r="B2253" t="s">
        <v>5326</v>
      </c>
      <c r="C2253" t="s">
        <v>28</v>
      </c>
      <c r="D2253" t="s">
        <v>54</v>
      </c>
      <c r="E2253" t="s">
        <v>45</v>
      </c>
      <c r="F2253" t="s">
        <v>46</v>
      </c>
      <c r="G2253">
        <v>2.13</v>
      </c>
      <c r="H2253" t="s">
        <v>32</v>
      </c>
      <c r="I2253" t="s">
        <v>33</v>
      </c>
      <c r="K2253">
        <v>410.29</v>
      </c>
      <c r="L2253" t="s">
        <v>5327</v>
      </c>
      <c r="M2253">
        <f>VLOOKUP(H2253,'Stage Order'!$A$2:$B$8,2,FALSE)</f>
        <v>7</v>
      </c>
      <c r="N2253" t="str">
        <f t="shared" si="70"/>
        <v>2. 1-24 hours</v>
      </c>
      <c r="O2253" t="str">
        <f t="shared" si="71"/>
        <v>2025-05</v>
      </c>
    </row>
    <row r="2254" spans="1:15" x14ac:dyDescent="0.3">
      <c r="A2254" t="s">
        <v>5328</v>
      </c>
      <c r="B2254" t="s">
        <v>5329</v>
      </c>
      <c r="C2254" t="s">
        <v>37</v>
      </c>
      <c r="D2254" t="s">
        <v>54</v>
      </c>
      <c r="E2254" t="s">
        <v>59</v>
      </c>
      <c r="F2254" t="s">
        <v>117</v>
      </c>
      <c r="G2254">
        <v>4.46</v>
      </c>
      <c r="H2254" t="s">
        <v>41</v>
      </c>
      <c r="I2254" t="s">
        <v>42</v>
      </c>
      <c r="M2254">
        <f>VLOOKUP(H2254,'Stage Order'!$A$2:$B$8,2,FALSE)</f>
        <v>2</v>
      </c>
      <c r="N2254" t="str">
        <f t="shared" si="70"/>
        <v>2. 1-24 hours</v>
      </c>
      <c r="O2254" t="str">
        <f t="shared" si="71"/>
        <v>2025-07</v>
      </c>
    </row>
    <row r="2255" spans="1:15" x14ac:dyDescent="0.3">
      <c r="A2255" t="s">
        <v>5330</v>
      </c>
      <c r="B2255" t="s">
        <v>5331</v>
      </c>
      <c r="C2255" t="s">
        <v>81</v>
      </c>
      <c r="D2255" t="s">
        <v>38</v>
      </c>
      <c r="E2255" t="s">
        <v>39</v>
      </c>
      <c r="F2255" t="s">
        <v>40</v>
      </c>
      <c r="G2255">
        <v>0.51</v>
      </c>
      <c r="H2255" t="s">
        <v>61</v>
      </c>
      <c r="I2255" t="s">
        <v>42</v>
      </c>
      <c r="M2255">
        <f>VLOOKUP(H2255,'Stage Order'!$A$2:$B$8,2,FALSE)</f>
        <v>1</v>
      </c>
      <c r="N2255" t="str">
        <f t="shared" si="70"/>
        <v>1. Under 1 hour</v>
      </c>
      <c r="O2255" t="str">
        <f t="shared" si="71"/>
        <v>2025-06</v>
      </c>
    </row>
    <row r="2256" spans="1:15" x14ac:dyDescent="0.3">
      <c r="A2256" t="s">
        <v>5332</v>
      </c>
      <c r="B2256" t="s">
        <v>5333</v>
      </c>
      <c r="C2256" t="s">
        <v>125</v>
      </c>
      <c r="D2256" t="s">
        <v>54</v>
      </c>
      <c r="E2256" t="s">
        <v>90</v>
      </c>
      <c r="F2256" t="s">
        <v>112</v>
      </c>
      <c r="G2256">
        <v>4.3899999999999997</v>
      </c>
      <c r="H2256" t="s">
        <v>41</v>
      </c>
      <c r="I2256" t="s">
        <v>42</v>
      </c>
      <c r="M2256">
        <f>VLOOKUP(H2256,'Stage Order'!$A$2:$B$8,2,FALSE)</f>
        <v>2</v>
      </c>
      <c r="N2256" t="str">
        <f t="shared" si="70"/>
        <v>2. 1-24 hours</v>
      </c>
      <c r="O2256" t="str">
        <f t="shared" si="71"/>
        <v>2026-03</v>
      </c>
    </row>
    <row r="2257" spans="1:15" x14ac:dyDescent="0.3">
      <c r="A2257" t="s">
        <v>5334</v>
      </c>
      <c r="B2257" t="s">
        <v>5335</v>
      </c>
      <c r="C2257" t="s">
        <v>37</v>
      </c>
      <c r="D2257" t="s">
        <v>29</v>
      </c>
      <c r="E2257" t="s">
        <v>45</v>
      </c>
      <c r="F2257" t="s">
        <v>46</v>
      </c>
      <c r="G2257">
        <v>0.8</v>
      </c>
      <c r="H2257" t="s">
        <v>41</v>
      </c>
      <c r="I2257" t="s">
        <v>42</v>
      </c>
      <c r="M2257">
        <f>VLOOKUP(H2257,'Stage Order'!$A$2:$B$8,2,FALSE)</f>
        <v>2</v>
      </c>
      <c r="N2257" t="str">
        <f t="shared" si="70"/>
        <v>1. Under 1 hour</v>
      </c>
      <c r="O2257" t="str">
        <f t="shared" si="71"/>
        <v>2025-08</v>
      </c>
    </row>
    <row r="2258" spans="1:15" x14ac:dyDescent="0.3">
      <c r="A2258" t="s">
        <v>5336</v>
      </c>
      <c r="B2258" t="s">
        <v>5337</v>
      </c>
      <c r="C2258" t="s">
        <v>37</v>
      </c>
      <c r="D2258" t="s">
        <v>29</v>
      </c>
      <c r="E2258" t="s">
        <v>30</v>
      </c>
      <c r="F2258" t="s">
        <v>82</v>
      </c>
      <c r="G2258">
        <v>1.58</v>
      </c>
      <c r="H2258" t="s">
        <v>41</v>
      </c>
      <c r="I2258" t="s">
        <v>42</v>
      </c>
      <c r="M2258">
        <f>VLOOKUP(H2258,'Stage Order'!$A$2:$B$8,2,FALSE)</f>
        <v>2</v>
      </c>
      <c r="N2258" t="str">
        <f t="shared" si="70"/>
        <v>2. 1-24 hours</v>
      </c>
      <c r="O2258" t="str">
        <f t="shared" si="71"/>
        <v>2026-03</v>
      </c>
    </row>
    <row r="2259" spans="1:15" x14ac:dyDescent="0.3">
      <c r="A2259" t="s">
        <v>5338</v>
      </c>
      <c r="B2259" t="s">
        <v>5339</v>
      </c>
      <c r="C2259" t="s">
        <v>125</v>
      </c>
      <c r="D2259" t="s">
        <v>77</v>
      </c>
      <c r="E2259" t="s">
        <v>90</v>
      </c>
      <c r="F2259" t="s">
        <v>91</v>
      </c>
      <c r="G2259">
        <v>2.95</v>
      </c>
      <c r="H2259" t="s">
        <v>41</v>
      </c>
      <c r="I2259" t="s">
        <v>42</v>
      </c>
      <c r="M2259">
        <f>VLOOKUP(H2259,'Stage Order'!$A$2:$B$8,2,FALSE)</f>
        <v>2</v>
      </c>
      <c r="N2259" t="str">
        <f t="shared" si="70"/>
        <v>2. 1-24 hours</v>
      </c>
      <c r="O2259" t="str">
        <f t="shared" si="71"/>
        <v>2025-05</v>
      </c>
    </row>
    <row r="2260" spans="1:15" x14ac:dyDescent="0.3">
      <c r="A2260" t="s">
        <v>5340</v>
      </c>
      <c r="B2260" t="s">
        <v>5341</v>
      </c>
      <c r="C2260" t="s">
        <v>58</v>
      </c>
      <c r="D2260" t="s">
        <v>29</v>
      </c>
      <c r="E2260" t="s">
        <v>30</v>
      </c>
      <c r="F2260" t="s">
        <v>82</v>
      </c>
      <c r="G2260">
        <v>1.83</v>
      </c>
      <c r="H2260" t="s">
        <v>47</v>
      </c>
      <c r="I2260" t="s">
        <v>48</v>
      </c>
      <c r="J2260" t="s">
        <v>113</v>
      </c>
      <c r="K2260">
        <v>713.1</v>
      </c>
      <c r="L2260" t="s">
        <v>5342</v>
      </c>
      <c r="M2260">
        <f>VLOOKUP(H2260,'Stage Order'!$A$2:$B$8,2,FALSE)</f>
        <v>4</v>
      </c>
      <c r="N2260" t="str">
        <f t="shared" si="70"/>
        <v>2. 1-24 hours</v>
      </c>
      <c r="O2260" t="str">
        <f t="shared" si="71"/>
        <v>2025-09</v>
      </c>
    </row>
    <row r="2261" spans="1:15" x14ac:dyDescent="0.3">
      <c r="A2261" t="s">
        <v>5343</v>
      </c>
      <c r="B2261" t="s">
        <v>5344</v>
      </c>
      <c r="C2261" t="s">
        <v>125</v>
      </c>
      <c r="D2261" t="s">
        <v>38</v>
      </c>
      <c r="E2261" t="s">
        <v>39</v>
      </c>
      <c r="F2261" t="s">
        <v>40</v>
      </c>
      <c r="G2261">
        <v>14.92</v>
      </c>
      <c r="H2261" t="s">
        <v>61</v>
      </c>
      <c r="I2261" t="s">
        <v>42</v>
      </c>
      <c r="M2261">
        <f>VLOOKUP(H2261,'Stage Order'!$A$2:$B$8,2,FALSE)</f>
        <v>1</v>
      </c>
      <c r="N2261" t="str">
        <f t="shared" si="70"/>
        <v>2. 1-24 hours</v>
      </c>
      <c r="O2261" t="str">
        <f t="shared" si="71"/>
        <v>2025-09</v>
      </c>
    </row>
    <row r="2262" spans="1:15" x14ac:dyDescent="0.3">
      <c r="A2262" t="s">
        <v>5345</v>
      </c>
      <c r="B2262" t="s">
        <v>5346</v>
      </c>
      <c r="C2262" t="s">
        <v>37</v>
      </c>
      <c r="D2262" t="s">
        <v>54</v>
      </c>
      <c r="E2262" t="s">
        <v>59</v>
      </c>
      <c r="F2262" t="s">
        <v>117</v>
      </c>
      <c r="G2262">
        <v>2.71</v>
      </c>
      <c r="H2262" t="s">
        <v>61</v>
      </c>
      <c r="I2262" t="s">
        <v>42</v>
      </c>
      <c r="M2262">
        <f>VLOOKUP(H2262,'Stage Order'!$A$2:$B$8,2,FALSE)</f>
        <v>1</v>
      </c>
      <c r="N2262" t="str">
        <f t="shared" si="70"/>
        <v>2. 1-24 hours</v>
      </c>
      <c r="O2262" t="str">
        <f t="shared" si="71"/>
        <v>2025-01</v>
      </c>
    </row>
    <row r="2263" spans="1:15" x14ac:dyDescent="0.3">
      <c r="A2263" t="s">
        <v>5347</v>
      </c>
      <c r="B2263" t="s">
        <v>5348</v>
      </c>
      <c r="C2263" t="s">
        <v>76</v>
      </c>
      <c r="D2263" t="s">
        <v>54</v>
      </c>
      <c r="E2263" t="s">
        <v>45</v>
      </c>
      <c r="F2263" t="s">
        <v>55</v>
      </c>
      <c r="G2263">
        <v>5.54</v>
      </c>
      <c r="H2263" t="s">
        <v>41</v>
      </c>
      <c r="I2263" t="s">
        <v>42</v>
      </c>
      <c r="M2263">
        <f>VLOOKUP(H2263,'Stage Order'!$A$2:$B$8,2,FALSE)</f>
        <v>2</v>
      </c>
      <c r="N2263" t="str">
        <f t="shared" si="70"/>
        <v>2. 1-24 hours</v>
      </c>
      <c r="O2263" t="str">
        <f t="shared" si="71"/>
        <v>2025-03</v>
      </c>
    </row>
    <row r="2264" spans="1:15" x14ac:dyDescent="0.3">
      <c r="A2264" t="s">
        <v>5349</v>
      </c>
      <c r="B2264" t="s">
        <v>5350</v>
      </c>
      <c r="C2264" t="s">
        <v>37</v>
      </c>
      <c r="D2264" t="s">
        <v>54</v>
      </c>
      <c r="E2264" t="s">
        <v>39</v>
      </c>
      <c r="F2264" t="s">
        <v>40</v>
      </c>
      <c r="G2264">
        <v>2.0299999999999998</v>
      </c>
      <c r="H2264" t="s">
        <v>32</v>
      </c>
      <c r="I2264" t="s">
        <v>33</v>
      </c>
      <c r="K2264">
        <v>530.85</v>
      </c>
      <c r="L2264" t="s">
        <v>5351</v>
      </c>
      <c r="M2264">
        <f>VLOOKUP(H2264,'Stage Order'!$A$2:$B$8,2,FALSE)</f>
        <v>7</v>
      </c>
      <c r="N2264" t="str">
        <f t="shared" si="70"/>
        <v>2. 1-24 hours</v>
      </c>
      <c r="O2264" t="str">
        <f t="shared" si="71"/>
        <v>2025-02</v>
      </c>
    </row>
    <row r="2265" spans="1:15" x14ac:dyDescent="0.3">
      <c r="A2265" t="s">
        <v>5352</v>
      </c>
      <c r="B2265" t="s">
        <v>5353</v>
      </c>
      <c r="C2265" t="s">
        <v>125</v>
      </c>
      <c r="D2265" t="s">
        <v>77</v>
      </c>
      <c r="E2265" t="s">
        <v>39</v>
      </c>
      <c r="F2265" t="s">
        <v>40</v>
      </c>
      <c r="G2265">
        <v>1.95</v>
      </c>
      <c r="H2265" t="s">
        <v>61</v>
      </c>
      <c r="I2265" t="s">
        <v>42</v>
      </c>
      <c r="M2265">
        <f>VLOOKUP(H2265,'Stage Order'!$A$2:$B$8,2,FALSE)</f>
        <v>1</v>
      </c>
      <c r="N2265" t="str">
        <f t="shared" si="70"/>
        <v>2. 1-24 hours</v>
      </c>
      <c r="O2265" t="str">
        <f t="shared" si="71"/>
        <v>2025-02</v>
      </c>
    </row>
    <row r="2266" spans="1:15" x14ac:dyDescent="0.3">
      <c r="A2266" t="s">
        <v>5354</v>
      </c>
      <c r="B2266" t="s">
        <v>5355</v>
      </c>
      <c r="C2266" t="s">
        <v>125</v>
      </c>
      <c r="D2266" t="s">
        <v>29</v>
      </c>
      <c r="E2266" t="s">
        <v>30</v>
      </c>
      <c r="F2266" t="s">
        <v>78</v>
      </c>
      <c r="G2266">
        <v>3.95</v>
      </c>
      <c r="H2266" t="s">
        <v>41</v>
      </c>
      <c r="I2266" t="s">
        <v>42</v>
      </c>
      <c r="M2266">
        <f>VLOOKUP(H2266,'Stage Order'!$A$2:$B$8,2,FALSE)</f>
        <v>2</v>
      </c>
      <c r="N2266" t="str">
        <f t="shared" si="70"/>
        <v>2. 1-24 hours</v>
      </c>
      <c r="O2266" t="str">
        <f t="shared" si="71"/>
        <v>2026-03</v>
      </c>
    </row>
    <row r="2267" spans="1:15" x14ac:dyDescent="0.3">
      <c r="A2267" t="s">
        <v>5356</v>
      </c>
      <c r="B2267" t="s">
        <v>5357</v>
      </c>
      <c r="C2267" t="s">
        <v>81</v>
      </c>
      <c r="D2267" t="s">
        <v>54</v>
      </c>
      <c r="E2267" t="s">
        <v>90</v>
      </c>
      <c r="F2267" t="s">
        <v>145</v>
      </c>
      <c r="G2267">
        <v>4.8600000000000003</v>
      </c>
      <c r="H2267" t="s">
        <v>41</v>
      </c>
      <c r="I2267" t="s">
        <v>42</v>
      </c>
      <c r="M2267">
        <f>VLOOKUP(H2267,'Stage Order'!$A$2:$B$8,2,FALSE)</f>
        <v>2</v>
      </c>
      <c r="N2267" t="str">
        <f t="shared" si="70"/>
        <v>2. 1-24 hours</v>
      </c>
      <c r="O2267" t="str">
        <f t="shared" si="71"/>
        <v>2025-01</v>
      </c>
    </row>
    <row r="2268" spans="1:15" x14ac:dyDescent="0.3">
      <c r="A2268" t="s">
        <v>5358</v>
      </c>
      <c r="B2268" t="s">
        <v>5359</v>
      </c>
      <c r="C2268" t="s">
        <v>58</v>
      </c>
      <c r="D2268" t="s">
        <v>38</v>
      </c>
      <c r="E2268" t="s">
        <v>30</v>
      </c>
      <c r="F2268" t="s">
        <v>78</v>
      </c>
      <c r="G2268">
        <v>2.37</v>
      </c>
      <c r="H2268" t="s">
        <v>47</v>
      </c>
      <c r="I2268" t="s">
        <v>48</v>
      </c>
      <c r="J2268" t="s">
        <v>98</v>
      </c>
      <c r="K2268">
        <v>386.22</v>
      </c>
      <c r="L2268" t="s">
        <v>5360</v>
      </c>
      <c r="M2268">
        <f>VLOOKUP(H2268,'Stage Order'!$A$2:$B$8,2,FALSE)</f>
        <v>4</v>
      </c>
      <c r="N2268" t="str">
        <f t="shared" si="70"/>
        <v>2. 1-24 hours</v>
      </c>
      <c r="O2268" t="str">
        <f t="shared" si="71"/>
        <v>2025-02</v>
      </c>
    </row>
    <row r="2269" spans="1:15" x14ac:dyDescent="0.3">
      <c r="A2269" t="s">
        <v>5361</v>
      </c>
      <c r="B2269" t="s">
        <v>5362</v>
      </c>
      <c r="C2269" t="s">
        <v>28</v>
      </c>
      <c r="D2269" t="s">
        <v>54</v>
      </c>
      <c r="E2269" t="s">
        <v>30</v>
      </c>
      <c r="F2269" t="s">
        <v>78</v>
      </c>
      <c r="G2269">
        <v>4.99</v>
      </c>
      <c r="H2269" t="s">
        <v>41</v>
      </c>
      <c r="I2269" t="s">
        <v>42</v>
      </c>
      <c r="M2269">
        <f>VLOOKUP(H2269,'Stage Order'!$A$2:$B$8,2,FALSE)</f>
        <v>2</v>
      </c>
      <c r="N2269" t="str">
        <f t="shared" si="70"/>
        <v>2. 1-24 hours</v>
      </c>
      <c r="O2269" t="str">
        <f t="shared" si="71"/>
        <v>2025-06</v>
      </c>
    </row>
    <row r="2270" spans="1:15" x14ac:dyDescent="0.3">
      <c r="A2270" t="s">
        <v>5363</v>
      </c>
      <c r="B2270" t="s">
        <v>5364</v>
      </c>
      <c r="C2270" t="s">
        <v>125</v>
      </c>
      <c r="D2270" t="s">
        <v>38</v>
      </c>
      <c r="E2270" t="s">
        <v>59</v>
      </c>
      <c r="F2270" t="s">
        <v>60</v>
      </c>
      <c r="G2270">
        <v>2.83</v>
      </c>
      <c r="H2270" t="s">
        <v>41</v>
      </c>
      <c r="I2270" t="s">
        <v>42</v>
      </c>
      <c r="M2270">
        <f>VLOOKUP(H2270,'Stage Order'!$A$2:$B$8,2,FALSE)</f>
        <v>2</v>
      </c>
      <c r="N2270" t="str">
        <f t="shared" si="70"/>
        <v>2. 1-24 hours</v>
      </c>
      <c r="O2270" t="str">
        <f t="shared" si="71"/>
        <v>2026-02</v>
      </c>
    </row>
    <row r="2271" spans="1:15" x14ac:dyDescent="0.3">
      <c r="A2271" t="s">
        <v>5365</v>
      </c>
      <c r="B2271" t="s">
        <v>5366</v>
      </c>
      <c r="C2271" t="s">
        <v>125</v>
      </c>
      <c r="D2271" t="s">
        <v>54</v>
      </c>
      <c r="E2271" t="s">
        <v>45</v>
      </c>
      <c r="F2271" t="s">
        <v>94</v>
      </c>
      <c r="G2271">
        <v>10.98</v>
      </c>
      <c r="H2271" t="s">
        <v>61</v>
      </c>
      <c r="I2271" t="s">
        <v>42</v>
      </c>
      <c r="M2271">
        <f>VLOOKUP(H2271,'Stage Order'!$A$2:$B$8,2,FALSE)</f>
        <v>1</v>
      </c>
      <c r="N2271" t="str">
        <f t="shared" si="70"/>
        <v>2. 1-24 hours</v>
      </c>
      <c r="O2271" t="str">
        <f t="shared" si="71"/>
        <v>2025-01</v>
      </c>
    </row>
    <row r="2272" spans="1:15" x14ac:dyDescent="0.3">
      <c r="A2272" t="s">
        <v>5367</v>
      </c>
      <c r="B2272" t="s">
        <v>5368</v>
      </c>
      <c r="C2272" t="s">
        <v>125</v>
      </c>
      <c r="D2272" t="s">
        <v>97</v>
      </c>
      <c r="E2272" t="s">
        <v>39</v>
      </c>
      <c r="F2272" t="s">
        <v>66</v>
      </c>
      <c r="G2272">
        <v>0.79</v>
      </c>
      <c r="H2272" t="s">
        <v>47</v>
      </c>
      <c r="I2272" t="s">
        <v>48</v>
      </c>
      <c r="J2272" t="s">
        <v>742</v>
      </c>
      <c r="K2272">
        <v>1349.75</v>
      </c>
      <c r="L2272" t="s">
        <v>5369</v>
      </c>
      <c r="M2272">
        <f>VLOOKUP(H2272,'Stage Order'!$A$2:$B$8,2,FALSE)</f>
        <v>4</v>
      </c>
      <c r="N2272" t="str">
        <f t="shared" si="70"/>
        <v>1. Under 1 hour</v>
      </c>
      <c r="O2272" t="str">
        <f t="shared" si="71"/>
        <v>2025-07</v>
      </c>
    </row>
    <row r="2273" spans="1:15" x14ac:dyDescent="0.3">
      <c r="A2273" t="s">
        <v>5370</v>
      </c>
      <c r="B2273" t="s">
        <v>5371</v>
      </c>
      <c r="C2273" t="s">
        <v>58</v>
      </c>
      <c r="D2273" t="s">
        <v>97</v>
      </c>
      <c r="E2273" t="s">
        <v>45</v>
      </c>
      <c r="F2273" t="s">
        <v>46</v>
      </c>
      <c r="G2273">
        <v>0.56000000000000005</v>
      </c>
      <c r="H2273" t="s">
        <v>41</v>
      </c>
      <c r="I2273" t="s">
        <v>42</v>
      </c>
      <c r="M2273">
        <f>VLOOKUP(H2273,'Stage Order'!$A$2:$B$8,2,FALSE)</f>
        <v>2</v>
      </c>
      <c r="N2273" t="str">
        <f t="shared" si="70"/>
        <v>1. Under 1 hour</v>
      </c>
      <c r="O2273" t="str">
        <f t="shared" si="71"/>
        <v>2026-06</v>
      </c>
    </row>
    <row r="2274" spans="1:15" x14ac:dyDescent="0.3">
      <c r="A2274" t="s">
        <v>5372</v>
      </c>
      <c r="B2274" t="s">
        <v>5373</v>
      </c>
      <c r="C2274" t="s">
        <v>81</v>
      </c>
      <c r="D2274" t="s">
        <v>38</v>
      </c>
      <c r="E2274" t="s">
        <v>45</v>
      </c>
      <c r="F2274" t="s">
        <v>94</v>
      </c>
      <c r="G2274">
        <v>1.66</v>
      </c>
      <c r="H2274" t="s">
        <v>41</v>
      </c>
      <c r="I2274" t="s">
        <v>42</v>
      </c>
      <c r="M2274">
        <f>VLOOKUP(H2274,'Stage Order'!$A$2:$B$8,2,FALSE)</f>
        <v>2</v>
      </c>
      <c r="N2274" t="str">
        <f t="shared" si="70"/>
        <v>2. 1-24 hours</v>
      </c>
      <c r="O2274" t="str">
        <f t="shared" si="71"/>
        <v>2026-03</v>
      </c>
    </row>
    <row r="2275" spans="1:15" x14ac:dyDescent="0.3">
      <c r="A2275" t="s">
        <v>5374</v>
      </c>
      <c r="B2275" t="s">
        <v>5375</v>
      </c>
      <c r="C2275" t="s">
        <v>76</v>
      </c>
      <c r="D2275" t="s">
        <v>29</v>
      </c>
      <c r="E2275" t="s">
        <v>30</v>
      </c>
      <c r="F2275" t="s">
        <v>31</v>
      </c>
      <c r="G2275">
        <v>0.93</v>
      </c>
      <c r="H2275" t="s">
        <v>41</v>
      </c>
      <c r="I2275" t="s">
        <v>42</v>
      </c>
      <c r="M2275">
        <f>VLOOKUP(H2275,'Stage Order'!$A$2:$B$8,2,FALSE)</f>
        <v>2</v>
      </c>
      <c r="N2275" t="str">
        <f t="shared" si="70"/>
        <v>1. Under 1 hour</v>
      </c>
      <c r="O2275" t="str">
        <f t="shared" si="71"/>
        <v>2026-01</v>
      </c>
    </row>
    <row r="2276" spans="1:15" x14ac:dyDescent="0.3">
      <c r="A2276" t="s">
        <v>5376</v>
      </c>
      <c r="B2276" t="s">
        <v>5377</v>
      </c>
      <c r="C2276" t="s">
        <v>37</v>
      </c>
      <c r="D2276" t="s">
        <v>77</v>
      </c>
      <c r="E2276" t="s">
        <v>90</v>
      </c>
      <c r="F2276" t="s">
        <v>91</v>
      </c>
      <c r="G2276">
        <v>4.68</v>
      </c>
      <c r="H2276" t="s">
        <v>41</v>
      </c>
      <c r="I2276" t="s">
        <v>42</v>
      </c>
      <c r="M2276">
        <f>VLOOKUP(H2276,'Stage Order'!$A$2:$B$8,2,FALSE)</f>
        <v>2</v>
      </c>
      <c r="N2276" t="str">
        <f t="shared" si="70"/>
        <v>2. 1-24 hours</v>
      </c>
      <c r="O2276" t="str">
        <f t="shared" si="71"/>
        <v>2025-11</v>
      </c>
    </row>
    <row r="2277" spans="1:15" x14ac:dyDescent="0.3">
      <c r="A2277" t="s">
        <v>5378</v>
      </c>
      <c r="B2277" t="s">
        <v>5379</v>
      </c>
      <c r="C2277" t="s">
        <v>58</v>
      </c>
      <c r="D2277" t="s">
        <v>54</v>
      </c>
      <c r="E2277" t="s">
        <v>45</v>
      </c>
      <c r="F2277" t="s">
        <v>46</v>
      </c>
      <c r="G2277">
        <v>6.68</v>
      </c>
      <c r="H2277" t="s">
        <v>32</v>
      </c>
      <c r="I2277" t="s">
        <v>33</v>
      </c>
      <c r="K2277">
        <v>568.82000000000005</v>
      </c>
      <c r="L2277" t="s">
        <v>5380</v>
      </c>
      <c r="M2277">
        <f>VLOOKUP(H2277,'Stage Order'!$A$2:$B$8,2,FALSE)</f>
        <v>7</v>
      </c>
      <c r="N2277" t="str">
        <f t="shared" si="70"/>
        <v>2. 1-24 hours</v>
      </c>
      <c r="O2277" t="str">
        <f t="shared" si="71"/>
        <v>2025-01</v>
      </c>
    </row>
    <row r="2278" spans="1:15" x14ac:dyDescent="0.3">
      <c r="A2278" t="s">
        <v>5381</v>
      </c>
      <c r="B2278" t="s">
        <v>5382</v>
      </c>
      <c r="C2278" t="s">
        <v>58</v>
      </c>
      <c r="D2278" t="s">
        <v>38</v>
      </c>
      <c r="E2278" t="s">
        <v>39</v>
      </c>
      <c r="F2278" t="s">
        <v>66</v>
      </c>
      <c r="G2278">
        <v>13.53</v>
      </c>
      <c r="H2278" t="s">
        <v>41</v>
      </c>
      <c r="I2278" t="s">
        <v>42</v>
      </c>
      <c r="M2278">
        <f>VLOOKUP(H2278,'Stage Order'!$A$2:$B$8,2,FALSE)</f>
        <v>2</v>
      </c>
      <c r="N2278" t="str">
        <f t="shared" si="70"/>
        <v>2. 1-24 hours</v>
      </c>
      <c r="O2278" t="str">
        <f t="shared" si="71"/>
        <v>2025-07</v>
      </c>
    </row>
    <row r="2279" spans="1:15" x14ac:dyDescent="0.3">
      <c r="A2279" t="s">
        <v>5383</v>
      </c>
      <c r="B2279" t="s">
        <v>5384</v>
      </c>
      <c r="C2279" t="s">
        <v>125</v>
      </c>
      <c r="D2279" t="s">
        <v>97</v>
      </c>
      <c r="E2279" t="s">
        <v>39</v>
      </c>
      <c r="F2279" t="s">
        <v>66</v>
      </c>
      <c r="G2279">
        <v>10.15</v>
      </c>
      <c r="H2279" t="s">
        <v>61</v>
      </c>
      <c r="I2279" t="s">
        <v>42</v>
      </c>
      <c r="M2279">
        <f>VLOOKUP(H2279,'Stage Order'!$A$2:$B$8,2,FALSE)</f>
        <v>1</v>
      </c>
      <c r="N2279" t="str">
        <f t="shared" si="70"/>
        <v>2. 1-24 hours</v>
      </c>
      <c r="O2279" t="str">
        <f t="shared" si="71"/>
        <v>2025-08</v>
      </c>
    </row>
    <row r="2280" spans="1:15" x14ac:dyDescent="0.3">
      <c r="A2280" t="s">
        <v>5385</v>
      </c>
      <c r="B2280" t="s">
        <v>5386</v>
      </c>
      <c r="C2280" t="s">
        <v>58</v>
      </c>
      <c r="D2280" t="s">
        <v>54</v>
      </c>
      <c r="E2280" t="s">
        <v>90</v>
      </c>
      <c r="F2280" t="s">
        <v>112</v>
      </c>
      <c r="G2280">
        <v>3.92</v>
      </c>
      <c r="H2280" t="s">
        <v>61</v>
      </c>
      <c r="I2280" t="s">
        <v>42</v>
      </c>
      <c r="M2280">
        <f>VLOOKUP(H2280,'Stage Order'!$A$2:$B$8,2,FALSE)</f>
        <v>1</v>
      </c>
      <c r="N2280" t="str">
        <f t="shared" si="70"/>
        <v>2. 1-24 hours</v>
      </c>
      <c r="O2280" t="str">
        <f t="shared" si="71"/>
        <v>2026-06</v>
      </c>
    </row>
    <row r="2281" spans="1:15" x14ac:dyDescent="0.3">
      <c r="A2281" t="s">
        <v>5387</v>
      </c>
      <c r="B2281" t="s">
        <v>5388</v>
      </c>
      <c r="C2281" t="s">
        <v>58</v>
      </c>
      <c r="D2281" t="s">
        <v>38</v>
      </c>
      <c r="E2281" t="s">
        <v>45</v>
      </c>
      <c r="F2281" t="s">
        <v>55</v>
      </c>
      <c r="G2281">
        <v>2.72</v>
      </c>
      <c r="H2281" t="s">
        <v>128</v>
      </c>
      <c r="I2281" t="s">
        <v>42</v>
      </c>
      <c r="M2281">
        <f>VLOOKUP(H2281,'Stage Order'!$A$2:$B$8,2,FALSE)</f>
        <v>3</v>
      </c>
      <c r="N2281" t="str">
        <f t="shared" si="70"/>
        <v>2. 1-24 hours</v>
      </c>
      <c r="O2281" t="str">
        <f t="shared" si="71"/>
        <v>2026-04</v>
      </c>
    </row>
    <row r="2282" spans="1:15" x14ac:dyDescent="0.3">
      <c r="A2282" t="s">
        <v>5389</v>
      </c>
      <c r="B2282" t="s">
        <v>5390</v>
      </c>
      <c r="C2282" t="s">
        <v>37</v>
      </c>
      <c r="D2282" t="s">
        <v>29</v>
      </c>
      <c r="E2282" t="s">
        <v>30</v>
      </c>
      <c r="F2282" t="s">
        <v>78</v>
      </c>
      <c r="G2282">
        <v>2.64</v>
      </c>
      <c r="H2282" t="s">
        <v>41</v>
      </c>
      <c r="I2282" t="s">
        <v>42</v>
      </c>
      <c r="M2282">
        <f>VLOOKUP(H2282,'Stage Order'!$A$2:$B$8,2,FALSE)</f>
        <v>2</v>
      </c>
      <c r="N2282" t="str">
        <f t="shared" si="70"/>
        <v>2. 1-24 hours</v>
      </c>
      <c r="O2282" t="str">
        <f t="shared" si="71"/>
        <v>2025-03</v>
      </c>
    </row>
    <row r="2283" spans="1:15" x14ac:dyDescent="0.3">
      <c r="A2283" t="s">
        <v>5391</v>
      </c>
      <c r="B2283" t="s">
        <v>5392</v>
      </c>
      <c r="C2283" t="s">
        <v>37</v>
      </c>
      <c r="D2283" t="s">
        <v>97</v>
      </c>
      <c r="E2283" t="s">
        <v>59</v>
      </c>
      <c r="F2283" t="s">
        <v>117</v>
      </c>
      <c r="G2283">
        <v>6.42</v>
      </c>
      <c r="H2283" t="s">
        <v>32</v>
      </c>
      <c r="I2283" t="s">
        <v>33</v>
      </c>
      <c r="K2283">
        <v>1206.47</v>
      </c>
      <c r="L2283" t="s">
        <v>5393</v>
      </c>
      <c r="M2283">
        <f>VLOOKUP(H2283,'Stage Order'!$A$2:$B$8,2,FALSE)</f>
        <v>7</v>
      </c>
      <c r="N2283" t="str">
        <f t="shared" si="70"/>
        <v>2. 1-24 hours</v>
      </c>
      <c r="O2283" t="str">
        <f t="shared" si="71"/>
        <v>2025-03</v>
      </c>
    </row>
    <row r="2284" spans="1:15" x14ac:dyDescent="0.3">
      <c r="A2284" t="s">
        <v>5394</v>
      </c>
      <c r="B2284" t="s">
        <v>5395</v>
      </c>
      <c r="C2284" t="s">
        <v>37</v>
      </c>
      <c r="D2284" t="s">
        <v>54</v>
      </c>
      <c r="E2284" t="s">
        <v>45</v>
      </c>
      <c r="F2284" t="s">
        <v>46</v>
      </c>
      <c r="G2284">
        <v>1.04</v>
      </c>
      <c r="H2284" t="s">
        <v>138</v>
      </c>
      <c r="I2284" t="s">
        <v>48</v>
      </c>
      <c r="J2284" t="s">
        <v>98</v>
      </c>
      <c r="K2284">
        <v>591.95000000000005</v>
      </c>
      <c r="L2284" t="s">
        <v>5396</v>
      </c>
      <c r="M2284">
        <f>VLOOKUP(H2284,'Stage Order'!$A$2:$B$8,2,FALSE)</f>
        <v>6</v>
      </c>
      <c r="N2284" t="str">
        <f t="shared" si="70"/>
        <v>2. 1-24 hours</v>
      </c>
      <c r="O2284" t="str">
        <f t="shared" si="71"/>
        <v>2025-01</v>
      </c>
    </row>
    <row r="2285" spans="1:15" x14ac:dyDescent="0.3">
      <c r="A2285" t="s">
        <v>5397</v>
      </c>
      <c r="B2285" t="s">
        <v>5398</v>
      </c>
      <c r="C2285" t="s">
        <v>53</v>
      </c>
      <c r="D2285" t="s">
        <v>77</v>
      </c>
      <c r="E2285" t="s">
        <v>90</v>
      </c>
      <c r="F2285" t="s">
        <v>112</v>
      </c>
      <c r="G2285">
        <v>22.53</v>
      </c>
      <c r="H2285" t="s">
        <v>41</v>
      </c>
      <c r="I2285" t="s">
        <v>42</v>
      </c>
      <c r="M2285">
        <f>VLOOKUP(H2285,'Stage Order'!$A$2:$B$8,2,FALSE)</f>
        <v>2</v>
      </c>
      <c r="N2285" t="str">
        <f t="shared" si="70"/>
        <v>2. 1-24 hours</v>
      </c>
      <c r="O2285" t="str">
        <f t="shared" si="71"/>
        <v>2026-04</v>
      </c>
    </row>
    <row r="2286" spans="1:15" x14ac:dyDescent="0.3">
      <c r="A2286" t="s">
        <v>5399</v>
      </c>
      <c r="B2286" t="s">
        <v>5400</v>
      </c>
      <c r="C2286" t="s">
        <v>58</v>
      </c>
      <c r="D2286" t="s">
        <v>97</v>
      </c>
      <c r="E2286" t="s">
        <v>59</v>
      </c>
      <c r="F2286" t="s">
        <v>117</v>
      </c>
      <c r="G2286">
        <v>0.23</v>
      </c>
      <c r="H2286" t="s">
        <v>32</v>
      </c>
      <c r="I2286" t="s">
        <v>33</v>
      </c>
      <c r="K2286">
        <v>1193.1099999999999</v>
      </c>
      <c r="L2286" t="s">
        <v>5401</v>
      </c>
      <c r="M2286">
        <f>VLOOKUP(H2286,'Stage Order'!$A$2:$B$8,2,FALSE)</f>
        <v>7</v>
      </c>
      <c r="N2286" t="str">
        <f t="shared" si="70"/>
        <v>1. Under 1 hour</v>
      </c>
      <c r="O2286" t="str">
        <f t="shared" si="71"/>
        <v>2025-11</v>
      </c>
    </row>
    <row r="2287" spans="1:15" x14ac:dyDescent="0.3">
      <c r="A2287" t="s">
        <v>5402</v>
      </c>
      <c r="B2287" t="s">
        <v>5403</v>
      </c>
      <c r="C2287" t="s">
        <v>37</v>
      </c>
      <c r="D2287" t="s">
        <v>38</v>
      </c>
      <c r="E2287" t="s">
        <v>45</v>
      </c>
      <c r="F2287" t="s">
        <v>94</v>
      </c>
      <c r="G2287">
        <v>11.06</v>
      </c>
      <c r="H2287" t="s">
        <v>32</v>
      </c>
      <c r="I2287" t="s">
        <v>33</v>
      </c>
      <c r="K2287">
        <v>322.47000000000003</v>
      </c>
      <c r="L2287" t="s">
        <v>5404</v>
      </c>
      <c r="M2287">
        <f>VLOOKUP(H2287,'Stage Order'!$A$2:$B$8,2,FALSE)</f>
        <v>7</v>
      </c>
      <c r="N2287" t="str">
        <f t="shared" si="70"/>
        <v>2. 1-24 hours</v>
      </c>
      <c r="O2287" t="str">
        <f t="shared" si="71"/>
        <v>2025-10</v>
      </c>
    </row>
    <row r="2288" spans="1:15" x14ac:dyDescent="0.3">
      <c r="A2288" t="s">
        <v>5405</v>
      </c>
      <c r="B2288" t="s">
        <v>5406</v>
      </c>
      <c r="C2288" t="s">
        <v>53</v>
      </c>
      <c r="D2288" t="s">
        <v>77</v>
      </c>
      <c r="E2288" t="s">
        <v>90</v>
      </c>
      <c r="F2288" t="s">
        <v>145</v>
      </c>
      <c r="G2288">
        <v>4.3600000000000003</v>
      </c>
      <c r="H2288" t="s">
        <v>138</v>
      </c>
      <c r="I2288" t="s">
        <v>48</v>
      </c>
      <c r="J2288" t="s">
        <v>139</v>
      </c>
      <c r="K2288">
        <v>1045.1099999999999</v>
      </c>
      <c r="L2288" t="s">
        <v>5407</v>
      </c>
      <c r="M2288">
        <f>VLOOKUP(H2288,'Stage Order'!$A$2:$B$8,2,FALSE)</f>
        <v>6</v>
      </c>
      <c r="N2288" t="str">
        <f t="shared" si="70"/>
        <v>2. 1-24 hours</v>
      </c>
      <c r="O2288" t="str">
        <f t="shared" si="71"/>
        <v>2026-02</v>
      </c>
    </row>
    <row r="2289" spans="1:15" x14ac:dyDescent="0.3">
      <c r="A2289" t="s">
        <v>5408</v>
      </c>
      <c r="B2289" t="s">
        <v>5409</v>
      </c>
      <c r="C2289" t="s">
        <v>81</v>
      </c>
      <c r="D2289" t="s">
        <v>54</v>
      </c>
      <c r="E2289" t="s">
        <v>30</v>
      </c>
      <c r="F2289" t="s">
        <v>82</v>
      </c>
      <c r="G2289">
        <v>14.81</v>
      </c>
      <c r="H2289" t="s">
        <v>61</v>
      </c>
      <c r="I2289" t="s">
        <v>42</v>
      </c>
      <c r="M2289">
        <f>VLOOKUP(H2289,'Stage Order'!$A$2:$B$8,2,FALSE)</f>
        <v>1</v>
      </c>
      <c r="N2289" t="str">
        <f t="shared" si="70"/>
        <v>2. 1-24 hours</v>
      </c>
      <c r="O2289" t="str">
        <f t="shared" si="71"/>
        <v>2026-02</v>
      </c>
    </row>
    <row r="2290" spans="1:15" x14ac:dyDescent="0.3">
      <c r="A2290" t="s">
        <v>5410</v>
      </c>
      <c r="B2290" t="s">
        <v>5411</v>
      </c>
      <c r="C2290" t="s">
        <v>125</v>
      </c>
      <c r="D2290" t="s">
        <v>54</v>
      </c>
      <c r="E2290" t="s">
        <v>59</v>
      </c>
      <c r="F2290" t="s">
        <v>117</v>
      </c>
      <c r="G2290">
        <v>0.67</v>
      </c>
      <c r="H2290" t="s">
        <v>32</v>
      </c>
      <c r="I2290" t="s">
        <v>33</v>
      </c>
      <c r="K2290">
        <v>531.54999999999995</v>
      </c>
      <c r="L2290" t="s">
        <v>5412</v>
      </c>
      <c r="M2290">
        <f>VLOOKUP(H2290,'Stage Order'!$A$2:$B$8,2,FALSE)</f>
        <v>7</v>
      </c>
      <c r="N2290" t="str">
        <f t="shared" si="70"/>
        <v>1. Under 1 hour</v>
      </c>
      <c r="O2290" t="str">
        <f t="shared" si="71"/>
        <v>2025-11</v>
      </c>
    </row>
    <row r="2291" spans="1:15" x14ac:dyDescent="0.3">
      <c r="A2291" t="s">
        <v>5413</v>
      </c>
      <c r="B2291" t="s">
        <v>5414</v>
      </c>
      <c r="C2291" t="s">
        <v>28</v>
      </c>
      <c r="D2291" t="s">
        <v>38</v>
      </c>
      <c r="E2291" t="s">
        <v>39</v>
      </c>
      <c r="F2291" t="s">
        <v>40</v>
      </c>
      <c r="G2291">
        <v>24.98</v>
      </c>
      <c r="H2291" t="s">
        <v>47</v>
      </c>
      <c r="I2291" t="s">
        <v>48</v>
      </c>
      <c r="J2291" t="s">
        <v>113</v>
      </c>
      <c r="K2291">
        <v>392.83</v>
      </c>
      <c r="L2291" t="s">
        <v>5415</v>
      </c>
      <c r="M2291">
        <f>VLOOKUP(H2291,'Stage Order'!$A$2:$B$8,2,FALSE)</f>
        <v>4</v>
      </c>
      <c r="N2291" t="str">
        <f t="shared" si="70"/>
        <v>3. 1-3 days</v>
      </c>
      <c r="O2291" t="str">
        <f t="shared" si="71"/>
        <v>2025-07</v>
      </c>
    </row>
    <row r="2292" spans="1:15" x14ac:dyDescent="0.3">
      <c r="A2292" t="s">
        <v>5416</v>
      </c>
      <c r="B2292" t="s">
        <v>5417</v>
      </c>
      <c r="C2292" t="s">
        <v>58</v>
      </c>
      <c r="D2292" t="s">
        <v>77</v>
      </c>
      <c r="E2292" t="s">
        <v>90</v>
      </c>
      <c r="F2292" t="s">
        <v>145</v>
      </c>
      <c r="G2292">
        <v>5.26</v>
      </c>
      <c r="H2292" t="s">
        <v>61</v>
      </c>
      <c r="I2292" t="s">
        <v>42</v>
      </c>
      <c r="M2292">
        <f>VLOOKUP(H2292,'Stage Order'!$A$2:$B$8,2,FALSE)</f>
        <v>1</v>
      </c>
      <c r="N2292" t="str">
        <f t="shared" si="70"/>
        <v>2. 1-24 hours</v>
      </c>
      <c r="O2292" t="str">
        <f t="shared" si="71"/>
        <v>2026-02</v>
      </c>
    </row>
    <row r="2293" spans="1:15" x14ac:dyDescent="0.3">
      <c r="A2293" t="s">
        <v>5418</v>
      </c>
      <c r="B2293" t="s">
        <v>5419</v>
      </c>
      <c r="C2293" t="s">
        <v>53</v>
      </c>
      <c r="D2293" t="s">
        <v>77</v>
      </c>
      <c r="E2293" t="s">
        <v>90</v>
      </c>
      <c r="F2293" t="s">
        <v>112</v>
      </c>
      <c r="G2293">
        <v>4.76</v>
      </c>
      <c r="H2293" t="s">
        <v>47</v>
      </c>
      <c r="I2293" t="s">
        <v>48</v>
      </c>
      <c r="J2293" t="s">
        <v>139</v>
      </c>
      <c r="K2293">
        <v>1027.1300000000001</v>
      </c>
      <c r="L2293" t="s">
        <v>5420</v>
      </c>
      <c r="M2293">
        <f>VLOOKUP(H2293,'Stage Order'!$A$2:$B$8,2,FALSE)</f>
        <v>4</v>
      </c>
      <c r="N2293" t="str">
        <f t="shared" si="70"/>
        <v>2. 1-24 hours</v>
      </c>
      <c r="O2293" t="str">
        <f t="shared" si="71"/>
        <v>2026-03</v>
      </c>
    </row>
    <row r="2294" spans="1:15" x14ac:dyDescent="0.3">
      <c r="A2294" t="s">
        <v>5421</v>
      </c>
      <c r="B2294" t="s">
        <v>5422</v>
      </c>
      <c r="C2294" t="s">
        <v>28</v>
      </c>
      <c r="D2294" t="s">
        <v>38</v>
      </c>
      <c r="E2294" t="s">
        <v>59</v>
      </c>
      <c r="F2294" t="s">
        <v>137</v>
      </c>
      <c r="G2294">
        <v>15.08</v>
      </c>
      <c r="H2294" t="s">
        <v>138</v>
      </c>
      <c r="I2294" t="s">
        <v>48</v>
      </c>
      <c r="J2294" t="s">
        <v>742</v>
      </c>
      <c r="K2294">
        <v>315.22000000000003</v>
      </c>
      <c r="L2294" t="s">
        <v>5423</v>
      </c>
      <c r="M2294">
        <f>VLOOKUP(H2294,'Stage Order'!$A$2:$B$8,2,FALSE)</f>
        <v>6</v>
      </c>
      <c r="N2294" t="str">
        <f t="shared" si="70"/>
        <v>2. 1-24 hours</v>
      </c>
      <c r="O2294" t="str">
        <f t="shared" si="71"/>
        <v>2025-10</v>
      </c>
    </row>
    <row r="2295" spans="1:15" x14ac:dyDescent="0.3">
      <c r="A2295" t="s">
        <v>5424</v>
      </c>
      <c r="B2295" t="s">
        <v>5425</v>
      </c>
      <c r="C2295" t="s">
        <v>58</v>
      </c>
      <c r="D2295" t="s">
        <v>97</v>
      </c>
      <c r="E2295" t="s">
        <v>45</v>
      </c>
      <c r="F2295" t="s">
        <v>94</v>
      </c>
      <c r="G2295">
        <v>1.38</v>
      </c>
      <c r="H2295" t="s">
        <v>146</v>
      </c>
      <c r="I2295" t="s">
        <v>48</v>
      </c>
      <c r="J2295" t="s">
        <v>139</v>
      </c>
      <c r="K2295">
        <v>1619.48</v>
      </c>
      <c r="L2295" t="s">
        <v>5426</v>
      </c>
      <c r="M2295">
        <f>VLOOKUP(H2295,'Stage Order'!$A$2:$B$8,2,FALSE)</f>
        <v>5</v>
      </c>
      <c r="N2295" t="str">
        <f t="shared" si="70"/>
        <v>2. 1-24 hours</v>
      </c>
      <c r="O2295" t="str">
        <f t="shared" si="71"/>
        <v>2025-03</v>
      </c>
    </row>
    <row r="2296" spans="1:15" x14ac:dyDescent="0.3">
      <c r="A2296" t="s">
        <v>5427</v>
      </c>
      <c r="B2296" t="s">
        <v>5428</v>
      </c>
      <c r="C2296" t="s">
        <v>53</v>
      </c>
      <c r="D2296" t="s">
        <v>38</v>
      </c>
      <c r="E2296" t="s">
        <v>30</v>
      </c>
      <c r="F2296" t="s">
        <v>78</v>
      </c>
      <c r="G2296">
        <v>4.0199999999999996</v>
      </c>
      <c r="H2296" t="s">
        <v>47</v>
      </c>
      <c r="I2296" t="s">
        <v>48</v>
      </c>
      <c r="J2296" t="s">
        <v>113</v>
      </c>
      <c r="K2296">
        <v>344.57</v>
      </c>
      <c r="L2296" t="s">
        <v>5429</v>
      </c>
      <c r="M2296">
        <f>VLOOKUP(H2296,'Stage Order'!$A$2:$B$8,2,FALSE)</f>
        <v>4</v>
      </c>
      <c r="N2296" t="str">
        <f t="shared" si="70"/>
        <v>2. 1-24 hours</v>
      </c>
      <c r="O2296" t="str">
        <f t="shared" si="71"/>
        <v>2025-01</v>
      </c>
    </row>
    <row r="2297" spans="1:15" x14ac:dyDescent="0.3">
      <c r="A2297" t="s">
        <v>5430</v>
      </c>
      <c r="B2297" t="s">
        <v>5431</v>
      </c>
      <c r="C2297" t="s">
        <v>125</v>
      </c>
      <c r="D2297" t="s">
        <v>54</v>
      </c>
      <c r="E2297" t="s">
        <v>59</v>
      </c>
      <c r="F2297" t="s">
        <v>117</v>
      </c>
      <c r="G2297">
        <v>1.9</v>
      </c>
      <c r="H2297" t="s">
        <v>41</v>
      </c>
      <c r="I2297" t="s">
        <v>42</v>
      </c>
      <c r="M2297">
        <f>VLOOKUP(H2297,'Stage Order'!$A$2:$B$8,2,FALSE)</f>
        <v>2</v>
      </c>
      <c r="N2297" t="str">
        <f t="shared" si="70"/>
        <v>2. 1-24 hours</v>
      </c>
      <c r="O2297" t="str">
        <f t="shared" si="71"/>
        <v>2025-09</v>
      </c>
    </row>
    <row r="2298" spans="1:15" x14ac:dyDescent="0.3">
      <c r="A2298" t="s">
        <v>5432</v>
      </c>
      <c r="B2298" t="s">
        <v>5433</v>
      </c>
      <c r="C2298" t="s">
        <v>58</v>
      </c>
      <c r="D2298" t="s">
        <v>97</v>
      </c>
      <c r="E2298" t="s">
        <v>90</v>
      </c>
      <c r="F2298" t="s">
        <v>91</v>
      </c>
      <c r="G2298">
        <v>0.8</v>
      </c>
      <c r="H2298" t="s">
        <v>128</v>
      </c>
      <c r="I2298" t="s">
        <v>42</v>
      </c>
      <c r="M2298">
        <f>VLOOKUP(H2298,'Stage Order'!$A$2:$B$8,2,FALSE)</f>
        <v>3</v>
      </c>
      <c r="N2298" t="str">
        <f t="shared" si="70"/>
        <v>1. Under 1 hour</v>
      </c>
      <c r="O2298" t="str">
        <f t="shared" si="71"/>
        <v>2025-06</v>
      </c>
    </row>
    <row r="2299" spans="1:15" x14ac:dyDescent="0.3">
      <c r="A2299" t="s">
        <v>5434</v>
      </c>
      <c r="B2299" t="s">
        <v>5435</v>
      </c>
      <c r="C2299" t="s">
        <v>37</v>
      </c>
      <c r="D2299" t="s">
        <v>38</v>
      </c>
      <c r="E2299" t="s">
        <v>45</v>
      </c>
      <c r="F2299" t="s">
        <v>55</v>
      </c>
      <c r="G2299">
        <v>0.74</v>
      </c>
      <c r="H2299" t="s">
        <v>138</v>
      </c>
      <c r="I2299" t="s">
        <v>48</v>
      </c>
      <c r="J2299" t="s">
        <v>113</v>
      </c>
      <c r="K2299">
        <v>303.94</v>
      </c>
      <c r="L2299" t="s">
        <v>5436</v>
      </c>
      <c r="M2299">
        <f>VLOOKUP(H2299,'Stage Order'!$A$2:$B$8,2,FALSE)</f>
        <v>6</v>
      </c>
      <c r="N2299" t="str">
        <f t="shared" si="70"/>
        <v>1. Under 1 hour</v>
      </c>
      <c r="O2299" t="str">
        <f t="shared" si="71"/>
        <v>2025-08</v>
      </c>
    </row>
    <row r="2300" spans="1:15" x14ac:dyDescent="0.3">
      <c r="A2300" t="s">
        <v>5437</v>
      </c>
      <c r="B2300" t="s">
        <v>5438</v>
      </c>
      <c r="C2300" t="s">
        <v>125</v>
      </c>
      <c r="D2300" t="s">
        <v>77</v>
      </c>
      <c r="E2300" t="s">
        <v>90</v>
      </c>
      <c r="F2300" t="s">
        <v>112</v>
      </c>
      <c r="G2300">
        <v>3.19</v>
      </c>
      <c r="H2300" t="s">
        <v>61</v>
      </c>
      <c r="I2300" t="s">
        <v>42</v>
      </c>
      <c r="M2300">
        <f>VLOOKUP(H2300,'Stage Order'!$A$2:$B$8,2,FALSE)</f>
        <v>1</v>
      </c>
      <c r="N2300" t="str">
        <f t="shared" si="70"/>
        <v>2. 1-24 hours</v>
      </c>
      <c r="O2300" t="str">
        <f t="shared" si="71"/>
        <v>2025-01</v>
      </c>
    </row>
    <row r="2301" spans="1:15" x14ac:dyDescent="0.3">
      <c r="A2301" t="s">
        <v>5439</v>
      </c>
      <c r="B2301" t="s">
        <v>5440</v>
      </c>
      <c r="C2301" t="s">
        <v>37</v>
      </c>
      <c r="D2301" t="s">
        <v>77</v>
      </c>
      <c r="E2301" t="s">
        <v>45</v>
      </c>
      <c r="F2301" t="s">
        <v>94</v>
      </c>
      <c r="G2301">
        <v>4.9800000000000004</v>
      </c>
      <c r="H2301" t="s">
        <v>32</v>
      </c>
      <c r="I2301" t="s">
        <v>33</v>
      </c>
      <c r="K2301">
        <v>1138.0899999999999</v>
      </c>
      <c r="L2301" t="s">
        <v>5441</v>
      </c>
      <c r="M2301">
        <f>VLOOKUP(H2301,'Stage Order'!$A$2:$B$8,2,FALSE)</f>
        <v>7</v>
      </c>
      <c r="N2301" t="str">
        <f t="shared" si="70"/>
        <v>2. 1-24 hours</v>
      </c>
      <c r="O2301" t="str">
        <f t="shared" si="71"/>
        <v>2025-12</v>
      </c>
    </row>
    <row r="2302" spans="1:15" x14ac:dyDescent="0.3">
      <c r="A2302" t="s">
        <v>5442</v>
      </c>
      <c r="B2302" t="s">
        <v>5443</v>
      </c>
      <c r="C2302" t="s">
        <v>81</v>
      </c>
      <c r="D2302" t="s">
        <v>38</v>
      </c>
      <c r="E2302" t="s">
        <v>90</v>
      </c>
      <c r="F2302" t="s">
        <v>112</v>
      </c>
      <c r="G2302">
        <v>6</v>
      </c>
      <c r="H2302" t="s">
        <v>61</v>
      </c>
      <c r="I2302" t="s">
        <v>42</v>
      </c>
      <c r="M2302">
        <f>VLOOKUP(H2302,'Stage Order'!$A$2:$B$8,2,FALSE)</f>
        <v>1</v>
      </c>
      <c r="N2302" t="str">
        <f t="shared" si="70"/>
        <v>2. 1-24 hours</v>
      </c>
      <c r="O2302" t="str">
        <f t="shared" si="71"/>
        <v>2025-02</v>
      </c>
    </row>
    <row r="2303" spans="1:15" x14ac:dyDescent="0.3">
      <c r="A2303" t="s">
        <v>5444</v>
      </c>
      <c r="B2303" t="s">
        <v>5445</v>
      </c>
      <c r="C2303" t="s">
        <v>37</v>
      </c>
      <c r="D2303" t="s">
        <v>97</v>
      </c>
      <c r="E2303" t="s">
        <v>30</v>
      </c>
      <c r="F2303" t="s">
        <v>31</v>
      </c>
      <c r="G2303">
        <v>2.2999999999999998</v>
      </c>
      <c r="H2303" t="s">
        <v>41</v>
      </c>
      <c r="I2303" t="s">
        <v>42</v>
      </c>
      <c r="M2303">
        <f>VLOOKUP(H2303,'Stage Order'!$A$2:$B$8,2,FALSE)</f>
        <v>2</v>
      </c>
      <c r="N2303" t="str">
        <f t="shared" si="70"/>
        <v>2. 1-24 hours</v>
      </c>
      <c r="O2303" t="str">
        <f t="shared" si="71"/>
        <v>2025-07</v>
      </c>
    </row>
    <row r="2304" spans="1:15" x14ac:dyDescent="0.3">
      <c r="A2304" t="s">
        <v>5446</v>
      </c>
      <c r="B2304" t="s">
        <v>5447</v>
      </c>
      <c r="C2304" t="s">
        <v>125</v>
      </c>
      <c r="D2304" t="s">
        <v>54</v>
      </c>
      <c r="E2304" t="s">
        <v>45</v>
      </c>
      <c r="F2304" t="s">
        <v>55</v>
      </c>
      <c r="G2304">
        <v>5.0999999999999996</v>
      </c>
      <c r="H2304" t="s">
        <v>61</v>
      </c>
      <c r="I2304" t="s">
        <v>42</v>
      </c>
      <c r="M2304">
        <f>VLOOKUP(H2304,'Stage Order'!$A$2:$B$8,2,FALSE)</f>
        <v>1</v>
      </c>
      <c r="N2304" t="str">
        <f t="shared" si="70"/>
        <v>2. 1-24 hours</v>
      </c>
      <c r="O2304" t="str">
        <f t="shared" si="71"/>
        <v>2026-06</v>
      </c>
    </row>
    <row r="2305" spans="1:15" x14ac:dyDescent="0.3">
      <c r="A2305" t="s">
        <v>5448</v>
      </c>
      <c r="B2305" t="s">
        <v>5449</v>
      </c>
      <c r="C2305" t="s">
        <v>37</v>
      </c>
      <c r="D2305" t="s">
        <v>38</v>
      </c>
      <c r="E2305" t="s">
        <v>90</v>
      </c>
      <c r="F2305" t="s">
        <v>91</v>
      </c>
      <c r="G2305">
        <v>10.27</v>
      </c>
      <c r="H2305" t="s">
        <v>41</v>
      </c>
      <c r="I2305" t="s">
        <v>42</v>
      </c>
      <c r="M2305">
        <f>VLOOKUP(H2305,'Stage Order'!$A$2:$B$8,2,FALSE)</f>
        <v>2</v>
      </c>
      <c r="N2305" t="str">
        <f t="shared" si="70"/>
        <v>2. 1-24 hours</v>
      </c>
      <c r="O2305" t="str">
        <f t="shared" si="71"/>
        <v>2025-07</v>
      </c>
    </row>
    <row r="2306" spans="1:15" x14ac:dyDescent="0.3">
      <c r="A2306" t="s">
        <v>5450</v>
      </c>
      <c r="B2306" t="s">
        <v>5451</v>
      </c>
      <c r="C2306" t="s">
        <v>58</v>
      </c>
      <c r="D2306" t="s">
        <v>54</v>
      </c>
      <c r="E2306" t="s">
        <v>59</v>
      </c>
      <c r="F2306" t="s">
        <v>60</v>
      </c>
      <c r="G2306">
        <v>5.04</v>
      </c>
      <c r="H2306" t="s">
        <v>61</v>
      </c>
      <c r="I2306" t="s">
        <v>42</v>
      </c>
      <c r="M2306">
        <f>VLOOKUP(H2306,'Stage Order'!$A$2:$B$8,2,FALSE)</f>
        <v>1</v>
      </c>
      <c r="N2306" t="str">
        <f t="shared" ref="N2306:N2369" si="72">IF(G2306&lt;=1,"1. Under 1 hour",IF(G2306&lt;=24,"2. 1-24 hours",IF(G2306&lt;=72,"3. 1-3 days","4. Over 3 days")))</f>
        <v>2. 1-24 hours</v>
      </c>
      <c r="O2306" t="str">
        <f t="shared" ref="O2306:O2369" si="73">TEXT(B2306,"YYYY-MM")</f>
        <v>2025-06</v>
      </c>
    </row>
    <row r="2307" spans="1:15" x14ac:dyDescent="0.3">
      <c r="A2307" t="s">
        <v>5452</v>
      </c>
      <c r="B2307" t="s">
        <v>5453</v>
      </c>
      <c r="C2307" t="s">
        <v>58</v>
      </c>
      <c r="D2307" t="s">
        <v>38</v>
      </c>
      <c r="E2307" t="s">
        <v>59</v>
      </c>
      <c r="F2307" t="s">
        <v>60</v>
      </c>
      <c r="G2307">
        <v>16.239999999999998</v>
      </c>
      <c r="H2307" t="s">
        <v>138</v>
      </c>
      <c r="I2307" t="s">
        <v>48</v>
      </c>
      <c r="J2307" t="s">
        <v>113</v>
      </c>
      <c r="K2307">
        <v>392.57</v>
      </c>
      <c r="L2307" t="s">
        <v>5454</v>
      </c>
      <c r="M2307">
        <f>VLOOKUP(H2307,'Stage Order'!$A$2:$B$8,2,FALSE)</f>
        <v>6</v>
      </c>
      <c r="N2307" t="str">
        <f t="shared" si="72"/>
        <v>2. 1-24 hours</v>
      </c>
      <c r="O2307" t="str">
        <f t="shared" si="73"/>
        <v>2026-05</v>
      </c>
    </row>
    <row r="2308" spans="1:15" x14ac:dyDescent="0.3">
      <c r="A2308" t="s">
        <v>5455</v>
      </c>
      <c r="B2308" t="s">
        <v>5456</v>
      </c>
      <c r="C2308" t="s">
        <v>81</v>
      </c>
      <c r="D2308" t="s">
        <v>77</v>
      </c>
      <c r="E2308" t="s">
        <v>39</v>
      </c>
      <c r="F2308" t="s">
        <v>66</v>
      </c>
      <c r="G2308">
        <v>0.36</v>
      </c>
      <c r="H2308" t="s">
        <v>61</v>
      </c>
      <c r="I2308" t="s">
        <v>42</v>
      </c>
      <c r="M2308">
        <f>VLOOKUP(H2308,'Stage Order'!$A$2:$B$8,2,FALSE)</f>
        <v>1</v>
      </c>
      <c r="N2308" t="str">
        <f t="shared" si="72"/>
        <v>1. Under 1 hour</v>
      </c>
      <c r="O2308" t="str">
        <f t="shared" si="73"/>
        <v>2026-04</v>
      </c>
    </row>
    <row r="2309" spans="1:15" x14ac:dyDescent="0.3">
      <c r="A2309" t="s">
        <v>5457</v>
      </c>
      <c r="B2309" t="s">
        <v>5458</v>
      </c>
      <c r="C2309" t="s">
        <v>37</v>
      </c>
      <c r="D2309" t="s">
        <v>54</v>
      </c>
      <c r="E2309" t="s">
        <v>30</v>
      </c>
      <c r="F2309" t="s">
        <v>82</v>
      </c>
      <c r="G2309">
        <v>2.9</v>
      </c>
      <c r="H2309" t="s">
        <v>41</v>
      </c>
      <c r="I2309" t="s">
        <v>42</v>
      </c>
      <c r="M2309">
        <f>VLOOKUP(H2309,'Stage Order'!$A$2:$B$8,2,FALSE)</f>
        <v>2</v>
      </c>
      <c r="N2309" t="str">
        <f t="shared" si="72"/>
        <v>2. 1-24 hours</v>
      </c>
      <c r="O2309" t="str">
        <f t="shared" si="73"/>
        <v>2026-03</v>
      </c>
    </row>
    <row r="2310" spans="1:15" x14ac:dyDescent="0.3">
      <c r="A2310" t="s">
        <v>5459</v>
      </c>
      <c r="B2310" t="s">
        <v>5460</v>
      </c>
      <c r="C2310" t="s">
        <v>28</v>
      </c>
      <c r="D2310" t="s">
        <v>29</v>
      </c>
      <c r="E2310" t="s">
        <v>59</v>
      </c>
      <c r="F2310" t="s">
        <v>137</v>
      </c>
      <c r="G2310">
        <v>2.34</v>
      </c>
      <c r="H2310" t="s">
        <v>41</v>
      </c>
      <c r="I2310" t="s">
        <v>42</v>
      </c>
      <c r="M2310">
        <f>VLOOKUP(H2310,'Stage Order'!$A$2:$B$8,2,FALSE)</f>
        <v>2</v>
      </c>
      <c r="N2310" t="str">
        <f t="shared" si="72"/>
        <v>2. 1-24 hours</v>
      </c>
      <c r="O2310" t="str">
        <f t="shared" si="73"/>
        <v>2025-09</v>
      </c>
    </row>
    <row r="2311" spans="1:15" x14ac:dyDescent="0.3">
      <c r="A2311" t="s">
        <v>5461</v>
      </c>
      <c r="B2311" t="s">
        <v>5462</v>
      </c>
      <c r="C2311" t="s">
        <v>76</v>
      </c>
      <c r="D2311" t="s">
        <v>77</v>
      </c>
      <c r="E2311" t="s">
        <v>39</v>
      </c>
      <c r="F2311" t="s">
        <v>66</v>
      </c>
      <c r="G2311">
        <v>1.83</v>
      </c>
      <c r="H2311" t="s">
        <v>138</v>
      </c>
      <c r="I2311" t="s">
        <v>48</v>
      </c>
      <c r="J2311" t="s">
        <v>139</v>
      </c>
      <c r="K2311">
        <v>857.63</v>
      </c>
      <c r="L2311" t="s">
        <v>5463</v>
      </c>
      <c r="M2311">
        <f>VLOOKUP(H2311,'Stage Order'!$A$2:$B$8,2,FALSE)</f>
        <v>6</v>
      </c>
      <c r="N2311" t="str">
        <f t="shared" si="72"/>
        <v>2. 1-24 hours</v>
      </c>
      <c r="O2311" t="str">
        <f t="shared" si="73"/>
        <v>2025-09</v>
      </c>
    </row>
    <row r="2312" spans="1:15" x14ac:dyDescent="0.3">
      <c r="A2312" t="s">
        <v>5464</v>
      </c>
      <c r="B2312" t="s">
        <v>5465</v>
      </c>
      <c r="C2312" t="s">
        <v>125</v>
      </c>
      <c r="D2312" t="s">
        <v>54</v>
      </c>
      <c r="E2312" t="s">
        <v>59</v>
      </c>
      <c r="F2312" t="s">
        <v>60</v>
      </c>
      <c r="G2312">
        <v>3.45</v>
      </c>
      <c r="H2312" t="s">
        <v>128</v>
      </c>
      <c r="I2312" t="s">
        <v>42</v>
      </c>
      <c r="M2312">
        <f>VLOOKUP(H2312,'Stage Order'!$A$2:$B$8,2,FALSE)</f>
        <v>3</v>
      </c>
      <c r="N2312" t="str">
        <f t="shared" si="72"/>
        <v>2. 1-24 hours</v>
      </c>
      <c r="O2312" t="str">
        <f t="shared" si="73"/>
        <v>2026-01</v>
      </c>
    </row>
    <row r="2313" spans="1:15" x14ac:dyDescent="0.3">
      <c r="A2313" t="s">
        <v>5466</v>
      </c>
      <c r="B2313" t="s">
        <v>5467</v>
      </c>
      <c r="C2313" t="s">
        <v>53</v>
      </c>
      <c r="D2313" t="s">
        <v>97</v>
      </c>
      <c r="E2313" t="s">
        <v>39</v>
      </c>
      <c r="F2313" t="s">
        <v>106</v>
      </c>
      <c r="G2313">
        <v>1.01</v>
      </c>
      <c r="H2313" t="s">
        <v>32</v>
      </c>
      <c r="I2313" t="s">
        <v>33</v>
      </c>
      <c r="K2313">
        <v>1414.67</v>
      </c>
      <c r="L2313" t="s">
        <v>5468</v>
      </c>
      <c r="M2313">
        <f>VLOOKUP(H2313,'Stage Order'!$A$2:$B$8,2,FALSE)</f>
        <v>7</v>
      </c>
      <c r="N2313" t="str">
        <f t="shared" si="72"/>
        <v>2. 1-24 hours</v>
      </c>
      <c r="O2313" t="str">
        <f t="shared" si="73"/>
        <v>2025-05</v>
      </c>
    </row>
    <row r="2314" spans="1:15" x14ac:dyDescent="0.3">
      <c r="A2314" t="s">
        <v>5469</v>
      </c>
      <c r="B2314" t="s">
        <v>5470</v>
      </c>
      <c r="C2314" t="s">
        <v>37</v>
      </c>
      <c r="D2314" t="s">
        <v>77</v>
      </c>
      <c r="E2314" t="s">
        <v>90</v>
      </c>
      <c r="F2314" t="s">
        <v>91</v>
      </c>
      <c r="G2314">
        <v>2.19</v>
      </c>
      <c r="H2314" t="s">
        <v>41</v>
      </c>
      <c r="I2314" t="s">
        <v>42</v>
      </c>
      <c r="M2314">
        <f>VLOOKUP(H2314,'Stage Order'!$A$2:$B$8,2,FALSE)</f>
        <v>2</v>
      </c>
      <c r="N2314" t="str">
        <f t="shared" si="72"/>
        <v>2. 1-24 hours</v>
      </c>
      <c r="O2314" t="str">
        <f t="shared" si="73"/>
        <v>2025-11</v>
      </c>
    </row>
    <row r="2315" spans="1:15" x14ac:dyDescent="0.3">
      <c r="A2315" t="s">
        <v>5471</v>
      </c>
      <c r="B2315" t="s">
        <v>5472</v>
      </c>
      <c r="C2315" t="s">
        <v>37</v>
      </c>
      <c r="D2315" t="s">
        <v>29</v>
      </c>
      <c r="E2315" t="s">
        <v>30</v>
      </c>
      <c r="F2315" t="s">
        <v>31</v>
      </c>
      <c r="G2315">
        <v>7.53</v>
      </c>
      <c r="H2315" t="s">
        <v>32</v>
      </c>
      <c r="I2315" t="s">
        <v>33</v>
      </c>
      <c r="K2315">
        <v>577.47</v>
      </c>
      <c r="L2315" t="s">
        <v>5473</v>
      </c>
      <c r="M2315">
        <f>VLOOKUP(H2315,'Stage Order'!$A$2:$B$8,2,FALSE)</f>
        <v>7</v>
      </c>
      <c r="N2315" t="str">
        <f t="shared" si="72"/>
        <v>2. 1-24 hours</v>
      </c>
      <c r="O2315" t="str">
        <f t="shared" si="73"/>
        <v>2026-01</v>
      </c>
    </row>
    <row r="2316" spans="1:15" x14ac:dyDescent="0.3">
      <c r="A2316" t="s">
        <v>5474</v>
      </c>
      <c r="B2316" t="s">
        <v>5475</v>
      </c>
      <c r="C2316" t="s">
        <v>53</v>
      </c>
      <c r="D2316" t="s">
        <v>29</v>
      </c>
      <c r="E2316" t="s">
        <v>45</v>
      </c>
      <c r="F2316" t="s">
        <v>46</v>
      </c>
      <c r="G2316">
        <v>4.76</v>
      </c>
      <c r="H2316" t="s">
        <v>32</v>
      </c>
      <c r="I2316" t="s">
        <v>33</v>
      </c>
      <c r="K2316">
        <v>552.64</v>
      </c>
      <c r="L2316" t="s">
        <v>5476</v>
      </c>
      <c r="M2316">
        <f>VLOOKUP(H2316,'Stage Order'!$A$2:$B$8,2,FALSE)</f>
        <v>7</v>
      </c>
      <c r="N2316" t="str">
        <f t="shared" si="72"/>
        <v>2. 1-24 hours</v>
      </c>
      <c r="O2316" t="str">
        <f t="shared" si="73"/>
        <v>2025-05</v>
      </c>
    </row>
    <row r="2317" spans="1:15" x14ac:dyDescent="0.3">
      <c r="A2317" t="s">
        <v>5477</v>
      </c>
      <c r="B2317" t="s">
        <v>5478</v>
      </c>
      <c r="C2317" t="s">
        <v>58</v>
      </c>
      <c r="D2317" t="s">
        <v>29</v>
      </c>
      <c r="E2317" t="s">
        <v>39</v>
      </c>
      <c r="F2317" t="s">
        <v>106</v>
      </c>
      <c r="G2317">
        <v>3.91</v>
      </c>
      <c r="H2317" t="s">
        <v>41</v>
      </c>
      <c r="I2317" t="s">
        <v>42</v>
      </c>
      <c r="M2317">
        <f>VLOOKUP(H2317,'Stage Order'!$A$2:$B$8,2,FALSE)</f>
        <v>2</v>
      </c>
      <c r="N2317" t="str">
        <f t="shared" si="72"/>
        <v>2. 1-24 hours</v>
      </c>
      <c r="O2317" t="str">
        <f t="shared" si="73"/>
        <v>2026-04</v>
      </c>
    </row>
    <row r="2318" spans="1:15" x14ac:dyDescent="0.3">
      <c r="A2318" t="s">
        <v>5479</v>
      </c>
      <c r="B2318" t="s">
        <v>5480</v>
      </c>
      <c r="C2318" t="s">
        <v>53</v>
      </c>
      <c r="D2318" t="s">
        <v>77</v>
      </c>
      <c r="E2318" t="s">
        <v>59</v>
      </c>
      <c r="F2318" t="s">
        <v>117</v>
      </c>
      <c r="G2318">
        <v>1.17</v>
      </c>
      <c r="H2318" t="s">
        <v>32</v>
      </c>
      <c r="I2318" t="s">
        <v>33</v>
      </c>
      <c r="K2318">
        <v>1157.52</v>
      </c>
      <c r="L2318" t="s">
        <v>5481</v>
      </c>
      <c r="M2318">
        <f>VLOOKUP(H2318,'Stage Order'!$A$2:$B$8,2,FALSE)</f>
        <v>7</v>
      </c>
      <c r="N2318" t="str">
        <f t="shared" si="72"/>
        <v>2. 1-24 hours</v>
      </c>
      <c r="O2318" t="str">
        <f t="shared" si="73"/>
        <v>2025-02</v>
      </c>
    </row>
    <row r="2319" spans="1:15" x14ac:dyDescent="0.3">
      <c r="A2319" t="s">
        <v>5482</v>
      </c>
      <c r="B2319" t="s">
        <v>5483</v>
      </c>
      <c r="C2319" t="s">
        <v>81</v>
      </c>
      <c r="D2319" t="s">
        <v>54</v>
      </c>
      <c r="E2319" t="s">
        <v>59</v>
      </c>
      <c r="F2319" t="s">
        <v>117</v>
      </c>
      <c r="G2319">
        <v>30.96</v>
      </c>
      <c r="H2319" t="s">
        <v>138</v>
      </c>
      <c r="I2319" t="s">
        <v>48</v>
      </c>
      <c r="J2319" t="s">
        <v>139</v>
      </c>
      <c r="K2319">
        <v>449.45</v>
      </c>
      <c r="L2319" t="s">
        <v>5484</v>
      </c>
      <c r="M2319">
        <f>VLOOKUP(H2319,'Stage Order'!$A$2:$B$8,2,FALSE)</f>
        <v>6</v>
      </c>
      <c r="N2319" t="str">
        <f t="shared" si="72"/>
        <v>3. 1-3 days</v>
      </c>
      <c r="O2319" t="str">
        <f t="shared" si="73"/>
        <v>2025-07</v>
      </c>
    </row>
    <row r="2320" spans="1:15" x14ac:dyDescent="0.3">
      <c r="A2320" t="s">
        <v>5485</v>
      </c>
      <c r="B2320" t="s">
        <v>5486</v>
      </c>
      <c r="C2320" t="s">
        <v>53</v>
      </c>
      <c r="D2320" t="s">
        <v>97</v>
      </c>
      <c r="E2320" t="s">
        <v>30</v>
      </c>
      <c r="F2320" t="s">
        <v>78</v>
      </c>
      <c r="G2320">
        <v>4.75</v>
      </c>
      <c r="H2320" t="s">
        <v>32</v>
      </c>
      <c r="I2320" t="s">
        <v>33</v>
      </c>
      <c r="K2320">
        <v>1358.09</v>
      </c>
      <c r="L2320" t="s">
        <v>5487</v>
      </c>
      <c r="M2320">
        <f>VLOOKUP(H2320,'Stage Order'!$A$2:$B$8,2,FALSE)</f>
        <v>7</v>
      </c>
      <c r="N2320" t="str">
        <f t="shared" si="72"/>
        <v>2. 1-24 hours</v>
      </c>
      <c r="O2320" t="str">
        <f t="shared" si="73"/>
        <v>2025-08</v>
      </c>
    </row>
    <row r="2321" spans="1:15" x14ac:dyDescent="0.3">
      <c r="A2321" t="s">
        <v>5488</v>
      </c>
      <c r="B2321" t="s">
        <v>5489</v>
      </c>
      <c r="C2321" t="s">
        <v>37</v>
      </c>
      <c r="D2321" t="s">
        <v>54</v>
      </c>
      <c r="E2321" t="s">
        <v>45</v>
      </c>
      <c r="F2321" t="s">
        <v>55</v>
      </c>
      <c r="G2321">
        <v>9.42</v>
      </c>
      <c r="H2321" t="s">
        <v>32</v>
      </c>
      <c r="I2321" t="s">
        <v>33</v>
      </c>
      <c r="K2321">
        <v>493.16</v>
      </c>
      <c r="L2321" t="s">
        <v>5490</v>
      </c>
      <c r="M2321">
        <f>VLOOKUP(H2321,'Stage Order'!$A$2:$B$8,2,FALSE)</f>
        <v>7</v>
      </c>
      <c r="N2321" t="str">
        <f t="shared" si="72"/>
        <v>2. 1-24 hours</v>
      </c>
      <c r="O2321" t="str">
        <f t="shared" si="73"/>
        <v>2025-08</v>
      </c>
    </row>
    <row r="2322" spans="1:15" x14ac:dyDescent="0.3">
      <c r="A2322" t="s">
        <v>5491</v>
      </c>
      <c r="B2322" t="s">
        <v>5492</v>
      </c>
      <c r="C2322" t="s">
        <v>28</v>
      </c>
      <c r="D2322" t="s">
        <v>54</v>
      </c>
      <c r="E2322" t="s">
        <v>90</v>
      </c>
      <c r="F2322" t="s">
        <v>145</v>
      </c>
      <c r="G2322">
        <v>1.22</v>
      </c>
      <c r="H2322" t="s">
        <v>32</v>
      </c>
      <c r="I2322" t="s">
        <v>33</v>
      </c>
      <c r="K2322">
        <v>444.31</v>
      </c>
      <c r="L2322" t="s">
        <v>5493</v>
      </c>
      <c r="M2322">
        <f>VLOOKUP(H2322,'Stage Order'!$A$2:$B$8,2,FALSE)</f>
        <v>7</v>
      </c>
      <c r="N2322" t="str">
        <f t="shared" si="72"/>
        <v>2. 1-24 hours</v>
      </c>
      <c r="O2322" t="str">
        <f t="shared" si="73"/>
        <v>2026-01</v>
      </c>
    </row>
    <row r="2323" spans="1:15" x14ac:dyDescent="0.3">
      <c r="A2323" t="s">
        <v>5494</v>
      </c>
      <c r="B2323" t="s">
        <v>5495</v>
      </c>
      <c r="C2323" t="s">
        <v>53</v>
      </c>
      <c r="D2323" t="s">
        <v>97</v>
      </c>
      <c r="E2323" t="s">
        <v>59</v>
      </c>
      <c r="F2323" t="s">
        <v>60</v>
      </c>
      <c r="G2323">
        <v>12.18</v>
      </c>
      <c r="H2323" t="s">
        <v>41</v>
      </c>
      <c r="I2323" t="s">
        <v>42</v>
      </c>
      <c r="M2323">
        <f>VLOOKUP(H2323,'Stage Order'!$A$2:$B$8,2,FALSE)</f>
        <v>2</v>
      </c>
      <c r="N2323" t="str">
        <f t="shared" si="72"/>
        <v>2. 1-24 hours</v>
      </c>
      <c r="O2323" t="str">
        <f t="shared" si="73"/>
        <v>2025-12</v>
      </c>
    </row>
    <row r="2324" spans="1:15" x14ac:dyDescent="0.3">
      <c r="A2324" t="s">
        <v>5496</v>
      </c>
      <c r="B2324" t="s">
        <v>5497</v>
      </c>
      <c r="C2324" t="s">
        <v>125</v>
      </c>
      <c r="D2324" t="s">
        <v>54</v>
      </c>
      <c r="E2324" t="s">
        <v>59</v>
      </c>
      <c r="F2324" t="s">
        <v>60</v>
      </c>
      <c r="G2324">
        <v>0.69</v>
      </c>
      <c r="H2324" t="s">
        <v>146</v>
      </c>
      <c r="I2324" t="s">
        <v>48</v>
      </c>
      <c r="J2324" t="s">
        <v>139</v>
      </c>
      <c r="K2324">
        <v>456.08</v>
      </c>
      <c r="L2324" t="s">
        <v>5498</v>
      </c>
      <c r="M2324">
        <f>VLOOKUP(H2324,'Stage Order'!$A$2:$B$8,2,FALSE)</f>
        <v>5</v>
      </c>
      <c r="N2324" t="str">
        <f t="shared" si="72"/>
        <v>1. Under 1 hour</v>
      </c>
      <c r="O2324" t="str">
        <f t="shared" si="73"/>
        <v>2026-05</v>
      </c>
    </row>
    <row r="2325" spans="1:15" x14ac:dyDescent="0.3">
      <c r="A2325" t="s">
        <v>5499</v>
      </c>
      <c r="B2325" t="s">
        <v>5500</v>
      </c>
      <c r="C2325" t="s">
        <v>37</v>
      </c>
      <c r="D2325" t="s">
        <v>29</v>
      </c>
      <c r="E2325" t="s">
        <v>90</v>
      </c>
      <c r="F2325" t="s">
        <v>112</v>
      </c>
      <c r="G2325">
        <v>1.95</v>
      </c>
      <c r="H2325" t="s">
        <v>146</v>
      </c>
      <c r="I2325" t="s">
        <v>48</v>
      </c>
      <c r="J2325" t="s">
        <v>742</v>
      </c>
      <c r="K2325">
        <v>605.79999999999995</v>
      </c>
      <c r="L2325" t="s">
        <v>5501</v>
      </c>
      <c r="M2325">
        <f>VLOOKUP(H2325,'Stage Order'!$A$2:$B$8,2,FALSE)</f>
        <v>5</v>
      </c>
      <c r="N2325" t="str">
        <f t="shared" si="72"/>
        <v>2. 1-24 hours</v>
      </c>
      <c r="O2325" t="str">
        <f t="shared" si="73"/>
        <v>2025-12</v>
      </c>
    </row>
    <row r="2326" spans="1:15" x14ac:dyDescent="0.3">
      <c r="A2326" t="s">
        <v>5502</v>
      </c>
      <c r="B2326" t="s">
        <v>5503</v>
      </c>
      <c r="C2326" t="s">
        <v>28</v>
      </c>
      <c r="D2326" t="s">
        <v>97</v>
      </c>
      <c r="E2326" t="s">
        <v>39</v>
      </c>
      <c r="F2326" t="s">
        <v>106</v>
      </c>
      <c r="G2326">
        <v>4.1100000000000003</v>
      </c>
      <c r="H2326" t="s">
        <v>32</v>
      </c>
      <c r="I2326" t="s">
        <v>33</v>
      </c>
      <c r="K2326">
        <v>1532.81</v>
      </c>
      <c r="L2326" t="s">
        <v>5504</v>
      </c>
      <c r="M2326">
        <f>VLOOKUP(H2326,'Stage Order'!$A$2:$B$8,2,FALSE)</f>
        <v>7</v>
      </c>
      <c r="N2326" t="str">
        <f t="shared" si="72"/>
        <v>2. 1-24 hours</v>
      </c>
      <c r="O2326" t="str">
        <f t="shared" si="73"/>
        <v>2025-03</v>
      </c>
    </row>
    <row r="2327" spans="1:15" x14ac:dyDescent="0.3">
      <c r="A2327" t="s">
        <v>5505</v>
      </c>
      <c r="B2327" t="s">
        <v>5506</v>
      </c>
      <c r="C2327" t="s">
        <v>125</v>
      </c>
      <c r="D2327" t="s">
        <v>77</v>
      </c>
      <c r="E2327" t="s">
        <v>45</v>
      </c>
      <c r="F2327" t="s">
        <v>94</v>
      </c>
      <c r="G2327">
        <v>14.59</v>
      </c>
      <c r="H2327" t="s">
        <v>41</v>
      </c>
      <c r="I2327" t="s">
        <v>42</v>
      </c>
      <c r="M2327">
        <f>VLOOKUP(H2327,'Stage Order'!$A$2:$B$8,2,FALSE)</f>
        <v>2</v>
      </c>
      <c r="N2327" t="str">
        <f t="shared" si="72"/>
        <v>2. 1-24 hours</v>
      </c>
      <c r="O2327" t="str">
        <f t="shared" si="73"/>
        <v>2026-01</v>
      </c>
    </row>
    <row r="2328" spans="1:15" x14ac:dyDescent="0.3">
      <c r="A2328" t="s">
        <v>5507</v>
      </c>
      <c r="B2328" t="s">
        <v>5508</v>
      </c>
      <c r="C2328" t="s">
        <v>125</v>
      </c>
      <c r="D2328" t="s">
        <v>77</v>
      </c>
      <c r="E2328" t="s">
        <v>45</v>
      </c>
      <c r="F2328" t="s">
        <v>46</v>
      </c>
      <c r="G2328">
        <v>1.33</v>
      </c>
      <c r="H2328" t="s">
        <v>41</v>
      </c>
      <c r="I2328" t="s">
        <v>42</v>
      </c>
      <c r="M2328">
        <f>VLOOKUP(H2328,'Stage Order'!$A$2:$B$8,2,FALSE)</f>
        <v>2</v>
      </c>
      <c r="N2328" t="str">
        <f t="shared" si="72"/>
        <v>2. 1-24 hours</v>
      </c>
      <c r="O2328" t="str">
        <f t="shared" si="73"/>
        <v>2025-12</v>
      </c>
    </row>
    <row r="2329" spans="1:15" x14ac:dyDescent="0.3">
      <c r="A2329" t="s">
        <v>5509</v>
      </c>
      <c r="B2329" t="s">
        <v>5510</v>
      </c>
      <c r="C2329" t="s">
        <v>76</v>
      </c>
      <c r="D2329" t="s">
        <v>38</v>
      </c>
      <c r="E2329" t="s">
        <v>30</v>
      </c>
      <c r="F2329" t="s">
        <v>31</v>
      </c>
      <c r="G2329">
        <v>3.63</v>
      </c>
      <c r="H2329" t="s">
        <v>41</v>
      </c>
      <c r="I2329" t="s">
        <v>42</v>
      </c>
      <c r="M2329">
        <f>VLOOKUP(H2329,'Stage Order'!$A$2:$B$8,2,FALSE)</f>
        <v>2</v>
      </c>
      <c r="N2329" t="str">
        <f t="shared" si="72"/>
        <v>2. 1-24 hours</v>
      </c>
      <c r="O2329" t="str">
        <f t="shared" si="73"/>
        <v>2026-06</v>
      </c>
    </row>
    <row r="2330" spans="1:15" x14ac:dyDescent="0.3">
      <c r="A2330" t="s">
        <v>5511</v>
      </c>
      <c r="B2330" t="s">
        <v>5512</v>
      </c>
      <c r="C2330" t="s">
        <v>37</v>
      </c>
      <c r="D2330" t="s">
        <v>29</v>
      </c>
      <c r="E2330" t="s">
        <v>39</v>
      </c>
      <c r="F2330" t="s">
        <v>66</v>
      </c>
      <c r="G2330">
        <v>3.63</v>
      </c>
      <c r="H2330" t="s">
        <v>41</v>
      </c>
      <c r="I2330" t="s">
        <v>42</v>
      </c>
      <c r="M2330">
        <f>VLOOKUP(H2330,'Stage Order'!$A$2:$B$8,2,FALSE)</f>
        <v>2</v>
      </c>
      <c r="N2330" t="str">
        <f t="shared" si="72"/>
        <v>2. 1-24 hours</v>
      </c>
      <c r="O2330" t="str">
        <f t="shared" si="73"/>
        <v>2025-08</v>
      </c>
    </row>
    <row r="2331" spans="1:15" x14ac:dyDescent="0.3">
      <c r="A2331" t="s">
        <v>5513</v>
      </c>
      <c r="B2331" t="s">
        <v>5514</v>
      </c>
      <c r="C2331" t="s">
        <v>37</v>
      </c>
      <c r="D2331" t="s">
        <v>54</v>
      </c>
      <c r="E2331" t="s">
        <v>90</v>
      </c>
      <c r="F2331" t="s">
        <v>91</v>
      </c>
      <c r="G2331">
        <v>2.2599999999999998</v>
      </c>
      <c r="H2331" t="s">
        <v>47</v>
      </c>
      <c r="I2331" t="s">
        <v>48</v>
      </c>
      <c r="J2331" t="s">
        <v>742</v>
      </c>
      <c r="K2331">
        <v>478.42</v>
      </c>
      <c r="L2331" t="s">
        <v>5515</v>
      </c>
      <c r="M2331">
        <f>VLOOKUP(H2331,'Stage Order'!$A$2:$B$8,2,FALSE)</f>
        <v>4</v>
      </c>
      <c r="N2331" t="str">
        <f t="shared" si="72"/>
        <v>2. 1-24 hours</v>
      </c>
      <c r="O2331" t="str">
        <f t="shared" si="73"/>
        <v>2026-02</v>
      </c>
    </row>
    <row r="2332" spans="1:15" x14ac:dyDescent="0.3">
      <c r="A2332" t="s">
        <v>5516</v>
      </c>
      <c r="B2332" t="s">
        <v>5517</v>
      </c>
      <c r="C2332" t="s">
        <v>37</v>
      </c>
      <c r="D2332" t="s">
        <v>77</v>
      </c>
      <c r="E2332" t="s">
        <v>45</v>
      </c>
      <c r="F2332" t="s">
        <v>55</v>
      </c>
      <c r="G2332">
        <v>3.54</v>
      </c>
      <c r="H2332" t="s">
        <v>41</v>
      </c>
      <c r="I2332" t="s">
        <v>42</v>
      </c>
      <c r="M2332">
        <f>VLOOKUP(H2332,'Stage Order'!$A$2:$B$8,2,FALSE)</f>
        <v>2</v>
      </c>
      <c r="N2332" t="str">
        <f t="shared" si="72"/>
        <v>2. 1-24 hours</v>
      </c>
      <c r="O2332" t="str">
        <f t="shared" si="73"/>
        <v>2025-03</v>
      </c>
    </row>
    <row r="2333" spans="1:15" x14ac:dyDescent="0.3">
      <c r="A2333" t="s">
        <v>5518</v>
      </c>
      <c r="B2333" t="s">
        <v>5519</v>
      </c>
      <c r="C2333" t="s">
        <v>76</v>
      </c>
      <c r="D2333" t="s">
        <v>77</v>
      </c>
      <c r="E2333" t="s">
        <v>59</v>
      </c>
      <c r="F2333" t="s">
        <v>137</v>
      </c>
      <c r="G2333">
        <v>7.71</v>
      </c>
      <c r="H2333" t="s">
        <v>41</v>
      </c>
      <c r="I2333" t="s">
        <v>42</v>
      </c>
      <c r="M2333">
        <f>VLOOKUP(H2333,'Stage Order'!$A$2:$B$8,2,FALSE)</f>
        <v>2</v>
      </c>
      <c r="N2333" t="str">
        <f t="shared" si="72"/>
        <v>2. 1-24 hours</v>
      </c>
      <c r="O2333" t="str">
        <f t="shared" si="73"/>
        <v>2026-01</v>
      </c>
    </row>
    <row r="2334" spans="1:15" x14ac:dyDescent="0.3">
      <c r="A2334" t="s">
        <v>5520</v>
      </c>
      <c r="B2334" t="s">
        <v>5521</v>
      </c>
      <c r="C2334" t="s">
        <v>58</v>
      </c>
      <c r="D2334" t="s">
        <v>38</v>
      </c>
      <c r="E2334" t="s">
        <v>59</v>
      </c>
      <c r="F2334" t="s">
        <v>60</v>
      </c>
      <c r="G2334">
        <v>1.54</v>
      </c>
      <c r="H2334" t="s">
        <v>61</v>
      </c>
      <c r="I2334" t="s">
        <v>42</v>
      </c>
      <c r="M2334">
        <f>VLOOKUP(H2334,'Stage Order'!$A$2:$B$8,2,FALSE)</f>
        <v>1</v>
      </c>
      <c r="N2334" t="str">
        <f t="shared" si="72"/>
        <v>2. 1-24 hours</v>
      </c>
      <c r="O2334" t="str">
        <f t="shared" si="73"/>
        <v>2025-07</v>
      </c>
    </row>
    <row r="2335" spans="1:15" x14ac:dyDescent="0.3">
      <c r="A2335" t="s">
        <v>5522</v>
      </c>
      <c r="B2335" t="s">
        <v>5523</v>
      </c>
      <c r="C2335" t="s">
        <v>37</v>
      </c>
      <c r="D2335" t="s">
        <v>54</v>
      </c>
      <c r="E2335" t="s">
        <v>59</v>
      </c>
      <c r="F2335" t="s">
        <v>117</v>
      </c>
      <c r="G2335">
        <v>4.28</v>
      </c>
      <c r="H2335" t="s">
        <v>138</v>
      </c>
      <c r="I2335" t="s">
        <v>48</v>
      </c>
      <c r="J2335" t="s">
        <v>742</v>
      </c>
      <c r="K2335">
        <v>438.7</v>
      </c>
      <c r="L2335" t="s">
        <v>5524</v>
      </c>
      <c r="M2335">
        <f>VLOOKUP(H2335,'Stage Order'!$A$2:$B$8,2,FALSE)</f>
        <v>6</v>
      </c>
      <c r="N2335" t="str">
        <f t="shared" si="72"/>
        <v>2. 1-24 hours</v>
      </c>
      <c r="O2335" t="str">
        <f t="shared" si="73"/>
        <v>2026-01</v>
      </c>
    </row>
    <row r="2336" spans="1:15" x14ac:dyDescent="0.3">
      <c r="A2336" t="s">
        <v>5525</v>
      </c>
      <c r="B2336" t="s">
        <v>5526</v>
      </c>
      <c r="C2336" t="s">
        <v>125</v>
      </c>
      <c r="D2336" t="s">
        <v>38</v>
      </c>
      <c r="E2336" t="s">
        <v>30</v>
      </c>
      <c r="F2336" t="s">
        <v>78</v>
      </c>
      <c r="G2336">
        <v>3.78</v>
      </c>
      <c r="H2336" t="s">
        <v>47</v>
      </c>
      <c r="I2336" t="s">
        <v>48</v>
      </c>
      <c r="J2336" t="s">
        <v>49</v>
      </c>
      <c r="K2336">
        <v>339.41</v>
      </c>
      <c r="L2336" t="s">
        <v>5527</v>
      </c>
      <c r="M2336">
        <f>VLOOKUP(H2336,'Stage Order'!$A$2:$B$8,2,FALSE)</f>
        <v>4</v>
      </c>
      <c r="N2336" t="str">
        <f t="shared" si="72"/>
        <v>2. 1-24 hours</v>
      </c>
      <c r="O2336" t="str">
        <f t="shared" si="73"/>
        <v>2025-07</v>
      </c>
    </row>
    <row r="2337" spans="1:15" x14ac:dyDescent="0.3">
      <c r="A2337" t="s">
        <v>5528</v>
      </c>
      <c r="B2337" t="s">
        <v>5529</v>
      </c>
      <c r="C2337" t="s">
        <v>37</v>
      </c>
      <c r="D2337" t="s">
        <v>29</v>
      </c>
      <c r="E2337" t="s">
        <v>59</v>
      </c>
      <c r="F2337" t="s">
        <v>137</v>
      </c>
      <c r="G2337">
        <v>3.16</v>
      </c>
      <c r="H2337" t="s">
        <v>138</v>
      </c>
      <c r="I2337" t="s">
        <v>48</v>
      </c>
      <c r="J2337" t="s">
        <v>113</v>
      </c>
      <c r="K2337">
        <v>718.42</v>
      </c>
      <c r="L2337" t="s">
        <v>5530</v>
      </c>
      <c r="M2337">
        <f>VLOOKUP(H2337,'Stage Order'!$A$2:$B$8,2,FALSE)</f>
        <v>6</v>
      </c>
      <c r="N2337" t="str">
        <f t="shared" si="72"/>
        <v>2. 1-24 hours</v>
      </c>
      <c r="O2337" t="str">
        <f t="shared" si="73"/>
        <v>2025-04</v>
      </c>
    </row>
    <row r="2338" spans="1:15" x14ac:dyDescent="0.3">
      <c r="A2338" t="s">
        <v>5531</v>
      </c>
      <c r="B2338" t="s">
        <v>5532</v>
      </c>
      <c r="C2338" t="s">
        <v>37</v>
      </c>
      <c r="D2338" t="s">
        <v>54</v>
      </c>
      <c r="E2338" t="s">
        <v>39</v>
      </c>
      <c r="F2338" t="s">
        <v>40</v>
      </c>
      <c r="G2338">
        <v>2.74</v>
      </c>
      <c r="H2338" t="s">
        <v>32</v>
      </c>
      <c r="I2338" t="s">
        <v>33</v>
      </c>
      <c r="K2338">
        <v>597.15</v>
      </c>
      <c r="L2338" t="s">
        <v>5533</v>
      </c>
      <c r="M2338">
        <f>VLOOKUP(H2338,'Stage Order'!$A$2:$B$8,2,FALSE)</f>
        <v>7</v>
      </c>
      <c r="N2338" t="str">
        <f t="shared" si="72"/>
        <v>2. 1-24 hours</v>
      </c>
      <c r="O2338" t="str">
        <f t="shared" si="73"/>
        <v>2025-05</v>
      </c>
    </row>
    <row r="2339" spans="1:15" x14ac:dyDescent="0.3">
      <c r="A2339" t="s">
        <v>5534</v>
      </c>
      <c r="B2339" t="s">
        <v>5535</v>
      </c>
      <c r="C2339" t="s">
        <v>53</v>
      </c>
      <c r="D2339" t="s">
        <v>54</v>
      </c>
      <c r="E2339" t="s">
        <v>59</v>
      </c>
      <c r="F2339" t="s">
        <v>137</v>
      </c>
      <c r="G2339">
        <v>3</v>
      </c>
      <c r="H2339" t="s">
        <v>32</v>
      </c>
      <c r="I2339" t="s">
        <v>33</v>
      </c>
      <c r="K2339">
        <v>562.47</v>
      </c>
      <c r="L2339" t="s">
        <v>5536</v>
      </c>
      <c r="M2339">
        <f>VLOOKUP(H2339,'Stage Order'!$A$2:$B$8,2,FALSE)</f>
        <v>7</v>
      </c>
      <c r="N2339" t="str">
        <f t="shared" si="72"/>
        <v>2. 1-24 hours</v>
      </c>
      <c r="O2339" t="str">
        <f t="shared" si="73"/>
        <v>2026-02</v>
      </c>
    </row>
    <row r="2340" spans="1:15" x14ac:dyDescent="0.3">
      <c r="A2340" t="s">
        <v>5537</v>
      </c>
      <c r="B2340" t="s">
        <v>5538</v>
      </c>
      <c r="C2340" t="s">
        <v>58</v>
      </c>
      <c r="D2340" t="s">
        <v>54</v>
      </c>
      <c r="E2340" t="s">
        <v>90</v>
      </c>
      <c r="F2340" t="s">
        <v>91</v>
      </c>
      <c r="G2340">
        <v>1.4</v>
      </c>
      <c r="H2340" t="s">
        <v>47</v>
      </c>
      <c r="I2340" t="s">
        <v>48</v>
      </c>
      <c r="J2340" t="s">
        <v>139</v>
      </c>
      <c r="K2340">
        <v>455.5</v>
      </c>
      <c r="L2340" t="s">
        <v>5539</v>
      </c>
      <c r="M2340">
        <f>VLOOKUP(H2340,'Stage Order'!$A$2:$B$8,2,FALSE)</f>
        <v>4</v>
      </c>
      <c r="N2340" t="str">
        <f t="shared" si="72"/>
        <v>2. 1-24 hours</v>
      </c>
      <c r="O2340" t="str">
        <f t="shared" si="73"/>
        <v>2026-05</v>
      </c>
    </row>
    <row r="2341" spans="1:15" x14ac:dyDescent="0.3">
      <c r="A2341" t="s">
        <v>5540</v>
      </c>
      <c r="B2341" t="s">
        <v>5541</v>
      </c>
      <c r="C2341" t="s">
        <v>37</v>
      </c>
      <c r="D2341" t="s">
        <v>97</v>
      </c>
      <c r="E2341" t="s">
        <v>39</v>
      </c>
      <c r="F2341" t="s">
        <v>40</v>
      </c>
      <c r="G2341">
        <v>1.23</v>
      </c>
      <c r="H2341" t="s">
        <v>41</v>
      </c>
      <c r="I2341" t="s">
        <v>42</v>
      </c>
      <c r="M2341">
        <f>VLOOKUP(H2341,'Stage Order'!$A$2:$B$8,2,FALSE)</f>
        <v>2</v>
      </c>
      <c r="N2341" t="str">
        <f t="shared" si="72"/>
        <v>2. 1-24 hours</v>
      </c>
      <c r="O2341" t="str">
        <f t="shared" si="73"/>
        <v>2025-07</v>
      </c>
    </row>
    <row r="2342" spans="1:15" x14ac:dyDescent="0.3">
      <c r="A2342" t="s">
        <v>5542</v>
      </c>
      <c r="B2342" t="s">
        <v>5543</v>
      </c>
      <c r="C2342" t="s">
        <v>58</v>
      </c>
      <c r="D2342" t="s">
        <v>29</v>
      </c>
      <c r="E2342" t="s">
        <v>45</v>
      </c>
      <c r="F2342" t="s">
        <v>55</v>
      </c>
      <c r="G2342">
        <v>4.09</v>
      </c>
      <c r="H2342" t="s">
        <v>146</v>
      </c>
      <c r="I2342" t="s">
        <v>48</v>
      </c>
      <c r="J2342" t="s">
        <v>139</v>
      </c>
      <c r="K2342">
        <v>664.56</v>
      </c>
      <c r="L2342" t="s">
        <v>5544</v>
      </c>
      <c r="M2342">
        <f>VLOOKUP(H2342,'Stage Order'!$A$2:$B$8,2,FALSE)</f>
        <v>5</v>
      </c>
      <c r="N2342" t="str">
        <f t="shared" si="72"/>
        <v>2. 1-24 hours</v>
      </c>
      <c r="O2342" t="str">
        <f t="shared" si="73"/>
        <v>2025-08</v>
      </c>
    </row>
    <row r="2343" spans="1:15" x14ac:dyDescent="0.3">
      <c r="A2343" t="s">
        <v>5545</v>
      </c>
      <c r="B2343" t="s">
        <v>5546</v>
      </c>
      <c r="C2343" t="s">
        <v>53</v>
      </c>
      <c r="D2343" t="s">
        <v>29</v>
      </c>
      <c r="E2343" t="s">
        <v>39</v>
      </c>
      <c r="F2343" t="s">
        <v>106</v>
      </c>
      <c r="G2343">
        <v>2.92</v>
      </c>
      <c r="H2343" t="s">
        <v>32</v>
      </c>
      <c r="I2343" t="s">
        <v>33</v>
      </c>
      <c r="K2343">
        <v>544.91</v>
      </c>
      <c r="L2343" t="s">
        <v>5547</v>
      </c>
      <c r="M2343">
        <f>VLOOKUP(H2343,'Stage Order'!$A$2:$B$8,2,FALSE)</f>
        <v>7</v>
      </c>
      <c r="N2343" t="str">
        <f t="shared" si="72"/>
        <v>2. 1-24 hours</v>
      </c>
      <c r="O2343" t="str">
        <f t="shared" si="73"/>
        <v>2026-02</v>
      </c>
    </row>
    <row r="2344" spans="1:15" x14ac:dyDescent="0.3">
      <c r="A2344" t="s">
        <v>5548</v>
      </c>
      <c r="B2344" t="s">
        <v>5549</v>
      </c>
      <c r="C2344" t="s">
        <v>37</v>
      </c>
      <c r="D2344" t="s">
        <v>38</v>
      </c>
      <c r="E2344" t="s">
        <v>30</v>
      </c>
      <c r="F2344" t="s">
        <v>31</v>
      </c>
      <c r="G2344">
        <v>1.46</v>
      </c>
      <c r="H2344" t="s">
        <v>41</v>
      </c>
      <c r="I2344" t="s">
        <v>42</v>
      </c>
      <c r="M2344">
        <f>VLOOKUP(H2344,'Stage Order'!$A$2:$B$8,2,FALSE)</f>
        <v>2</v>
      </c>
      <c r="N2344" t="str">
        <f t="shared" si="72"/>
        <v>2. 1-24 hours</v>
      </c>
      <c r="O2344" t="str">
        <f t="shared" si="73"/>
        <v>2025-01</v>
      </c>
    </row>
    <row r="2345" spans="1:15" x14ac:dyDescent="0.3">
      <c r="A2345" t="s">
        <v>5550</v>
      </c>
      <c r="B2345" t="s">
        <v>5551</v>
      </c>
      <c r="C2345" t="s">
        <v>76</v>
      </c>
      <c r="D2345" t="s">
        <v>38</v>
      </c>
      <c r="E2345" t="s">
        <v>90</v>
      </c>
      <c r="F2345" t="s">
        <v>112</v>
      </c>
      <c r="G2345">
        <v>3.75</v>
      </c>
      <c r="H2345" t="s">
        <v>32</v>
      </c>
      <c r="I2345" t="s">
        <v>33</v>
      </c>
      <c r="K2345">
        <v>314.32</v>
      </c>
      <c r="L2345" t="s">
        <v>5552</v>
      </c>
      <c r="M2345">
        <f>VLOOKUP(H2345,'Stage Order'!$A$2:$B$8,2,FALSE)</f>
        <v>7</v>
      </c>
      <c r="N2345" t="str">
        <f t="shared" si="72"/>
        <v>2. 1-24 hours</v>
      </c>
      <c r="O2345" t="str">
        <f t="shared" si="73"/>
        <v>2025-10</v>
      </c>
    </row>
    <row r="2346" spans="1:15" x14ac:dyDescent="0.3">
      <c r="A2346" t="s">
        <v>5553</v>
      </c>
      <c r="B2346" t="s">
        <v>5554</v>
      </c>
      <c r="C2346" t="s">
        <v>125</v>
      </c>
      <c r="D2346" t="s">
        <v>54</v>
      </c>
      <c r="E2346" t="s">
        <v>45</v>
      </c>
      <c r="F2346" t="s">
        <v>46</v>
      </c>
      <c r="G2346">
        <v>2.94</v>
      </c>
      <c r="H2346" t="s">
        <v>128</v>
      </c>
      <c r="I2346" t="s">
        <v>42</v>
      </c>
      <c r="M2346">
        <f>VLOOKUP(H2346,'Stage Order'!$A$2:$B$8,2,FALSE)</f>
        <v>3</v>
      </c>
      <c r="N2346" t="str">
        <f t="shared" si="72"/>
        <v>2. 1-24 hours</v>
      </c>
      <c r="O2346" t="str">
        <f t="shared" si="73"/>
        <v>2025-07</v>
      </c>
    </row>
    <row r="2347" spans="1:15" x14ac:dyDescent="0.3">
      <c r="A2347" t="s">
        <v>5555</v>
      </c>
      <c r="B2347" t="s">
        <v>5556</v>
      </c>
      <c r="C2347" t="s">
        <v>28</v>
      </c>
      <c r="D2347" t="s">
        <v>29</v>
      </c>
      <c r="E2347" t="s">
        <v>39</v>
      </c>
      <c r="F2347" t="s">
        <v>106</v>
      </c>
      <c r="G2347">
        <v>7.52</v>
      </c>
      <c r="H2347" t="s">
        <v>138</v>
      </c>
      <c r="I2347" t="s">
        <v>48</v>
      </c>
      <c r="J2347" t="s">
        <v>98</v>
      </c>
      <c r="K2347">
        <v>773.42</v>
      </c>
      <c r="L2347" t="s">
        <v>5557</v>
      </c>
      <c r="M2347">
        <f>VLOOKUP(H2347,'Stage Order'!$A$2:$B$8,2,FALSE)</f>
        <v>6</v>
      </c>
      <c r="N2347" t="str">
        <f t="shared" si="72"/>
        <v>2. 1-24 hours</v>
      </c>
      <c r="O2347" t="str">
        <f t="shared" si="73"/>
        <v>2025-09</v>
      </c>
    </row>
    <row r="2348" spans="1:15" x14ac:dyDescent="0.3">
      <c r="A2348" t="s">
        <v>5558</v>
      </c>
      <c r="B2348" t="s">
        <v>5559</v>
      </c>
      <c r="C2348" t="s">
        <v>37</v>
      </c>
      <c r="D2348" t="s">
        <v>54</v>
      </c>
      <c r="E2348" t="s">
        <v>45</v>
      </c>
      <c r="F2348" t="s">
        <v>55</v>
      </c>
      <c r="G2348">
        <v>1.99</v>
      </c>
      <c r="H2348" t="s">
        <v>32</v>
      </c>
      <c r="I2348" t="s">
        <v>33</v>
      </c>
      <c r="K2348">
        <v>585.05999999999995</v>
      </c>
      <c r="L2348" t="s">
        <v>5560</v>
      </c>
      <c r="M2348">
        <f>VLOOKUP(H2348,'Stage Order'!$A$2:$B$8,2,FALSE)</f>
        <v>7</v>
      </c>
      <c r="N2348" t="str">
        <f t="shared" si="72"/>
        <v>2. 1-24 hours</v>
      </c>
      <c r="O2348" t="str">
        <f t="shared" si="73"/>
        <v>2025-01</v>
      </c>
    </row>
    <row r="2349" spans="1:15" x14ac:dyDescent="0.3">
      <c r="A2349" t="s">
        <v>5561</v>
      </c>
      <c r="B2349" t="s">
        <v>5562</v>
      </c>
      <c r="C2349" t="s">
        <v>28</v>
      </c>
      <c r="D2349" t="s">
        <v>54</v>
      </c>
      <c r="E2349" t="s">
        <v>30</v>
      </c>
      <c r="F2349" t="s">
        <v>78</v>
      </c>
      <c r="G2349">
        <v>3.46</v>
      </c>
      <c r="H2349" t="s">
        <v>41</v>
      </c>
      <c r="I2349" t="s">
        <v>42</v>
      </c>
      <c r="M2349">
        <f>VLOOKUP(H2349,'Stage Order'!$A$2:$B$8,2,FALSE)</f>
        <v>2</v>
      </c>
      <c r="N2349" t="str">
        <f t="shared" si="72"/>
        <v>2. 1-24 hours</v>
      </c>
      <c r="O2349" t="str">
        <f t="shared" si="73"/>
        <v>2026-03</v>
      </c>
    </row>
    <row r="2350" spans="1:15" x14ac:dyDescent="0.3">
      <c r="A2350" t="s">
        <v>5563</v>
      </c>
      <c r="B2350" t="s">
        <v>5564</v>
      </c>
      <c r="C2350" t="s">
        <v>53</v>
      </c>
      <c r="D2350" t="s">
        <v>29</v>
      </c>
      <c r="E2350" t="s">
        <v>30</v>
      </c>
      <c r="F2350" t="s">
        <v>31</v>
      </c>
      <c r="G2350">
        <v>9.01</v>
      </c>
      <c r="H2350" t="s">
        <v>32</v>
      </c>
      <c r="I2350" t="s">
        <v>33</v>
      </c>
      <c r="K2350">
        <v>548.41999999999996</v>
      </c>
      <c r="L2350" t="s">
        <v>5565</v>
      </c>
      <c r="M2350">
        <f>VLOOKUP(H2350,'Stage Order'!$A$2:$B$8,2,FALSE)</f>
        <v>7</v>
      </c>
      <c r="N2350" t="str">
        <f t="shared" si="72"/>
        <v>2. 1-24 hours</v>
      </c>
      <c r="O2350" t="str">
        <f t="shared" si="73"/>
        <v>2025-12</v>
      </c>
    </row>
    <row r="2351" spans="1:15" x14ac:dyDescent="0.3">
      <c r="A2351" t="s">
        <v>5566</v>
      </c>
      <c r="B2351" t="s">
        <v>5567</v>
      </c>
      <c r="C2351" t="s">
        <v>53</v>
      </c>
      <c r="D2351" t="s">
        <v>29</v>
      </c>
      <c r="E2351" t="s">
        <v>90</v>
      </c>
      <c r="F2351" t="s">
        <v>91</v>
      </c>
      <c r="G2351">
        <v>6.02</v>
      </c>
      <c r="H2351" t="s">
        <v>47</v>
      </c>
      <c r="I2351" t="s">
        <v>48</v>
      </c>
      <c r="J2351" t="s">
        <v>113</v>
      </c>
      <c r="K2351">
        <v>726.71</v>
      </c>
      <c r="L2351" t="s">
        <v>5568</v>
      </c>
      <c r="M2351">
        <f>VLOOKUP(H2351,'Stage Order'!$A$2:$B$8,2,FALSE)</f>
        <v>4</v>
      </c>
      <c r="N2351" t="str">
        <f t="shared" si="72"/>
        <v>2. 1-24 hours</v>
      </c>
      <c r="O2351" t="str">
        <f t="shared" si="73"/>
        <v>2026-03</v>
      </c>
    </row>
    <row r="2352" spans="1:15" x14ac:dyDescent="0.3">
      <c r="A2352" t="s">
        <v>5569</v>
      </c>
      <c r="B2352" t="s">
        <v>5570</v>
      </c>
      <c r="C2352" t="s">
        <v>58</v>
      </c>
      <c r="D2352" t="s">
        <v>97</v>
      </c>
      <c r="E2352" t="s">
        <v>30</v>
      </c>
      <c r="F2352" t="s">
        <v>31</v>
      </c>
      <c r="G2352">
        <v>22.91</v>
      </c>
      <c r="H2352" t="s">
        <v>47</v>
      </c>
      <c r="I2352" t="s">
        <v>48</v>
      </c>
      <c r="J2352" t="s">
        <v>113</v>
      </c>
      <c r="K2352">
        <v>1546.71</v>
      </c>
      <c r="L2352" t="s">
        <v>5571</v>
      </c>
      <c r="M2352">
        <f>VLOOKUP(H2352,'Stage Order'!$A$2:$B$8,2,FALSE)</f>
        <v>4</v>
      </c>
      <c r="N2352" t="str">
        <f t="shared" si="72"/>
        <v>2. 1-24 hours</v>
      </c>
      <c r="O2352" t="str">
        <f t="shared" si="73"/>
        <v>2025-06</v>
      </c>
    </row>
    <row r="2353" spans="1:15" x14ac:dyDescent="0.3">
      <c r="A2353" t="s">
        <v>5572</v>
      </c>
      <c r="B2353" t="s">
        <v>5573</v>
      </c>
      <c r="C2353" t="s">
        <v>37</v>
      </c>
      <c r="D2353" t="s">
        <v>29</v>
      </c>
      <c r="E2353" t="s">
        <v>39</v>
      </c>
      <c r="F2353" t="s">
        <v>40</v>
      </c>
      <c r="G2353">
        <v>5.49</v>
      </c>
      <c r="H2353" t="s">
        <v>41</v>
      </c>
      <c r="I2353" t="s">
        <v>42</v>
      </c>
      <c r="M2353">
        <f>VLOOKUP(H2353,'Stage Order'!$A$2:$B$8,2,FALSE)</f>
        <v>2</v>
      </c>
      <c r="N2353" t="str">
        <f t="shared" si="72"/>
        <v>2. 1-24 hours</v>
      </c>
      <c r="O2353" t="str">
        <f t="shared" si="73"/>
        <v>2026-02</v>
      </c>
    </row>
    <row r="2354" spans="1:15" x14ac:dyDescent="0.3">
      <c r="A2354" t="s">
        <v>5574</v>
      </c>
      <c r="B2354" t="s">
        <v>5575</v>
      </c>
      <c r="C2354" t="s">
        <v>53</v>
      </c>
      <c r="D2354" t="s">
        <v>77</v>
      </c>
      <c r="E2354" t="s">
        <v>59</v>
      </c>
      <c r="F2354" t="s">
        <v>137</v>
      </c>
      <c r="G2354">
        <v>2.85</v>
      </c>
      <c r="H2354" t="s">
        <v>41</v>
      </c>
      <c r="I2354" t="s">
        <v>42</v>
      </c>
      <c r="M2354">
        <f>VLOOKUP(H2354,'Stage Order'!$A$2:$B$8,2,FALSE)</f>
        <v>2</v>
      </c>
      <c r="N2354" t="str">
        <f t="shared" si="72"/>
        <v>2. 1-24 hours</v>
      </c>
      <c r="O2354" t="str">
        <f t="shared" si="73"/>
        <v>2025-09</v>
      </c>
    </row>
    <row r="2355" spans="1:15" x14ac:dyDescent="0.3">
      <c r="A2355" t="s">
        <v>5576</v>
      </c>
      <c r="B2355" t="s">
        <v>5577</v>
      </c>
      <c r="C2355" t="s">
        <v>58</v>
      </c>
      <c r="D2355" t="s">
        <v>54</v>
      </c>
      <c r="E2355" t="s">
        <v>45</v>
      </c>
      <c r="F2355" t="s">
        <v>55</v>
      </c>
      <c r="G2355">
        <v>3.26</v>
      </c>
      <c r="H2355" t="s">
        <v>61</v>
      </c>
      <c r="I2355" t="s">
        <v>42</v>
      </c>
      <c r="M2355">
        <f>VLOOKUP(H2355,'Stage Order'!$A$2:$B$8,2,FALSE)</f>
        <v>1</v>
      </c>
      <c r="N2355" t="str">
        <f t="shared" si="72"/>
        <v>2. 1-24 hours</v>
      </c>
      <c r="O2355" t="str">
        <f t="shared" si="73"/>
        <v>2025-11</v>
      </c>
    </row>
    <row r="2356" spans="1:15" x14ac:dyDescent="0.3">
      <c r="A2356" t="s">
        <v>5578</v>
      </c>
      <c r="B2356" t="s">
        <v>5579</v>
      </c>
      <c r="C2356" t="s">
        <v>53</v>
      </c>
      <c r="D2356" t="s">
        <v>77</v>
      </c>
      <c r="E2356" t="s">
        <v>59</v>
      </c>
      <c r="F2356" t="s">
        <v>60</v>
      </c>
      <c r="G2356">
        <v>1.58</v>
      </c>
      <c r="H2356" t="s">
        <v>41</v>
      </c>
      <c r="I2356" t="s">
        <v>42</v>
      </c>
      <c r="M2356">
        <f>VLOOKUP(H2356,'Stage Order'!$A$2:$B$8,2,FALSE)</f>
        <v>2</v>
      </c>
      <c r="N2356" t="str">
        <f t="shared" si="72"/>
        <v>2. 1-24 hours</v>
      </c>
      <c r="O2356" t="str">
        <f t="shared" si="73"/>
        <v>2025-05</v>
      </c>
    </row>
    <row r="2357" spans="1:15" x14ac:dyDescent="0.3">
      <c r="A2357" t="s">
        <v>5580</v>
      </c>
      <c r="B2357" t="s">
        <v>5581</v>
      </c>
      <c r="C2357" t="s">
        <v>37</v>
      </c>
      <c r="D2357" t="s">
        <v>54</v>
      </c>
      <c r="E2357" t="s">
        <v>45</v>
      </c>
      <c r="F2357" t="s">
        <v>55</v>
      </c>
      <c r="G2357">
        <v>6.01</v>
      </c>
      <c r="H2357" t="s">
        <v>41</v>
      </c>
      <c r="I2357" t="s">
        <v>42</v>
      </c>
      <c r="M2357">
        <f>VLOOKUP(H2357,'Stage Order'!$A$2:$B$8,2,FALSE)</f>
        <v>2</v>
      </c>
      <c r="N2357" t="str">
        <f t="shared" si="72"/>
        <v>2. 1-24 hours</v>
      </c>
      <c r="O2357" t="str">
        <f t="shared" si="73"/>
        <v>2025-02</v>
      </c>
    </row>
    <row r="2358" spans="1:15" x14ac:dyDescent="0.3">
      <c r="A2358" t="s">
        <v>5582</v>
      </c>
      <c r="B2358" t="s">
        <v>5583</v>
      </c>
      <c r="C2358" t="s">
        <v>58</v>
      </c>
      <c r="D2358" t="s">
        <v>29</v>
      </c>
      <c r="E2358" t="s">
        <v>45</v>
      </c>
      <c r="F2358" t="s">
        <v>94</v>
      </c>
      <c r="G2358">
        <v>4.3499999999999996</v>
      </c>
      <c r="H2358" t="s">
        <v>61</v>
      </c>
      <c r="I2358" t="s">
        <v>42</v>
      </c>
      <c r="M2358">
        <f>VLOOKUP(H2358,'Stage Order'!$A$2:$B$8,2,FALSE)</f>
        <v>1</v>
      </c>
      <c r="N2358" t="str">
        <f t="shared" si="72"/>
        <v>2. 1-24 hours</v>
      </c>
      <c r="O2358" t="str">
        <f t="shared" si="73"/>
        <v>2025-06</v>
      </c>
    </row>
    <row r="2359" spans="1:15" x14ac:dyDescent="0.3">
      <c r="A2359" t="s">
        <v>5584</v>
      </c>
      <c r="B2359" t="s">
        <v>5585</v>
      </c>
      <c r="C2359" t="s">
        <v>53</v>
      </c>
      <c r="D2359" t="s">
        <v>77</v>
      </c>
      <c r="E2359" t="s">
        <v>39</v>
      </c>
      <c r="F2359" t="s">
        <v>40</v>
      </c>
      <c r="G2359">
        <v>2.77</v>
      </c>
      <c r="H2359" t="s">
        <v>32</v>
      </c>
      <c r="I2359" t="s">
        <v>33</v>
      </c>
      <c r="K2359">
        <v>877.01</v>
      </c>
      <c r="L2359" t="s">
        <v>5586</v>
      </c>
      <c r="M2359">
        <f>VLOOKUP(H2359,'Stage Order'!$A$2:$B$8,2,FALSE)</f>
        <v>7</v>
      </c>
      <c r="N2359" t="str">
        <f t="shared" si="72"/>
        <v>2. 1-24 hours</v>
      </c>
      <c r="O2359" t="str">
        <f t="shared" si="73"/>
        <v>2025-01</v>
      </c>
    </row>
    <row r="2360" spans="1:15" x14ac:dyDescent="0.3">
      <c r="A2360" t="s">
        <v>5587</v>
      </c>
      <c r="B2360" t="s">
        <v>5588</v>
      </c>
      <c r="C2360" t="s">
        <v>125</v>
      </c>
      <c r="D2360" t="s">
        <v>77</v>
      </c>
      <c r="E2360" t="s">
        <v>45</v>
      </c>
      <c r="F2360" t="s">
        <v>46</v>
      </c>
      <c r="G2360">
        <v>2.36</v>
      </c>
      <c r="H2360" t="s">
        <v>41</v>
      </c>
      <c r="I2360" t="s">
        <v>42</v>
      </c>
      <c r="M2360">
        <f>VLOOKUP(H2360,'Stage Order'!$A$2:$B$8,2,FALSE)</f>
        <v>2</v>
      </c>
      <c r="N2360" t="str">
        <f t="shared" si="72"/>
        <v>2. 1-24 hours</v>
      </c>
      <c r="O2360" t="str">
        <f t="shared" si="73"/>
        <v>2025-05</v>
      </c>
    </row>
    <row r="2361" spans="1:15" x14ac:dyDescent="0.3">
      <c r="A2361" t="s">
        <v>5589</v>
      </c>
      <c r="B2361" t="s">
        <v>5590</v>
      </c>
      <c r="C2361" t="s">
        <v>125</v>
      </c>
      <c r="D2361" t="s">
        <v>54</v>
      </c>
      <c r="E2361" t="s">
        <v>45</v>
      </c>
      <c r="F2361" t="s">
        <v>55</v>
      </c>
      <c r="G2361">
        <v>1.31</v>
      </c>
      <c r="H2361" t="s">
        <v>41</v>
      </c>
      <c r="I2361" t="s">
        <v>42</v>
      </c>
      <c r="M2361">
        <f>VLOOKUP(H2361,'Stage Order'!$A$2:$B$8,2,FALSE)</f>
        <v>2</v>
      </c>
      <c r="N2361" t="str">
        <f t="shared" si="72"/>
        <v>2. 1-24 hours</v>
      </c>
      <c r="O2361" t="str">
        <f t="shared" si="73"/>
        <v>2026-04</v>
      </c>
    </row>
    <row r="2362" spans="1:15" x14ac:dyDescent="0.3">
      <c r="A2362" t="s">
        <v>5591</v>
      </c>
      <c r="B2362" t="s">
        <v>659</v>
      </c>
      <c r="C2362" t="s">
        <v>125</v>
      </c>
      <c r="D2362" t="s">
        <v>54</v>
      </c>
      <c r="E2362" t="s">
        <v>45</v>
      </c>
      <c r="F2362" t="s">
        <v>55</v>
      </c>
      <c r="G2362">
        <v>0.52</v>
      </c>
      <c r="H2362" t="s">
        <v>146</v>
      </c>
      <c r="I2362" t="s">
        <v>48</v>
      </c>
      <c r="J2362" t="s">
        <v>139</v>
      </c>
      <c r="K2362">
        <v>466.88</v>
      </c>
      <c r="L2362" t="s">
        <v>5592</v>
      </c>
      <c r="M2362">
        <f>VLOOKUP(H2362,'Stage Order'!$A$2:$B$8,2,FALSE)</f>
        <v>5</v>
      </c>
      <c r="N2362" t="str">
        <f t="shared" si="72"/>
        <v>1. Under 1 hour</v>
      </c>
      <c r="O2362" t="str">
        <f t="shared" si="73"/>
        <v>2025-01</v>
      </c>
    </row>
    <row r="2363" spans="1:15" x14ac:dyDescent="0.3">
      <c r="A2363" t="s">
        <v>5593</v>
      </c>
      <c r="B2363" t="s">
        <v>5594</v>
      </c>
      <c r="C2363" t="s">
        <v>125</v>
      </c>
      <c r="D2363" t="s">
        <v>38</v>
      </c>
      <c r="E2363" t="s">
        <v>39</v>
      </c>
      <c r="F2363" t="s">
        <v>40</v>
      </c>
      <c r="G2363">
        <v>5.7</v>
      </c>
      <c r="H2363" t="s">
        <v>41</v>
      </c>
      <c r="I2363" t="s">
        <v>42</v>
      </c>
      <c r="M2363">
        <f>VLOOKUP(H2363,'Stage Order'!$A$2:$B$8,2,FALSE)</f>
        <v>2</v>
      </c>
      <c r="N2363" t="str">
        <f t="shared" si="72"/>
        <v>2. 1-24 hours</v>
      </c>
      <c r="O2363" t="str">
        <f t="shared" si="73"/>
        <v>2025-11</v>
      </c>
    </row>
    <row r="2364" spans="1:15" x14ac:dyDescent="0.3">
      <c r="A2364" t="s">
        <v>5595</v>
      </c>
      <c r="B2364" t="s">
        <v>5596</v>
      </c>
      <c r="C2364" t="s">
        <v>53</v>
      </c>
      <c r="D2364" t="s">
        <v>38</v>
      </c>
      <c r="E2364" t="s">
        <v>39</v>
      </c>
      <c r="F2364" t="s">
        <v>40</v>
      </c>
      <c r="G2364">
        <v>3.25</v>
      </c>
      <c r="H2364" t="s">
        <v>41</v>
      </c>
      <c r="I2364" t="s">
        <v>42</v>
      </c>
      <c r="M2364">
        <f>VLOOKUP(H2364,'Stage Order'!$A$2:$B$8,2,FALSE)</f>
        <v>2</v>
      </c>
      <c r="N2364" t="str">
        <f t="shared" si="72"/>
        <v>2. 1-24 hours</v>
      </c>
      <c r="O2364" t="str">
        <f t="shared" si="73"/>
        <v>2025-04</v>
      </c>
    </row>
    <row r="2365" spans="1:15" x14ac:dyDescent="0.3">
      <c r="A2365" t="s">
        <v>5597</v>
      </c>
      <c r="B2365" t="s">
        <v>5598</v>
      </c>
      <c r="C2365" t="s">
        <v>53</v>
      </c>
      <c r="D2365" t="s">
        <v>77</v>
      </c>
      <c r="E2365" t="s">
        <v>90</v>
      </c>
      <c r="F2365" t="s">
        <v>145</v>
      </c>
      <c r="G2365">
        <v>2.75</v>
      </c>
      <c r="H2365" t="s">
        <v>41</v>
      </c>
      <c r="I2365" t="s">
        <v>42</v>
      </c>
      <c r="M2365">
        <f>VLOOKUP(H2365,'Stage Order'!$A$2:$B$8,2,FALSE)</f>
        <v>2</v>
      </c>
      <c r="N2365" t="str">
        <f t="shared" si="72"/>
        <v>2. 1-24 hours</v>
      </c>
      <c r="O2365" t="str">
        <f t="shared" si="73"/>
        <v>2025-10</v>
      </c>
    </row>
    <row r="2366" spans="1:15" x14ac:dyDescent="0.3">
      <c r="A2366" t="s">
        <v>5599</v>
      </c>
      <c r="B2366" t="s">
        <v>5600</v>
      </c>
      <c r="C2366" t="s">
        <v>58</v>
      </c>
      <c r="D2366" t="s">
        <v>97</v>
      </c>
      <c r="E2366" t="s">
        <v>45</v>
      </c>
      <c r="F2366" t="s">
        <v>94</v>
      </c>
      <c r="G2366">
        <v>0.82</v>
      </c>
      <c r="H2366" t="s">
        <v>41</v>
      </c>
      <c r="I2366" t="s">
        <v>42</v>
      </c>
      <c r="M2366">
        <f>VLOOKUP(H2366,'Stage Order'!$A$2:$B$8,2,FALSE)</f>
        <v>2</v>
      </c>
      <c r="N2366" t="str">
        <f t="shared" si="72"/>
        <v>1. Under 1 hour</v>
      </c>
      <c r="O2366" t="str">
        <f t="shared" si="73"/>
        <v>2025-06</v>
      </c>
    </row>
    <row r="2367" spans="1:15" x14ac:dyDescent="0.3">
      <c r="A2367" t="s">
        <v>5601</v>
      </c>
      <c r="B2367" t="s">
        <v>5602</v>
      </c>
      <c r="C2367" t="s">
        <v>37</v>
      </c>
      <c r="D2367" t="s">
        <v>54</v>
      </c>
      <c r="E2367" t="s">
        <v>39</v>
      </c>
      <c r="F2367" t="s">
        <v>66</v>
      </c>
      <c r="G2367">
        <v>3.42</v>
      </c>
      <c r="H2367" t="s">
        <v>41</v>
      </c>
      <c r="I2367" t="s">
        <v>42</v>
      </c>
      <c r="M2367">
        <f>VLOOKUP(H2367,'Stage Order'!$A$2:$B$8,2,FALSE)</f>
        <v>2</v>
      </c>
      <c r="N2367" t="str">
        <f t="shared" si="72"/>
        <v>2. 1-24 hours</v>
      </c>
      <c r="O2367" t="str">
        <f t="shared" si="73"/>
        <v>2026-02</v>
      </c>
    </row>
    <row r="2368" spans="1:15" x14ac:dyDescent="0.3">
      <c r="A2368" t="s">
        <v>5603</v>
      </c>
      <c r="B2368" t="s">
        <v>5604</v>
      </c>
      <c r="C2368" t="s">
        <v>53</v>
      </c>
      <c r="D2368" t="s">
        <v>38</v>
      </c>
      <c r="E2368" t="s">
        <v>90</v>
      </c>
      <c r="F2368" t="s">
        <v>112</v>
      </c>
      <c r="G2368">
        <v>1.3</v>
      </c>
      <c r="H2368" t="s">
        <v>41</v>
      </c>
      <c r="I2368" t="s">
        <v>42</v>
      </c>
      <c r="M2368">
        <f>VLOOKUP(H2368,'Stage Order'!$A$2:$B$8,2,FALSE)</f>
        <v>2</v>
      </c>
      <c r="N2368" t="str">
        <f t="shared" si="72"/>
        <v>2. 1-24 hours</v>
      </c>
      <c r="O2368" t="str">
        <f t="shared" si="73"/>
        <v>2026-01</v>
      </c>
    </row>
    <row r="2369" spans="1:15" x14ac:dyDescent="0.3">
      <c r="A2369" t="s">
        <v>5605</v>
      </c>
      <c r="B2369" t="s">
        <v>5606</v>
      </c>
      <c r="C2369" t="s">
        <v>125</v>
      </c>
      <c r="D2369" t="s">
        <v>29</v>
      </c>
      <c r="E2369" t="s">
        <v>90</v>
      </c>
      <c r="F2369" t="s">
        <v>145</v>
      </c>
      <c r="G2369">
        <v>1.95</v>
      </c>
      <c r="H2369" t="s">
        <v>61</v>
      </c>
      <c r="I2369" t="s">
        <v>42</v>
      </c>
      <c r="M2369">
        <f>VLOOKUP(H2369,'Stage Order'!$A$2:$B$8,2,FALSE)</f>
        <v>1</v>
      </c>
      <c r="N2369" t="str">
        <f t="shared" si="72"/>
        <v>2. 1-24 hours</v>
      </c>
      <c r="O2369" t="str">
        <f t="shared" si="73"/>
        <v>2025-12</v>
      </c>
    </row>
    <row r="2370" spans="1:15" x14ac:dyDescent="0.3">
      <c r="A2370" t="s">
        <v>5607</v>
      </c>
      <c r="B2370" t="s">
        <v>5608</v>
      </c>
      <c r="C2370" t="s">
        <v>76</v>
      </c>
      <c r="D2370" t="s">
        <v>54</v>
      </c>
      <c r="E2370" t="s">
        <v>45</v>
      </c>
      <c r="F2370" t="s">
        <v>46</v>
      </c>
      <c r="G2370">
        <v>7.42</v>
      </c>
      <c r="H2370" t="s">
        <v>138</v>
      </c>
      <c r="I2370" t="s">
        <v>48</v>
      </c>
      <c r="J2370" t="s">
        <v>113</v>
      </c>
      <c r="K2370">
        <v>558.57000000000005</v>
      </c>
      <c r="L2370" t="s">
        <v>5609</v>
      </c>
      <c r="M2370">
        <f>VLOOKUP(H2370,'Stage Order'!$A$2:$B$8,2,FALSE)</f>
        <v>6</v>
      </c>
      <c r="N2370" t="str">
        <f t="shared" ref="N2370:N2433" si="74">IF(G2370&lt;=1,"1. Under 1 hour",IF(G2370&lt;=24,"2. 1-24 hours",IF(G2370&lt;=72,"3. 1-3 days","4. Over 3 days")))</f>
        <v>2. 1-24 hours</v>
      </c>
      <c r="O2370" t="str">
        <f t="shared" ref="O2370:O2433" si="75">TEXT(B2370,"YYYY-MM")</f>
        <v>2025-07</v>
      </c>
    </row>
    <row r="2371" spans="1:15" x14ac:dyDescent="0.3">
      <c r="A2371" t="s">
        <v>5610</v>
      </c>
      <c r="B2371" t="s">
        <v>5611</v>
      </c>
      <c r="C2371" t="s">
        <v>76</v>
      </c>
      <c r="D2371" t="s">
        <v>54</v>
      </c>
      <c r="E2371" t="s">
        <v>59</v>
      </c>
      <c r="F2371" t="s">
        <v>60</v>
      </c>
      <c r="G2371">
        <v>4.22</v>
      </c>
      <c r="H2371" t="s">
        <v>138</v>
      </c>
      <c r="I2371" t="s">
        <v>48</v>
      </c>
      <c r="J2371" t="s">
        <v>98</v>
      </c>
      <c r="K2371">
        <v>578.46</v>
      </c>
      <c r="L2371" t="s">
        <v>5612</v>
      </c>
      <c r="M2371">
        <f>VLOOKUP(H2371,'Stage Order'!$A$2:$B$8,2,FALSE)</f>
        <v>6</v>
      </c>
      <c r="N2371" t="str">
        <f t="shared" si="74"/>
        <v>2. 1-24 hours</v>
      </c>
      <c r="O2371" t="str">
        <f t="shared" si="75"/>
        <v>2026-02</v>
      </c>
    </row>
    <row r="2372" spans="1:15" x14ac:dyDescent="0.3">
      <c r="A2372" t="s">
        <v>5613</v>
      </c>
      <c r="B2372" t="s">
        <v>5614</v>
      </c>
      <c r="C2372" t="s">
        <v>58</v>
      </c>
      <c r="D2372" t="s">
        <v>54</v>
      </c>
      <c r="E2372" t="s">
        <v>59</v>
      </c>
      <c r="F2372" t="s">
        <v>137</v>
      </c>
      <c r="G2372">
        <v>1.92</v>
      </c>
      <c r="H2372" t="s">
        <v>41</v>
      </c>
      <c r="I2372" t="s">
        <v>42</v>
      </c>
      <c r="M2372">
        <f>VLOOKUP(H2372,'Stage Order'!$A$2:$B$8,2,FALSE)</f>
        <v>2</v>
      </c>
      <c r="N2372" t="str">
        <f t="shared" si="74"/>
        <v>2. 1-24 hours</v>
      </c>
      <c r="O2372" t="str">
        <f t="shared" si="75"/>
        <v>2025-11</v>
      </c>
    </row>
    <row r="2373" spans="1:15" x14ac:dyDescent="0.3">
      <c r="A2373" t="s">
        <v>5615</v>
      </c>
      <c r="B2373" t="s">
        <v>5616</v>
      </c>
      <c r="C2373" t="s">
        <v>58</v>
      </c>
      <c r="D2373" t="s">
        <v>54</v>
      </c>
      <c r="E2373" t="s">
        <v>45</v>
      </c>
      <c r="F2373" t="s">
        <v>55</v>
      </c>
      <c r="G2373">
        <v>3.76</v>
      </c>
      <c r="H2373" t="s">
        <v>41</v>
      </c>
      <c r="I2373" t="s">
        <v>42</v>
      </c>
      <c r="M2373">
        <f>VLOOKUP(H2373,'Stage Order'!$A$2:$B$8,2,FALSE)</f>
        <v>2</v>
      </c>
      <c r="N2373" t="str">
        <f t="shared" si="74"/>
        <v>2. 1-24 hours</v>
      </c>
      <c r="O2373" t="str">
        <f t="shared" si="75"/>
        <v>2025-09</v>
      </c>
    </row>
    <row r="2374" spans="1:15" x14ac:dyDescent="0.3">
      <c r="A2374" t="s">
        <v>5617</v>
      </c>
      <c r="B2374" t="s">
        <v>5618</v>
      </c>
      <c r="C2374" t="s">
        <v>28</v>
      </c>
      <c r="D2374" t="s">
        <v>54</v>
      </c>
      <c r="E2374" t="s">
        <v>59</v>
      </c>
      <c r="F2374" t="s">
        <v>60</v>
      </c>
      <c r="G2374">
        <v>1.94</v>
      </c>
      <c r="H2374" t="s">
        <v>32</v>
      </c>
      <c r="I2374" t="s">
        <v>33</v>
      </c>
      <c r="K2374">
        <v>467.3</v>
      </c>
      <c r="L2374" t="s">
        <v>5619</v>
      </c>
      <c r="M2374">
        <f>VLOOKUP(H2374,'Stage Order'!$A$2:$B$8,2,FALSE)</f>
        <v>7</v>
      </c>
      <c r="N2374" t="str">
        <f t="shared" si="74"/>
        <v>2. 1-24 hours</v>
      </c>
      <c r="O2374" t="str">
        <f t="shared" si="75"/>
        <v>2026-05</v>
      </c>
    </row>
    <row r="2375" spans="1:15" x14ac:dyDescent="0.3">
      <c r="A2375" t="s">
        <v>5620</v>
      </c>
      <c r="B2375" t="s">
        <v>5621</v>
      </c>
      <c r="C2375" t="s">
        <v>58</v>
      </c>
      <c r="D2375" t="s">
        <v>54</v>
      </c>
      <c r="E2375" t="s">
        <v>39</v>
      </c>
      <c r="F2375" t="s">
        <v>106</v>
      </c>
      <c r="G2375">
        <v>4.12</v>
      </c>
      <c r="H2375" t="s">
        <v>47</v>
      </c>
      <c r="I2375" t="s">
        <v>48</v>
      </c>
      <c r="J2375" t="s">
        <v>139</v>
      </c>
      <c r="K2375">
        <v>581.86</v>
      </c>
      <c r="L2375" t="s">
        <v>5622</v>
      </c>
      <c r="M2375">
        <f>VLOOKUP(H2375,'Stage Order'!$A$2:$B$8,2,FALSE)</f>
        <v>4</v>
      </c>
      <c r="N2375" t="str">
        <f t="shared" si="74"/>
        <v>2. 1-24 hours</v>
      </c>
      <c r="O2375" t="str">
        <f t="shared" si="75"/>
        <v>2025-05</v>
      </c>
    </row>
    <row r="2376" spans="1:15" x14ac:dyDescent="0.3">
      <c r="A2376" t="s">
        <v>5623</v>
      </c>
      <c r="B2376" t="s">
        <v>5624</v>
      </c>
      <c r="C2376" t="s">
        <v>58</v>
      </c>
      <c r="D2376" t="s">
        <v>54</v>
      </c>
      <c r="E2376" t="s">
        <v>30</v>
      </c>
      <c r="F2376" t="s">
        <v>31</v>
      </c>
      <c r="G2376">
        <v>2.61</v>
      </c>
      <c r="H2376" t="s">
        <v>146</v>
      </c>
      <c r="I2376" t="s">
        <v>48</v>
      </c>
      <c r="J2376" t="s">
        <v>139</v>
      </c>
      <c r="K2376">
        <v>495.42</v>
      </c>
      <c r="L2376" t="s">
        <v>5625</v>
      </c>
      <c r="M2376">
        <f>VLOOKUP(H2376,'Stage Order'!$A$2:$B$8,2,FALSE)</f>
        <v>5</v>
      </c>
      <c r="N2376" t="str">
        <f t="shared" si="74"/>
        <v>2. 1-24 hours</v>
      </c>
      <c r="O2376" t="str">
        <f t="shared" si="75"/>
        <v>2025-01</v>
      </c>
    </row>
    <row r="2377" spans="1:15" x14ac:dyDescent="0.3">
      <c r="A2377" t="s">
        <v>5626</v>
      </c>
      <c r="B2377" t="s">
        <v>5627</v>
      </c>
      <c r="C2377" t="s">
        <v>37</v>
      </c>
      <c r="D2377" t="s">
        <v>77</v>
      </c>
      <c r="E2377" t="s">
        <v>59</v>
      </c>
      <c r="F2377" t="s">
        <v>60</v>
      </c>
      <c r="G2377">
        <v>0.8</v>
      </c>
      <c r="H2377" t="s">
        <v>138</v>
      </c>
      <c r="I2377" t="s">
        <v>48</v>
      </c>
      <c r="J2377" t="s">
        <v>113</v>
      </c>
      <c r="K2377">
        <v>1136.33</v>
      </c>
      <c r="L2377" t="s">
        <v>5628</v>
      </c>
      <c r="M2377">
        <f>VLOOKUP(H2377,'Stage Order'!$A$2:$B$8,2,FALSE)</f>
        <v>6</v>
      </c>
      <c r="N2377" t="str">
        <f t="shared" si="74"/>
        <v>1. Under 1 hour</v>
      </c>
      <c r="O2377" t="str">
        <f t="shared" si="75"/>
        <v>2026-01</v>
      </c>
    </row>
    <row r="2378" spans="1:15" x14ac:dyDescent="0.3">
      <c r="A2378" t="s">
        <v>5629</v>
      </c>
      <c r="B2378" t="s">
        <v>5630</v>
      </c>
      <c r="C2378" t="s">
        <v>125</v>
      </c>
      <c r="D2378" t="s">
        <v>97</v>
      </c>
      <c r="E2378" t="s">
        <v>39</v>
      </c>
      <c r="F2378" t="s">
        <v>106</v>
      </c>
      <c r="G2378">
        <v>1.34</v>
      </c>
      <c r="H2378" t="s">
        <v>47</v>
      </c>
      <c r="I2378" t="s">
        <v>48</v>
      </c>
      <c r="J2378" t="s">
        <v>139</v>
      </c>
      <c r="K2378">
        <v>1659.86</v>
      </c>
      <c r="L2378" t="s">
        <v>5631</v>
      </c>
      <c r="M2378">
        <f>VLOOKUP(H2378,'Stage Order'!$A$2:$B$8,2,FALSE)</f>
        <v>4</v>
      </c>
      <c r="N2378" t="str">
        <f t="shared" si="74"/>
        <v>2. 1-24 hours</v>
      </c>
      <c r="O2378" t="str">
        <f t="shared" si="75"/>
        <v>2025-02</v>
      </c>
    </row>
    <row r="2379" spans="1:15" x14ac:dyDescent="0.3">
      <c r="A2379" t="s">
        <v>5632</v>
      </c>
      <c r="B2379" t="s">
        <v>5633</v>
      </c>
      <c r="C2379" t="s">
        <v>28</v>
      </c>
      <c r="D2379" t="s">
        <v>77</v>
      </c>
      <c r="E2379" t="s">
        <v>59</v>
      </c>
      <c r="F2379" t="s">
        <v>117</v>
      </c>
      <c r="G2379">
        <v>1.43</v>
      </c>
      <c r="H2379" t="s">
        <v>32</v>
      </c>
      <c r="I2379" t="s">
        <v>33</v>
      </c>
      <c r="K2379">
        <v>1079.56</v>
      </c>
      <c r="L2379" t="s">
        <v>5634</v>
      </c>
      <c r="M2379">
        <f>VLOOKUP(H2379,'Stage Order'!$A$2:$B$8,2,FALSE)</f>
        <v>7</v>
      </c>
      <c r="N2379" t="str">
        <f t="shared" si="74"/>
        <v>2. 1-24 hours</v>
      </c>
      <c r="O2379" t="str">
        <f t="shared" si="75"/>
        <v>2026-02</v>
      </c>
    </row>
    <row r="2380" spans="1:15" x14ac:dyDescent="0.3">
      <c r="A2380" t="s">
        <v>5635</v>
      </c>
      <c r="B2380" t="s">
        <v>5636</v>
      </c>
      <c r="C2380" t="s">
        <v>28</v>
      </c>
      <c r="D2380" t="s">
        <v>29</v>
      </c>
      <c r="E2380" t="s">
        <v>39</v>
      </c>
      <c r="F2380" t="s">
        <v>66</v>
      </c>
      <c r="G2380">
        <v>10.029999999999999</v>
      </c>
      <c r="H2380" t="s">
        <v>47</v>
      </c>
      <c r="I2380" t="s">
        <v>48</v>
      </c>
      <c r="J2380" t="s">
        <v>113</v>
      </c>
      <c r="K2380">
        <v>631.37</v>
      </c>
      <c r="L2380" t="s">
        <v>5637</v>
      </c>
      <c r="M2380">
        <f>VLOOKUP(H2380,'Stage Order'!$A$2:$B$8,2,FALSE)</f>
        <v>4</v>
      </c>
      <c r="N2380" t="str">
        <f t="shared" si="74"/>
        <v>2. 1-24 hours</v>
      </c>
      <c r="O2380" t="str">
        <f t="shared" si="75"/>
        <v>2025-11</v>
      </c>
    </row>
    <row r="2381" spans="1:15" x14ac:dyDescent="0.3">
      <c r="A2381" t="s">
        <v>5638</v>
      </c>
      <c r="B2381" t="s">
        <v>5639</v>
      </c>
      <c r="C2381" t="s">
        <v>76</v>
      </c>
      <c r="D2381" t="s">
        <v>38</v>
      </c>
      <c r="E2381" t="s">
        <v>39</v>
      </c>
      <c r="F2381" t="s">
        <v>66</v>
      </c>
      <c r="G2381">
        <v>1.06</v>
      </c>
      <c r="H2381" t="s">
        <v>61</v>
      </c>
      <c r="I2381" t="s">
        <v>42</v>
      </c>
      <c r="M2381">
        <f>VLOOKUP(H2381,'Stage Order'!$A$2:$B$8,2,FALSE)</f>
        <v>1</v>
      </c>
      <c r="N2381" t="str">
        <f t="shared" si="74"/>
        <v>2. 1-24 hours</v>
      </c>
      <c r="O2381" t="str">
        <f t="shared" si="75"/>
        <v>2025-07</v>
      </c>
    </row>
    <row r="2382" spans="1:15" x14ac:dyDescent="0.3">
      <c r="A2382" t="s">
        <v>5640</v>
      </c>
      <c r="B2382" t="s">
        <v>5641</v>
      </c>
      <c r="C2382" t="s">
        <v>37</v>
      </c>
      <c r="D2382" t="s">
        <v>29</v>
      </c>
      <c r="E2382" t="s">
        <v>30</v>
      </c>
      <c r="F2382" t="s">
        <v>78</v>
      </c>
      <c r="G2382">
        <v>1.5</v>
      </c>
      <c r="H2382" t="s">
        <v>41</v>
      </c>
      <c r="I2382" t="s">
        <v>42</v>
      </c>
      <c r="M2382">
        <f>VLOOKUP(H2382,'Stage Order'!$A$2:$B$8,2,FALSE)</f>
        <v>2</v>
      </c>
      <c r="N2382" t="str">
        <f t="shared" si="74"/>
        <v>2. 1-24 hours</v>
      </c>
      <c r="O2382" t="str">
        <f t="shared" si="75"/>
        <v>2025-04</v>
      </c>
    </row>
    <row r="2383" spans="1:15" x14ac:dyDescent="0.3">
      <c r="A2383" t="s">
        <v>5642</v>
      </c>
      <c r="B2383" t="s">
        <v>5643</v>
      </c>
      <c r="C2383" t="s">
        <v>76</v>
      </c>
      <c r="D2383" t="s">
        <v>77</v>
      </c>
      <c r="E2383" t="s">
        <v>39</v>
      </c>
      <c r="F2383" t="s">
        <v>66</v>
      </c>
      <c r="G2383">
        <v>3.47</v>
      </c>
      <c r="H2383" t="s">
        <v>61</v>
      </c>
      <c r="I2383" t="s">
        <v>42</v>
      </c>
      <c r="M2383">
        <f>VLOOKUP(H2383,'Stage Order'!$A$2:$B$8,2,FALSE)</f>
        <v>1</v>
      </c>
      <c r="N2383" t="str">
        <f t="shared" si="74"/>
        <v>2. 1-24 hours</v>
      </c>
      <c r="O2383" t="str">
        <f t="shared" si="75"/>
        <v>2026-04</v>
      </c>
    </row>
    <row r="2384" spans="1:15" x14ac:dyDescent="0.3">
      <c r="A2384" t="s">
        <v>5644</v>
      </c>
      <c r="B2384" t="s">
        <v>5645</v>
      </c>
      <c r="C2384" t="s">
        <v>53</v>
      </c>
      <c r="D2384" t="s">
        <v>54</v>
      </c>
      <c r="E2384" t="s">
        <v>39</v>
      </c>
      <c r="F2384" t="s">
        <v>66</v>
      </c>
      <c r="G2384">
        <v>7.31</v>
      </c>
      <c r="H2384" t="s">
        <v>41</v>
      </c>
      <c r="I2384" t="s">
        <v>42</v>
      </c>
      <c r="M2384">
        <f>VLOOKUP(H2384,'Stage Order'!$A$2:$B$8,2,FALSE)</f>
        <v>2</v>
      </c>
      <c r="N2384" t="str">
        <f t="shared" si="74"/>
        <v>2. 1-24 hours</v>
      </c>
      <c r="O2384" t="str">
        <f t="shared" si="75"/>
        <v>2025-06</v>
      </c>
    </row>
    <row r="2385" spans="1:15" x14ac:dyDescent="0.3">
      <c r="A2385" t="s">
        <v>5646</v>
      </c>
      <c r="B2385" t="s">
        <v>5647</v>
      </c>
      <c r="C2385" t="s">
        <v>58</v>
      </c>
      <c r="D2385" t="s">
        <v>38</v>
      </c>
      <c r="E2385" t="s">
        <v>59</v>
      </c>
      <c r="F2385" t="s">
        <v>137</v>
      </c>
      <c r="G2385">
        <v>2.88</v>
      </c>
      <c r="H2385" t="s">
        <v>41</v>
      </c>
      <c r="I2385" t="s">
        <v>42</v>
      </c>
      <c r="M2385">
        <f>VLOOKUP(H2385,'Stage Order'!$A$2:$B$8,2,FALSE)</f>
        <v>2</v>
      </c>
      <c r="N2385" t="str">
        <f t="shared" si="74"/>
        <v>2. 1-24 hours</v>
      </c>
      <c r="O2385" t="str">
        <f t="shared" si="75"/>
        <v>2025-10</v>
      </c>
    </row>
    <row r="2386" spans="1:15" x14ac:dyDescent="0.3">
      <c r="A2386" t="s">
        <v>5648</v>
      </c>
      <c r="B2386" t="s">
        <v>5649</v>
      </c>
      <c r="C2386" t="s">
        <v>37</v>
      </c>
      <c r="D2386" t="s">
        <v>38</v>
      </c>
      <c r="E2386" t="s">
        <v>59</v>
      </c>
      <c r="F2386" t="s">
        <v>117</v>
      </c>
      <c r="G2386">
        <v>1.18</v>
      </c>
      <c r="H2386" t="s">
        <v>138</v>
      </c>
      <c r="I2386" t="s">
        <v>48</v>
      </c>
      <c r="J2386" t="s">
        <v>98</v>
      </c>
      <c r="K2386">
        <v>385.58</v>
      </c>
      <c r="L2386" t="s">
        <v>5650</v>
      </c>
      <c r="M2386">
        <f>VLOOKUP(H2386,'Stage Order'!$A$2:$B$8,2,FALSE)</f>
        <v>6</v>
      </c>
      <c r="N2386" t="str">
        <f t="shared" si="74"/>
        <v>2. 1-24 hours</v>
      </c>
      <c r="O2386" t="str">
        <f t="shared" si="75"/>
        <v>2026-01</v>
      </c>
    </row>
    <row r="2387" spans="1:15" x14ac:dyDescent="0.3">
      <c r="A2387" t="s">
        <v>5651</v>
      </c>
      <c r="B2387" t="s">
        <v>5652</v>
      </c>
      <c r="C2387" t="s">
        <v>53</v>
      </c>
      <c r="D2387" t="s">
        <v>29</v>
      </c>
      <c r="E2387" t="s">
        <v>45</v>
      </c>
      <c r="F2387" t="s">
        <v>55</v>
      </c>
      <c r="G2387">
        <v>1.06</v>
      </c>
      <c r="H2387" t="s">
        <v>41</v>
      </c>
      <c r="I2387" t="s">
        <v>42</v>
      </c>
      <c r="M2387">
        <f>VLOOKUP(H2387,'Stage Order'!$A$2:$B$8,2,FALSE)</f>
        <v>2</v>
      </c>
      <c r="N2387" t="str">
        <f t="shared" si="74"/>
        <v>2. 1-24 hours</v>
      </c>
      <c r="O2387" t="str">
        <f t="shared" si="75"/>
        <v>2025-06</v>
      </c>
    </row>
    <row r="2388" spans="1:15" x14ac:dyDescent="0.3">
      <c r="A2388" t="s">
        <v>5653</v>
      </c>
      <c r="B2388" t="s">
        <v>5654</v>
      </c>
      <c r="C2388" t="s">
        <v>58</v>
      </c>
      <c r="D2388" t="s">
        <v>97</v>
      </c>
      <c r="E2388" t="s">
        <v>45</v>
      </c>
      <c r="F2388" t="s">
        <v>55</v>
      </c>
      <c r="G2388">
        <v>5.88</v>
      </c>
      <c r="H2388" t="s">
        <v>41</v>
      </c>
      <c r="I2388" t="s">
        <v>42</v>
      </c>
      <c r="M2388">
        <f>VLOOKUP(H2388,'Stage Order'!$A$2:$B$8,2,FALSE)</f>
        <v>2</v>
      </c>
      <c r="N2388" t="str">
        <f t="shared" si="74"/>
        <v>2. 1-24 hours</v>
      </c>
      <c r="O2388" t="str">
        <f t="shared" si="75"/>
        <v>2025-08</v>
      </c>
    </row>
    <row r="2389" spans="1:15" x14ac:dyDescent="0.3">
      <c r="A2389" t="s">
        <v>5655</v>
      </c>
      <c r="B2389" t="s">
        <v>5656</v>
      </c>
      <c r="C2389" t="s">
        <v>37</v>
      </c>
      <c r="D2389" t="s">
        <v>38</v>
      </c>
      <c r="E2389" t="s">
        <v>45</v>
      </c>
      <c r="F2389" t="s">
        <v>46</v>
      </c>
      <c r="G2389">
        <v>4.59</v>
      </c>
      <c r="H2389" t="s">
        <v>138</v>
      </c>
      <c r="I2389" t="s">
        <v>48</v>
      </c>
      <c r="J2389" t="s">
        <v>98</v>
      </c>
      <c r="K2389">
        <v>328.67</v>
      </c>
      <c r="L2389" t="s">
        <v>5657</v>
      </c>
      <c r="M2389">
        <f>VLOOKUP(H2389,'Stage Order'!$A$2:$B$8,2,FALSE)</f>
        <v>6</v>
      </c>
      <c r="N2389" t="str">
        <f t="shared" si="74"/>
        <v>2. 1-24 hours</v>
      </c>
      <c r="O2389" t="str">
        <f t="shared" si="75"/>
        <v>2025-11</v>
      </c>
    </row>
    <row r="2390" spans="1:15" x14ac:dyDescent="0.3">
      <c r="A2390" t="s">
        <v>5658</v>
      </c>
      <c r="B2390" t="s">
        <v>5659</v>
      </c>
      <c r="C2390" t="s">
        <v>28</v>
      </c>
      <c r="D2390" t="s">
        <v>97</v>
      </c>
      <c r="E2390" t="s">
        <v>45</v>
      </c>
      <c r="F2390" t="s">
        <v>55</v>
      </c>
      <c r="G2390">
        <v>0.62</v>
      </c>
      <c r="H2390" t="s">
        <v>41</v>
      </c>
      <c r="I2390" t="s">
        <v>42</v>
      </c>
      <c r="M2390">
        <f>VLOOKUP(H2390,'Stage Order'!$A$2:$B$8,2,FALSE)</f>
        <v>2</v>
      </c>
      <c r="N2390" t="str">
        <f t="shared" si="74"/>
        <v>1. Under 1 hour</v>
      </c>
      <c r="O2390" t="str">
        <f t="shared" si="75"/>
        <v>2025-08</v>
      </c>
    </row>
    <row r="2391" spans="1:15" x14ac:dyDescent="0.3">
      <c r="A2391" t="s">
        <v>5660</v>
      </c>
      <c r="B2391" t="s">
        <v>5661</v>
      </c>
      <c r="C2391" t="s">
        <v>37</v>
      </c>
      <c r="D2391" t="s">
        <v>77</v>
      </c>
      <c r="E2391" t="s">
        <v>30</v>
      </c>
      <c r="F2391" t="s">
        <v>31</v>
      </c>
      <c r="G2391">
        <v>8.0299999999999994</v>
      </c>
      <c r="H2391" t="s">
        <v>41</v>
      </c>
      <c r="I2391" t="s">
        <v>42</v>
      </c>
      <c r="M2391">
        <f>VLOOKUP(H2391,'Stage Order'!$A$2:$B$8,2,FALSE)</f>
        <v>2</v>
      </c>
      <c r="N2391" t="str">
        <f t="shared" si="74"/>
        <v>2. 1-24 hours</v>
      </c>
      <c r="O2391" t="str">
        <f t="shared" si="75"/>
        <v>2025-05</v>
      </c>
    </row>
    <row r="2392" spans="1:15" x14ac:dyDescent="0.3">
      <c r="A2392" t="s">
        <v>5662</v>
      </c>
      <c r="B2392" t="s">
        <v>5663</v>
      </c>
      <c r="C2392" t="s">
        <v>58</v>
      </c>
      <c r="D2392" t="s">
        <v>38</v>
      </c>
      <c r="E2392" t="s">
        <v>45</v>
      </c>
      <c r="F2392" t="s">
        <v>46</v>
      </c>
      <c r="G2392">
        <v>7.81</v>
      </c>
      <c r="H2392" t="s">
        <v>41</v>
      </c>
      <c r="I2392" t="s">
        <v>42</v>
      </c>
      <c r="M2392">
        <f>VLOOKUP(H2392,'Stage Order'!$A$2:$B$8,2,FALSE)</f>
        <v>2</v>
      </c>
      <c r="N2392" t="str">
        <f t="shared" si="74"/>
        <v>2. 1-24 hours</v>
      </c>
      <c r="O2392" t="str">
        <f t="shared" si="75"/>
        <v>2025-04</v>
      </c>
    </row>
    <row r="2393" spans="1:15" x14ac:dyDescent="0.3">
      <c r="A2393" t="s">
        <v>5664</v>
      </c>
      <c r="B2393" t="s">
        <v>5665</v>
      </c>
      <c r="C2393" t="s">
        <v>53</v>
      </c>
      <c r="D2393" t="s">
        <v>54</v>
      </c>
      <c r="E2393" t="s">
        <v>90</v>
      </c>
      <c r="F2393" t="s">
        <v>91</v>
      </c>
      <c r="G2393">
        <v>2.58</v>
      </c>
      <c r="H2393" t="s">
        <v>41</v>
      </c>
      <c r="I2393" t="s">
        <v>42</v>
      </c>
      <c r="M2393">
        <f>VLOOKUP(H2393,'Stage Order'!$A$2:$B$8,2,FALSE)</f>
        <v>2</v>
      </c>
      <c r="N2393" t="str">
        <f t="shared" si="74"/>
        <v>2. 1-24 hours</v>
      </c>
      <c r="O2393" t="str">
        <f t="shared" si="75"/>
        <v>2026-02</v>
      </c>
    </row>
    <row r="2394" spans="1:15" x14ac:dyDescent="0.3">
      <c r="A2394" t="s">
        <v>5666</v>
      </c>
      <c r="B2394" t="s">
        <v>5667</v>
      </c>
      <c r="C2394" t="s">
        <v>125</v>
      </c>
      <c r="D2394" t="s">
        <v>54</v>
      </c>
      <c r="E2394" t="s">
        <v>90</v>
      </c>
      <c r="F2394" t="s">
        <v>91</v>
      </c>
      <c r="G2394">
        <v>15</v>
      </c>
      <c r="H2394" t="s">
        <v>61</v>
      </c>
      <c r="I2394" t="s">
        <v>42</v>
      </c>
      <c r="M2394">
        <f>VLOOKUP(H2394,'Stage Order'!$A$2:$B$8,2,FALSE)</f>
        <v>1</v>
      </c>
      <c r="N2394" t="str">
        <f t="shared" si="74"/>
        <v>2. 1-24 hours</v>
      </c>
      <c r="O2394" t="str">
        <f t="shared" si="75"/>
        <v>2025-08</v>
      </c>
    </row>
    <row r="2395" spans="1:15" x14ac:dyDescent="0.3">
      <c r="A2395" t="s">
        <v>5668</v>
      </c>
      <c r="B2395" t="s">
        <v>5669</v>
      </c>
      <c r="C2395" t="s">
        <v>81</v>
      </c>
      <c r="D2395" t="s">
        <v>54</v>
      </c>
      <c r="E2395" t="s">
        <v>90</v>
      </c>
      <c r="F2395" t="s">
        <v>145</v>
      </c>
      <c r="G2395">
        <v>3.62</v>
      </c>
      <c r="H2395" t="s">
        <v>41</v>
      </c>
      <c r="I2395" t="s">
        <v>42</v>
      </c>
      <c r="M2395">
        <f>VLOOKUP(H2395,'Stage Order'!$A$2:$B$8,2,FALSE)</f>
        <v>2</v>
      </c>
      <c r="N2395" t="str">
        <f t="shared" si="74"/>
        <v>2. 1-24 hours</v>
      </c>
      <c r="O2395" t="str">
        <f t="shared" si="75"/>
        <v>2025-06</v>
      </c>
    </row>
    <row r="2396" spans="1:15" x14ac:dyDescent="0.3">
      <c r="A2396" t="s">
        <v>5670</v>
      </c>
      <c r="B2396" t="s">
        <v>5671</v>
      </c>
      <c r="C2396" t="s">
        <v>81</v>
      </c>
      <c r="D2396" t="s">
        <v>54</v>
      </c>
      <c r="E2396" t="s">
        <v>45</v>
      </c>
      <c r="F2396" t="s">
        <v>55</v>
      </c>
      <c r="G2396">
        <v>9.9</v>
      </c>
      <c r="H2396" t="s">
        <v>138</v>
      </c>
      <c r="I2396" t="s">
        <v>48</v>
      </c>
      <c r="J2396" t="s">
        <v>113</v>
      </c>
      <c r="K2396">
        <v>557.65</v>
      </c>
      <c r="L2396" t="s">
        <v>5672</v>
      </c>
      <c r="M2396">
        <f>VLOOKUP(H2396,'Stage Order'!$A$2:$B$8,2,FALSE)</f>
        <v>6</v>
      </c>
      <c r="N2396" t="str">
        <f t="shared" si="74"/>
        <v>2. 1-24 hours</v>
      </c>
      <c r="O2396" t="str">
        <f t="shared" si="75"/>
        <v>2026-05</v>
      </c>
    </row>
    <row r="2397" spans="1:15" x14ac:dyDescent="0.3">
      <c r="A2397" t="s">
        <v>5673</v>
      </c>
      <c r="B2397" t="s">
        <v>5674</v>
      </c>
      <c r="C2397" t="s">
        <v>53</v>
      </c>
      <c r="D2397" t="s">
        <v>54</v>
      </c>
      <c r="E2397" t="s">
        <v>45</v>
      </c>
      <c r="F2397" t="s">
        <v>46</v>
      </c>
      <c r="G2397">
        <v>10.15</v>
      </c>
      <c r="H2397" t="s">
        <v>32</v>
      </c>
      <c r="I2397" t="s">
        <v>33</v>
      </c>
      <c r="K2397">
        <v>507</v>
      </c>
      <c r="L2397" t="s">
        <v>5675</v>
      </c>
      <c r="M2397">
        <f>VLOOKUP(H2397,'Stage Order'!$A$2:$B$8,2,FALSE)</f>
        <v>7</v>
      </c>
      <c r="N2397" t="str">
        <f t="shared" si="74"/>
        <v>2. 1-24 hours</v>
      </c>
      <c r="O2397" t="str">
        <f t="shared" si="75"/>
        <v>2025-02</v>
      </c>
    </row>
    <row r="2398" spans="1:15" x14ac:dyDescent="0.3">
      <c r="A2398" t="s">
        <v>5676</v>
      </c>
      <c r="B2398" t="s">
        <v>5677</v>
      </c>
      <c r="C2398" t="s">
        <v>58</v>
      </c>
      <c r="D2398" t="s">
        <v>38</v>
      </c>
      <c r="E2398" t="s">
        <v>45</v>
      </c>
      <c r="F2398" t="s">
        <v>55</v>
      </c>
      <c r="G2398">
        <v>1.66</v>
      </c>
      <c r="H2398" t="s">
        <v>41</v>
      </c>
      <c r="I2398" t="s">
        <v>42</v>
      </c>
      <c r="M2398">
        <f>VLOOKUP(H2398,'Stage Order'!$A$2:$B$8,2,FALSE)</f>
        <v>2</v>
      </c>
      <c r="N2398" t="str">
        <f t="shared" si="74"/>
        <v>2. 1-24 hours</v>
      </c>
      <c r="O2398" t="str">
        <f t="shared" si="75"/>
        <v>2026-02</v>
      </c>
    </row>
    <row r="2399" spans="1:15" x14ac:dyDescent="0.3">
      <c r="A2399" t="s">
        <v>5678</v>
      </c>
      <c r="B2399" t="s">
        <v>5679</v>
      </c>
      <c r="C2399" t="s">
        <v>58</v>
      </c>
      <c r="D2399" t="s">
        <v>77</v>
      </c>
      <c r="E2399" t="s">
        <v>45</v>
      </c>
      <c r="F2399" t="s">
        <v>94</v>
      </c>
      <c r="G2399">
        <v>1.1100000000000001</v>
      </c>
      <c r="H2399" t="s">
        <v>41</v>
      </c>
      <c r="I2399" t="s">
        <v>42</v>
      </c>
      <c r="M2399">
        <f>VLOOKUP(H2399,'Stage Order'!$A$2:$B$8,2,FALSE)</f>
        <v>2</v>
      </c>
      <c r="N2399" t="str">
        <f t="shared" si="74"/>
        <v>2. 1-24 hours</v>
      </c>
      <c r="O2399" t="str">
        <f t="shared" si="75"/>
        <v>2025-07</v>
      </c>
    </row>
    <row r="2400" spans="1:15" x14ac:dyDescent="0.3">
      <c r="A2400" t="s">
        <v>5680</v>
      </c>
      <c r="B2400" t="s">
        <v>5681</v>
      </c>
      <c r="C2400" t="s">
        <v>28</v>
      </c>
      <c r="D2400" t="s">
        <v>38</v>
      </c>
      <c r="E2400" t="s">
        <v>45</v>
      </c>
      <c r="F2400" t="s">
        <v>55</v>
      </c>
      <c r="G2400">
        <v>2.77</v>
      </c>
      <c r="H2400" t="s">
        <v>41</v>
      </c>
      <c r="I2400" t="s">
        <v>42</v>
      </c>
      <c r="M2400">
        <f>VLOOKUP(H2400,'Stage Order'!$A$2:$B$8,2,FALSE)</f>
        <v>2</v>
      </c>
      <c r="N2400" t="str">
        <f t="shared" si="74"/>
        <v>2. 1-24 hours</v>
      </c>
      <c r="O2400" t="str">
        <f t="shared" si="75"/>
        <v>2025-07</v>
      </c>
    </row>
    <row r="2401" spans="1:15" x14ac:dyDescent="0.3">
      <c r="A2401" t="s">
        <v>5682</v>
      </c>
      <c r="B2401" t="s">
        <v>5683</v>
      </c>
      <c r="C2401" t="s">
        <v>125</v>
      </c>
      <c r="D2401" t="s">
        <v>97</v>
      </c>
      <c r="E2401" t="s">
        <v>45</v>
      </c>
      <c r="F2401" t="s">
        <v>46</v>
      </c>
      <c r="G2401">
        <v>1.8</v>
      </c>
      <c r="H2401" t="s">
        <v>61</v>
      </c>
      <c r="I2401" t="s">
        <v>42</v>
      </c>
      <c r="M2401">
        <f>VLOOKUP(H2401,'Stage Order'!$A$2:$B$8,2,FALSE)</f>
        <v>1</v>
      </c>
      <c r="N2401" t="str">
        <f t="shared" si="74"/>
        <v>2. 1-24 hours</v>
      </c>
      <c r="O2401" t="str">
        <f t="shared" si="75"/>
        <v>2026-05</v>
      </c>
    </row>
    <row r="2402" spans="1:15" x14ac:dyDescent="0.3">
      <c r="A2402" t="s">
        <v>5684</v>
      </c>
      <c r="B2402" t="s">
        <v>5685</v>
      </c>
      <c r="C2402" t="s">
        <v>76</v>
      </c>
      <c r="D2402" t="s">
        <v>77</v>
      </c>
      <c r="E2402" t="s">
        <v>45</v>
      </c>
      <c r="F2402" t="s">
        <v>94</v>
      </c>
      <c r="G2402">
        <v>0.85</v>
      </c>
      <c r="H2402" t="s">
        <v>32</v>
      </c>
      <c r="I2402" t="s">
        <v>33</v>
      </c>
      <c r="K2402">
        <v>976.77</v>
      </c>
      <c r="L2402" t="s">
        <v>5686</v>
      </c>
      <c r="M2402">
        <f>VLOOKUP(H2402,'Stage Order'!$A$2:$B$8,2,FALSE)</f>
        <v>7</v>
      </c>
      <c r="N2402" t="str">
        <f t="shared" si="74"/>
        <v>1. Under 1 hour</v>
      </c>
      <c r="O2402" t="str">
        <f t="shared" si="75"/>
        <v>2025-10</v>
      </c>
    </row>
    <row r="2403" spans="1:15" x14ac:dyDescent="0.3">
      <c r="A2403" t="s">
        <v>5687</v>
      </c>
      <c r="B2403" t="s">
        <v>5688</v>
      </c>
      <c r="C2403" t="s">
        <v>58</v>
      </c>
      <c r="D2403" t="s">
        <v>77</v>
      </c>
      <c r="E2403" t="s">
        <v>90</v>
      </c>
      <c r="F2403" t="s">
        <v>91</v>
      </c>
      <c r="G2403">
        <v>8.66</v>
      </c>
      <c r="H2403" t="s">
        <v>128</v>
      </c>
      <c r="I2403" t="s">
        <v>42</v>
      </c>
      <c r="M2403">
        <f>VLOOKUP(H2403,'Stage Order'!$A$2:$B$8,2,FALSE)</f>
        <v>3</v>
      </c>
      <c r="N2403" t="str">
        <f t="shared" si="74"/>
        <v>2. 1-24 hours</v>
      </c>
      <c r="O2403" t="str">
        <f t="shared" si="75"/>
        <v>2025-05</v>
      </c>
    </row>
    <row r="2404" spans="1:15" x14ac:dyDescent="0.3">
      <c r="A2404" t="s">
        <v>5689</v>
      </c>
      <c r="B2404" t="s">
        <v>5690</v>
      </c>
      <c r="C2404" t="s">
        <v>76</v>
      </c>
      <c r="D2404" t="s">
        <v>54</v>
      </c>
      <c r="E2404" t="s">
        <v>59</v>
      </c>
      <c r="F2404" t="s">
        <v>60</v>
      </c>
      <c r="G2404">
        <v>17.05</v>
      </c>
      <c r="H2404" t="s">
        <v>41</v>
      </c>
      <c r="I2404" t="s">
        <v>42</v>
      </c>
      <c r="M2404">
        <f>VLOOKUP(H2404,'Stage Order'!$A$2:$B$8,2,FALSE)</f>
        <v>2</v>
      </c>
      <c r="N2404" t="str">
        <f t="shared" si="74"/>
        <v>2. 1-24 hours</v>
      </c>
      <c r="O2404" t="str">
        <f t="shared" si="75"/>
        <v>2025-01</v>
      </c>
    </row>
    <row r="2405" spans="1:15" x14ac:dyDescent="0.3">
      <c r="A2405" t="s">
        <v>5691</v>
      </c>
      <c r="B2405" t="s">
        <v>5692</v>
      </c>
      <c r="C2405" t="s">
        <v>37</v>
      </c>
      <c r="D2405" t="s">
        <v>54</v>
      </c>
      <c r="E2405" t="s">
        <v>45</v>
      </c>
      <c r="F2405" t="s">
        <v>55</v>
      </c>
      <c r="G2405">
        <v>1.01</v>
      </c>
      <c r="H2405" t="s">
        <v>138</v>
      </c>
      <c r="I2405" t="s">
        <v>48</v>
      </c>
      <c r="J2405" t="s">
        <v>98</v>
      </c>
      <c r="K2405">
        <v>582.12</v>
      </c>
      <c r="L2405" t="s">
        <v>5693</v>
      </c>
      <c r="M2405">
        <f>VLOOKUP(H2405,'Stage Order'!$A$2:$B$8,2,FALSE)</f>
        <v>6</v>
      </c>
      <c r="N2405" t="str">
        <f t="shared" si="74"/>
        <v>2. 1-24 hours</v>
      </c>
      <c r="O2405" t="str">
        <f t="shared" si="75"/>
        <v>2025-05</v>
      </c>
    </row>
    <row r="2406" spans="1:15" x14ac:dyDescent="0.3">
      <c r="A2406" t="s">
        <v>5694</v>
      </c>
      <c r="B2406" t="s">
        <v>5695</v>
      </c>
      <c r="C2406" t="s">
        <v>37</v>
      </c>
      <c r="D2406" t="s">
        <v>77</v>
      </c>
      <c r="E2406" t="s">
        <v>59</v>
      </c>
      <c r="F2406" t="s">
        <v>117</v>
      </c>
      <c r="G2406">
        <v>2.75</v>
      </c>
      <c r="H2406" t="s">
        <v>41</v>
      </c>
      <c r="I2406" t="s">
        <v>42</v>
      </c>
      <c r="M2406">
        <f>VLOOKUP(H2406,'Stage Order'!$A$2:$B$8,2,FALSE)</f>
        <v>2</v>
      </c>
      <c r="N2406" t="str">
        <f t="shared" si="74"/>
        <v>2. 1-24 hours</v>
      </c>
      <c r="O2406" t="str">
        <f t="shared" si="75"/>
        <v>2025-03</v>
      </c>
    </row>
    <row r="2407" spans="1:15" x14ac:dyDescent="0.3">
      <c r="A2407" t="s">
        <v>5696</v>
      </c>
      <c r="B2407" t="s">
        <v>5697</v>
      </c>
      <c r="C2407" t="s">
        <v>58</v>
      </c>
      <c r="D2407" t="s">
        <v>77</v>
      </c>
      <c r="E2407" t="s">
        <v>45</v>
      </c>
      <c r="F2407" t="s">
        <v>94</v>
      </c>
      <c r="G2407">
        <v>10.199999999999999</v>
      </c>
      <c r="H2407" t="s">
        <v>41</v>
      </c>
      <c r="I2407" t="s">
        <v>42</v>
      </c>
      <c r="M2407">
        <f>VLOOKUP(H2407,'Stage Order'!$A$2:$B$8,2,FALSE)</f>
        <v>2</v>
      </c>
      <c r="N2407" t="str">
        <f t="shared" si="74"/>
        <v>2. 1-24 hours</v>
      </c>
      <c r="O2407" t="str">
        <f t="shared" si="75"/>
        <v>2025-03</v>
      </c>
    </row>
    <row r="2408" spans="1:15" x14ac:dyDescent="0.3">
      <c r="A2408" t="s">
        <v>5698</v>
      </c>
      <c r="B2408" t="s">
        <v>5699</v>
      </c>
      <c r="C2408" t="s">
        <v>37</v>
      </c>
      <c r="D2408" t="s">
        <v>29</v>
      </c>
      <c r="E2408" t="s">
        <v>90</v>
      </c>
      <c r="F2408" t="s">
        <v>145</v>
      </c>
      <c r="G2408">
        <v>4.0999999999999996</v>
      </c>
      <c r="H2408" t="s">
        <v>41</v>
      </c>
      <c r="I2408" t="s">
        <v>42</v>
      </c>
      <c r="M2408">
        <f>VLOOKUP(H2408,'Stage Order'!$A$2:$B$8,2,FALSE)</f>
        <v>2</v>
      </c>
      <c r="N2408" t="str">
        <f t="shared" si="74"/>
        <v>2. 1-24 hours</v>
      </c>
      <c r="O2408" t="str">
        <f t="shared" si="75"/>
        <v>2026-06</v>
      </c>
    </row>
    <row r="2409" spans="1:15" x14ac:dyDescent="0.3">
      <c r="A2409" t="s">
        <v>5700</v>
      </c>
      <c r="B2409" t="s">
        <v>5701</v>
      </c>
      <c r="C2409" t="s">
        <v>53</v>
      </c>
      <c r="D2409" t="s">
        <v>29</v>
      </c>
      <c r="E2409" t="s">
        <v>39</v>
      </c>
      <c r="F2409" t="s">
        <v>106</v>
      </c>
      <c r="G2409">
        <v>5.21</v>
      </c>
      <c r="H2409" t="s">
        <v>41</v>
      </c>
      <c r="I2409" t="s">
        <v>42</v>
      </c>
      <c r="M2409">
        <f>VLOOKUP(H2409,'Stage Order'!$A$2:$B$8,2,FALSE)</f>
        <v>2</v>
      </c>
      <c r="N2409" t="str">
        <f t="shared" si="74"/>
        <v>2. 1-24 hours</v>
      </c>
      <c r="O2409" t="str">
        <f t="shared" si="75"/>
        <v>2025-11</v>
      </c>
    </row>
    <row r="2410" spans="1:15" x14ac:dyDescent="0.3">
      <c r="A2410" t="s">
        <v>5702</v>
      </c>
      <c r="B2410" t="s">
        <v>5703</v>
      </c>
      <c r="C2410" t="s">
        <v>125</v>
      </c>
      <c r="D2410" t="s">
        <v>97</v>
      </c>
      <c r="E2410" t="s">
        <v>39</v>
      </c>
      <c r="F2410" t="s">
        <v>66</v>
      </c>
      <c r="G2410">
        <v>7.05</v>
      </c>
      <c r="H2410" t="s">
        <v>41</v>
      </c>
      <c r="I2410" t="s">
        <v>42</v>
      </c>
      <c r="M2410">
        <f>VLOOKUP(H2410,'Stage Order'!$A$2:$B$8,2,FALSE)</f>
        <v>2</v>
      </c>
      <c r="N2410" t="str">
        <f t="shared" si="74"/>
        <v>2. 1-24 hours</v>
      </c>
      <c r="O2410" t="str">
        <f t="shared" si="75"/>
        <v>2026-04</v>
      </c>
    </row>
    <row r="2411" spans="1:15" x14ac:dyDescent="0.3">
      <c r="A2411" t="s">
        <v>5704</v>
      </c>
      <c r="B2411" t="s">
        <v>5705</v>
      </c>
      <c r="C2411" t="s">
        <v>58</v>
      </c>
      <c r="D2411" t="s">
        <v>29</v>
      </c>
      <c r="E2411" t="s">
        <v>30</v>
      </c>
      <c r="F2411" t="s">
        <v>78</v>
      </c>
      <c r="G2411">
        <v>4.16</v>
      </c>
      <c r="H2411" t="s">
        <v>41</v>
      </c>
      <c r="I2411" t="s">
        <v>42</v>
      </c>
      <c r="M2411">
        <f>VLOOKUP(H2411,'Stage Order'!$A$2:$B$8,2,FALSE)</f>
        <v>2</v>
      </c>
      <c r="N2411" t="str">
        <f t="shared" si="74"/>
        <v>2. 1-24 hours</v>
      </c>
      <c r="O2411" t="str">
        <f t="shared" si="75"/>
        <v>2026-03</v>
      </c>
    </row>
    <row r="2412" spans="1:15" x14ac:dyDescent="0.3">
      <c r="A2412" t="s">
        <v>5706</v>
      </c>
      <c r="B2412" t="s">
        <v>5707</v>
      </c>
      <c r="C2412" t="s">
        <v>58</v>
      </c>
      <c r="D2412" t="s">
        <v>54</v>
      </c>
      <c r="E2412" t="s">
        <v>45</v>
      </c>
      <c r="F2412" t="s">
        <v>94</v>
      </c>
      <c r="G2412">
        <v>19.260000000000002</v>
      </c>
      <c r="H2412" t="s">
        <v>41</v>
      </c>
      <c r="I2412" t="s">
        <v>42</v>
      </c>
      <c r="M2412">
        <f>VLOOKUP(H2412,'Stage Order'!$A$2:$B$8,2,FALSE)</f>
        <v>2</v>
      </c>
      <c r="N2412" t="str">
        <f t="shared" si="74"/>
        <v>2. 1-24 hours</v>
      </c>
      <c r="O2412" t="str">
        <f t="shared" si="75"/>
        <v>2026-03</v>
      </c>
    </row>
    <row r="2413" spans="1:15" x14ac:dyDescent="0.3">
      <c r="A2413" t="s">
        <v>5708</v>
      </c>
      <c r="B2413" t="s">
        <v>5709</v>
      </c>
      <c r="C2413" t="s">
        <v>76</v>
      </c>
      <c r="D2413" t="s">
        <v>77</v>
      </c>
      <c r="E2413" t="s">
        <v>39</v>
      </c>
      <c r="F2413" t="s">
        <v>66</v>
      </c>
      <c r="G2413">
        <v>2.5099999999999998</v>
      </c>
      <c r="H2413" t="s">
        <v>41</v>
      </c>
      <c r="I2413" t="s">
        <v>42</v>
      </c>
      <c r="M2413">
        <f>VLOOKUP(H2413,'Stage Order'!$A$2:$B$8,2,FALSE)</f>
        <v>2</v>
      </c>
      <c r="N2413" t="str">
        <f t="shared" si="74"/>
        <v>2. 1-24 hours</v>
      </c>
      <c r="O2413" t="str">
        <f t="shared" si="75"/>
        <v>2025-11</v>
      </c>
    </row>
    <row r="2414" spans="1:15" x14ac:dyDescent="0.3">
      <c r="A2414" t="s">
        <v>5710</v>
      </c>
      <c r="B2414" t="s">
        <v>5711</v>
      </c>
      <c r="C2414" t="s">
        <v>28</v>
      </c>
      <c r="D2414" t="s">
        <v>29</v>
      </c>
      <c r="E2414" t="s">
        <v>90</v>
      </c>
      <c r="F2414" t="s">
        <v>112</v>
      </c>
      <c r="G2414">
        <v>5.46</v>
      </c>
      <c r="H2414" t="s">
        <v>138</v>
      </c>
      <c r="I2414" t="s">
        <v>48</v>
      </c>
      <c r="J2414" t="s">
        <v>139</v>
      </c>
      <c r="K2414">
        <v>640.33000000000004</v>
      </c>
      <c r="L2414" t="s">
        <v>5712</v>
      </c>
      <c r="M2414">
        <f>VLOOKUP(H2414,'Stage Order'!$A$2:$B$8,2,FALSE)</f>
        <v>6</v>
      </c>
      <c r="N2414" t="str">
        <f t="shared" si="74"/>
        <v>2. 1-24 hours</v>
      </c>
      <c r="O2414" t="str">
        <f t="shared" si="75"/>
        <v>2025-09</v>
      </c>
    </row>
    <row r="2415" spans="1:15" x14ac:dyDescent="0.3">
      <c r="A2415" t="s">
        <v>5713</v>
      </c>
      <c r="B2415" t="s">
        <v>5714</v>
      </c>
      <c r="C2415" t="s">
        <v>37</v>
      </c>
      <c r="D2415" t="s">
        <v>29</v>
      </c>
      <c r="E2415" t="s">
        <v>30</v>
      </c>
      <c r="F2415" t="s">
        <v>31</v>
      </c>
      <c r="G2415">
        <v>3.13</v>
      </c>
      <c r="H2415" t="s">
        <v>41</v>
      </c>
      <c r="I2415" t="s">
        <v>42</v>
      </c>
      <c r="M2415">
        <f>VLOOKUP(H2415,'Stage Order'!$A$2:$B$8,2,FALSE)</f>
        <v>2</v>
      </c>
      <c r="N2415" t="str">
        <f t="shared" si="74"/>
        <v>2. 1-24 hours</v>
      </c>
      <c r="O2415" t="str">
        <f t="shared" si="75"/>
        <v>2025-06</v>
      </c>
    </row>
    <row r="2416" spans="1:15" x14ac:dyDescent="0.3">
      <c r="A2416" t="s">
        <v>5715</v>
      </c>
      <c r="B2416" t="s">
        <v>5716</v>
      </c>
      <c r="C2416" t="s">
        <v>53</v>
      </c>
      <c r="D2416" t="s">
        <v>29</v>
      </c>
      <c r="E2416" t="s">
        <v>39</v>
      </c>
      <c r="F2416" t="s">
        <v>66</v>
      </c>
      <c r="G2416">
        <v>6.97</v>
      </c>
      <c r="H2416" t="s">
        <v>41</v>
      </c>
      <c r="I2416" t="s">
        <v>42</v>
      </c>
      <c r="M2416">
        <f>VLOOKUP(H2416,'Stage Order'!$A$2:$B$8,2,FALSE)</f>
        <v>2</v>
      </c>
      <c r="N2416" t="str">
        <f t="shared" si="74"/>
        <v>2. 1-24 hours</v>
      </c>
      <c r="O2416" t="str">
        <f t="shared" si="75"/>
        <v>2025-06</v>
      </c>
    </row>
    <row r="2417" spans="1:15" x14ac:dyDescent="0.3">
      <c r="A2417" t="s">
        <v>5717</v>
      </c>
      <c r="B2417" t="s">
        <v>5718</v>
      </c>
      <c r="C2417" t="s">
        <v>58</v>
      </c>
      <c r="D2417" t="s">
        <v>29</v>
      </c>
      <c r="E2417" t="s">
        <v>39</v>
      </c>
      <c r="F2417" t="s">
        <v>66</v>
      </c>
      <c r="G2417">
        <v>4.1500000000000004</v>
      </c>
      <c r="H2417" t="s">
        <v>61</v>
      </c>
      <c r="I2417" t="s">
        <v>42</v>
      </c>
      <c r="M2417">
        <f>VLOOKUP(H2417,'Stage Order'!$A$2:$B$8,2,FALSE)</f>
        <v>1</v>
      </c>
      <c r="N2417" t="str">
        <f t="shared" si="74"/>
        <v>2. 1-24 hours</v>
      </c>
      <c r="O2417" t="str">
        <f t="shared" si="75"/>
        <v>2025-07</v>
      </c>
    </row>
    <row r="2418" spans="1:15" x14ac:dyDescent="0.3">
      <c r="A2418" t="s">
        <v>5719</v>
      </c>
      <c r="B2418" t="s">
        <v>5720</v>
      </c>
      <c r="C2418" t="s">
        <v>58</v>
      </c>
      <c r="D2418" t="s">
        <v>77</v>
      </c>
      <c r="E2418" t="s">
        <v>30</v>
      </c>
      <c r="F2418" t="s">
        <v>78</v>
      </c>
      <c r="G2418">
        <v>2.8</v>
      </c>
      <c r="H2418" t="s">
        <v>47</v>
      </c>
      <c r="I2418" t="s">
        <v>48</v>
      </c>
      <c r="J2418" t="s">
        <v>49</v>
      </c>
      <c r="K2418">
        <v>929.64</v>
      </c>
      <c r="L2418" t="s">
        <v>5721</v>
      </c>
      <c r="M2418">
        <f>VLOOKUP(H2418,'Stage Order'!$A$2:$B$8,2,FALSE)</f>
        <v>4</v>
      </c>
      <c r="N2418" t="str">
        <f t="shared" si="74"/>
        <v>2. 1-24 hours</v>
      </c>
      <c r="O2418" t="str">
        <f t="shared" si="75"/>
        <v>2026-01</v>
      </c>
    </row>
    <row r="2419" spans="1:15" x14ac:dyDescent="0.3">
      <c r="A2419" t="s">
        <v>5722</v>
      </c>
      <c r="B2419" t="s">
        <v>5723</v>
      </c>
      <c r="C2419" t="s">
        <v>28</v>
      </c>
      <c r="D2419" t="s">
        <v>38</v>
      </c>
      <c r="E2419" t="s">
        <v>59</v>
      </c>
      <c r="F2419" t="s">
        <v>60</v>
      </c>
      <c r="G2419">
        <v>2.68</v>
      </c>
      <c r="H2419" t="s">
        <v>32</v>
      </c>
      <c r="I2419" t="s">
        <v>33</v>
      </c>
      <c r="K2419">
        <v>385.68</v>
      </c>
      <c r="L2419" t="s">
        <v>5724</v>
      </c>
      <c r="M2419">
        <f>VLOOKUP(H2419,'Stage Order'!$A$2:$B$8,2,FALSE)</f>
        <v>7</v>
      </c>
      <c r="N2419" t="str">
        <f t="shared" si="74"/>
        <v>2. 1-24 hours</v>
      </c>
      <c r="O2419" t="str">
        <f t="shared" si="75"/>
        <v>2026-03</v>
      </c>
    </row>
    <row r="2420" spans="1:15" x14ac:dyDescent="0.3">
      <c r="A2420" t="s">
        <v>5725</v>
      </c>
      <c r="B2420" t="s">
        <v>5726</v>
      </c>
      <c r="C2420" t="s">
        <v>28</v>
      </c>
      <c r="D2420" t="s">
        <v>38</v>
      </c>
      <c r="E2420" t="s">
        <v>39</v>
      </c>
      <c r="F2420" t="s">
        <v>106</v>
      </c>
      <c r="G2420">
        <v>1.38</v>
      </c>
      <c r="H2420" t="s">
        <v>41</v>
      </c>
      <c r="I2420" t="s">
        <v>42</v>
      </c>
      <c r="M2420">
        <f>VLOOKUP(H2420,'Stage Order'!$A$2:$B$8,2,FALSE)</f>
        <v>2</v>
      </c>
      <c r="N2420" t="str">
        <f t="shared" si="74"/>
        <v>2. 1-24 hours</v>
      </c>
      <c r="O2420" t="str">
        <f t="shared" si="75"/>
        <v>2025-06</v>
      </c>
    </row>
    <row r="2421" spans="1:15" x14ac:dyDescent="0.3">
      <c r="A2421" t="s">
        <v>5727</v>
      </c>
      <c r="B2421" t="s">
        <v>5728</v>
      </c>
      <c r="C2421" t="s">
        <v>125</v>
      </c>
      <c r="D2421" t="s">
        <v>29</v>
      </c>
      <c r="E2421" t="s">
        <v>39</v>
      </c>
      <c r="F2421" t="s">
        <v>106</v>
      </c>
      <c r="G2421">
        <v>4.22</v>
      </c>
      <c r="H2421" t="s">
        <v>146</v>
      </c>
      <c r="I2421" t="s">
        <v>48</v>
      </c>
      <c r="J2421" t="s">
        <v>139</v>
      </c>
      <c r="K2421">
        <v>594.51</v>
      </c>
      <c r="L2421" t="s">
        <v>5729</v>
      </c>
      <c r="M2421">
        <f>VLOOKUP(H2421,'Stage Order'!$A$2:$B$8,2,FALSE)</f>
        <v>5</v>
      </c>
      <c r="N2421" t="str">
        <f t="shared" si="74"/>
        <v>2. 1-24 hours</v>
      </c>
      <c r="O2421" t="str">
        <f t="shared" si="75"/>
        <v>2025-11</v>
      </c>
    </row>
    <row r="2422" spans="1:15" x14ac:dyDescent="0.3">
      <c r="A2422" t="s">
        <v>5730</v>
      </c>
      <c r="B2422" t="s">
        <v>5731</v>
      </c>
      <c r="C2422" t="s">
        <v>58</v>
      </c>
      <c r="D2422" t="s">
        <v>54</v>
      </c>
      <c r="E2422" t="s">
        <v>59</v>
      </c>
      <c r="F2422" t="s">
        <v>60</v>
      </c>
      <c r="G2422">
        <v>1.73</v>
      </c>
      <c r="H2422" t="s">
        <v>61</v>
      </c>
      <c r="I2422" t="s">
        <v>42</v>
      </c>
      <c r="M2422">
        <f>VLOOKUP(H2422,'Stage Order'!$A$2:$B$8,2,FALSE)</f>
        <v>1</v>
      </c>
      <c r="N2422" t="str">
        <f t="shared" si="74"/>
        <v>2. 1-24 hours</v>
      </c>
      <c r="O2422" t="str">
        <f t="shared" si="75"/>
        <v>2026-03</v>
      </c>
    </row>
    <row r="2423" spans="1:15" x14ac:dyDescent="0.3">
      <c r="A2423" t="s">
        <v>5732</v>
      </c>
      <c r="B2423" t="s">
        <v>5733</v>
      </c>
      <c r="C2423" t="s">
        <v>28</v>
      </c>
      <c r="D2423" t="s">
        <v>38</v>
      </c>
      <c r="E2423" t="s">
        <v>30</v>
      </c>
      <c r="F2423" t="s">
        <v>82</v>
      </c>
      <c r="G2423">
        <v>1.82</v>
      </c>
      <c r="H2423" t="s">
        <v>146</v>
      </c>
      <c r="I2423" t="s">
        <v>48</v>
      </c>
      <c r="J2423" t="s">
        <v>139</v>
      </c>
      <c r="K2423">
        <v>421.33</v>
      </c>
      <c r="L2423" t="s">
        <v>5734</v>
      </c>
      <c r="M2423">
        <f>VLOOKUP(H2423,'Stage Order'!$A$2:$B$8,2,FALSE)</f>
        <v>5</v>
      </c>
      <c r="N2423" t="str">
        <f t="shared" si="74"/>
        <v>2. 1-24 hours</v>
      </c>
      <c r="O2423" t="str">
        <f t="shared" si="75"/>
        <v>2026-05</v>
      </c>
    </row>
    <row r="2424" spans="1:15" x14ac:dyDescent="0.3">
      <c r="A2424" t="s">
        <v>5735</v>
      </c>
      <c r="B2424" t="s">
        <v>5736</v>
      </c>
      <c r="C2424" t="s">
        <v>58</v>
      </c>
      <c r="D2424" t="s">
        <v>54</v>
      </c>
      <c r="E2424" t="s">
        <v>59</v>
      </c>
      <c r="F2424" t="s">
        <v>117</v>
      </c>
      <c r="G2424">
        <v>2.1</v>
      </c>
      <c r="H2424" t="s">
        <v>41</v>
      </c>
      <c r="I2424" t="s">
        <v>42</v>
      </c>
      <c r="M2424">
        <f>VLOOKUP(H2424,'Stage Order'!$A$2:$B$8,2,FALSE)</f>
        <v>2</v>
      </c>
      <c r="N2424" t="str">
        <f t="shared" si="74"/>
        <v>2. 1-24 hours</v>
      </c>
      <c r="O2424" t="str">
        <f t="shared" si="75"/>
        <v>2025-08</v>
      </c>
    </row>
    <row r="2425" spans="1:15" x14ac:dyDescent="0.3">
      <c r="A2425" t="s">
        <v>5737</v>
      </c>
      <c r="B2425" t="s">
        <v>5738</v>
      </c>
      <c r="C2425" t="s">
        <v>58</v>
      </c>
      <c r="D2425" t="s">
        <v>97</v>
      </c>
      <c r="E2425" t="s">
        <v>59</v>
      </c>
      <c r="F2425" t="s">
        <v>137</v>
      </c>
      <c r="G2425">
        <v>5.31</v>
      </c>
      <c r="H2425" t="s">
        <v>41</v>
      </c>
      <c r="I2425" t="s">
        <v>42</v>
      </c>
      <c r="M2425">
        <f>VLOOKUP(H2425,'Stage Order'!$A$2:$B$8,2,FALSE)</f>
        <v>2</v>
      </c>
      <c r="N2425" t="str">
        <f t="shared" si="74"/>
        <v>2. 1-24 hours</v>
      </c>
      <c r="O2425" t="str">
        <f t="shared" si="75"/>
        <v>2025-10</v>
      </c>
    </row>
    <row r="2426" spans="1:15" x14ac:dyDescent="0.3">
      <c r="A2426" t="s">
        <v>5739</v>
      </c>
      <c r="B2426" t="s">
        <v>5740</v>
      </c>
      <c r="C2426" t="s">
        <v>53</v>
      </c>
      <c r="D2426" t="s">
        <v>54</v>
      </c>
      <c r="E2426" t="s">
        <v>45</v>
      </c>
      <c r="F2426" t="s">
        <v>94</v>
      </c>
      <c r="G2426">
        <v>1.99</v>
      </c>
      <c r="H2426" t="s">
        <v>32</v>
      </c>
      <c r="I2426" t="s">
        <v>33</v>
      </c>
      <c r="K2426">
        <v>457.17</v>
      </c>
      <c r="L2426" t="s">
        <v>5741</v>
      </c>
      <c r="M2426">
        <f>VLOOKUP(H2426,'Stage Order'!$A$2:$B$8,2,FALSE)</f>
        <v>7</v>
      </c>
      <c r="N2426" t="str">
        <f t="shared" si="74"/>
        <v>2. 1-24 hours</v>
      </c>
      <c r="O2426" t="str">
        <f t="shared" si="75"/>
        <v>2025-05</v>
      </c>
    </row>
    <row r="2427" spans="1:15" x14ac:dyDescent="0.3">
      <c r="A2427" t="s">
        <v>5742</v>
      </c>
      <c r="B2427" t="s">
        <v>5743</v>
      </c>
      <c r="C2427" t="s">
        <v>28</v>
      </c>
      <c r="D2427" t="s">
        <v>97</v>
      </c>
      <c r="E2427" t="s">
        <v>39</v>
      </c>
      <c r="F2427" t="s">
        <v>106</v>
      </c>
      <c r="G2427">
        <v>2.73</v>
      </c>
      <c r="H2427" t="s">
        <v>32</v>
      </c>
      <c r="I2427" t="s">
        <v>33</v>
      </c>
      <c r="K2427">
        <v>1321.22</v>
      </c>
      <c r="L2427" t="s">
        <v>5744</v>
      </c>
      <c r="M2427">
        <f>VLOOKUP(H2427,'Stage Order'!$A$2:$B$8,2,FALSE)</f>
        <v>7</v>
      </c>
      <c r="N2427" t="str">
        <f t="shared" si="74"/>
        <v>2. 1-24 hours</v>
      </c>
      <c r="O2427" t="str">
        <f t="shared" si="75"/>
        <v>2026-04</v>
      </c>
    </row>
    <row r="2428" spans="1:15" x14ac:dyDescent="0.3">
      <c r="A2428" t="s">
        <v>5745</v>
      </c>
      <c r="B2428" t="s">
        <v>5746</v>
      </c>
      <c r="C2428" t="s">
        <v>58</v>
      </c>
      <c r="D2428" t="s">
        <v>77</v>
      </c>
      <c r="E2428" t="s">
        <v>45</v>
      </c>
      <c r="F2428" t="s">
        <v>94</v>
      </c>
      <c r="G2428">
        <v>2.33</v>
      </c>
      <c r="H2428" t="s">
        <v>41</v>
      </c>
      <c r="I2428" t="s">
        <v>42</v>
      </c>
      <c r="M2428">
        <f>VLOOKUP(H2428,'Stage Order'!$A$2:$B$8,2,FALSE)</f>
        <v>2</v>
      </c>
      <c r="N2428" t="str">
        <f t="shared" si="74"/>
        <v>2. 1-24 hours</v>
      </c>
      <c r="O2428" t="str">
        <f t="shared" si="75"/>
        <v>2025-07</v>
      </c>
    </row>
    <row r="2429" spans="1:15" x14ac:dyDescent="0.3">
      <c r="A2429" t="s">
        <v>5747</v>
      </c>
      <c r="B2429" t="s">
        <v>5748</v>
      </c>
      <c r="C2429" t="s">
        <v>76</v>
      </c>
      <c r="D2429" t="s">
        <v>29</v>
      </c>
      <c r="E2429" t="s">
        <v>39</v>
      </c>
      <c r="F2429" t="s">
        <v>66</v>
      </c>
      <c r="G2429">
        <v>1.78</v>
      </c>
      <c r="H2429" t="s">
        <v>41</v>
      </c>
      <c r="I2429" t="s">
        <v>42</v>
      </c>
      <c r="M2429">
        <f>VLOOKUP(H2429,'Stage Order'!$A$2:$B$8,2,FALSE)</f>
        <v>2</v>
      </c>
      <c r="N2429" t="str">
        <f t="shared" si="74"/>
        <v>2. 1-24 hours</v>
      </c>
      <c r="O2429" t="str">
        <f t="shared" si="75"/>
        <v>2025-11</v>
      </c>
    </row>
    <row r="2430" spans="1:15" x14ac:dyDescent="0.3">
      <c r="A2430" t="s">
        <v>5749</v>
      </c>
      <c r="B2430" t="s">
        <v>5750</v>
      </c>
      <c r="C2430" t="s">
        <v>28</v>
      </c>
      <c r="D2430" t="s">
        <v>54</v>
      </c>
      <c r="E2430" t="s">
        <v>39</v>
      </c>
      <c r="F2430" t="s">
        <v>40</v>
      </c>
      <c r="G2430">
        <v>4.57</v>
      </c>
      <c r="H2430" t="s">
        <v>41</v>
      </c>
      <c r="I2430" t="s">
        <v>42</v>
      </c>
      <c r="M2430">
        <f>VLOOKUP(H2430,'Stage Order'!$A$2:$B$8,2,FALSE)</f>
        <v>2</v>
      </c>
      <c r="N2430" t="str">
        <f t="shared" si="74"/>
        <v>2. 1-24 hours</v>
      </c>
      <c r="O2430" t="str">
        <f t="shared" si="75"/>
        <v>2025-01</v>
      </c>
    </row>
    <row r="2431" spans="1:15" x14ac:dyDescent="0.3">
      <c r="A2431" t="s">
        <v>5751</v>
      </c>
      <c r="B2431" t="s">
        <v>5752</v>
      </c>
      <c r="C2431" t="s">
        <v>37</v>
      </c>
      <c r="D2431" t="s">
        <v>54</v>
      </c>
      <c r="E2431" t="s">
        <v>90</v>
      </c>
      <c r="F2431" t="s">
        <v>112</v>
      </c>
      <c r="G2431">
        <v>5.9</v>
      </c>
      <c r="H2431" t="s">
        <v>41</v>
      </c>
      <c r="I2431" t="s">
        <v>42</v>
      </c>
      <c r="M2431">
        <f>VLOOKUP(H2431,'Stage Order'!$A$2:$B$8,2,FALSE)</f>
        <v>2</v>
      </c>
      <c r="N2431" t="str">
        <f t="shared" si="74"/>
        <v>2. 1-24 hours</v>
      </c>
      <c r="O2431" t="str">
        <f t="shared" si="75"/>
        <v>2025-08</v>
      </c>
    </row>
    <row r="2432" spans="1:15" x14ac:dyDescent="0.3">
      <c r="A2432" t="s">
        <v>5753</v>
      </c>
      <c r="B2432" t="s">
        <v>5754</v>
      </c>
      <c r="C2432" t="s">
        <v>76</v>
      </c>
      <c r="D2432" t="s">
        <v>77</v>
      </c>
      <c r="E2432" t="s">
        <v>39</v>
      </c>
      <c r="F2432" t="s">
        <v>66</v>
      </c>
      <c r="G2432">
        <v>4.79</v>
      </c>
      <c r="H2432" t="s">
        <v>41</v>
      </c>
      <c r="I2432" t="s">
        <v>42</v>
      </c>
      <c r="M2432">
        <f>VLOOKUP(H2432,'Stage Order'!$A$2:$B$8,2,FALSE)</f>
        <v>2</v>
      </c>
      <c r="N2432" t="str">
        <f t="shared" si="74"/>
        <v>2. 1-24 hours</v>
      </c>
      <c r="O2432" t="str">
        <f t="shared" si="75"/>
        <v>2025-05</v>
      </c>
    </row>
    <row r="2433" spans="1:15" x14ac:dyDescent="0.3">
      <c r="A2433" t="s">
        <v>5755</v>
      </c>
      <c r="B2433" t="s">
        <v>5756</v>
      </c>
      <c r="C2433" t="s">
        <v>28</v>
      </c>
      <c r="D2433" t="s">
        <v>54</v>
      </c>
      <c r="E2433" t="s">
        <v>90</v>
      </c>
      <c r="F2433" t="s">
        <v>91</v>
      </c>
      <c r="G2433">
        <v>4.43</v>
      </c>
      <c r="H2433" t="s">
        <v>41</v>
      </c>
      <c r="I2433" t="s">
        <v>42</v>
      </c>
      <c r="M2433">
        <f>VLOOKUP(H2433,'Stage Order'!$A$2:$B$8,2,FALSE)</f>
        <v>2</v>
      </c>
      <c r="N2433" t="str">
        <f t="shared" si="74"/>
        <v>2. 1-24 hours</v>
      </c>
      <c r="O2433" t="str">
        <f t="shared" si="75"/>
        <v>2025-05</v>
      </c>
    </row>
    <row r="2434" spans="1:15" x14ac:dyDescent="0.3">
      <c r="A2434" t="s">
        <v>5757</v>
      </c>
      <c r="B2434" t="s">
        <v>5758</v>
      </c>
      <c r="C2434" t="s">
        <v>125</v>
      </c>
      <c r="D2434" t="s">
        <v>54</v>
      </c>
      <c r="E2434" t="s">
        <v>59</v>
      </c>
      <c r="F2434" t="s">
        <v>60</v>
      </c>
      <c r="G2434">
        <v>3.77</v>
      </c>
      <c r="H2434" t="s">
        <v>138</v>
      </c>
      <c r="I2434" t="s">
        <v>48</v>
      </c>
      <c r="J2434" t="s">
        <v>139</v>
      </c>
      <c r="K2434">
        <v>408.89</v>
      </c>
      <c r="L2434" t="s">
        <v>5759</v>
      </c>
      <c r="M2434">
        <f>VLOOKUP(H2434,'Stage Order'!$A$2:$B$8,2,FALSE)</f>
        <v>6</v>
      </c>
      <c r="N2434" t="str">
        <f t="shared" ref="N2434:N2497" si="76">IF(G2434&lt;=1,"1. Under 1 hour",IF(G2434&lt;=24,"2. 1-24 hours",IF(G2434&lt;=72,"3. 1-3 days","4. Over 3 days")))</f>
        <v>2. 1-24 hours</v>
      </c>
      <c r="O2434" t="str">
        <f t="shared" ref="O2434:O2497" si="77">TEXT(B2434,"YYYY-MM")</f>
        <v>2026-04</v>
      </c>
    </row>
    <row r="2435" spans="1:15" x14ac:dyDescent="0.3">
      <c r="A2435" t="s">
        <v>5760</v>
      </c>
      <c r="B2435" t="s">
        <v>5761</v>
      </c>
      <c r="C2435" t="s">
        <v>125</v>
      </c>
      <c r="D2435" t="s">
        <v>38</v>
      </c>
      <c r="E2435" t="s">
        <v>90</v>
      </c>
      <c r="F2435" t="s">
        <v>145</v>
      </c>
      <c r="G2435">
        <v>16.52</v>
      </c>
      <c r="H2435" t="s">
        <v>41</v>
      </c>
      <c r="I2435" t="s">
        <v>42</v>
      </c>
      <c r="M2435">
        <f>VLOOKUP(H2435,'Stage Order'!$A$2:$B$8,2,FALSE)</f>
        <v>2</v>
      </c>
      <c r="N2435" t="str">
        <f t="shared" si="76"/>
        <v>2. 1-24 hours</v>
      </c>
      <c r="O2435" t="str">
        <f t="shared" si="77"/>
        <v>2025-05</v>
      </c>
    </row>
    <row r="2436" spans="1:15" x14ac:dyDescent="0.3">
      <c r="A2436" t="s">
        <v>5762</v>
      </c>
      <c r="B2436" t="s">
        <v>5763</v>
      </c>
      <c r="C2436" t="s">
        <v>125</v>
      </c>
      <c r="D2436" t="s">
        <v>97</v>
      </c>
      <c r="E2436" t="s">
        <v>90</v>
      </c>
      <c r="F2436" t="s">
        <v>91</v>
      </c>
      <c r="G2436">
        <v>7.62</v>
      </c>
      <c r="H2436" t="s">
        <v>41</v>
      </c>
      <c r="I2436" t="s">
        <v>42</v>
      </c>
      <c r="M2436">
        <f>VLOOKUP(H2436,'Stage Order'!$A$2:$B$8,2,FALSE)</f>
        <v>2</v>
      </c>
      <c r="N2436" t="str">
        <f t="shared" si="76"/>
        <v>2. 1-24 hours</v>
      </c>
      <c r="O2436" t="str">
        <f t="shared" si="77"/>
        <v>2025-08</v>
      </c>
    </row>
    <row r="2437" spans="1:15" x14ac:dyDescent="0.3">
      <c r="A2437" t="s">
        <v>5764</v>
      </c>
      <c r="B2437" t="s">
        <v>5765</v>
      </c>
      <c r="C2437" t="s">
        <v>76</v>
      </c>
      <c r="D2437" t="s">
        <v>97</v>
      </c>
      <c r="E2437" t="s">
        <v>39</v>
      </c>
      <c r="F2437" t="s">
        <v>40</v>
      </c>
      <c r="G2437">
        <v>5.12</v>
      </c>
      <c r="H2437" t="s">
        <v>32</v>
      </c>
      <c r="I2437" t="s">
        <v>33</v>
      </c>
      <c r="K2437">
        <v>1236.69</v>
      </c>
      <c r="L2437" t="s">
        <v>5766</v>
      </c>
      <c r="M2437">
        <f>VLOOKUP(H2437,'Stage Order'!$A$2:$B$8,2,FALSE)</f>
        <v>7</v>
      </c>
      <c r="N2437" t="str">
        <f t="shared" si="76"/>
        <v>2. 1-24 hours</v>
      </c>
      <c r="O2437" t="str">
        <f t="shared" si="77"/>
        <v>2025-07</v>
      </c>
    </row>
    <row r="2438" spans="1:15" x14ac:dyDescent="0.3">
      <c r="A2438" t="s">
        <v>5767</v>
      </c>
      <c r="B2438" t="s">
        <v>5768</v>
      </c>
      <c r="C2438" t="s">
        <v>28</v>
      </c>
      <c r="D2438" t="s">
        <v>54</v>
      </c>
      <c r="E2438" t="s">
        <v>39</v>
      </c>
      <c r="F2438" t="s">
        <v>40</v>
      </c>
      <c r="G2438">
        <v>7.29</v>
      </c>
      <c r="H2438" t="s">
        <v>32</v>
      </c>
      <c r="I2438" t="s">
        <v>33</v>
      </c>
      <c r="K2438">
        <v>541.82000000000005</v>
      </c>
      <c r="L2438" t="s">
        <v>5769</v>
      </c>
      <c r="M2438">
        <f>VLOOKUP(H2438,'Stage Order'!$A$2:$B$8,2,FALSE)</f>
        <v>7</v>
      </c>
      <c r="N2438" t="str">
        <f t="shared" si="76"/>
        <v>2. 1-24 hours</v>
      </c>
      <c r="O2438" t="str">
        <f t="shared" si="77"/>
        <v>2025-01</v>
      </c>
    </row>
    <row r="2439" spans="1:15" x14ac:dyDescent="0.3">
      <c r="A2439" t="s">
        <v>5770</v>
      </c>
      <c r="B2439" t="s">
        <v>5771</v>
      </c>
      <c r="C2439" t="s">
        <v>37</v>
      </c>
      <c r="D2439" t="s">
        <v>77</v>
      </c>
      <c r="E2439" t="s">
        <v>45</v>
      </c>
      <c r="F2439" t="s">
        <v>46</v>
      </c>
      <c r="G2439">
        <v>4.7</v>
      </c>
      <c r="H2439" t="s">
        <v>41</v>
      </c>
      <c r="I2439" t="s">
        <v>42</v>
      </c>
      <c r="M2439">
        <f>VLOOKUP(H2439,'Stage Order'!$A$2:$B$8,2,FALSE)</f>
        <v>2</v>
      </c>
      <c r="N2439" t="str">
        <f t="shared" si="76"/>
        <v>2. 1-24 hours</v>
      </c>
      <c r="O2439" t="str">
        <f t="shared" si="77"/>
        <v>2026-02</v>
      </c>
    </row>
    <row r="2440" spans="1:15" x14ac:dyDescent="0.3">
      <c r="A2440" t="s">
        <v>5772</v>
      </c>
      <c r="B2440" t="s">
        <v>5773</v>
      </c>
      <c r="C2440" t="s">
        <v>81</v>
      </c>
      <c r="D2440" t="s">
        <v>97</v>
      </c>
      <c r="E2440" t="s">
        <v>59</v>
      </c>
      <c r="F2440" t="s">
        <v>117</v>
      </c>
      <c r="G2440">
        <v>1.43</v>
      </c>
      <c r="H2440" t="s">
        <v>61</v>
      </c>
      <c r="I2440" t="s">
        <v>42</v>
      </c>
      <c r="M2440">
        <f>VLOOKUP(H2440,'Stage Order'!$A$2:$B$8,2,FALSE)</f>
        <v>1</v>
      </c>
      <c r="N2440" t="str">
        <f t="shared" si="76"/>
        <v>2. 1-24 hours</v>
      </c>
      <c r="O2440" t="str">
        <f t="shared" si="77"/>
        <v>2026-05</v>
      </c>
    </row>
    <row r="2441" spans="1:15" x14ac:dyDescent="0.3">
      <c r="A2441" t="s">
        <v>5774</v>
      </c>
      <c r="B2441" t="s">
        <v>5775</v>
      </c>
      <c r="C2441" t="s">
        <v>28</v>
      </c>
      <c r="D2441" t="s">
        <v>38</v>
      </c>
      <c r="E2441" t="s">
        <v>39</v>
      </c>
      <c r="F2441" t="s">
        <v>66</v>
      </c>
      <c r="G2441">
        <v>9.9</v>
      </c>
      <c r="H2441" t="s">
        <v>41</v>
      </c>
      <c r="I2441" t="s">
        <v>42</v>
      </c>
      <c r="M2441">
        <f>VLOOKUP(H2441,'Stage Order'!$A$2:$B$8,2,FALSE)</f>
        <v>2</v>
      </c>
      <c r="N2441" t="str">
        <f t="shared" si="76"/>
        <v>2. 1-24 hours</v>
      </c>
      <c r="O2441" t="str">
        <f t="shared" si="77"/>
        <v>2025-04</v>
      </c>
    </row>
    <row r="2442" spans="1:15" x14ac:dyDescent="0.3">
      <c r="A2442" t="s">
        <v>5776</v>
      </c>
      <c r="B2442" t="s">
        <v>5777</v>
      </c>
      <c r="C2442" t="s">
        <v>37</v>
      </c>
      <c r="D2442" t="s">
        <v>54</v>
      </c>
      <c r="E2442" t="s">
        <v>59</v>
      </c>
      <c r="F2442" t="s">
        <v>137</v>
      </c>
      <c r="G2442">
        <v>7.86</v>
      </c>
      <c r="H2442" t="s">
        <v>41</v>
      </c>
      <c r="I2442" t="s">
        <v>42</v>
      </c>
      <c r="M2442">
        <f>VLOOKUP(H2442,'Stage Order'!$A$2:$B$8,2,FALSE)</f>
        <v>2</v>
      </c>
      <c r="N2442" t="str">
        <f t="shared" si="76"/>
        <v>2. 1-24 hours</v>
      </c>
      <c r="O2442" t="str">
        <f t="shared" si="77"/>
        <v>2026-04</v>
      </c>
    </row>
    <row r="2443" spans="1:15" x14ac:dyDescent="0.3">
      <c r="A2443" t="s">
        <v>5778</v>
      </c>
      <c r="B2443" t="s">
        <v>5779</v>
      </c>
      <c r="C2443" t="s">
        <v>81</v>
      </c>
      <c r="D2443" t="s">
        <v>54</v>
      </c>
      <c r="E2443" t="s">
        <v>39</v>
      </c>
      <c r="F2443" t="s">
        <v>106</v>
      </c>
      <c r="G2443">
        <v>0.44</v>
      </c>
      <c r="H2443" t="s">
        <v>47</v>
      </c>
      <c r="I2443" t="s">
        <v>48</v>
      </c>
      <c r="J2443" t="s">
        <v>113</v>
      </c>
      <c r="K2443">
        <v>470.49</v>
      </c>
      <c r="L2443" t="s">
        <v>5780</v>
      </c>
      <c r="M2443">
        <f>VLOOKUP(H2443,'Stage Order'!$A$2:$B$8,2,FALSE)</f>
        <v>4</v>
      </c>
      <c r="N2443" t="str">
        <f t="shared" si="76"/>
        <v>1. Under 1 hour</v>
      </c>
      <c r="O2443" t="str">
        <f t="shared" si="77"/>
        <v>2025-04</v>
      </c>
    </row>
    <row r="2444" spans="1:15" x14ac:dyDescent="0.3">
      <c r="A2444" t="s">
        <v>5781</v>
      </c>
      <c r="B2444" t="s">
        <v>5782</v>
      </c>
      <c r="C2444" t="s">
        <v>37</v>
      </c>
      <c r="D2444" t="s">
        <v>97</v>
      </c>
      <c r="E2444" t="s">
        <v>90</v>
      </c>
      <c r="F2444" t="s">
        <v>112</v>
      </c>
      <c r="G2444">
        <v>3.81</v>
      </c>
      <c r="H2444" t="s">
        <v>32</v>
      </c>
      <c r="I2444" t="s">
        <v>33</v>
      </c>
      <c r="K2444">
        <v>1268.98</v>
      </c>
      <c r="L2444" t="s">
        <v>5783</v>
      </c>
      <c r="M2444">
        <f>VLOOKUP(H2444,'Stage Order'!$A$2:$B$8,2,FALSE)</f>
        <v>7</v>
      </c>
      <c r="N2444" t="str">
        <f t="shared" si="76"/>
        <v>2. 1-24 hours</v>
      </c>
      <c r="O2444" t="str">
        <f t="shared" si="77"/>
        <v>2025-06</v>
      </c>
    </row>
    <row r="2445" spans="1:15" x14ac:dyDescent="0.3">
      <c r="A2445" t="s">
        <v>5784</v>
      </c>
      <c r="B2445" t="s">
        <v>5785</v>
      </c>
      <c r="C2445" t="s">
        <v>58</v>
      </c>
      <c r="D2445" t="s">
        <v>38</v>
      </c>
      <c r="E2445" t="s">
        <v>59</v>
      </c>
      <c r="F2445" t="s">
        <v>137</v>
      </c>
      <c r="G2445">
        <v>5.7</v>
      </c>
      <c r="H2445" t="s">
        <v>61</v>
      </c>
      <c r="I2445" t="s">
        <v>42</v>
      </c>
      <c r="M2445">
        <f>VLOOKUP(H2445,'Stage Order'!$A$2:$B$8,2,FALSE)</f>
        <v>1</v>
      </c>
      <c r="N2445" t="str">
        <f t="shared" si="76"/>
        <v>2. 1-24 hours</v>
      </c>
      <c r="O2445" t="str">
        <f t="shared" si="77"/>
        <v>2025-01</v>
      </c>
    </row>
    <row r="2446" spans="1:15" x14ac:dyDescent="0.3">
      <c r="A2446" t="s">
        <v>5786</v>
      </c>
      <c r="B2446" t="s">
        <v>5787</v>
      </c>
      <c r="C2446" t="s">
        <v>58</v>
      </c>
      <c r="D2446" t="s">
        <v>29</v>
      </c>
      <c r="E2446" t="s">
        <v>45</v>
      </c>
      <c r="F2446" t="s">
        <v>55</v>
      </c>
      <c r="G2446">
        <v>8.68</v>
      </c>
      <c r="H2446" t="s">
        <v>32</v>
      </c>
      <c r="I2446" t="s">
        <v>33</v>
      </c>
      <c r="K2446">
        <v>762.06</v>
      </c>
      <c r="L2446" t="s">
        <v>5788</v>
      </c>
      <c r="M2446">
        <f>VLOOKUP(H2446,'Stage Order'!$A$2:$B$8,2,FALSE)</f>
        <v>7</v>
      </c>
      <c r="N2446" t="str">
        <f t="shared" si="76"/>
        <v>2. 1-24 hours</v>
      </c>
      <c r="O2446" t="str">
        <f t="shared" si="77"/>
        <v>2025-07</v>
      </c>
    </row>
    <row r="2447" spans="1:15" x14ac:dyDescent="0.3">
      <c r="A2447" t="s">
        <v>5789</v>
      </c>
      <c r="B2447" t="s">
        <v>5790</v>
      </c>
      <c r="C2447" t="s">
        <v>81</v>
      </c>
      <c r="D2447" t="s">
        <v>29</v>
      </c>
      <c r="E2447" t="s">
        <v>45</v>
      </c>
      <c r="F2447" t="s">
        <v>55</v>
      </c>
      <c r="G2447">
        <v>2.74</v>
      </c>
      <c r="H2447" t="s">
        <v>146</v>
      </c>
      <c r="I2447" t="s">
        <v>48</v>
      </c>
      <c r="J2447" t="s">
        <v>742</v>
      </c>
      <c r="K2447">
        <v>681.6</v>
      </c>
      <c r="L2447" t="s">
        <v>5791</v>
      </c>
      <c r="M2447">
        <f>VLOOKUP(H2447,'Stage Order'!$A$2:$B$8,2,FALSE)</f>
        <v>5</v>
      </c>
      <c r="N2447" t="str">
        <f t="shared" si="76"/>
        <v>2. 1-24 hours</v>
      </c>
      <c r="O2447" t="str">
        <f t="shared" si="77"/>
        <v>2026-03</v>
      </c>
    </row>
    <row r="2448" spans="1:15" x14ac:dyDescent="0.3">
      <c r="A2448" t="s">
        <v>5792</v>
      </c>
      <c r="B2448" t="s">
        <v>5793</v>
      </c>
      <c r="C2448" t="s">
        <v>53</v>
      </c>
      <c r="D2448" t="s">
        <v>38</v>
      </c>
      <c r="E2448" t="s">
        <v>90</v>
      </c>
      <c r="F2448" t="s">
        <v>112</v>
      </c>
      <c r="G2448">
        <v>13.96</v>
      </c>
      <c r="H2448" t="s">
        <v>32</v>
      </c>
      <c r="I2448" t="s">
        <v>33</v>
      </c>
      <c r="K2448">
        <v>329.25</v>
      </c>
      <c r="L2448" t="s">
        <v>5794</v>
      </c>
      <c r="M2448">
        <f>VLOOKUP(H2448,'Stage Order'!$A$2:$B$8,2,FALSE)</f>
        <v>7</v>
      </c>
      <c r="N2448" t="str">
        <f t="shared" si="76"/>
        <v>2. 1-24 hours</v>
      </c>
      <c r="O2448" t="str">
        <f t="shared" si="77"/>
        <v>2025-04</v>
      </c>
    </row>
    <row r="2449" spans="1:15" x14ac:dyDescent="0.3">
      <c r="A2449" t="s">
        <v>5795</v>
      </c>
      <c r="B2449" t="s">
        <v>5796</v>
      </c>
      <c r="C2449" t="s">
        <v>28</v>
      </c>
      <c r="D2449" t="s">
        <v>54</v>
      </c>
      <c r="E2449" t="s">
        <v>90</v>
      </c>
      <c r="F2449" t="s">
        <v>112</v>
      </c>
      <c r="G2449">
        <v>2.0499999999999998</v>
      </c>
      <c r="H2449" t="s">
        <v>146</v>
      </c>
      <c r="I2449" t="s">
        <v>48</v>
      </c>
      <c r="J2449" t="s">
        <v>113</v>
      </c>
      <c r="K2449">
        <v>473.1</v>
      </c>
      <c r="L2449" t="s">
        <v>5797</v>
      </c>
      <c r="M2449">
        <f>VLOOKUP(H2449,'Stage Order'!$A$2:$B$8,2,FALSE)</f>
        <v>5</v>
      </c>
      <c r="N2449" t="str">
        <f t="shared" si="76"/>
        <v>2. 1-24 hours</v>
      </c>
      <c r="O2449" t="str">
        <f t="shared" si="77"/>
        <v>2025-02</v>
      </c>
    </row>
    <row r="2450" spans="1:15" x14ac:dyDescent="0.3">
      <c r="A2450" t="s">
        <v>5798</v>
      </c>
      <c r="B2450" t="s">
        <v>5799</v>
      </c>
      <c r="C2450" t="s">
        <v>58</v>
      </c>
      <c r="D2450" t="s">
        <v>29</v>
      </c>
      <c r="E2450" t="s">
        <v>45</v>
      </c>
      <c r="F2450" t="s">
        <v>55</v>
      </c>
      <c r="G2450">
        <v>0.71</v>
      </c>
      <c r="H2450" t="s">
        <v>41</v>
      </c>
      <c r="I2450" t="s">
        <v>42</v>
      </c>
      <c r="M2450">
        <f>VLOOKUP(H2450,'Stage Order'!$A$2:$B$8,2,FALSE)</f>
        <v>2</v>
      </c>
      <c r="N2450" t="str">
        <f t="shared" si="76"/>
        <v>1. Under 1 hour</v>
      </c>
      <c r="O2450" t="str">
        <f t="shared" si="77"/>
        <v>2026-01</v>
      </c>
    </row>
    <row r="2451" spans="1:15" x14ac:dyDescent="0.3">
      <c r="A2451" t="s">
        <v>5800</v>
      </c>
      <c r="B2451" t="s">
        <v>5801</v>
      </c>
      <c r="C2451" t="s">
        <v>28</v>
      </c>
      <c r="D2451" t="s">
        <v>38</v>
      </c>
      <c r="E2451" t="s">
        <v>90</v>
      </c>
      <c r="F2451" t="s">
        <v>145</v>
      </c>
      <c r="G2451">
        <v>5.05</v>
      </c>
      <c r="H2451" t="s">
        <v>47</v>
      </c>
      <c r="I2451" t="s">
        <v>48</v>
      </c>
      <c r="J2451" t="s">
        <v>49</v>
      </c>
      <c r="K2451">
        <v>306.52999999999997</v>
      </c>
      <c r="L2451" t="s">
        <v>5802</v>
      </c>
      <c r="M2451">
        <f>VLOOKUP(H2451,'Stage Order'!$A$2:$B$8,2,FALSE)</f>
        <v>4</v>
      </c>
      <c r="N2451" t="str">
        <f t="shared" si="76"/>
        <v>2. 1-24 hours</v>
      </c>
      <c r="O2451" t="str">
        <f t="shared" si="77"/>
        <v>2026-06</v>
      </c>
    </row>
    <row r="2452" spans="1:15" x14ac:dyDescent="0.3">
      <c r="A2452" t="s">
        <v>5803</v>
      </c>
      <c r="B2452" t="s">
        <v>5804</v>
      </c>
      <c r="C2452" t="s">
        <v>37</v>
      </c>
      <c r="D2452" t="s">
        <v>54</v>
      </c>
      <c r="E2452" t="s">
        <v>59</v>
      </c>
      <c r="F2452" t="s">
        <v>117</v>
      </c>
      <c r="G2452">
        <v>0.27</v>
      </c>
      <c r="H2452" t="s">
        <v>41</v>
      </c>
      <c r="I2452" t="s">
        <v>42</v>
      </c>
      <c r="M2452">
        <f>VLOOKUP(H2452,'Stage Order'!$A$2:$B$8,2,FALSE)</f>
        <v>2</v>
      </c>
      <c r="N2452" t="str">
        <f t="shared" si="76"/>
        <v>1. Under 1 hour</v>
      </c>
      <c r="O2452" t="str">
        <f t="shared" si="77"/>
        <v>2025-10</v>
      </c>
    </row>
    <row r="2453" spans="1:15" x14ac:dyDescent="0.3">
      <c r="A2453" t="s">
        <v>5805</v>
      </c>
      <c r="B2453" t="s">
        <v>5806</v>
      </c>
      <c r="C2453" t="s">
        <v>76</v>
      </c>
      <c r="D2453" t="s">
        <v>54</v>
      </c>
      <c r="E2453" t="s">
        <v>30</v>
      </c>
      <c r="F2453" t="s">
        <v>82</v>
      </c>
      <c r="G2453">
        <v>3.9</v>
      </c>
      <c r="H2453" t="s">
        <v>47</v>
      </c>
      <c r="I2453" t="s">
        <v>48</v>
      </c>
      <c r="J2453" t="s">
        <v>98</v>
      </c>
      <c r="K2453">
        <v>424.16</v>
      </c>
      <c r="L2453" t="s">
        <v>5807</v>
      </c>
      <c r="M2453">
        <f>VLOOKUP(H2453,'Stage Order'!$A$2:$B$8,2,FALSE)</f>
        <v>4</v>
      </c>
      <c r="N2453" t="str">
        <f t="shared" si="76"/>
        <v>2. 1-24 hours</v>
      </c>
      <c r="O2453" t="str">
        <f t="shared" si="77"/>
        <v>2025-07</v>
      </c>
    </row>
    <row r="2454" spans="1:15" x14ac:dyDescent="0.3">
      <c r="A2454" t="s">
        <v>5808</v>
      </c>
      <c r="B2454" t="s">
        <v>5809</v>
      </c>
      <c r="C2454" t="s">
        <v>125</v>
      </c>
      <c r="D2454" t="s">
        <v>97</v>
      </c>
      <c r="E2454" t="s">
        <v>90</v>
      </c>
      <c r="F2454" t="s">
        <v>91</v>
      </c>
      <c r="G2454">
        <v>2.36</v>
      </c>
      <c r="H2454" t="s">
        <v>61</v>
      </c>
      <c r="I2454" t="s">
        <v>42</v>
      </c>
      <c r="M2454">
        <f>VLOOKUP(H2454,'Stage Order'!$A$2:$B$8,2,FALSE)</f>
        <v>1</v>
      </c>
      <c r="N2454" t="str">
        <f t="shared" si="76"/>
        <v>2. 1-24 hours</v>
      </c>
      <c r="O2454" t="str">
        <f t="shared" si="77"/>
        <v>2026-03</v>
      </c>
    </row>
    <row r="2455" spans="1:15" x14ac:dyDescent="0.3">
      <c r="A2455" t="s">
        <v>5810</v>
      </c>
      <c r="B2455" t="s">
        <v>5811</v>
      </c>
      <c r="C2455" t="s">
        <v>28</v>
      </c>
      <c r="D2455" t="s">
        <v>29</v>
      </c>
      <c r="E2455" t="s">
        <v>90</v>
      </c>
      <c r="F2455" t="s">
        <v>91</v>
      </c>
      <c r="G2455">
        <v>2.86</v>
      </c>
      <c r="H2455" t="s">
        <v>47</v>
      </c>
      <c r="I2455" t="s">
        <v>48</v>
      </c>
      <c r="J2455" t="s">
        <v>139</v>
      </c>
      <c r="K2455">
        <v>618.57000000000005</v>
      </c>
      <c r="L2455" t="s">
        <v>5812</v>
      </c>
      <c r="M2455">
        <f>VLOOKUP(H2455,'Stage Order'!$A$2:$B$8,2,FALSE)</f>
        <v>4</v>
      </c>
      <c r="N2455" t="str">
        <f t="shared" si="76"/>
        <v>2. 1-24 hours</v>
      </c>
      <c r="O2455" t="str">
        <f t="shared" si="77"/>
        <v>2025-03</v>
      </c>
    </row>
    <row r="2456" spans="1:15" x14ac:dyDescent="0.3">
      <c r="A2456" t="s">
        <v>5813</v>
      </c>
      <c r="B2456" t="s">
        <v>5814</v>
      </c>
      <c r="C2456" t="s">
        <v>37</v>
      </c>
      <c r="D2456" t="s">
        <v>29</v>
      </c>
      <c r="E2456" t="s">
        <v>45</v>
      </c>
      <c r="F2456" t="s">
        <v>55</v>
      </c>
      <c r="G2456">
        <v>0.79</v>
      </c>
      <c r="H2456" t="s">
        <v>146</v>
      </c>
      <c r="I2456" t="s">
        <v>48</v>
      </c>
      <c r="J2456" t="s">
        <v>98</v>
      </c>
      <c r="K2456">
        <v>702.17</v>
      </c>
      <c r="L2456" t="s">
        <v>5815</v>
      </c>
      <c r="M2456">
        <f>VLOOKUP(H2456,'Stage Order'!$A$2:$B$8,2,FALSE)</f>
        <v>5</v>
      </c>
      <c r="N2456" t="str">
        <f t="shared" si="76"/>
        <v>1. Under 1 hour</v>
      </c>
      <c r="O2456" t="str">
        <f t="shared" si="77"/>
        <v>2026-06</v>
      </c>
    </row>
    <row r="2457" spans="1:15" x14ac:dyDescent="0.3">
      <c r="A2457" t="s">
        <v>5816</v>
      </c>
      <c r="B2457" t="s">
        <v>5817</v>
      </c>
      <c r="C2457" t="s">
        <v>53</v>
      </c>
      <c r="D2457" t="s">
        <v>29</v>
      </c>
      <c r="E2457" t="s">
        <v>59</v>
      </c>
      <c r="F2457" t="s">
        <v>60</v>
      </c>
      <c r="G2457">
        <v>1.44</v>
      </c>
      <c r="H2457" t="s">
        <v>138</v>
      </c>
      <c r="I2457" t="s">
        <v>48</v>
      </c>
      <c r="J2457" t="s">
        <v>742</v>
      </c>
      <c r="K2457">
        <v>771.12</v>
      </c>
      <c r="L2457" t="s">
        <v>5818</v>
      </c>
      <c r="M2457">
        <f>VLOOKUP(H2457,'Stage Order'!$A$2:$B$8,2,FALSE)</f>
        <v>6</v>
      </c>
      <c r="N2457" t="str">
        <f t="shared" si="76"/>
        <v>2. 1-24 hours</v>
      </c>
      <c r="O2457" t="str">
        <f t="shared" si="77"/>
        <v>2026-01</v>
      </c>
    </row>
    <row r="2458" spans="1:15" x14ac:dyDescent="0.3">
      <c r="A2458" t="s">
        <v>5819</v>
      </c>
      <c r="B2458" t="s">
        <v>5820</v>
      </c>
      <c r="C2458" t="s">
        <v>53</v>
      </c>
      <c r="D2458" t="s">
        <v>77</v>
      </c>
      <c r="E2458" t="s">
        <v>39</v>
      </c>
      <c r="F2458" t="s">
        <v>66</v>
      </c>
      <c r="G2458">
        <v>5.87</v>
      </c>
      <c r="H2458" t="s">
        <v>32</v>
      </c>
      <c r="I2458" t="s">
        <v>33</v>
      </c>
      <c r="K2458">
        <v>1011.89</v>
      </c>
      <c r="L2458" t="s">
        <v>5821</v>
      </c>
      <c r="M2458">
        <f>VLOOKUP(H2458,'Stage Order'!$A$2:$B$8,2,FALSE)</f>
        <v>7</v>
      </c>
      <c r="N2458" t="str">
        <f t="shared" si="76"/>
        <v>2. 1-24 hours</v>
      </c>
      <c r="O2458" t="str">
        <f t="shared" si="77"/>
        <v>2026-01</v>
      </c>
    </row>
    <row r="2459" spans="1:15" x14ac:dyDescent="0.3">
      <c r="A2459" t="s">
        <v>5822</v>
      </c>
      <c r="B2459" t="s">
        <v>5823</v>
      </c>
      <c r="C2459" t="s">
        <v>53</v>
      </c>
      <c r="D2459" t="s">
        <v>29</v>
      </c>
      <c r="E2459" t="s">
        <v>45</v>
      </c>
      <c r="F2459" t="s">
        <v>46</v>
      </c>
      <c r="G2459">
        <v>7.88</v>
      </c>
      <c r="H2459" t="s">
        <v>138</v>
      </c>
      <c r="I2459" t="s">
        <v>48</v>
      </c>
      <c r="J2459" t="s">
        <v>49</v>
      </c>
      <c r="K2459">
        <v>661.16</v>
      </c>
      <c r="L2459" t="s">
        <v>5824</v>
      </c>
      <c r="M2459">
        <f>VLOOKUP(H2459,'Stage Order'!$A$2:$B$8,2,FALSE)</f>
        <v>6</v>
      </c>
      <c r="N2459" t="str">
        <f t="shared" si="76"/>
        <v>2. 1-24 hours</v>
      </c>
      <c r="O2459" t="str">
        <f t="shared" si="77"/>
        <v>2026-04</v>
      </c>
    </row>
    <row r="2460" spans="1:15" x14ac:dyDescent="0.3">
      <c r="A2460" t="s">
        <v>5825</v>
      </c>
      <c r="B2460" t="s">
        <v>5826</v>
      </c>
      <c r="C2460" t="s">
        <v>58</v>
      </c>
      <c r="D2460" t="s">
        <v>54</v>
      </c>
      <c r="E2460" t="s">
        <v>45</v>
      </c>
      <c r="F2460" t="s">
        <v>55</v>
      </c>
      <c r="G2460">
        <v>2.98</v>
      </c>
      <c r="H2460" t="s">
        <v>128</v>
      </c>
      <c r="I2460" t="s">
        <v>42</v>
      </c>
      <c r="M2460">
        <f>VLOOKUP(H2460,'Stage Order'!$A$2:$B$8,2,FALSE)</f>
        <v>3</v>
      </c>
      <c r="N2460" t="str">
        <f t="shared" si="76"/>
        <v>2. 1-24 hours</v>
      </c>
      <c r="O2460" t="str">
        <f t="shared" si="77"/>
        <v>2025-10</v>
      </c>
    </row>
    <row r="2461" spans="1:15" x14ac:dyDescent="0.3">
      <c r="A2461" t="s">
        <v>5827</v>
      </c>
      <c r="B2461" t="s">
        <v>5828</v>
      </c>
      <c r="C2461" t="s">
        <v>28</v>
      </c>
      <c r="D2461" t="s">
        <v>38</v>
      </c>
      <c r="E2461" t="s">
        <v>39</v>
      </c>
      <c r="F2461" t="s">
        <v>66</v>
      </c>
      <c r="G2461">
        <v>2.88</v>
      </c>
      <c r="H2461" t="s">
        <v>47</v>
      </c>
      <c r="I2461" t="s">
        <v>48</v>
      </c>
      <c r="J2461" t="s">
        <v>49</v>
      </c>
      <c r="K2461">
        <v>398.96</v>
      </c>
      <c r="L2461" t="s">
        <v>5829</v>
      </c>
      <c r="M2461">
        <f>VLOOKUP(H2461,'Stage Order'!$A$2:$B$8,2,FALSE)</f>
        <v>4</v>
      </c>
      <c r="N2461" t="str">
        <f t="shared" si="76"/>
        <v>2. 1-24 hours</v>
      </c>
      <c r="O2461" t="str">
        <f t="shared" si="77"/>
        <v>2025-12</v>
      </c>
    </row>
    <row r="2462" spans="1:15" x14ac:dyDescent="0.3">
      <c r="A2462" t="s">
        <v>5830</v>
      </c>
      <c r="B2462" t="s">
        <v>5831</v>
      </c>
      <c r="C2462" t="s">
        <v>58</v>
      </c>
      <c r="D2462" t="s">
        <v>54</v>
      </c>
      <c r="E2462" t="s">
        <v>90</v>
      </c>
      <c r="F2462" t="s">
        <v>145</v>
      </c>
      <c r="G2462">
        <v>4.3</v>
      </c>
      <c r="H2462" t="s">
        <v>41</v>
      </c>
      <c r="I2462" t="s">
        <v>42</v>
      </c>
      <c r="M2462">
        <f>VLOOKUP(H2462,'Stage Order'!$A$2:$B$8,2,FALSE)</f>
        <v>2</v>
      </c>
      <c r="N2462" t="str">
        <f t="shared" si="76"/>
        <v>2. 1-24 hours</v>
      </c>
      <c r="O2462" t="str">
        <f t="shared" si="77"/>
        <v>2025-05</v>
      </c>
    </row>
    <row r="2463" spans="1:15" x14ac:dyDescent="0.3">
      <c r="A2463" t="s">
        <v>5832</v>
      </c>
      <c r="B2463" t="s">
        <v>5833</v>
      </c>
      <c r="C2463" t="s">
        <v>37</v>
      </c>
      <c r="D2463" t="s">
        <v>97</v>
      </c>
      <c r="E2463" t="s">
        <v>45</v>
      </c>
      <c r="F2463" t="s">
        <v>55</v>
      </c>
      <c r="G2463">
        <v>4.8499999999999996</v>
      </c>
      <c r="H2463" t="s">
        <v>138</v>
      </c>
      <c r="I2463" t="s">
        <v>48</v>
      </c>
      <c r="J2463" t="s">
        <v>742</v>
      </c>
      <c r="K2463">
        <v>1588.18</v>
      </c>
      <c r="L2463" t="s">
        <v>5834</v>
      </c>
      <c r="M2463">
        <f>VLOOKUP(H2463,'Stage Order'!$A$2:$B$8,2,FALSE)</f>
        <v>6</v>
      </c>
      <c r="N2463" t="str">
        <f t="shared" si="76"/>
        <v>2. 1-24 hours</v>
      </c>
      <c r="O2463" t="str">
        <f t="shared" si="77"/>
        <v>2025-03</v>
      </c>
    </row>
    <row r="2464" spans="1:15" x14ac:dyDescent="0.3">
      <c r="A2464" t="s">
        <v>5835</v>
      </c>
      <c r="B2464" t="s">
        <v>5836</v>
      </c>
      <c r="C2464" t="s">
        <v>37</v>
      </c>
      <c r="D2464" t="s">
        <v>54</v>
      </c>
      <c r="E2464" t="s">
        <v>39</v>
      </c>
      <c r="F2464" t="s">
        <v>66</v>
      </c>
      <c r="G2464">
        <v>13.23</v>
      </c>
      <c r="H2464" t="s">
        <v>41</v>
      </c>
      <c r="I2464" t="s">
        <v>42</v>
      </c>
      <c r="M2464">
        <f>VLOOKUP(H2464,'Stage Order'!$A$2:$B$8,2,FALSE)</f>
        <v>2</v>
      </c>
      <c r="N2464" t="str">
        <f t="shared" si="76"/>
        <v>2. 1-24 hours</v>
      </c>
      <c r="O2464" t="str">
        <f t="shared" si="77"/>
        <v>2025-06</v>
      </c>
    </row>
    <row r="2465" spans="1:15" x14ac:dyDescent="0.3">
      <c r="A2465" t="s">
        <v>5837</v>
      </c>
      <c r="B2465" t="s">
        <v>5838</v>
      </c>
      <c r="C2465" t="s">
        <v>37</v>
      </c>
      <c r="D2465" t="s">
        <v>77</v>
      </c>
      <c r="E2465" t="s">
        <v>59</v>
      </c>
      <c r="F2465" t="s">
        <v>60</v>
      </c>
      <c r="G2465">
        <v>2.58</v>
      </c>
      <c r="H2465" t="s">
        <v>41</v>
      </c>
      <c r="I2465" t="s">
        <v>42</v>
      </c>
      <c r="M2465">
        <f>VLOOKUP(H2465,'Stage Order'!$A$2:$B$8,2,FALSE)</f>
        <v>2</v>
      </c>
      <c r="N2465" t="str">
        <f t="shared" si="76"/>
        <v>2. 1-24 hours</v>
      </c>
      <c r="O2465" t="str">
        <f t="shared" si="77"/>
        <v>2025-02</v>
      </c>
    </row>
    <row r="2466" spans="1:15" x14ac:dyDescent="0.3">
      <c r="A2466" t="s">
        <v>5839</v>
      </c>
      <c r="B2466" t="s">
        <v>5840</v>
      </c>
      <c r="C2466" t="s">
        <v>53</v>
      </c>
      <c r="D2466" t="s">
        <v>97</v>
      </c>
      <c r="E2466" t="s">
        <v>39</v>
      </c>
      <c r="F2466" t="s">
        <v>106</v>
      </c>
      <c r="G2466">
        <v>7.74</v>
      </c>
      <c r="H2466" t="s">
        <v>32</v>
      </c>
      <c r="I2466" t="s">
        <v>33</v>
      </c>
      <c r="K2466">
        <v>1420.01</v>
      </c>
      <c r="L2466" t="s">
        <v>5841</v>
      </c>
      <c r="M2466">
        <f>VLOOKUP(H2466,'Stage Order'!$A$2:$B$8,2,FALSE)</f>
        <v>7</v>
      </c>
      <c r="N2466" t="str">
        <f t="shared" si="76"/>
        <v>2. 1-24 hours</v>
      </c>
      <c r="O2466" t="str">
        <f t="shared" si="77"/>
        <v>2026-02</v>
      </c>
    </row>
    <row r="2467" spans="1:15" x14ac:dyDescent="0.3">
      <c r="A2467" t="s">
        <v>5842</v>
      </c>
      <c r="B2467" t="s">
        <v>5843</v>
      </c>
      <c r="C2467" t="s">
        <v>58</v>
      </c>
      <c r="D2467" t="s">
        <v>38</v>
      </c>
      <c r="E2467" t="s">
        <v>45</v>
      </c>
      <c r="F2467" t="s">
        <v>46</v>
      </c>
      <c r="G2467">
        <v>24.77</v>
      </c>
      <c r="H2467" t="s">
        <v>146</v>
      </c>
      <c r="I2467" t="s">
        <v>48</v>
      </c>
      <c r="J2467" t="s">
        <v>742</v>
      </c>
      <c r="K2467">
        <v>388.29</v>
      </c>
      <c r="L2467" t="s">
        <v>5844</v>
      </c>
      <c r="M2467">
        <f>VLOOKUP(H2467,'Stage Order'!$A$2:$B$8,2,FALSE)</f>
        <v>5</v>
      </c>
      <c r="N2467" t="str">
        <f t="shared" si="76"/>
        <v>3. 1-3 days</v>
      </c>
      <c r="O2467" t="str">
        <f t="shared" si="77"/>
        <v>2025-02</v>
      </c>
    </row>
    <row r="2468" spans="1:15" x14ac:dyDescent="0.3">
      <c r="A2468" t="s">
        <v>5845</v>
      </c>
      <c r="B2468" t="s">
        <v>5846</v>
      </c>
      <c r="C2468" t="s">
        <v>53</v>
      </c>
      <c r="D2468" t="s">
        <v>77</v>
      </c>
      <c r="E2468" t="s">
        <v>39</v>
      </c>
      <c r="F2468" t="s">
        <v>106</v>
      </c>
      <c r="G2468">
        <v>3.1</v>
      </c>
      <c r="H2468" t="s">
        <v>32</v>
      </c>
      <c r="I2468" t="s">
        <v>33</v>
      </c>
      <c r="K2468">
        <v>1037.4100000000001</v>
      </c>
      <c r="L2468" t="s">
        <v>5847</v>
      </c>
      <c r="M2468">
        <f>VLOOKUP(H2468,'Stage Order'!$A$2:$B$8,2,FALSE)</f>
        <v>7</v>
      </c>
      <c r="N2468" t="str">
        <f t="shared" si="76"/>
        <v>2. 1-24 hours</v>
      </c>
      <c r="O2468" t="str">
        <f t="shared" si="77"/>
        <v>2025-10</v>
      </c>
    </row>
    <row r="2469" spans="1:15" x14ac:dyDescent="0.3">
      <c r="A2469" t="s">
        <v>5848</v>
      </c>
      <c r="B2469" t="s">
        <v>5849</v>
      </c>
      <c r="C2469" t="s">
        <v>53</v>
      </c>
      <c r="D2469" t="s">
        <v>38</v>
      </c>
      <c r="E2469" t="s">
        <v>45</v>
      </c>
      <c r="F2469" t="s">
        <v>46</v>
      </c>
      <c r="G2469">
        <v>2.76</v>
      </c>
      <c r="H2469" t="s">
        <v>32</v>
      </c>
      <c r="I2469" t="s">
        <v>33</v>
      </c>
      <c r="K2469">
        <v>307.42</v>
      </c>
      <c r="L2469" t="s">
        <v>5850</v>
      </c>
      <c r="M2469">
        <f>VLOOKUP(H2469,'Stage Order'!$A$2:$B$8,2,FALSE)</f>
        <v>7</v>
      </c>
      <c r="N2469" t="str">
        <f t="shared" si="76"/>
        <v>2. 1-24 hours</v>
      </c>
      <c r="O2469" t="str">
        <f t="shared" si="77"/>
        <v>2026-02</v>
      </c>
    </row>
    <row r="2470" spans="1:15" x14ac:dyDescent="0.3">
      <c r="A2470" t="s">
        <v>5851</v>
      </c>
      <c r="B2470" t="s">
        <v>5852</v>
      </c>
      <c r="C2470" t="s">
        <v>81</v>
      </c>
      <c r="D2470" t="s">
        <v>29</v>
      </c>
      <c r="E2470" t="s">
        <v>59</v>
      </c>
      <c r="F2470" t="s">
        <v>60</v>
      </c>
      <c r="G2470">
        <v>1.67</v>
      </c>
      <c r="H2470" t="s">
        <v>41</v>
      </c>
      <c r="I2470" t="s">
        <v>42</v>
      </c>
      <c r="M2470">
        <f>VLOOKUP(H2470,'Stage Order'!$A$2:$B$8,2,FALSE)</f>
        <v>2</v>
      </c>
      <c r="N2470" t="str">
        <f t="shared" si="76"/>
        <v>2. 1-24 hours</v>
      </c>
      <c r="O2470" t="str">
        <f t="shared" si="77"/>
        <v>2025-05</v>
      </c>
    </row>
    <row r="2471" spans="1:15" x14ac:dyDescent="0.3">
      <c r="A2471" t="s">
        <v>5853</v>
      </c>
      <c r="B2471" t="s">
        <v>5854</v>
      </c>
      <c r="C2471" t="s">
        <v>28</v>
      </c>
      <c r="D2471" t="s">
        <v>54</v>
      </c>
      <c r="E2471" t="s">
        <v>39</v>
      </c>
      <c r="F2471" t="s">
        <v>106</v>
      </c>
      <c r="G2471">
        <v>1.74</v>
      </c>
      <c r="H2471" t="s">
        <v>41</v>
      </c>
      <c r="I2471" t="s">
        <v>42</v>
      </c>
      <c r="M2471">
        <f>VLOOKUP(H2471,'Stage Order'!$A$2:$B$8,2,FALSE)</f>
        <v>2</v>
      </c>
      <c r="N2471" t="str">
        <f t="shared" si="76"/>
        <v>2. 1-24 hours</v>
      </c>
      <c r="O2471" t="str">
        <f t="shared" si="77"/>
        <v>2025-05</v>
      </c>
    </row>
    <row r="2472" spans="1:15" x14ac:dyDescent="0.3">
      <c r="A2472" t="s">
        <v>5855</v>
      </c>
      <c r="B2472" t="s">
        <v>5856</v>
      </c>
      <c r="C2472" t="s">
        <v>37</v>
      </c>
      <c r="D2472" t="s">
        <v>97</v>
      </c>
      <c r="E2472" t="s">
        <v>45</v>
      </c>
      <c r="F2472" t="s">
        <v>55</v>
      </c>
      <c r="G2472">
        <v>1.36</v>
      </c>
      <c r="H2472" t="s">
        <v>41</v>
      </c>
      <c r="I2472" t="s">
        <v>42</v>
      </c>
      <c r="M2472">
        <f>VLOOKUP(H2472,'Stage Order'!$A$2:$B$8,2,FALSE)</f>
        <v>2</v>
      </c>
      <c r="N2472" t="str">
        <f t="shared" si="76"/>
        <v>2. 1-24 hours</v>
      </c>
      <c r="O2472" t="str">
        <f t="shared" si="77"/>
        <v>2026-03</v>
      </c>
    </row>
    <row r="2473" spans="1:15" x14ac:dyDescent="0.3">
      <c r="A2473" t="s">
        <v>5857</v>
      </c>
      <c r="B2473" t="s">
        <v>5858</v>
      </c>
      <c r="C2473" t="s">
        <v>81</v>
      </c>
      <c r="D2473" t="s">
        <v>29</v>
      </c>
      <c r="E2473" t="s">
        <v>45</v>
      </c>
      <c r="F2473" t="s">
        <v>55</v>
      </c>
      <c r="G2473">
        <v>4.1399999999999997</v>
      </c>
      <c r="H2473" t="s">
        <v>61</v>
      </c>
      <c r="I2473" t="s">
        <v>42</v>
      </c>
      <c r="M2473">
        <f>VLOOKUP(H2473,'Stage Order'!$A$2:$B$8,2,FALSE)</f>
        <v>1</v>
      </c>
      <c r="N2473" t="str">
        <f t="shared" si="76"/>
        <v>2. 1-24 hours</v>
      </c>
      <c r="O2473" t="str">
        <f t="shared" si="77"/>
        <v>2026-06</v>
      </c>
    </row>
    <row r="2474" spans="1:15" x14ac:dyDescent="0.3">
      <c r="A2474" t="s">
        <v>5859</v>
      </c>
      <c r="B2474" t="s">
        <v>5860</v>
      </c>
      <c r="C2474" t="s">
        <v>76</v>
      </c>
      <c r="D2474" t="s">
        <v>54</v>
      </c>
      <c r="E2474" t="s">
        <v>45</v>
      </c>
      <c r="F2474" t="s">
        <v>55</v>
      </c>
      <c r="G2474">
        <v>4.3099999999999996</v>
      </c>
      <c r="H2474" t="s">
        <v>138</v>
      </c>
      <c r="I2474" t="s">
        <v>48</v>
      </c>
      <c r="J2474" t="s">
        <v>139</v>
      </c>
      <c r="K2474">
        <v>437.98</v>
      </c>
      <c r="L2474" t="s">
        <v>5861</v>
      </c>
      <c r="M2474">
        <f>VLOOKUP(H2474,'Stage Order'!$A$2:$B$8,2,FALSE)</f>
        <v>6</v>
      </c>
      <c r="N2474" t="str">
        <f t="shared" si="76"/>
        <v>2. 1-24 hours</v>
      </c>
      <c r="O2474" t="str">
        <f t="shared" si="77"/>
        <v>2025-01</v>
      </c>
    </row>
    <row r="2475" spans="1:15" x14ac:dyDescent="0.3">
      <c r="A2475" t="s">
        <v>5862</v>
      </c>
      <c r="B2475" t="s">
        <v>5863</v>
      </c>
      <c r="C2475" t="s">
        <v>76</v>
      </c>
      <c r="D2475" t="s">
        <v>77</v>
      </c>
      <c r="E2475" t="s">
        <v>90</v>
      </c>
      <c r="F2475" t="s">
        <v>91</v>
      </c>
      <c r="G2475">
        <v>10.14</v>
      </c>
      <c r="H2475" t="s">
        <v>41</v>
      </c>
      <c r="I2475" t="s">
        <v>42</v>
      </c>
      <c r="M2475">
        <f>VLOOKUP(H2475,'Stage Order'!$A$2:$B$8,2,FALSE)</f>
        <v>2</v>
      </c>
      <c r="N2475" t="str">
        <f t="shared" si="76"/>
        <v>2. 1-24 hours</v>
      </c>
      <c r="O2475" t="str">
        <f t="shared" si="77"/>
        <v>2025-12</v>
      </c>
    </row>
    <row r="2476" spans="1:15" x14ac:dyDescent="0.3">
      <c r="A2476" t="s">
        <v>5864</v>
      </c>
      <c r="B2476" t="s">
        <v>5865</v>
      </c>
      <c r="C2476" t="s">
        <v>53</v>
      </c>
      <c r="D2476" t="s">
        <v>97</v>
      </c>
      <c r="E2476" t="s">
        <v>39</v>
      </c>
      <c r="F2476" t="s">
        <v>106</v>
      </c>
      <c r="G2476">
        <v>3.95</v>
      </c>
      <c r="H2476" t="s">
        <v>32</v>
      </c>
      <c r="I2476" t="s">
        <v>33</v>
      </c>
      <c r="K2476">
        <v>1529.89</v>
      </c>
      <c r="L2476" t="s">
        <v>5866</v>
      </c>
      <c r="M2476">
        <f>VLOOKUP(H2476,'Stage Order'!$A$2:$B$8,2,FALSE)</f>
        <v>7</v>
      </c>
      <c r="N2476" t="str">
        <f t="shared" si="76"/>
        <v>2. 1-24 hours</v>
      </c>
      <c r="O2476" t="str">
        <f t="shared" si="77"/>
        <v>2025-09</v>
      </c>
    </row>
    <row r="2477" spans="1:15" x14ac:dyDescent="0.3">
      <c r="A2477" t="s">
        <v>5867</v>
      </c>
      <c r="B2477" t="s">
        <v>5868</v>
      </c>
      <c r="C2477" t="s">
        <v>81</v>
      </c>
      <c r="D2477" t="s">
        <v>77</v>
      </c>
      <c r="E2477" t="s">
        <v>45</v>
      </c>
      <c r="F2477" t="s">
        <v>94</v>
      </c>
      <c r="G2477">
        <v>0.72</v>
      </c>
      <c r="H2477" t="s">
        <v>41</v>
      </c>
      <c r="I2477" t="s">
        <v>42</v>
      </c>
      <c r="M2477">
        <f>VLOOKUP(H2477,'Stage Order'!$A$2:$B$8,2,FALSE)</f>
        <v>2</v>
      </c>
      <c r="N2477" t="str">
        <f t="shared" si="76"/>
        <v>1. Under 1 hour</v>
      </c>
      <c r="O2477" t="str">
        <f t="shared" si="77"/>
        <v>2026-01</v>
      </c>
    </row>
    <row r="2478" spans="1:15" x14ac:dyDescent="0.3">
      <c r="A2478" t="s">
        <v>5869</v>
      </c>
      <c r="B2478" t="s">
        <v>5870</v>
      </c>
      <c r="C2478" t="s">
        <v>53</v>
      </c>
      <c r="D2478" t="s">
        <v>77</v>
      </c>
      <c r="E2478" t="s">
        <v>59</v>
      </c>
      <c r="F2478" t="s">
        <v>137</v>
      </c>
      <c r="G2478">
        <v>13.68</v>
      </c>
      <c r="H2478" t="s">
        <v>41</v>
      </c>
      <c r="I2478" t="s">
        <v>42</v>
      </c>
      <c r="M2478">
        <f>VLOOKUP(H2478,'Stage Order'!$A$2:$B$8,2,FALSE)</f>
        <v>2</v>
      </c>
      <c r="N2478" t="str">
        <f t="shared" si="76"/>
        <v>2. 1-24 hours</v>
      </c>
      <c r="O2478" t="str">
        <f t="shared" si="77"/>
        <v>2025-03</v>
      </c>
    </row>
    <row r="2479" spans="1:15" x14ac:dyDescent="0.3">
      <c r="A2479" t="s">
        <v>5871</v>
      </c>
      <c r="B2479" t="s">
        <v>5872</v>
      </c>
      <c r="C2479" t="s">
        <v>28</v>
      </c>
      <c r="D2479" t="s">
        <v>54</v>
      </c>
      <c r="E2479" t="s">
        <v>30</v>
      </c>
      <c r="F2479" t="s">
        <v>31</v>
      </c>
      <c r="G2479">
        <v>2.93</v>
      </c>
      <c r="H2479" t="s">
        <v>41</v>
      </c>
      <c r="I2479" t="s">
        <v>42</v>
      </c>
      <c r="M2479">
        <f>VLOOKUP(H2479,'Stage Order'!$A$2:$B$8,2,FALSE)</f>
        <v>2</v>
      </c>
      <c r="N2479" t="str">
        <f t="shared" si="76"/>
        <v>2. 1-24 hours</v>
      </c>
      <c r="O2479" t="str">
        <f t="shared" si="77"/>
        <v>2026-01</v>
      </c>
    </row>
    <row r="2480" spans="1:15" x14ac:dyDescent="0.3">
      <c r="A2480" t="s">
        <v>5873</v>
      </c>
      <c r="B2480" t="s">
        <v>5874</v>
      </c>
      <c r="C2480" t="s">
        <v>58</v>
      </c>
      <c r="D2480" t="s">
        <v>54</v>
      </c>
      <c r="E2480" t="s">
        <v>39</v>
      </c>
      <c r="F2480" t="s">
        <v>66</v>
      </c>
      <c r="G2480">
        <v>3.67</v>
      </c>
      <c r="H2480" t="s">
        <v>41</v>
      </c>
      <c r="I2480" t="s">
        <v>42</v>
      </c>
      <c r="M2480">
        <f>VLOOKUP(H2480,'Stage Order'!$A$2:$B$8,2,FALSE)</f>
        <v>2</v>
      </c>
      <c r="N2480" t="str">
        <f t="shared" si="76"/>
        <v>2. 1-24 hours</v>
      </c>
      <c r="O2480" t="str">
        <f t="shared" si="77"/>
        <v>2025-07</v>
      </c>
    </row>
    <row r="2481" spans="1:15" x14ac:dyDescent="0.3">
      <c r="A2481" t="s">
        <v>5875</v>
      </c>
      <c r="B2481" t="s">
        <v>5876</v>
      </c>
      <c r="C2481" t="s">
        <v>37</v>
      </c>
      <c r="D2481" t="s">
        <v>97</v>
      </c>
      <c r="E2481" t="s">
        <v>59</v>
      </c>
      <c r="F2481" t="s">
        <v>137</v>
      </c>
      <c r="G2481">
        <v>3.67</v>
      </c>
      <c r="H2481" t="s">
        <v>32</v>
      </c>
      <c r="I2481" t="s">
        <v>33</v>
      </c>
      <c r="K2481">
        <v>1348.35</v>
      </c>
      <c r="L2481" t="s">
        <v>5877</v>
      </c>
      <c r="M2481">
        <f>VLOOKUP(H2481,'Stage Order'!$A$2:$B$8,2,FALSE)</f>
        <v>7</v>
      </c>
      <c r="N2481" t="str">
        <f t="shared" si="76"/>
        <v>2. 1-24 hours</v>
      </c>
      <c r="O2481" t="str">
        <f t="shared" si="77"/>
        <v>2025-10</v>
      </c>
    </row>
    <row r="2482" spans="1:15" x14ac:dyDescent="0.3">
      <c r="A2482" t="s">
        <v>5878</v>
      </c>
      <c r="B2482" t="s">
        <v>5879</v>
      </c>
      <c r="C2482" t="s">
        <v>81</v>
      </c>
      <c r="D2482" t="s">
        <v>97</v>
      </c>
      <c r="E2482" t="s">
        <v>59</v>
      </c>
      <c r="F2482" t="s">
        <v>117</v>
      </c>
      <c r="G2482">
        <v>1.6</v>
      </c>
      <c r="H2482" t="s">
        <v>61</v>
      </c>
      <c r="I2482" t="s">
        <v>42</v>
      </c>
      <c r="M2482">
        <f>VLOOKUP(H2482,'Stage Order'!$A$2:$B$8,2,FALSE)</f>
        <v>1</v>
      </c>
      <c r="N2482" t="str">
        <f t="shared" si="76"/>
        <v>2. 1-24 hours</v>
      </c>
      <c r="O2482" t="str">
        <f t="shared" si="77"/>
        <v>2025-07</v>
      </c>
    </row>
    <row r="2483" spans="1:15" x14ac:dyDescent="0.3">
      <c r="A2483" t="s">
        <v>5880</v>
      </c>
      <c r="B2483" t="s">
        <v>5881</v>
      </c>
      <c r="C2483" t="s">
        <v>125</v>
      </c>
      <c r="D2483" t="s">
        <v>54</v>
      </c>
      <c r="E2483" t="s">
        <v>45</v>
      </c>
      <c r="F2483" t="s">
        <v>46</v>
      </c>
      <c r="G2483">
        <v>3.27</v>
      </c>
      <c r="H2483" t="s">
        <v>47</v>
      </c>
      <c r="I2483" t="s">
        <v>48</v>
      </c>
      <c r="J2483" t="s">
        <v>98</v>
      </c>
      <c r="K2483">
        <v>595.64</v>
      </c>
      <c r="L2483" t="s">
        <v>5882</v>
      </c>
      <c r="M2483">
        <f>VLOOKUP(H2483,'Stage Order'!$A$2:$B$8,2,FALSE)</f>
        <v>4</v>
      </c>
      <c r="N2483" t="str">
        <f t="shared" si="76"/>
        <v>2. 1-24 hours</v>
      </c>
      <c r="O2483" t="str">
        <f t="shared" si="77"/>
        <v>2025-11</v>
      </c>
    </row>
    <row r="2484" spans="1:15" x14ac:dyDescent="0.3">
      <c r="A2484" t="s">
        <v>5883</v>
      </c>
      <c r="B2484" t="s">
        <v>5884</v>
      </c>
      <c r="C2484" t="s">
        <v>125</v>
      </c>
      <c r="D2484" t="s">
        <v>38</v>
      </c>
      <c r="E2484" t="s">
        <v>45</v>
      </c>
      <c r="F2484" t="s">
        <v>46</v>
      </c>
      <c r="G2484">
        <v>8.56</v>
      </c>
      <c r="H2484" t="s">
        <v>146</v>
      </c>
      <c r="I2484" t="s">
        <v>48</v>
      </c>
      <c r="J2484" t="s">
        <v>113</v>
      </c>
      <c r="K2484">
        <v>393.19</v>
      </c>
      <c r="L2484" t="s">
        <v>5885</v>
      </c>
      <c r="M2484">
        <f>VLOOKUP(H2484,'Stage Order'!$A$2:$B$8,2,FALSE)</f>
        <v>5</v>
      </c>
      <c r="N2484" t="str">
        <f t="shared" si="76"/>
        <v>2. 1-24 hours</v>
      </c>
      <c r="O2484" t="str">
        <f t="shared" si="77"/>
        <v>2025-05</v>
      </c>
    </row>
    <row r="2485" spans="1:15" x14ac:dyDescent="0.3">
      <c r="A2485" t="s">
        <v>5886</v>
      </c>
      <c r="B2485" t="s">
        <v>5887</v>
      </c>
      <c r="C2485" t="s">
        <v>37</v>
      </c>
      <c r="D2485" t="s">
        <v>38</v>
      </c>
      <c r="E2485" t="s">
        <v>39</v>
      </c>
      <c r="F2485" t="s">
        <v>40</v>
      </c>
      <c r="G2485">
        <v>0.62</v>
      </c>
      <c r="H2485" t="s">
        <v>41</v>
      </c>
      <c r="I2485" t="s">
        <v>42</v>
      </c>
      <c r="M2485">
        <f>VLOOKUP(H2485,'Stage Order'!$A$2:$B$8,2,FALSE)</f>
        <v>2</v>
      </c>
      <c r="N2485" t="str">
        <f t="shared" si="76"/>
        <v>1. Under 1 hour</v>
      </c>
      <c r="O2485" t="str">
        <f t="shared" si="77"/>
        <v>2025-07</v>
      </c>
    </row>
    <row r="2486" spans="1:15" x14ac:dyDescent="0.3">
      <c r="A2486" t="s">
        <v>5888</v>
      </c>
      <c r="B2486" t="s">
        <v>5889</v>
      </c>
      <c r="C2486" t="s">
        <v>53</v>
      </c>
      <c r="D2486" t="s">
        <v>29</v>
      </c>
      <c r="E2486" t="s">
        <v>39</v>
      </c>
      <c r="F2486" t="s">
        <v>40</v>
      </c>
      <c r="G2486">
        <v>9.01</v>
      </c>
      <c r="H2486" t="s">
        <v>138</v>
      </c>
      <c r="I2486" t="s">
        <v>48</v>
      </c>
      <c r="J2486" t="s">
        <v>113</v>
      </c>
      <c r="K2486">
        <v>575.36</v>
      </c>
      <c r="L2486" t="s">
        <v>5890</v>
      </c>
      <c r="M2486">
        <f>VLOOKUP(H2486,'Stage Order'!$A$2:$B$8,2,FALSE)</f>
        <v>6</v>
      </c>
      <c r="N2486" t="str">
        <f t="shared" si="76"/>
        <v>2. 1-24 hours</v>
      </c>
      <c r="O2486" t="str">
        <f t="shared" si="77"/>
        <v>2025-06</v>
      </c>
    </row>
    <row r="2487" spans="1:15" x14ac:dyDescent="0.3">
      <c r="A2487" t="s">
        <v>5891</v>
      </c>
      <c r="B2487" t="s">
        <v>5892</v>
      </c>
      <c r="C2487" t="s">
        <v>125</v>
      </c>
      <c r="D2487" t="s">
        <v>77</v>
      </c>
      <c r="E2487" t="s">
        <v>59</v>
      </c>
      <c r="F2487" t="s">
        <v>137</v>
      </c>
      <c r="G2487">
        <v>2.6</v>
      </c>
      <c r="H2487" t="s">
        <v>138</v>
      </c>
      <c r="I2487" t="s">
        <v>48</v>
      </c>
      <c r="J2487" t="s">
        <v>49</v>
      </c>
      <c r="K2487">
        <v>961.91</v>
      </c>
      <c r="L2487" t="s">
        <v>5893</v>
      </c>
      <c r="M2487">
        <f>VLOOKUP(H2487,'Stage Order'!$A$2:$B$8,2,FALSE)</f>
        <v>6</v>
      </c>
      <c r="N2487" t="str">
        <f t="shared" si="76"/>
        <v>2. 1-24 hours</v>
      </c>
      <c r="O2487" t="str">
        <f t="shared" si="77"/>
        <v>2026-03</v>
      </c>
    </row>
    <row r="2488" spans="1:15" x14ac:dyDescent="0.3">
      <c r="A2488" t="s">
        <v>5894</v>
      </c>
      <c r="B2488" t="s">
        <v>5895</v>
      </c>
      <c r="C2488" t="s">
        <v>37</v>
      </c>
      <c r="D2488" t="s">
        <v>29</v>
      </c>
      <c r="E2488" t="s">
        <v>39</v>
      </c>
      <c r="F2488" t="s">
        <v>40</v>
      </c>
      <c r="G2488">
        <v>3.47</v>
      </c>
      <c r="H2488" t="s">
        <v>41</v>
      </c>
      <c r="I2488" t="s">
        <v>42</v>
      </c>
      <c r="M2488">
        <f>VLOOKUP(H2488,'Stage Order'!$A$2:$B$8,2,FALSE)</f>
        <v>2</v>
      </c>
      <c r="N2488" t="str">
        <f t="shared" si="76"/>
        <v>2. 1-24 hours</v>
      </c>
      <c r="O2488" t="str">
        <f t="shared" si="77"/>
        <v>2026-04</v>
      </c>
    </row>
    <row r="2489" spans="1:15" x14ac:dyDescent="0.3">
      <c r="A2489" t="s">
        <v>5896</v>
      </c>
      <c r="B2489" t="s">
        <v>5897</v>
      </c>
      <c r="C2489" t="s">
        <v>58</v>
      </c>
      <c r="D2489" t="s">
        <v>38</v>
      </c>
      <c r="E2489" t="s">
        <v>59</v>
      </c>
      <c r="F2489" t="s">
        <v>60</v>
      </c>
      <c r="G2489">
        <v>7.57</v>
      </c>
      <c r="H2489" t="s">
        <v>146</v>
      </c>
      <c r="I2489" t="s">
        <v>48</v>
      </c>
      <c r="J2489" t="s">
        <v>113</v>
      </c>
      <c r="K2489">
        <v>308.93</v>
      </c>
      <c r="L2489" t="s">
        <v>5898</v>
      </c>
      <c r="M2489">
        <f>VLOOKUP(H2489,'Stage Order'!$A$2:$B$8,2,FALSE)</f>
        <v>5</v>
      </c>
      <c r="N2489" t="str">
        <f t="shared" si="76"/>
        <v>2. 1-24 hours</v>
      </c>
      <c r="O2489" t="str">
        <f t="shared" si="77"/>
        <v>2025-02</v>
      </c>
    </row>
    <row r="2490" spans="1:15" x14ac:dyDescent="0.3">
      <c r="A2490" t="s">
        <v>5899</v>
      </c>
      <c r="B2490" t="s">
        <v>5900</v>
      </c>
      <c r="C2490" t="s">
        <v>81</v>
      </c>
      <c r="D2490" t="s">
        <v>54</v>
      </c>
      <c r="E2490" t="s">
        <v>90</v>
      </c>
      <c r="F2490" t="s">
        <v>91</v>
      </c>
      <c r="G2490">
        <v>4.46</v>
      </c>
      <c r="H2490" t="s">
        <v>61</v>
      </c>
      <c r="I2490" t="s">
        <v>42</v>
      </c>
      <c r="M2490">
        <f>VLOOKUP(H2490,'Stage Order'!$A$2:$B$8,2,FALSE)</f>
        <v>1</v>
      </c>
      <c r="N2490" t="str">
        <f t="shared" si="76"/>
        <v>2. 1-24 hours</v>
      </c>
      <c r="O2490" t="str">
        <f t="shared" si="77"/>
        <v>2025-11</v>
      </c>
    </row>
    <row r="2491" spans="1:15" x14ac:dyDescent="0.3">
      <c r="A2491" t="s">
        <v>5901</v>
      </c>
      <c r="B2491" t="s">
        <v>5902</v>
      </c>
      <c r="C2491" t="s">
        <v>53</v>
      </c>
      <c r="D2491" t="s">
        <v>54</v>
      </c>
      <c r="E2491" t="s">
        <v>45</v>
      </c>
      <c r="F2491" t="s">
        <v>55</v>
      </c>
      <c r="G2491">
        <v>2.9</v>
      </c>
      <c r="H2491" t="s">
        <v>138</v>
      </c>
      <c r="I2491" t="s">
        <v>48</v>
      </c>
      <c r="J2491" t="s">
        <v>113</v>
      </c>
      <c r="K2491">
        <v>468.6</v>
      </c>
      <c r="L2491" t="s">
        <v>5903</v>
      </c>
      <c r="M2491">
        <f>VLOOKUP(H2491,'Stage Order'!$A$2:$B$8,2,FALSE)</f>
        <v>6</v>
      </c>
      <c r="N2491" t="str">
        <f t="shared" si="76"/>
        <v>2. 1-24 hours</v>
      </c>
      <c r="O2491" t="str">
        <f t="shared" si="77"/>
        <v>2026-05</v>
      </c>
    </row>
    <row r="2492" spans="1:15" x14ac:dyDescent="0.3">
      <c r="A2492" t="s">
        <v>5904</v>
      </c>
      <c r="B2492" t="s">
        <v>5905</v>
      </c>
      <c r="C2492" t="s">
        <v>28</v>
      </c>
      <c r="D2492" t="s">
        <v>54</v>
      </c>
      <c r="E2492" t="s">
        <v>59</v>
      </c>
      <c r="F2492" t="s">
        <v>60</v>
      </c>
      <c r="G2492">
        <v>5.89</v>
      </c>
      <c r="H2492" t="s">
        <v>41</v>
      </c>
      <c r="I2492" t="s">
        <v>42</v>
      </c>
      <c r="M2492">
        <f>VLOOKUP(H2492,'Stage Order'!$A$2:$B$8,2,FALSE)</f>
        <v>2</v>
      </c>
      <c r="N2492" t="str">
        <f t="shared" si="76"/>
        <v>2. 1-24 hours</v>
      </c>
      <c r="O2492" t="str">
        <f t="shared" si="77"/>
        <v>2025-03</v>
      </c>
    </row>
    <row r="2493" spans="1:15" x14ac:dyDescent="0.3">
      <c r="A2493" t="s">
        <v>5906</v>
      </c>
      <c r="B2493" t="s">
        <v>5907</v>
      </c>
      <c r="C2493" t="s">
        <v>37</v>
      </c>
      <c r="D2493" t="s">
        <v>97</v>
      </c>
      <c r="E2493" t="s">
        <v>45</v>
      </c>
      <c r="F2493" t="s">
        <v>46</v>
      </c>
      <c r="G2493">
        <v>0.72</v>
      </c>
      <c r="H2493" t="s">
        <v>41</v>
      </c>
      <c r="I2493" t="s">
        <v>42</v>
      </c>
      <c r="M2493">
        <f>VLOOKUP(H2493,'Stage Order'!$A$2:$B$8,2,FALSE)</f>
        <v>2</v>
      </c>
      <c r="N2493" t="str">
        <f t="shared" si="76"/>
        <v>1. Under 1 hour</v>
      </c>
      <c r="O2493" t="str">
        <f t="shared" si="77"/>
        <v>2025-09</v>
      </c>
    </row>
    <row r="2494" spans="1:15" x14ac:dyDescent="0.3">
      <c r="A2494" t="s">
        <v>5908</v>
      </c>
      <c r="B2494" t="s">
        <v>5909</v>
      </c>
      <c r="C2494" t="s">
        <v>58</v>
      </c>
      <c r="D2494" t="s">
        <v>29</v>
      </c>
      <c r="E2494" t="s">
        <v>45</v>
      </c>
      <c r="F2494" t="s">
        <v>55</v>
      </c>
      <c r="G2494">
        <v>3.78</v>
      </c>
      <c r="H2494" t="s">
        <v>41</v>
      </c>
      <c r="I2494" t="s">
        <v>42</v>
      </c>
      <c r="M2494">
        <f>VLOOKUP(H2494,'Stage Order'!$A$2:$B$8,2,FALSE)</f>
        <v>2</v>
      </c>
      <c r="N2494" t="str">
        <f t="shared" si="76"/>
        <v>2. 1-24 hours</v>
      </c>
      <c r="O2494" t="str">
        <f t="shared" si="77"/>
        <v>2026-01</v>
      </c>
    </row>
    <row r="2495" spans="1:15" x14ac:dyDescent="0.3">
      <c r="A2495" t="s">
        <v>5910</v>
      </c>
      <c r="B2495" t="s">
        <v>5911</v>
      </c>
      <c r="C2495" t="s">
        <v>76</v>
      </c>
      <c r="D2495" t="s">
        <v>29</v>
      </c>
      <c r="E2495" t="s">
        <v>59</v>
      </c>
      <c r="F2495" t="s">
        <v>137</v>
      </c>
      <c r="G2495">
        <v>3.68</v>
      </c>
      <c r="H2495" t="s">
        <v>32</v>
      </c>
      <c r="I2495" t="s">
        <v>33</v>
      </c>
      <c r="K2495">
        <v>729.91</v>
      </c>
      <c r="L2495" t="s">
        <v>5912</v>
      </c>
      <c r="M2495">
        <f>VLOOKUP(H2495,'Stage Order'!$A$2:$B$8,2,FALSE)</f>
        <v>7</v>
      </c>
      <c r="N2495" t="str">
        <f t="shared" si="76"/>
        <v>2. 1-24 hours</v>
      </c>
      <c r="O2495" t="str">
        <f t="shared" si="77"/>
        <v>2025-11</v>
      </c>
    </row>
    <row r="2496" spans="1:15" x14ac:dyDescent="0.3">
      <c r="A2496" t="s">
        <v>5913</v>
      </c>
      <c r="B2496" t="s">
        <v>5914</v>
      </c>
      <c r="C2496" t="s">
        <v>53</v>
      </c>
      <c r="D2496" t="s">
        <v>54</v>
      </c>
      <c r="E2496" t="s">
        <v>45</v>
      </c>
      <c r="F2496" t="s">
        <v>46</v>
      </c>
      <c r="G2496">
        <v>2.44</v>
      </c>
      <c r="H2496" t="s">
        <v>41</v>
      </c>
      <c r="I2496" t="s">
        <v>42</v>
      </c>
      <c r="M2496">
        <f>VLOOKUP(H2496,'Stage Order'!$A$2:$B$8,2,FALSE)</f>
        <v>2</v>
      </c>
      <c r="N2496" t="str">
        <f t="shared" si="76"/>
        <v>2. 1-24 hours</v>
      </c>
      <c r="O2496" t="str">
        <f t="shared" si="77"/>
        <v>2025-05</v>
      </c>
    </row>
    <row r="2497" spans="1:15" x14ac:dyDescent="0.3">
      <c r="A2497" t="s">
        <v>5915</v>
      </c>
      <c r="B2497" t="s">
        <v>5916</v>
      </c>
      <c r="C2497" t="s">
        <v>58</v>
      </c>
      <c r="D2497" t="s">
        <v>54</v>
      </c>
      <c r="E2497" t="s">
        <v>45</v>
      </c>
      <c r="F2497" t="s">
        <v>55</v>
      </c>
      <c r="G2497">
        <v>2.69</v>
      </c>
      <c r="H2497" t="s">
        <v>41</v>
      </c>
      <c r="I2497" t="s">
        <v>42</v>
      </c>
      <c r="M2497">
        <f>VLOOKUP(H2497,'Stage Order'!$A$2:$B$8,2,FALSE)</f>
        <v>2</v>
      </c>
      <c r="N2497" t="str">
        <f t="shared" si="76"/>
        <v>2. 1-24 hours</v>
      </c>
      <c r="O2497" t="str">
        <f t="shared" si="77"/>
        <v>2025-10</v>
      </c>
    </row>
    <row r="2498" spans="1:15" x14ac:dyDescent="0.3">
      <c r="A2498" t="s">
        <v>5917</v>
      </c>
      <c r="B2498" t="s">
        <v>5918</v>
      </c>
      <c r="C2498" t="s">
        <v>37</v>
      </c>
      <c r="D2498" t="s">
        <v>77</v>
      </c>
      <c r="E2498" t="s">
        <v>30</v>
      </c>
      <c r="F2498" t="s">
        <v>82</v>
      </c>
      <c r="G2498">
        <v>14.14</v>
      </c>
      <c r="H2498" t="s">
        <v>41</v>
      </c>
      <c r="I2498" t="s">
        <v>42</v>
      </c>
      <c r="M2498">
        <f>VLOOKUP(H2498,'Stage Order'!$A$2:$B$8,2,FALSE)</f>
        <v>2</v>
      </c>
      <c r="N2498" t="str">
        <f t="shared" ref="N2498:N2561" si="78">IF(G2498&lt;=1,"1. Under 1 hour",IF(G2498&lt;=24,"2. 1-24 hours",IF(G2498&lt;=72,"3. 1-3 days","4. Over 3 days")))</f>
        <v>2. 1-24 hours</v>
      </c>
      <c r="O2498" t="str">
        <f t="shared" ref="O2498:O2561" si="79">TEXT(B2498,"YYYY-MM")</f>
        <v>2026-03</v>
      </c>
    </row>
    <row r="2499" spans="1:15" x14ac:dyDescent="0.3">
      <c r="A2499" t="s">
        <v>5919</v>
      </c>
      <c r="B2499" t="s">
        <v>5920</v>
      </c>
      <c r="C2499" t="s">
        <v>28</v>
      </c>
      <c r="D2499" t="s">
        <v>77</v>
      </c>
      <c r="E2499" t="s">
        <v>59</v>
      </c>
      <c r="F2499" t="s">
        <v>137</v>
      </c>
      <c r="G2499">
        <v>5.87</v>
      </c>
      <c r="H2499" t="s">
        <v>146</v>
      </c>
      <c r="I2499" t="s">
        <v>48</v>
      </c>
      <c r="J2499" t="s">
        <v>139</v>
      </c>
      <c r="K2499">
        <v>1152.06</v>
      </c>
      <c r="L2499" t="s">
        <v>5921</v>
      </c>
      <c r="M2499">
        <f>VLOOKUP(H2499,'Stage Order'!$A$2:$B$8,2,FALSE)</f>
        <v>5</v>
      </c>
      <c r="N2499" t="str">
        <f t="shared" si="78"/>
        <v>2. 1-24 hours</v>
      </c>
      <c r="O2499" t="str">
        <f t="shared" si="79"/>
        <v>2025-09</v>
      </c>
    </row>
    <row r="2500" spans="1:15" x14ac:dyDescent="0.3">
      <c r="A2500" t="s">
        <v>5922</v>
      </c>
      <c r="B2500" t="s">
        <v>5923</v>
      </c>
      <c r="C2500" t="s">
        <v>53</v>
      </c>
      <c r="D2500" t="s">
        <v>54</v>
      </c>
      <c r="E2500" t="s">
        <v>90</v>
      </c>
      <c r="F2500" t="s">
        <v>145</v>
      </c>
      <c r="G2500">
        <v>1.4</v>
      </c>
      <c r="H2500" t="s">
        <v>146</v>
      </c>
      <c r="I2500" t="s">
        <v>48</v>
      </c>
      <c r="J2500" t="s">
        <v>98</v>
      </c>
      <c r="K2500">
        <v>473.51</v>
      </c>
      <c r="L2500" t="s">
        <v>5924</v>
      </c>
      <c r="M2500">
        <f>VLOOKUP(H2500,'Stage Order'!$A$2:$B$8,2,FALSE)</f>
        <v>5</v>
      </c>
      <c r="N2500" t="str">
        <f t="shared" si="78"/>
        <v>2. 1-24 hours</v>
      </c>
      <c r="O2500" t="str">
        <f t="shared" si="79"/>
        <v>2025-02</v>
      </c>
    </row>
    <row r="2501" spans="1:15" x14ac:dyDescent="0.3">
      <c r="A2501" t="s">
        <v>5925</v>
      </c>
      <c r="B2501" t="s">
        <v>5926</v>
      </c>
      <c r="C2501" t="s">
        <v>125</v>
      </c>
      <c r="D2501" t="s">
        <v>29</v>
      </c>
      <c r="E2501" t="s">
        <v>59</v>
      </c>
      <c r="F2501" t="s">
        <v>117</v>
      </c>
      <c r="G2501">
        <v>2.57</v>
      </c>
      <c r="H2501" t="s">
        <v>41</v>
      </c>
      <c r="I2501" t="s">
        <v>42</v>
      </c>
      <c r="M2501">
        <f>VLOOKUP(H2501,'Stage Order'!$A$2:$B$8,2,FALSE)</f>
        <v>2</v>
      </c>
      <c r="N2501" t="str">
        <f t="shared" si="78"/>
        <v>2. 1-24 hours</v>
      </c>
      <c r="O2501" t="str">
        <f t="shared" si="79"/>
        <v>2025-01</v>
      </c>
    </row>
    <row r="2502" spans="1:15" x14ac:dyDescent="0.3">
      <c r="A2502" t="s">
        <v>5927</v>
      </c>
      <c r="B2502" t="s">
        <v>5928</v>
      </c>
      <c r="C2502" t="s">
        <v>37</v>
      </c>
      <c r="D2502" t="s">
        <v>54</v>
      </c>
      <c r="E2502" t="s">
        <v>39</v>
      </c>
      <c r="F2502" t="s">
        <v>40</v>
      </c>
      <c r="G2502">
        <v>1.05</v>
      </c>
      <c r="H2502" t="s">
        <v>47</v>
      </c>
      <c r="I2502" t="s">
        <v>48</v>
      </c>
      <c r="J2502" t="s">
        <v>98</v>
      </c>
      <c r="K2502">
        <v>577.95000000000005</v>
      </c>
      <c r="L2502" t="s">
        <v>5929</v>
      </c>
      <c r="M2502">
        <f>VLOOKUP(H2502,'Stage Order'!$A$2:$B$8,2,FALSE)</f>
        <v>4</v>
      </c>
      <c r="N2502" t="str">
        <f t="shared" si="78"/>
        <v>2. 1-24 hours</v>
      </c>
      <c r="O2502" t="str">
        <f t="shared" si="79"/>
        <v>2026-03</v>
      </c>
    </row>
    <row r="2503" spans="1:15" x14ac:dyDescent="0.3">
      <c r="A2503" t="s">
        <v>5930</v>
      </c>
      <c r="B2503" t="s">
        <v>5931</v>
      </c>
      <c r="C2503" t="s">
        <v>37</v>
      </c>
      <c r="D2503" t="s">
        <v>54</v>
      </c>
      <c r="E2503" t="s">
        <v>45</v>
      </c>
      <c r="F2503" t="s">
        <v>94</v>
      </c>
      <c r="G2503">
        <v>4.2</v>
      </c>
      <c r="H2503" t="s">
        <v>41</v>
      </c>
      <c r="I2503" t="s">
        <v>42</v>
      </c>
      <c r="M2503">
        <f>VLOOKUP(H2503,'Stage Order'!$A$2:$B$8,2,FALSE)</f>
        <v>2</v>
      </c>
      <c r="N2503" t="str">
        <f t="shared" si="78"/>
        <v>2. 1-24 hours</v>
      </c>
      <c r="O2503" t="str">
        <f t="shared" si="79"/>
        <v>2025-05</v>
      </c>
    </row>
    <row r="2504" spans="1:15" x14ac:dyDescent="0.3">
      <c r="A2504" t="s">
        <v>5932</v>
      </c>
      <c r="B2504" t="s">
        <v>5933</v>
      </c>
      <c r="C2504" t="s">
        <v>81</v>
      </c>
      <c r="D2504" t="s">
        <v>29</v>
      </c>
      <c r="E2504" t="s">
        <v>39</v>
      </c>
      <c r="F2504" t="s">
        <v>106</v>
      </c>
      <c r="G2504">
        <v>0.97</v>
      </c>
      <c r="H2504" t="s">
        <v>61</v>
      </c>
      <c r="I2504" t="s">
        <v>42</v>
      </c>
      <c r="M2504">
        <f>VLOOKUP(H2504,'Stage Order'!$A$2:$B$8,2,FALSE)</f>
        <v>1</v>
      </c>
      <c r="N2504" t="str">
        <f t="shared" si="78"/>
        <v>1. Under 1 hour</v>
      </c>
      <c r="O2504" t="str">
        <f t="shared" si="79"/>
        <v>2025-03</v>
      </c>
    </row>
    <row r="2505" spans="1:15" x14ac:dyDescent="0.3">
      <c r="A2505" t="s">
        <v>5934</v>
      </c>
      <c r="B2505" t="s">
        <v>5935</v>
      </c>
      <c r="C2505" t="s">
        <v>125</v>
      </c>
      <c r="D2505" t="s">
        <v>29</v>
      </c>
      <c r="E2505" t="s">
        <v>30</v>
      </c>
      <c r="F2505" t="s">
        <v>78</v>
      </c>
      <c r="G2505">
        <v>27.31</v>
      </c>
      <c r="H2505" t="s">
        <v>61</v>
      </c>
      <c r="I2505" t="s">
        <v>42</v>
      </c>
      <c r="M2505">
        <f>VLOOKUP(H2505,'Stage Order'!$A$2:$B$8,2,FALSE)</f>
        <v>1</v>
      </c>
      <c r="N2505" t="str">
        <f t="shared" si="78"/>
        <v>3. 1-3 days</v>
      </c>
      <c r="O2505" t="str">
        <f t="shared" si="79"/>
        <v>2025-12</v>
      </c>
    </row>
    <row r="2506" spans="1:15" x14ac:dyDescent="0.3">
      <c r="A2506" t="s">
        <v>5936</v>
      </c>
      <c r="B2506" t="s">
        <v>5937</v>
      </c>
      <c r="C2506" t="s">
        <v>125</v>
      </c>
      <c r="D2506" t="s">
        <v>97</v>
      </c>
      <c r="E2506" t="s">
        <v>39</v>
      </c>
      <c r="F2506" t="s">
        <v>106</v>
      </c>
      <c r="G2506">
        <v>13.86</v>
      </c>
      <c r="H2506" t="s">
        <v>41</v>
      </c>
      <c r="I2506" t="s">
        <v>42</v>
      </c>
      <c r="M2506">
        <f>VLOOKUP(H2506,'Stage Order'!$A$2:$B$8,2,FALSE)</f>
        <v>2</v>
      </c>
      <c r="N2506" t="str">
        <f t="shared" si="78"/>
        <v>2. 1-24 hours</v>
      </c>
      <c r="O2506" t="str">
        <f t="shared" si="79"/>
        <v>2026-06</v>
      </c>
    </row>
    <row r="2507" spans="1:15" x14ac:dyDescent="0.3">
      <c r="A2507" t="s">
        <v>5938</v>
      </c>
      <c r="B2507" t="s">
        <v>5939</v>
      </c>
      <c r="C2507" t="s">
        <v>37</v>
      </c>
      <c r="D2507" t="s">
        <v>77</v>
      </c>
      <c r="E2507" t="s">
        <v>30</v>
      </c>
      <c r="F2507" t="s">
        <v>31</v>
      </c>
      <c r="G2507">
        <v>6.02</v>
      </c>
      <c r="H2507" t="s">
        <v>41</v>
      </c>
      <c r="I2507" t="s">
        <v>42</v>
      </c>
      <c r="M2507">
        <f>VLOOKUP(H2507,'Stage Order'!$A$2:$B$8,2,FALSE)</f>
        <v>2</v>
      </c>
      <c r="N2507" t="str">
        <f t="shared" si="78"/>
        <v>2. 1-24 hours</v>
      </c>
      <c r="O2507" t="str">
        <f t="shared" si="79"/>
        <v>2025-10</v>
      </c>
    </row>
    <row r="2508" spans="1:15" x14ac:dyDescent="0.3">
      <c r="A2508" t="s">
        <v>5940</v>
      </c>
      <c r="B2508" t="s">
        <v>5941</v>
      </c>
      <c r="C2508" t="s">
        <v>28</v>
      </c>
      <c r="D2508" t="s">
        <v>54</v>
      </c>
      <c r="E2508" t="s">
        <v>45</v>
      </c>
      <c r="F2508" t="s">
        <v>46</v>
      </c>
      <c r="G2508">
        <v>3.45</v>
      </c>
      <c r="H2508" t="s">
        <v>41</v>
      </c>
      <c r="I2508" t="s">
        <v>42</v>
      </c>
      <c r="M2508">
        <f>VLOOKUP(H2508,'Stage Order'!$A$2:$B$8,2,FALSE)</f>
        <v>2</v>
      </c>
      <c r="N2508" t="str">
        <f t="shared" si="78"/>
        <v>2. 1-24 hours</v>
      </c>
      <c r="O2508" t="str">
        <f t="shared" si="79"/>
        <v>2025-12</v>
      </c>
    </row>
    <row r="2509" spans="1:15" x14ac:dyDescent="0.3">
      <c r="A2509" t="s">
        <v>5942</v>
      </c>
      <c r="B2509" t="s">
        <v>5943</v>
      </c>
      <c r="C2509" t="s">
        <v>37</v>
      </c>
      <c r="D2509" t="s">
        <v>38</v>
      </c>
      <c r="E2509" t="s">
        <v>39</v>
      </c>
      <c r="F2509" t="s">
        <v>40</v>
      </c>
      <c r="G2509">
        <v>1.43</v>
      </c>
      <c r="H2509" t="s">
        <v>41</v>
      </c>
      <c r="I2509" t="s">
        <v>42</v>
      </c>
      <c r="M2509">
        <f>VLOOKUP(H2509,'Stage Order'!$A$2:$B$8,2,FALSE)</f>
        <v>2</v>
      </c>
      <c r="N2509" t="str">
        <f t="shared" si="78"/>
        <v>2. 1-24 hours</v>
      </c>
      <c r="O2509" t="str">
        <f t="shared" si="79"/>
        <v>2026-05</v>
      </c>
    </row>
    <row r="2510" spans="1:15" x14ac:dyDescent="0.3">
      <c r="A2510" t="s">
        <v>5944</v>
      </c>
      <c r="B2510" t="s">
        <v>5945</v>
      </c>
      <c r="C2510" t="s">
        <v>81</v>
      </c>
      <c r="D2510" t="s">
        <v>29</v>
      </c>
      <c r="E2510" t="s">
        <v>39</v>
      </c>
      <c r="F2510" t="s">
        <v>40</v>
      </c>
      <c r="G2510">
        <v>2.08</v>
      </c>
      <c r="H2510" t="s">
        <v>41</v>
      </c>
      <c r="I2510" t="s">
        <v>42</v>
      </c>
      <c r="M2510">
        <f>VLOOKUP(H2510,'Stage Order'!$A$2:$B$8,2,FALSE)</f>
        <v>2</v>
      </c>
      <c r="N2510" t="str">
        <f t="shared" si="78"/>
        <v>2. 1-24 hours</v>
      </c>
      <c r="O2510" t="str">
        <f t="shared" si="79"/>
        <v>2025-09</v>
      </c>
    </row>
    <row r="2511" spans="1:15" x14ac:dyDescent="0.3">
      <c r="A2511" t="s">
        <v>5946</v>
      </c>
      <c r="B2511" t="s">
        <v>5947</v>
      </c>
      <c r="C2511" t="s">
        <v>53</v>
      </c>
      <c r="D2511" t="s">
        <v>38</v>
      </c>
      <c r="E2511" t="s">
        <v>30</v>
      </c>
      <c r="F2511" t="s">
        <v>31</v>
      </c>
      <c r="G2511">
        <v>1.56</v>
      </c>
      <c r="H2511" t="s">
        <v>41</v>
      </c>
      <c r="I2511" t="s">
        <v>42</v>
      </c>
      <c r="M2511">
        <f>VLOOKUP(H2511,'Stage Order'!$A$2:$B$8,2,FALSE)</f>
        <v>2</v>
      </c>
      <c r="N2511" t="str">
        <f t="shared" si="78"/>
        <v>2. 1-24 hours</v>
      </c>
      <c r="O2511" t="str">
        <f t="shared" si="79"/>
        <v>2025-11</v>
      </c>
    </row>
    <row r="2512" spans="1:15" x14ac:dyDescent="0.3">
      <c r="A2512" t="s">
        <v>5948</v>
      </c>
      <c r="B2512" t="s">
        <v>5949</v>
      </c>
      <c r="C2512" t="s">
        <v>125</v>
      </c>
      <c r="D2512" t="s">
        <v>54</v>
      </c>
      <c r="E2512" t="s">
        <v>39</v>
      </c>
      <c r="F2512" t="s">
        <v>66</v>
      </c>
      <c r="G2512">
        <v>4.07</v>
      </c>
      <c r="H2512" t="s">
        <v>61</v>
      </c>
      <c r="I2512" t="s">
        <v>42</v>
      </c>
      <c r="M2512">
        <f>VLOOKUP(H2512,'Stage Order'!$A$2:$B$8,2,FALSE)</f>
        <v>1</v>
      </c>
      <c r="N2512" t="str">
        <f t="shared" si="78"/>
        <v>2. 1-24 hours</v>
      </c>
      <c r="O2512" t="str">
        <f t="shared" si="79"/>
        <v>2025-10</v>
      </c>
    </row>
    <row r="2513" spans="1:15" x14ac:dyDescent="0.3">
      <c r="A2513" t="s">
        <v>5950</v>
      </c>
      <c r="B2513" t="s">
        <v>3390</v>
      </c>
      <c r="C2513" t="s">
        <v>58</v>
      </c>
      <c r="D2513" t="s">
        <v>77</v>
      </c>
      <c r="E2513" t="s">
        <v>59</v>
      </c>
      <c r="F2513" t="s">
        <v>60</v>
      </c>
      <c r="G2513">
        <v>1.2</v>
      </c>
      <c r="H2513" t="s">
        <v>138</v>
      </c>
      <c r="I2513" t="s">
        <v>48</v>
      </c>
      <c r="J2513" t="s">
        <v>742</v>
      </c>
      <c r="K2513">
        <v>1140.99</v>
      </c>
      <c r="L2513" t="s">
        <v>5951</v>
      </c>
      <c r="M2513">
        <f>VLOOKUP(H2513,'Stage Order'!$A$2:$B$8,2,FALSE)</f>
        <v>6</v>
      </c>
      <c r="N2513" t="str">
        <f t="shared" si="78"/>
        <v>2. 1-24 hours</v>
      </c>
      <c r="O2513" t="str">
        <f t="shared" si="79"/>
        <v>2025-04</v>
      </c>
    </row>
    <row r="2514" spans="1:15" x14ac:dyDescent="0.3">
      <c r="A2514" t="s">
        <v>5952</v>
      </c>
      <c r="B2514" t="s">
        <v>5953</v>
      </c>
      <c r="C2514" t="s">
        <v>125</v>
      </c>
      <c r="D2514" t="s">
        <v>97</v>
      </c>
      <c r="E2514" t="s">
        <v>90</v>
      </c>
      <c r="F2514" t="s">
        <v>145</v>
      </c>
      <c r="G2514">
        <v>3.1</v>
      </c>
      <c r="H2514" t="s">
        <v>41</v>
      </c>
      <c r="I2514" t="s">
        <v>42</v>
      </c>
      <c r="M2514">
        <f>VLOOKUP(H2514,'Stage Order'!$A$2:$B$8,2,FALSE)</f>
        <v>2</v>
      </c>
      <c r="N2514" t="str">
        <f t="shared" si="78"/>
        <v>2. 1-24 hours</v>
      </c>
      <c r="O2514" t="str">
        <f t="shared" si="79"/>
        <v>2026-06</v>
      </c>
    </row>
    <row r="2515" spans="1:15" x14ac:dyDescent="0.3">
      <c r="A2515" t="s">
        <v>5954</v>
      </c>
      <c r="B2515" t="s">
        <v>5955</v>
      </c>
      <c r="C2515" t="s">
        <v>37</v>
      </c>
      <c r="D2515" t="s">
        <v>54</v>
      </c>
      <c r="E2515" t="s">
        <v>39</v>
      </c>
      <c r="F2515" t="s">
        <v>106</v>
      </c>
      <c r="G2515">
        <v>1.94</v>
      </c>
      <c r="H2515" t="s">
        <v>47</v>
      </c>
      <c r="I2515" t="s">
        <v>48</v>
      </c>
      <c r="J2515" t="s">
        <v>113</v>
      </c>
      <c r="K2515">
        <v>408.19</v>
      </c>
      <c r="L2515" t="s">
        <v>5956</v>
      </c>
      <c r="M2515">
        <f>VLOOKUP(H2515,'Stage Order'!$A$2:$B$8,2,FALSE)</f>
        <v>4</v>
      </c>
      <c r="N2515" t="str">
        <f t="shared" si="78"/>
        <v>2. 1-24 hours</v>
      </c>
      <c r="O2515" t="str">
        <f t="shared" si="79"/>
        <v>2025-06</v>
      </c>
    </row>
    <row r="2516" spans="1:15" x14ac:dyDescent="0.3">
      <c r="A2516" t="s">
        <v>5957</v>
      </c>
      <c r="B2516" t="s">
        <v>5958</v>
      </c>
      <c r="C2516" t="s">
        <v>28</v>
      </c>
      <c r="D2516" t="s">
        <v>77</v>
      </c>
      <c r="E2516" t="s">
        <v>59</v>
      </c>
      <c r="F2516" t="s">
        <v>137</v>
      </c>
      <c r="G2516">
        <v>12.23</v>
      </c>
      <c r="H2516" t="s">
        <v>41</v>
      </c>
      <c r="I2516" t="s">
        <v>42</v>
      </c>
      <c r="M2516">
        <f>VLOOKUP(H2516,'Stage Order'!$A$2:$B$8,2,FALSE)</f>
        <v>2</v>
      </c>
      <c r="N2516" t="str">
        <f t="shared" si="78"/>
        <v>2. 1-24 hours</v>
      </c>
      <c r="O2516" t="str">
        <f t="shared" si="79"/>
        <v>2025-11</v>
      </c>
    </row>
    <row r="2517" spans="1:15" x14ac:dyDescent="0.3">
      <c r="A2517" t="s">
        <v>5959</v>
      </c>
      <c r="B2517" t="s">
        <v>5960</v>
      </c>
      <c r="C2517" t="s">
        <v>125</v>
      </c>
      <c r="D2517" t="s">
        <v>97</v>
      </c>
      <c r="E2517" t="s">
        <v>90</v>
      </c>
      <c r="F2517" t="s">
        <v>145</v>
      </c>
      <c r="G2517">
        <v>3.02</v>
      </c>
      <c r="H2517" t="s">
        <v>41</v>
      </c>
      <c r="I2517" t="s">
        <v>42</v>
      </c>
      <c r="M2517">
        <f>VLOOKUP(H2517,'Stage Order'!$A$2:$B$8,2,FALSE)</f>
        <v>2</v>
      </c>
      <c r="N2517" t="str">
        <f t="shared" si="78"/>
        <v>2. 1-24 hours</v>
      </c>
      <c r="O2517" t="str">
        <f t="shared" si="79"/>
        <v>2026-06</v>
      </c>
    </row>
    <row r="2518" spans="1:15" x14ac:dyDescent="0.3">
      <c r="A2518" t="s">
        <v>5961</v>
      </c>
      <c r="B2518" t="s">
        <v>5962</v>
      </c>
      <c r="C2518" t="s">
        <v>37</v>
      </c>
      <c r="D2518" t="s">
        <v>97</v>
      </c>
      <c r="E2518" t="s">
        <v>39</v>
      </c>
      <c r="F2518" t="s">
        <v>66</v>
      </c>
      <c r="G2518">
        <v>3.18</v>
      </c>
      <c r="H2518" t="s">
        <v>61</v>
      </c>
      <c r="I2518" t="s">
        <v>42</v>
      </c>
      <c r="M2518">
        <f>VLOOKUP(H2518,'Stage Order'!$A$2:$B$8,2,FALSE)</f>
        <v>1</v>
      </c>
      <c r="N2518" t="str">
        <f t="shared" si="78"/>
        <v>2. 1-24 hours</v>
      </c>
      <c r="O2518" t="str">
        <f t="shared" si="79"/>
        <v>2025-05</v>
      </c>
    </row>
    <row r="2519" spans="1:15" x14ac:dyDescent="0.3">
      <c r="A2519" t="s">
        <v>5963</v>
      </c>
      <c r="B2519" t="s">
        <v>5964</v>
      </c>
      <c r="C2519" t="s">
        <v>58</v>
      </c>
      <c r="D2519" t="s">
        <v>54</v>
      </c>
      <c r="E2519" t="s">
        <v>90</v>
      </c>
      <c r="F2519" t="s">
        <v>91</v>
      </c>
      <c r="G2519">
        <v>0.47</v>
      </c>
      <c r="H2519" t="s">
        <v>41</v>
      </c>
      <c r="I2519" t="s">
        <v>42</v>
      </c>
      <c r="M2519">
        <f>VLOOKUP(H2519,'Stage Order'!$A$2:$B$8,2,FALSE)</f>
        <v>2</v>
      </c>
      <c r="N2519" t="str">
        <f t="shared" si="78"/>
        <v>1. Under 1 hour</v>
      </c>
      <c r="O2519" t="str">
        <f t="shared" si="79"/>
        <v>2025-03</v>
      </c>
    </row>
    <row r="2520" spans="1:15" x14ac:dyDescent="0.3">
      <c r="A2520" t="s">
        <v>5965</v>
      </c>
      <c r="B2520" t="s">
        <v>5966</v>
      </c>
      <c r="C2520" t="s">
        <v>81</v>
      </c>
      <c r="D2520" t="s">
        <v>77</v>
      </c>
      <c r="E2520" t="s">
        <v>90</v>
      </c>
      <c r="F2520" t="s">
        <v>112</v>
      </c>
      <c r="G2520">
        <v>4.16</v>
      </c>
      <c r="H2520" t="s">
        <v>61</v>
      </c>
      <c r="I2520" t="s">
        <v>42</v>
      </c>
      <c r="M2520">
        <f>VLOOKUP(H2520,'Stage Order'!$A$2:$B$8,2,FALSE)</f>
        <v>1</v>
      </c>
      <c r="N2520" t="str">
        <f t="shared" si="78"/>
        <v>2. 1-24 hours</v>
      </c>
      <c r="O2520" t="str">
        <f t="shared" si="79"/>
        <v>2025-06</v>
      </c>
    </row>
    <row r="2521" spans="1:15" x14ac:dyDescent="0.3">
      <c r="A2521" t="s">
        <v>5967</v>
      </c>
      <c r="B2521" t="s">
        <v>5968</v>
      </c>
      <c r="C2521" t="s">
        <v>28</v>
      </c>
      <c r="D2521" t="s">
        <v>38</v>
      </c>
      <c r="E2521" t="s">
        <v>30</v>
      </c>
      <c r="F2521" t="s">
        <v>82</v>
      </c>
      <c r="G2521">
        <v>2.95</v>
      </c>
      <c r="H2521" t="s">
        <v>32</v>
      </c>
      <c r="I2521" t="s">
        <v>33</v>
      </c>
      <c r="K2521">
        <v>352.04</v>
      </c>
      <c r="L2521" t="s">
        <v>5969</v>
      </c>
      <c r="M2521">
        <f>VLOOKUP(H2521,'Stage Order'!$A$2:$B$8,2,FALSE)</f>
        <v>7</v>
      </c>
      <c r="N2521" t="str">
        <f t="shared" si="78"/>
        <v>2. 1-24 hours</v>
      </c>
      <c r="O2521" t="str">
        <f t="shared" si="79"/>
        <v>2026-05</v>
      </c>
    </row>
    <row r="2522" spans="1:15" x14ac:dyDescent="0.3">
      <c r="A2522" t="s">
        <v>5970</v>
      </c>
      <c r="B2522" t="s">
        <v>5971</v>
      </c>
      <c r="C2522" t="s">
        <v>37</v>
      </c>
      <c r="D2522" t="s">
        <v>97</v>
      </c>
      <c r="E2522" t="s">
        <v>39</v>
      </c>
      <c r="F2522" t="s">
        <v>106</v>
      </c>
      <c r="G2522">
        <v>3.01</v>
      </c>
      <c r="H2522" t="s">
        <v>41</v>
      </c>
      <c r="I2522" t="s">
        <v>42</v>
      </c>
      <c r="M2522">
        <f>VLOOKUP(H2522,'Stage Order'!$A$2:$B$8,2,FALSE)</f>
        <v>2</v>
      </c>
      <c r="N2522" t="str">
        <f t="shared" si="78"/>
        <v>2. 1-24 hours</v>
      </c>
      <c r="O2522" t="str">
        <f t="shared" si="79"/>
        <v>2025-08</v>
      </c>
    </row>
    <row r="2523" spans="1:15" x14ac:dyDescent="0.3">
      <c r="A2523" t="s">
        <v>5972</v>
      </c>
      <c r="B2523" t="s">
        <v>5973</v>
      </c>
      <c r="C2523" t="s">
        <v>125</v>
      </c>
      <c r="D2523" t="s">
        <v>54</v>
      </c>
      <c r="E2523" t="s">
        <v>90</v>
      </c>
      <c r="F2523" t="s">
        <v>91</v>
      </c>
      <c r="G2523">
        <v>1.99</v>
      </c>
      <c r="H2523" t="s">
        <v>41</v>
      </c>
      <c r="I2523" t="s">
        <v>42</v>
      </c>
      <c r="M2523">
        <f>VLOOKUP(H2523,'Stage Order'!$A$2:$B$8,2,FALSE)</f>
        <v>2</v>
      </c>
      <c r="N2523" t="str">
        <f t="shared" si="78"/>
        <v>2. 1-24 hours</v>
      </c>
      <c r="O2523" t="str">
        <f t="shared" si="79"/>
        <v>2026-01</v>
      </c>
    </row>
    <row r="2524" spans="1:15" x14ac:dyDescent="0.3">
      <c r="A2524" t="s">
        <v>5974</v>
      </c>
      <c r="B2524" t="s">
        <v>5975</v>
      </c>
      <c r="C2524" t="s">
        <v>53</v>
      </c>
      <c r="D2524" t="s">
        <v>77</v>
      </c>
      <c r="E2524" t="s">
        <v>39</v>
      </c>
      <c r="F2524" t="s">
        <v>106</v>
      </c>
      <c r="G2524">
        <v>1.56</v>
      </c>
      <c r="H2524" t="s">
        <v>32</v>
      </c>
      <c r="I2524" t="s">
        <v>33</v>
      </c>
      <c r="K2524">
        <v>1072.71</v>
      </c>
      <c r="L2524" t="s">
        <v>5976</v>
      </c>
      <c r="M2524">
        <f>VLOOKUP(H2524,'Stage Order'!$A$2:$B$8,2,FALSE)</f>
        <v>7</v>
      </c>
      <c r="N2524" t="str">
        <f t="shared" si="78"/>
        <v>2. 1-24 hours</v>
      </c>
      <c r="O2524" t="str">
        <f t="shared" si="79"/>
        <v>2025-08</v>
      </c>
    </row>
    <row r="2525" spans="1:15" x14ac:dyDescent="0.3">
      <c r="A2525" t="s">
        <v>5977</v>
      </c>
      <c r="B2525" t="s">
        <v>5978</v>
      </c>
      <c r="C2525" t="s">
        <v>37</v>
      </c>
      <c r="D2525" t="s">
        <v>77</v>
      </c>
      <c r="E2525" t="s">
        <v>30</v>
      </c>
      <c r="F2525" t="s">
        <v>82</v>
      </c>
      <c r="G2525">
        <v>1.64</v>
      </c>
      <c r="H2525" t="s">
        <v>41</v>
      </c>
      <c r="I2525" t="s">
        <v>42</v>
      </c>
      <c r="M2525">
        <f>VLOOKUP(H2525,'Stage Order'!$A$2:$B$8,2,FALSE)</f>
        <v>2</v>
      </c>
      <c r="N2525" t="str">
        <f t="shared" si="78"/>
        <v>2. 1-24 hours</v>
      </c>
      <c r="O2525" t="str">
        <f t="shared" si="79"/>
        <v>2025-01</v>
      </c>
    </row>
    <row r="2526" spans="1:15" x14ac:dyDescent="0.3">
      <c r="A2526" t="s">
        <v>5979</v>
      </c>
      <c r="B2526" t="s">
        <v>5980</v>
      </c>
      <c r="C2526" t="s">
        <v>81</v>
      </c>
      <c r="D2526" t="s">
        <v>54</v>
      </c>
      <c r="E2526" t="s">
        <v>59</v>
      </c>
      <c r="F2526" t="s">
        <v>137</v>
      </c>
      <c r="G2526">
        <v>12.4</v>
      </c>
      <c r="H2526" t="s">
        <v>146</v>
      </c>
      <c r="I2526" t="s">
        <v>48</v>
      </c>
      <c r="J2526" t="s">
        <v>139</v>
      </c>
      <c r="K2526">
        <v>421.12</v>
      </c>
      <c r="L2526" t="s">
        <v>5981</v>
      </c>
      <c r="M2526">
        <f>VLOOKUP(H2526,'Stage Order'!$A$2:$B$8,2,FALSE)</f>
        <v>5</v>
      </c>
      <c r="N2526" t="str">
        <f t="shared" si="78"/>
        <v>2. 1-24 hours</v>
      </c>
      <c r="O2526" t="str">
        <f t="shared" si="79"/>
        <v>2026-01</v>
      </c>
    </row>
    <row r="2527" spans="1:15" x14ac:dyDescent="0.3">
      <c r="A2527" t="s">
        <v>5982</v>
      </c>
      <c r="B2527" t="s">
        <v>5983</v>
      </c>
      <c r="C2527" t="s">
        <v>125</v>
      </c>
      <c r="D2527" t="s">
        <v>38</v>
      </c>
      <c r="E2527" t="s">
        <v>39</v>
      </c>
      <c r="F2527" t="s">
        <v>106</v>
      </c>
      <c r="G2527">
        <v>2.72</v>
      </c>
      <c r="H2527" t="s">
        <v>41</v>
      </c>
      <c r="I2527" t="s">
        <v>42</v>
      </c>
      <c r="M2527">
        <f>VLOOKUP(H2527,'Stage Order'!$A$2:$B$8,2,FALSE)</f>
        <v>2</v>
      </c>
      <c r="N2527" t="str">
        <f t="shared" si="78"/>
        <v>2. 1-24 hours</v>
      </c>
      <c r="O2527" t="str">
        <f t="shared" si="79"/>
        <v>2025-12</v>
      </c>
    </row>
    <row r="2528" spans="1:15" x14ac:dyDescent="0.3">
      <c r="A2528" t="s">
        <v>5984</v>
      </c>
      <c r="B2528" t="s">
        <v>5985</v>
      </c>
      <c r="C2528" t="s">
        <v>53</v>
      </c>
      <c r="D2528" t="s">
        <v>29</v>
      </c>
      <c r="E2528" t="s">
        <v>39</v>
      </c>
      <c r="F2528" t="s">
        <v>106</v>
      </c>
      <c r="G2528">
        <v>3.31</v>
      </c>
      <c r="H2528" t="s">
        <v>41</v>
      </c>
      <c r="I2528" t="s">
        <v>42</v>
      </c>
      <c r="M2528">
        <f>VLOOKUP(H2528,'Stage Order'!$A$2:$B$8,2,FALSE)</f>
        <v>2</v>
      </c>
      <c r="N2528" t="str">
        <f t="shared" si="78"/>
        <v>2. 1-24 hours</v>
      </c>
      <c r="O2528" t="str">
        <f t="shared" si="79"/>
        <v>2025-06</v>
      </c>
    </row>
    <row r="2529" spans="1:15" x14ac:dyDescent="0.3">
      <c r="A2529" t="s">
        <v>5986</v>
      </c>
      <c r="B2529" t="s">
        <v>5987</v>
      </c>
      <c r="C2529" t="s">
        <v>53</v>
      </c>
      <c r="D2529" t="s">
        <v>77</v>
      </c>
      <c r="E2529" t="s">
        <v>59</v>
      </c>
      <c r="F2529" t="s">
        <v>137</v>
      </c>
      <c r="G2529">
        <v>8.11</v>
      </c>
      <c r="H2529" t="s">
        <v>138</v>
      </c>
      <c r="I2529" t="s">
        <v>48</v>
      </c>
      <c r="J2529" t="s">
        <v>98</v>
      </c>
      <c r="K2529">
        <v>1069.4100000000001</v>
      </c>
      <c r="L2529" t="s">
        <v>5988</v>
      </c>
      <c r="M2529">
        <f>VLOOKUP(H2529,'Stage Order'!$A$2:$B$8,2,FALSE)</f>
        <v>6</v>
      </c>
      <c r="N2529" t="str">
        <f t="shared" si="78"/>
        <v>2. 1-24 hours</v>
      </c>
      <c r="O2529" t="str">
        <f t="shared" si="79"/>
        <v>2025-04</v>
      </c>
    </row>
    <row r="2530" spans="1:15" x14ac:dyDescent="0.3">
      <c r="A2530" t="s">
        <v>5989</v>
      </c>
      <c r="B2530" t="s">
        <v>5990</v>
      </c>
      <c r="C2530" t="s">
        <v>37</v>
      </c>
      <c r="D2530" t="s">
        <v>97</v>
      </c>
      <c r="E2530" t="s">
        <v>30</v>
      </c>
      <c r="F2530" t="s">
        <v>82</v>
      </c>
      <c r="G2530">
        <v>1.75</v>
      </c>
      <c r="H2530" t="s">
        <v>61</v>
      </c>
      <c r="I2530" t="s">
        <v>42</v>
      </c>
      <c r="M2530">
        <f>VLOOKUP(H2530,'Stage Order'!$A$2:$B$8,2,FALSE)</f>
        <v>1</v>
      </c>
      <c r="N2530" t="str">
        <f t="shared" si="78"/>
        <v>2. 1-24 hours</v>
      </c>
      <c r="O2530" t="str">
        <f t="shared" si="79"/>
        <v>2025-10</v>
      </c>
    </row>
    <row r="2531" spans="1:15" x14ac:dyDescent="0.3">
      <c r="A2531" t="s">
        <v>5991</v>
      </c>
      <c r="B2531" t="s">
        <v>5992</v>
      </c>
      <c r="C2531" t="s">
        <v>37</v>
      </c>
      <c r="D2531" t="s">
        <v>77</v>
      </c>
      <c r="E2531" t="s">
        <v>45</v>
      </c>
      <c r="F2531" t="s">
        <v>94</v>
      </c>
      <c r="G2531">
        <v>3.95</v>
      </c>
      <c r="H2531" t="s">
        <v>41</v>
      </c>
      <c r="I2531" t="s">
        <v>42</v>
      </c>
      <c r="M2531">
        <f>VLOOKUP(H2531,'Stage Order'!$A$2:$B$8,2,FALSE)</f>
        <v>2</v>
      </c>
      <c r="N2531" t="str">
        <f t="shared" si="78"/>
        <v>2. 1-24 hours</v>
      </c>
      <c r="O2531" t="str">
        <f t="shared" si="79"/>
        <v>2025-12</v>
      </c>
    </row>
    <row r="2532" spans="1:15" x14ac:dyDescent="0.3">
      <c r="A2532" t="s">
        <v>5993</v>
      </c>
      <c r="B2532" t="s">
        <v>5994</v>
      </c>
      <c r="C2532" t="s">
        <v>37</v>
      </c>
      <c r="D2532" t="s">
        <v>77</v>
      </c>
      <c r="E2532" t="s">
        <v>45</v>
      </c>
      <c r="F2532" t="s">
        <v>46</v>
      </c>
      <c r="G2532">
        <v>2.58</v>
      </c>
      <c r="H2532" t="s">
        <v>41</v>
      </c>
      <c r="I2532" t="s">
        <v>42</v>
      </c>
      <c r="M2532">
        <f>VLOOKUP(H2532,'Stage Order'!$A$2:$B$8,2,FALSE)</f>
        <v>2</v>
      </c>
      <c r="N2532" t="str">
        <f t="shared" si="78"/>
        <v>2. 1-24 hours</v>
      </c>
      <c r="O2532" t="str">
        <f t="shared" si="79"/>
        <v>2025-10</v>
      </c>
    </row>
    <row r="2533" spans="1:15" x14ac:dyDescent="0.3">
      <c r="A2533" t="s">
        <v>5995</v>
      </c>
      <c r="B2533" t="s">
        <v>5996</v>
      </c>
      <c r="C2533" t="s">
        <v>76</v>
      </c>
      <c r="D2533" t="s">
        <v>97</v>
      </c>
      <c r="E2533" t="s">
        <v>45</v>
      </c>
      <c r="F2533" t="s">
        <v>94</v>
      </c>
      <c r="G2533">
        <v>5.55</v>
      </c>
      <c r="H2533" t="s">
        <v>138</v>
      </c>
      <c r="I2533" t="s">
        <v>48</v>
      </c>
      <c r="J2533" t="s">
        <v>742</v>
      </c>
      <c r="K2533">
        <v>1333.76</v>
      </c>
      <c r="L2533" t="s">
        <v>5997</v>
      </c>
      <c r="M2533">
        <f>VLOOKUP(H2533,'Stage Order'!$A$2:$B$8,2,FALSE)</f>
        <v>6</v>
      </c>
      <c r="N2533" t="str">
        <f t="shared" si="78"/>
        <v>2. 1-24 hours</v>
      </c>
      <c r="O2533" t="str">
        <f t="shared" si="79"/>
        <v>2026-01</v>
      </c>
    </row>
    <row r="2534" spans="1:15" x14ac:dyDescent="0.3">
      <c r="A2534" t="s">
        <v>5998</v>
      </c>
      <c r="B2534" t="s">
        <v>5999</v>
      </c>
      <c r="C2534" t="s">
        <v>53</v>
      </c>
      <c r="D2534" t="s">
        <v>29</v>
      </c>
      <c r="E2534" t="s">
        <v>39</v>
      </c>
      <c r="F2534" t="s">
        <v>66</v>
      </c>
      <c r="G2534">
        <v>3.35</v>
      </c>
      <c r="H2534" t="s">
        <v>41</v>
      </c>
      <c r="I2534" t="s">
        <v>42</v>
      </c>
      <c r="M2534">
        <f>VLOOKUP(H2534,'Stage Order'!$A$2:$B$8,2,FALSE)</f>
        <v>2</v>
      </c>
      <c r="N2534" t="str">
        <f t="shared" si="78"/>
        <v>2. 1-24 hours</v>
      </c>
      <c r="O2534" t="str">
        <f t="shared" si="79"/>
        <v>2025-09</v>
      </c>
    </row>
    <row r="2535" spans="1:15" x14ac:dyDescent="0.3">
      <c r="A2535" t="s">
        <v>6000</v>
      </c>
      <c r="B2535" t="s">
        <v>6001</v>
      </c>
      <c r="C2535" t="s">
        <v>58</v>
      </c>
      <c r="D2535" t="s">
        <v>38</v>
      </c>
      <c r="E2535" t="s">
        <v>39</v>
      </c>
      <c r="F2535" t="s">
        <v>40</v>
      </c>
      <c r="G2535">
        <v>1.1499999999999999</v>
      </c>
      <c r="H2535" t="s">
        <v>41</v>
      </c>
      <c r="I2535" t="s">
        <v>42</v>
      </c>
      <c r="M2535">
        <f>VLOOKUP(H2535,'Stage Order'!$A$2:$B$8,2,FALSE)</f>
        <v>2</v>
      </c>
      <c r="N2535" t="str">
        <f t="shared" si="78"/>
        <v>2. 1-24 hours</v>
      </c>
      <c r="O2535" t="str">
        <f t="shared" si="79"/>
        <v>2025-05</v>
      </c>
    </row>
    <row r="2536" spans="1:15" x14ac:dyDescent="0.3">
      <c r="A2536" t="s">
        <v>6002</v>
      </c>
      <c r="B2536" t="s">
        <v>6003</v>
      </c>
      <c r="C2536" t="s">
        <v>53</v>
      </c>
      <c r="D2536" t="s">
        <v>38</v>
      </c>
      <c r="E2536" t="s">
        <v>45</v>
      </c>
      <c r="F2536" t="s">
        <v>94</v>
      </c>
      <c r="G2536">
        <v>6.19</v>
      </c>
      <c r="H2536" t="s">
        <v>61</v>
      </c>
      <c r="I2536" t="s">
        <v>42</v>
      </c>
      <c r="M2536">
        <f>VLOOKUP(H2536,'Stage Order'!$A$2:$B$8,2,FALSE)</f>
        <v>1</v>
      </c>
      <c r="N2536" t="str">
        <f t="shared" si="78"/>
        <v>2. 1-24 hours</v>
      </c>
      <c r="O2536" t="str">
        <f t="shared" si="79"/>
        <v>2025-06</v>
      </c>
    </row>
    <row r="2537" spans="1:15" x14ac:dyDescent="0.3">
      <c r="A2537" t="s">
        <v>6004</v>
      </c>
      <c r="B2537" t="s">
        <v>6005</v>
      </c>
      <c r="C2537" t="s">
        <v>125</v>
      </c>
      <c r="D2537" t="s">
        <v>54</v>
      </c>
      <c r="E2537" t="s">
        <v>90</v>
      </c>
      <c r="F2537" t="s">
        <v>145</v>
      </c>
      <c r="G2537">
        <v>1.95</v>
      </c>
      <c r="H2537" t="s">
        <v>41</v>
      </c>
      <c r="I2537" t="s">
        <v>42</v>
      </c>
      <c r="M2537">
        <f>VLOOKUP(H2537,'Stage Order'!$A$2:$B$8,2,FALSE)</f>
        <v>2</v>
      </c>
      <c r="N2537" t="str">
        <f t="shared" si="78"/>
        <v>2. 1-24 hours</v>
      </c>
      <c r="O2537" t="str">
        <f t="shared" si="79"/>
        <v>2026-02</v>
      </c>
    </row>
    <row r="2538" spans="1:15" x14ac:dyDescent="0.3">
      <c r="A2538" t="s">
        <v>6006</v>
      </c>
      <c r="B2538" t="s">
        <v>6007</v>
      </c>
      <c r="C2538" t="s">
        <v>53</v>
      </c>
      <c r="D2538" t="s">
        <v>29</v>
      </c>
      <c r="E2538" t="s">
        <v>30</v>
      </c>
      <c r="F2538" t="s">
        <v>78</v>
      </c>
      <c r="G2538">
        <v>6.1</v>
      </c>
      <c r="H2538" t="s">
        <v>41</v>
      </c>
      <c r="I2538" t="s">
        <v>42</v>
      </c>
      <c r="M2538">
        <f>VLOOKUP(H2538,'Stage Order'!$A$2:$B$8,2,FALSE)</f>
        <v>2</v>
      </c>
      <c r="N2538" t="str">
        <f t="shared" si="78"/>
        <v>2. 1-24 hours</v>
      </c>
      <c r="O2538" t="str">
        <f t="shared" si="79"/>
        <v>2025-05</v>
      </c>
    </row>
    <row r="2539" spans="1:15" x14ac:dyDescent="0.3">
      <c r="A2539" t="s">
        <v>6008</v>
      </c>
      <c r="B2539" t="s">
        <v>6009</v>
      </c>
      <c r="C2539" t="s">
        <v>37</v>
      </c>
      <c r="D2539" t="s">
        <v>29</v>
      </c>
      <c r="E2539" t="s">
        <v>30</v>
      </c>
      <c r="F2539" t="s">
        <v>78</v>
      </c>
      <c r="G2539">
        <v>1.46</v>
      </c>
      <c r="H2539" t="s">
        <v>41</v>
      </c>
      <c r="I2539" t="s">
        <v>42</v>
      </c>
      <c r="M2539">
        <f>VLOOKUP(H2539,'Stage Order'!$A$2:$B$8,2,FALSE)</f>
        <v>2</v>
      </c>
      <c r="N2539" t="str">
        <f t="shared" si="78"/>
        <v>2. 1-24 hours</v>
      </c>
      <c r="O2539" t="str">
        <f t="shared" si="79"/>
        <v>2026-04</v>
      </c>
    </row>
    <row r="2540" spans="1:15" x14ac:dyDescent="0.3">
      <c r="A2540" t="s">
        <v>6010</v>
      </c>
      <c r="B2540" t="s">
        <v>4077</v>
      </c>
      <c r="C2540" t="s">
        <v>37</v>
      </c>
      <c r="D2540" t="s">
        <v>38</v>
      </c>
      <c r="E2540" t="s">
        <v>45</v>
      </c>
      <c r="F2540" t="s">
        <v>55</v>
      </c>
      <c r="G2540">
        <v>32.159999999999997</v>
      </c>
      <c r="H2540" t="s">
        <v>41</v>
      </c>
      <c r="I2540" t="s">
        <v>42</v>
      </c>
      <c r="M2540">
        <f>VLOOKUP(H2540,'Stage Order'!$A$2:$B$8,2,FALSE)</f>
        <v>2</v>
      </c>
      <c r="N2540" t="str">
        <f t="shared" si="78"/>
        <v>3. 1-3 days</v>
      </c>
      <c r="O2540" t="str">
        <f t="shared" si="79"/>
        <v>2025-06</v>
      </c>
    </row>
    <row r="2541" spans="1:15" x14ac:dyDescent="0.3">
      <c r="A2541" t="s">
        <v>6011</v>
      </c>
      <c r="B2541" t="s">
        <v>6012</v>
      </c>
      <c r="C2541" t="s">
        <v>125</v>
      </c>
      <c r="D2541" t="s">
        <v>38</v>
      </c>
      <c r="E2541" t="s">
        <v>30</v>
      </c>
      <c r="F2541" t="s">
        <v>31</v>
      </c>
      <c r="G2541">
        <v>2.75</v>
      </c>
      <c r="H2541" t="s">
        <v>138</v>
      </c>
      <c r="I2541" t="s">
        <v>48</v>
      </c>
      <c r="J2541" t="s">
        <v>139</v>
      </c>
      <c r="K2541">
        <v>330.94</v>
      </c>
      <c r="L2541" t="s">
        <v>6013</v>
      </c>
      <c r="M2541">
        <f>VLOOKUP(H2541,'Stage Order'!$A$2:$B$8,2,FALSE)</f>
        <v>6</v>
      </c>
      <c r="N2541" t="str">
        <f t="shared" si="78"/>
        <v>2. 1-24 hours</v>
      </c>
      <c r="O2541" t="str">
        <f t="shared" si="79"/>
        <v>2025-10</v>
      </c>
    </row>
    <row r="2542" spans="1:15" x14ac:dyDescent="0.3">
      <c r="A2542" t="s">
        <v>6014</v>
      </c>
      <c r="B2542" t="s">
        <v>6015</v>
      </c>
      <c r="C2542" t="s">
        <v>37</v>
      </c>
      <c r="D2542" t="s">
        <v>54</v>
      </c>
      <c r="E2542" t="s">
        <v>45</v>
      </c>
      <c r="F2542" t="s">
        <v>55</v>
      </c>
      <c r="G2542">
        <v>0.34</v>
      </c>
      <c r="H2542" t="s">
        <v>32</v>
      </c>
      <c r="I2542" t="s">
        <v>33</v>
      </c>
      <c r="K2542">
        <v>446.07</v>
      </c>
      <c r="L2542" t="s">
        <v>6016</v>
      </c>
      <c r="M2542">
        <f>VLOOKUP(H2542,'Stage Order'!$A$2:$B$8,2,FALSE)</f>
        <v>7</v>
      </c>
      <c r="N2542" t="str">
        <f t="shared" si="78"/>
        <v>1. Under 1 hour</v>
      </c>
      <c r="O2542" t="str">
        <f t="shared" si="79"/>
        <v>2026-04</v>
      </c>
    </row>
    <row r="2543" spans="1:15" x14ac:dyDescent="0.3">
      <c r="A2543" t="s">
        <v>6017</v>
      </c>
      <c r="B2543" t="s">
        <v>6018</v>
      </c>
      <c r="C2543" t="s">
        <v>58</v>
      </c>
      <c r="D2543" t="s">
        <v>38</v>
      </c>
      <c r="E2543" t="s">
        <v>90</v>
      </c>
      <c r="F2543" t="s">
        <v>91</v>
      </c>
      <c r="G2543">
        <v>2.4700000000000002</v>
      </c>
      <c r="H2543" t="s">
        <v>47</v>
      </c>
      <c r="I2543" t="s">
        <v>48</v>
      </c>
      <c r="J2543" t="s">
        <v>742</v>
      </c>
      <c r="K2543">
        <v>336.97</v>
      </c>
      <c r="L2543" t="s">
        <v>6019</v>
      </c>
      <c r="M2543">
        <f>VLOOKUP(H2543,'Stage Order'!$A$2:$B$8,2,FALSE)</f>
        <v>4</v>
      </c>
      <c r="N2543" t="str">
        <f t="shared" si="78"/>
        <v>2. 1-24 hours</v>
      </c>
      <c r="O2543" t="str">
        <f t="shared" si="79"/>
        <v>2025-09</v>
      </c>
    </row>
    <row r="2544" spans="1:15" x14ac:dyDescent="0.3">
      <c r="A2544" t="s">
        <v>6020</v>
      </c>
      <c r="B2544" t="s">
        <v>6021</v>
      </c>
      <c r="C2544" t="s">
        <v>58</v>
      </c>
      <c r="D2544" t="s">
        <v>77</v>
      </c>
      <c r="E2544" t="s">
        <v>59</v>
      </c>
      <c r="F2544" t="s">
        <v>117</v>
      </c>
      <c r="G2544">
        <v>1.53</v>
      </c>
      <c r="H2544" t="s">
        <v>32</v>
      </c>
      <c r="I2544" t="s">
        <v>33</v>
      </c>
      <c r="K2544">
        <v>873.83</v>
      </c>
      <c r="L2544" t="s">
        <v>6022</v>
      </c>
      <c r="M2544">
        <f>VLOOKUP(H2544,'Stage Order'!$A$2:$B$8,2,FALSE)</f>
        <v>7</v>
      </c>
      <c r="N2544" t="str">
        <f t="shared" si="78"/>
        <v>2. 1-24 hours</v>
      </c>
      <c r="O2544" t="str">
        <f t="shared" si="79"/>
        <v>2025-05</v>
      </c>
    </row>
    <row r="2545" spans="1:15" x14ac:dyDescent="0.3">
      <c r="A2545" t="s">
        <v>6023</v>
      </c>
      <c r="B2545" t="s">
        <v>6024</v>
      </c>
      <c r="C2545" t="s">
        <v>53</v>
      </c>
      <c r="D2545" t="s">
        <v>54</v>
      </c>
      <c r="E2545" t="s">
        <v>45</v>
      </c>
      <c r="F2545" t="s">
        <v>55</v>
      </c>
      <c r="G2545">
        <v>2.57</v>
      </c>
      <c r="H2545" t="s">
        <v>32</v>
      </c>
      <c r="I2545" t="s">
        <v>33</v>
      </c>
      <c r="K2545">
        <v>537.54</v>
      </c>
      <c r="L2545" t="s">
        <v>6025</v>
      </c>
      <c r="M2545">
        <f>VLOOKUP(H2545,'Stage Order'!$A$2:$B$8,2,FALSE)</f>
        <v>7</v>
      </c>
      <c r="N2545" t="str">
        <f t="shared" si="78"/>
        <v>2. 1-24 hours</v>
      </c>
      <c r="O2545" t="str">
        <f t="shared" si="79"/>
        <v>2025-06</v>
      </c>
    </row>
    <row r="2546" spans="1:15" x14ac:dyDescent="0.3">
      <c r="A2546" t="s">
        <v>6026</v>
      </c>
      <c r="B2546" t="s">
        <v>6027</v>
      </c>
      <c r="C2546" t="s">
        <v>125</v>
      </c>
      <c r="D2546" t="s">
        <v>97</v>
      </c>
      <c r="E2546" t="s">
        <v>90</v>
      </c>
      <c r="F2546" t="s">
        <v>91</v>
      </c>
      <c r="G2546">
        <v>1.1200000000000001</v>
      </c>
      <c r="H2546" t="s">
        <v>41</v>
      </c>
      <c r="I2546" t="s">
        <v>42</v>
      </c>
      <c r="M2546">
        <f>VLOOKUP(H2546,'Stage Order'!$A$2:$B$8,2,FALSE)</f>
        <v>2</v>
      </c>
      <c r="N2546" t="str">
        <f t="shared" si="78"/>
        <v>2. 1-24 hours</v>
      </c>
      <c r="O2546" t="str">
        <f t="shared" si="79"/>
        <v>2026-04</v>
      </c>
    </row>
    <row r="2547" spans="1:15" x14ac:dyDescent="0.3">
      <c r="A2547" t="s">
        <v>6028</v>
      </c>
      <c r="B2547" t="s">
        <v>6029</v>
      </c>
      <c r="C2547" t="s">
        <v>28</v>
      </c>
      <c r="D2547" t="s">
        <v>77</v>
      </c>
      <c r="E2547" t="s">
        <v>45</v>
      </c>
      <c r="F2547" t="s">
        <v>55</v>
      </c>
      <c r="G2547">
        <v>2.96</v>
      </c>
      <c r="H2547" t="s">
        <v>41</v>
      </c>
      <c r="I2547" t="s">
        <v>42</v>
      </c>
      <c r="M2547">
        <f>VLOOKUP(H2547,'Stage Order'!$A$2:$B$8,2,FALSE)</f>
        <v>2</v>
      </c>
      <c r="N2547" t="str">
        <f t="shared" si="78"/>
        <v>2. 1-24 hours</v>
      </c>
      <c r="O2547" t="str">
        <f t="shared" si="79"/>
        <v>2025-08</v>
      </c>
    </row>
    <row r="2548" spans="1:15" x14ac:dyDescent="0.3">
      <c r="A2548" t="s">
        <v>6030</v>
      </c>
      <c r="B2548" t="s">
        <v>6031</v>
      </c>
      <c r="C2548" t="s">
        <v>37</v>
      </c>
      <c r="D2548" t="s">
        <v>77</v>
      </c>
      <c r="E2548" t="s">
        <v>59</v>
      </c>
      <c r="F2548" t="s">
        <v>117</v>
      </c>
      <c r="G2548">
        <v>1.38</v>
      </c>
      <c r="H2548" t="s">
        <v>32</v>
      </c>
      <c r="I2548" t="s">
        <v>33</v>
      </c>
      <c r="K2548">
        <v>874.91</v>
      </c>
      <c r="L2548" t="s">
        <v>6032</v>
      </c>
      <c r="M2548">
        <f>VLOOKUP(H2548,'Stage Order'!$A$2:$B$8,2,FALSE)</f>
        <v>7</v>
      </c>
      <c r="N2548" t="str">
        <f t="shared" si="78"/>
        <v>2. 1-24 hours</v>
      </c>
      <c r="O2548" t="str">
        <f t="shared" si="79"/>
        <v>2026-03</v>
      </c>
    </row>
    <row r="2549" spans="1:15" x14ac:dyDescent="0.3">
      <c r="A2549" t="s">
        <v>6033</v>
      </c>
      <c r="B2549" t="s">
        <v>6034</v>
      </c>
      <c r="C2549" t="s">
        <v>125</v>
      </c>
      <c r="D2549" t="s">
        <v>54</v>
      </c>
      <c r="E2549" t="s">
        <v>45</v>
      </c>
      <c r="F2549" t="s">
        <v>46</v>
      </c>
      <c r="G2549">
        <v>7.71</v>
      </c>
      <c r="H2549" t="s">
        <v>146</v>
      </c>
      <c r="I2549" t="s">
        <v>48</v>
      </c>
      <c r="J2549" t="s">
        <v>49</v>
      </c>
      <c r="K2549">
        <v>468.17</v>
      </c>
      <c r="L2549" t="s">
        <v>6035</v>
      </c>
      <c r="M2549">
        <f>VLOOKUP(H2549,'Stage Order'!$A$2:$B$8,2,FALSE)</f>
        <v>5</v>
      </c>
      <c r="N2549" t="str">
        <f t="shared" si="78"/>
        <v>2. 1-24 hours</v>
      </c>
      <c r="O2549" t="str">
        <f t="shared" si="79"/>
        <v>2026-01</v>
      </c>
    </row>
    <row r="2550" spans="1:15" x14ac:dyDescent="0.3">
      <c r="A2550" t="s">
        <v>6036</v>
      </c>
      <c r="B2550" t="s">
        <v>6037</v>
      </c>
      <c r="C2550" t="s">
        <v>76</v>
      </c>
      <c r="D2550" t="s">
        <v>54</v>
      </c>
      <c r="E2550" t="s">
        <v>59</v>
      </c>
      <c r="F2550" t="s">
        <v>117</v>
      </c>
      <c r="G2550">
        <v>10.74</v>
      </c>
      <c r="H2550" t="s">
        <v>61</v>
      </c>
      <c r="I2550" t="s">
        <v>42</v>
      </c>
      <c r="M2550">
        <f>VLOOKUP(H2550,'Stage Order'!$A$2:$B$8,2,FALSE)</f>
        <v>1</v>
      </c>
      <c r="N2550" t="str">
        <f t="shared" si="78"/>
        <v>2. 1-24 hours</v>
      </c>
      <c r="O2550" t="str">
        <f t="shared" si="79"/>
        <v>2026-01</v>
      </c>
    </row>
    <row r="2551" spans="1:15" x14ac:dyDescent="0.3">
      <c r="A2551" t="s">
        <v>6038</v>
      </c>
      <c r="B2551" t="s">
        <v>6039</v>
      </c>
      <c r="C2551" t="s">
        <v>53</v>
      </c>
      <c r="D2551" t="s">
        <v>54</v>
      </c>
      <c r="E2551" t="s">
        <v>59</v>
      </c>
      <c r="F2551" t="s">
        <v>117</v>
      </c>
      <c r="G2551">
        <v>4.45</v>
      </c>
      <c r="H2551" t="s">
        <v>32</v>
      </c>
      <c r="I2551" t="s">
        <v>33</v>
      </c>
      <c r="K2551">
        <v>474.59</v>
      </c>
      <c r="L2551" t="s">
        <v>6040</v>
      </c>
      <c r="M2551">
        <f>VLOOKUP(H2551,'Stage Order'!$A$2:$B$8,2,FALSE)</f>
        <v>7</v>
      </c>
      <c r="N2551" t="str">
        <f t="shared" si="78"/>
        <v>2. 1-24 hours</v>
      </c>
      <c r="O2551" t="str">
        <f t="shared" si="79"/>
        <v>2025-04</v>
      </c>
    </row>
    <row r="2552" spans="1:15" x14ac:dyDescent="0.3">
      <c r="A2552" t="s">
        <v>6041</v>
      </c>
      <c r="B2552" t="s">
        <v>6042</v>
      </c>
      <c r="C2552" t="s">
        <v>58</v>
      </c>
      <c r="D2552" t="s">
        <v>97</v>
      </c>
      <c r="E2552" t="s">
        <v>39</v>
      </c>
      <c r="F2552" t="s">
        <v>106</v>
      </c>
      <c r="G2552">
        <v>1.81</v>
      </c>
      <c r="H2552" t="s">
        <v>47</v>
      </c>
      <c r="I2552" t="s">
        <v>48</v>
      </c>
      <c r="J2552" t="s">
        <v>113</v>
      </c>
      <c r="K2552">
        <v>1522.23</v>
      </c>
      <c r="L2552" t="s">
        <v>6043</v>
      </c>
      <c r="M2552">
        <f>VLOOKUP(H2552,'Stage Order'!$A$2:$B$8,2,FALSE)</f>
        <v>4</v>
      </c>
      <c r="N2552" t="str">
        <f t="shared" si="78"/>
        <v>2. 1-24 hours</v>
      </c>
      <c r="O2552" t="str">
        <f t="shared" si="79"/>
        <v>2025-03</v>
      </c>
    </row>
    <row r="2553" spans="1:15" x14ac:dyDescent="0.3">
      <c r="A2553" t="s">
        <v>6044</v>
      </c>
      <c r="B2553" t="s">
        <v>6045</v>
      </c>
      <c r="C2553" t="s">
        <v>81</v>
      </c>
      <c r="D2553" t="s">
        <v>29</v>
      </c>
      <c r="E2553" t="s">
        <v>45</v>
      </c>
      <c r="F2553" t="s">
        <v>94</v>
      </c>
      <c r="G2553">
        <v>0.83</v>
      </c>
      <c r="H2553" t="s">
        <v>41</v>
      </c>
      <c r="I2553" t="s">
        <v>42</v>
      </c>
      <c r="M2553">
        <f>VLOOKUP(H2553,'Stage Order'!$A$2:$B$8,2,FALSE)</f>
        <v>2</v>
      </c>
      <c r="N2553" t="str">
        <f t="shared" si="78"/>
        <v>1. Under 1 hour</v>
      </c>
      <c r="O2553" t="str">
        <f t="shared" si="79"/>
        <v>2025-10</v>
      </c>
    </row>
    <row r="2554" spans="1:15" x14ac:dyDescent="0.3">
      <c r="A2554" t="s">
        <v>6046</v>
      </c>
      <c r="B2554" t="s">
        <v>6047</v>
      </c>
      <c r="C2554" t="s">
        <v>37</v>
      </c>
      <c r="D2554" t="s">
        <v>97</v>
      </c>
      <c r="E2554" t="s">
        <v>90</v>
      </c>
      <c r="F2554" t="s">
        <v>91</v>
      </c>
      <c r="G2554">
        <v>0.92</v>
      </c>
      <c r="H2554" t="s">
        <v>32</v>
      </c>
      <c r="I2554" t="s">
        <v>33</v>
      </c>
      <c r="K2554">
        <v>1347.69</v>
      </c>
      <c r="L2554" t="s">
        <v>6048</v>
      </c>
      <c r="M2554">
        <f>VLOOKUP(H2554,'Stage Order'!$A$2:$B$8,2,FALSE)</f>
        <v>7</v>
      </c>
      <c r="N2554" t="str">
        <f t="shared" si="78"/>
        <v>1. Under 1 hour</v>
      </c>
      <c r="O2554" t="str">
        <f t="shared" si="79"/>
        <v>2025-01</v>
      </c>
    </row>
    <row r="2555" spans="1:15" x14ac:dyDescent="0.3">
      <c r="A2555" t="s">
        <v>6049</v>
      </c>
      <c r="B2555" t="s">
        <v>6050</v>
      </c>
      <c r="C2555" t="s">
        <v>53</v>
      </c>
      <c r="D2555" t="s">
        <v>97</v>
      </c>
      <c r="E2555" t="s">
        <v>59</v>
      </c>
      <c r="F2555" t="s">
        <v>60</v>
      </c>
      <c r="G2555">
        <v>9.4499999999999993</v>
      </c>
      <c r="H2555" t="s">
        <v>138</v>
      </c>
      <c r="I2555" t="s">
        <v>48</v>
      </c>
      <c r="J2555" t="s">
        <v>139</v>
      </c>
      <c r="K2555">
        <v>1679.11</v>
      </c>
      <c r="L2555" t="s">
        <v>6051</v>
      </c>
      <c r="M2555">
        <f>VLOOKUP(H2555,'Stage Order'!$A$2:$B$8,2,FALSE)</f>
        <v>6</v>
      </c>
      <c r="N2555" t="str">
        <f t="shared" si="78"/>
        <v>2. 1-24 hours</v>
      </c>
      <c r="O2555" t="str">
        <f t="shared" si="79"/>
        <v>2025-04</v>
      </c>
    </row>
    <row r="2556" spans="1:15" x14ac:dyDescent="0.3">
      <c r="A2556" t="s">
        <v>6052</v>
      </c>
      <c r="B2556" t="s">
        <v>6053</v>
      </c>
      <c r="C2556" t="s">
        <v>58</v>
      </c>
      <c r="D2556" t="s">
        <v>77</v>
      </c>
      <c r="E2556" t="s">
        <v>59</v>
      </c>
      <c r="F2556" t="s">
        <v>137</v>
      </c>
      <c r="G2556">
        <v>0.6</v>
      </c>
      <c r="H2556" t="s">
        <v>47</v>
      </c>
      <c r="I2556" t="s">
        <v>48</v>
      </c>
      <c r="J2556" t="s">
        <v>113</v>
      </c>
      <c r="K2556">
        <v>1079.9100000000001</v>
      </c>
      <c r="L2556" t="s">
        <v>6054</v>
      </c>
      <c r="M2556">
        <f>VLOOKUP(H2556,'Stage Order'!$A$2:$B$8,2,FALSE)</f>
        <v>4</v>
      </c>
      <c r="N2556" t="str">
        <f t="shared" si="78"/>
        <v>1. Under 1 hour</v>
      </c>
      <c r="O2556" t="str">
        <f t="shared" si="79"/>
        <v>2025-11</v>
      </c>
    </row>
    <row r="2557" spans="1:15" x14ac:dyDescent="0.3">
      <c r="A2557" t="s">
        <v>6055</v>
      </c>
      <c r="B2557" t="s">
        <v>6056</v>
      </c>
      <c r="C2557" t="s">
        <v>28</v>
      </c>
      <c r="D2557" t="s">
        <v>29</v>
      </c>
      <c r="E2557" t="s">
        <v>45</v>
      </c>
      <c r="F2557" t="s">
        <v>46</v>
      </c>
      <c r="G2557">
        <v>2.95</v>
      </c>
      <c r="H2557" t="s">
        <v>41</v>
      </c>
      <c r="I2557" t="s">
        <v>42</v>
      </c>
      <c r="M2557">
        <f>VLOOKUP(H2557,'Stage Order'!$A$2:$B$8,2,FALSE)</f>
        <v>2</v>
      </c>
      <c r="N2557" t="str">
        <f t="shared" si="78"/>
        <v>2. 1-24 hours</v>
      </c>
      <c r="O2557" t="str">
        <f t="shared" si="79"/>
        <v>2025-12</v>
      </c>
    </row>
    <row r="2558" spans="1:15" x14ac:dyDescent="0.3">
      <c r="A2558" t="s">
        <v>6057</v>
      </c>
      <c r="B2558" t="s">
        <v>6058</v>
      </c>
      <c r="C2558" t="s">
        <v>28</v>
      </c>
      <c r="D2558" t="s">
        <v>77</v>
      </c>
      <c r="E2558" t="s">
        <v>30</v>
      </c>
      <c r="F2558" t="s">
        <v>82</v>
      </c>
      <c r="G2558">
        <v>7.72</v>
      </c>
      <c r="H2558" t="s">
        <v>41</v>
      </c>
      <c r="I2558" t="s">
        <v>42</v>
      </c>
      <c r="M2558">
        <f>VLOOKUP(H2558,'Stage Order'!$A$2:$B$8,2,FALSE)</f>
        <v>2</v>
      </c>
      <c r="N2558" t="str">
        <f t="shared" si="78"/>
        <v>2. 1-24 hours</v>
      </c>
      <c r="O2558" t="str">
        <f t="shared" si="79"/>
        <v>2025-06</v>
      </c>
    </row>
    <row r="2559" spans="1:15" x14ac:dyDescent="0.3">
      <c r="A2559" t="s">
        <v>6059</v>
      </c>
      <c r="B2559" t="s">
        <v>6060</v>
      </c>
      <c r="C2559" t="s">
        <v>37</v>
      </c>
      <c r="D2559" t="s">
        <v>29</v>
      </c>
      <c r="E2559" t="s">
        <v>59</v>
      </c>
      <c r="F2559" t="s">
        <v>117</v>
      </c>
      <c r="G2559">
        <v>1.82</v>
      </c>
      <c r="H2559" t="s">
        <v>128</v>
      </c>
      <c r="I2559" t="s">
        <v>42</v>
      </c>
      <c r="M2559">
        <f>VLOOKUP(H2559,'Stage Order'!$A$2:$B$8,2,FALSE)</f>
        <v>3</v>
      </c>
      <c r="N2559" t="str">
        <f t="shared" si="78"/>
        <v>2. 1-24 hours</v>
      </c>
      <c r="O2559" t="str">
        <f t="shared" si="79"/>
        <v>2025-09</v>
      </c>
    </row>
    <row r="2560" spans="1:15" x14ac:dyDescent="0.3">
      <c r="A2560" t="s">
        <v>6061</v>
      </c>
      <c r="B2560" t="s">
        <v>6062</v>
      </c>
      <c r="C2560" t="s">
        <v>125</v>
      </c>
      <c r="D2560" t="s">
        <v>38</v>
      </c>
      <c r="E2560" t="s">
        <v>30</v>
      </c>
      <c r="F2560" t="s">
        <v>82</v>
      </c>
      <c r="G2560">
        <v>5.64</v>
      </c>
      <c r="H2560" t="s">
        <v>61</v>
      </c>
      <c r="I2560" t="s">
        <v>42</v>
      </c>
      <c r="M2560">
        <f>VLOOKUP(H2560,'Stage Order'!$A$2:$B$8,2,FALSE)</f>
        <v>1</v>
      </c>
      <c r="N2560" t="str">
        <f t="shared" si="78"/>
        <v>2. 1-24 hours</v>
      </c>
      <c r="O2560" t="str">
        <f t="shared" si="79"/>
        <v>2025-02</v>
      </c>
    </row>
    <row r="2561" spans="1:15" x14ac:dyDescent="0.3">
      <c r="A2561" t="s">
        <v>6063</v>
      </c>
      <c r="B2561" t="s">
        <v>6064</v>
      </c>
      <c r="C2561" t="s">
        <v>125</v>
      </c>
      <c r="D2561" t="s">
        <v>54</v>
      </c>
      <c r="E2561" t="s">
        <v>39</v>
      </c>
      <c r="F2561" t="s">
        <v>106</v>
      </c>
      <c r="G2561">
        <v>4.0999999999999996</v>
      </c>
      <c r="H2561" t="s">
        <v>146</v>
      </c>
      <c r="I2561" t="s">
        <v>48</v>
      </c>
      <c r="J2561" t="s">
        <v>98</v>
      </c>
      <c r="K2561">
        <v>534.03</v>
      </c>
      <c r="L2561" t="s">
        <v>6065</v>
      </c>
      <c r="M2561">
        <f>VLOOKUP(H2561,'Stage Order'!$A$2:$B$8,2,FALSE)</f>
        <v>5</v>
      </c>
      <c r="N2561" t="str">
        <f t="shared" si="78"/>
        <v>2. 1-24 hours</v>
      </c>
      <c r="O2561" t="str">
        <f t="shared" si="79"/>
        <v>2025-09</v>
      </c>
    </row>
    <row r="2562" spans="1:15" x14ac:dyDescent="0.3">
      <c r="A2562" t="s">
        <v>6066</v>
      </c>
      <c r="B2562" t="s">
        <v>6067</v>
      </c>
      <c r="C2562" t="s">
        <v>28</v>
      </c>
      <c r="D2562" t="s">
        <v>54</v>
      </c>
      <c r="E2562" t="s">
        <v>45</v>
      </c>
      <c r="F2562" t="s">
        <v>55</v>
      </c>
      <c r="G2562">
        <v>1.72</v>
      </c>
      <c r="H2562" t="s">
        <v>41</v>
      </c>
      <c r="I2562" t="s">
        <v>42</v>
      </c>
      <c r="M2562">
        <f>VLOOKUP(H2562,'Stage Order'!$A$2:$B$8,2,FALSE)</f>
        <v>2</v>
      </c>
      <c r="N2562" t="str">
        <f t="shared" ref="N2562:N2625" si="80">IF(G2562&lt;=1,"1. Under 1 hour",IF(G2562&lt;=24,"2. 1-24 hours",IF(G2562&lt;=72,"3. 1-3 days","4. Over 3 days")))</f>
        <v>2. 1-24 hours</v>
      </c>
      <c r="O2562" t="str">
        <f t="shared" ref="O2562:O2625" si="81">TEXT(B2562,"YYYY-MM")</f>
        <v>2025-10</v>
      </c>
    </row>
    <row r="2563" spans="1:15" x14ac:dyDescent="0.3">
      <c r="A2563" t="s">
        <v>6068</v>
      </c>
      <c r="B2563" t="s">
        <v>6069</v>
      </c>
      <c r="C2563" t="s">
        <v>76</v>
      </c>
      <c r="D2563" t="s">
        <v>29</v>
      </c>
      <c r="E2563" t="s">
        <v>30</v>
      </c>
      <c r="F2563" t="s">
        <v>82</v>
      </c>
      <c r="G2563">
        <v>13.89</v>
      </c>
      <c r="H2563" t="s">
        <v>47</v>
      </c>
      <c r="I2563" t="s">
        <v>48</v>
      </c>
      <c r="J2563" t="s">
        <v>98</v>
      </c>
      <c r="K2563">
        <v>659.92</v>
      </c>
      <c r="L2563" t="s">
        <v>6070</v>
      </c>
      <c r="M2563">
        <f>VLOOKUP(H2563,'Stage Order'!$A$2:$B$8,2,FALSE)</f>
        <v>4</v>
      </c>
      <c r="N2563" t="str">
        <f t="shared" si="80"/>
        <v>2. 1-24 hours</v>
      </c>
      <c r="O2563" t="str">
        <f t="shared" si="81"/>
        <v>2026-01</v>
      </c>
    </row>
    <row r="2564" spans="1:15" x14ac:dyDescent="0.3">
      <c r="A2564" t="s">
        <v>6071</v>
      </c>
      <c r="B2564" t="s">
        <v>6072</v>
      </c>
      <c r="C2564" t="s">
        <v>81</v>
      </c>
      <c r="D2564" t="s">
        <v>38</v>
      </c>
      <c r="E2564" t="s">
        <v>30</v>
      </c>
      <c r="F2564" t="s">
        <v>31</v>
      </c>
      <c r="G2564">
        <v>2.34</v>
      </c>
      <c r="H2564" t="s">
        <v>41</v>
      </c>
      <c r="I2564" t="s">
        <v>42</v>
      </c>
      <c r="M2564">
        <f>VLOOKUP(H2564,'Stage Order'!$A$2:$B$8,2,FALSE)</f>
        <v>2</v>
      </c>
      <c r="N2564" t="str">
        <f t="shared" si="80"/>
        <v>2. 1-24 hours</v>
      </c>
      <c r="O2564" t="str">
        <f t="shared" si="81"/>
        <v>2025-11</v>
      </c>
    </row>
    <row r="2565" spans="1:15" x14ac:dyDescent="0.3">
      <c r="A2565" t="s">
        <v>6073</v>
      </c>
      <c r="B2565" t="s">
        <v>6074</v>
      </c>
      <c r="C2565" t="s">
        <v>125</v>
      </c>
      <c r="D2565" t="s">
        <v>77</v>
      </c>
      <c r="E2565" t="s">
        <v>45</v>
      </c>
      <c r="F2565" t="s">
        <v>46</v>
      </c>
      <c r="G2565">
        <v>2.06</v>
      </c>
      <c r="H2565" t="s">
        <v>61</v>
      </c>
      <c r="I2565" t="s">
        <v>42</v>
      </c>
      <c r="M2565">
        <f>VLOOKUP(H2565,'Stage Order'!$A$2:$B$8,2,FALSE)</f>
        <v>1</v>
      </c>
      <c r="N2565" t="str">
        <f t="shared" si="80"/>
        <v>2. 1-24 hours</v>
      </c>
      <c r="O2565" t="str">
        <f t="shared" si="81"/>
        <v>2025-02</v>
      </c>
    </row>
    <row r="2566" spans="1:15" x14ac:dyDescent="0.3">
      <c r="A2566" t="s">
        <v>6075</v>
      </c>
      <c r="B2566" t="s">
        <v>6076</v>
      </c>
      <c r="C2566" t="s">
        <v>125</v>
      </c>
      <c r="D2566" t="s">
        <v>77</v>
      </c>
      <c r="E2566" t="s">
        <v>39</v>
      </c>
      <c r="F2566" t="s">
        <v>40</v>
      </c>
      <c r="G2566">
        <v>14.45</v>
      </c>
      <c r="H2566" t="s">
        <v>61</v>
      </c>
      <c r="I2566" t="s">
        <v>42</v>
      </c>
      <c r="M2566">
        <f>VLOOKUP(H2566,'Stage Order'!$A$2:$B$8,2,FALSE)</f>
        <v>1</v>
      </c>
      <c r="N2566" t="str">
        <f t="shared" si="80"/>
        <v>2. 1-24 hours</v>
      </c>
      <c r="O2566" t="str">
        <f t="shared" si="81"/>
        <v>2025-08</v>
      </c>
    </row>
    <row r="2567" spans="1:15" x14ac:dyDescent="0.3">
      <c r="A2567" t="s">
        <v>6077</v>
      </c>
      <c r="B2567" t="s">
        <v>6078</v>
      </c>
      <c r="C2567" t="s">
        <v>125</v>
      </c>
      <c r="D2567" t="s">
        <v>97</v>
      </c>
      <c r="E2567" t="s">
        <v>30</v>
      </c>
      <c r="F2567" t="s">
        <v>31</v>
      </c>
      <c r="G2567">
        <v>6.84</v>
      </c>
      <c r="H2567" t="s">
        <v>61</v>
      </c>
      <c r="I2567" t="s">
        <v>42</v>
      </c>
      <c r="M2567">
        <f>VLOOKUP(H2567,'Stage Order'!$A$2:$B$8,2,FALSE)</f>
        <v>1</v>
      </c>
      <c r="N2567" t="str">
        <f t="shared" si="80"/>
        <v>2. 1-24 hours</v>
      </c>
      <c r="O2567" t="str">
        <f t="shared" si="81"/>
        <v>2025-06</v>
      </c>
    </row>
    <row r="2568" spans="1:15" x14ac:dyDescent="0.3">
      <c r="A2568" t="s">
        <v>6079</v>
      </c>
      <c r="B2568" t="s">
        <v>6080</v>
      </c>
      <c r="C2568" t="s">
        <v>28</v>
      </c>
      <c r="D2568" t="s">
        <v>97</v>
      </c>
      <c r="E2568" t="s">
        <v>45</v>
      </c>
      <c r="F2568" t="s">
        <v>94</v>
      </c>
      <c r="G2568">
        <v>3.18</v>
      </c>
      <c r="H2568" t="s">
        <v>41</v>
      </c>
      <c r="I2568" t="s">
        <v>42</v>
      </c>
      <c r="M2568">
        <f>VLOOKUP(H2568,'Stage Order'!$A$2:$B$8,2,FALSE)</f>
        <v>2</v>
      </c>
      <c r="N2568" t="str">
        <f t="shared" si="80"/>
        <v>2. 1-24 hours</v>
      </c>
      <c r="O2568" t="str">
        <f t="shared" si="81"/>
        <v>2026-04</v>
      </c>
    </row>
    <row r="2569" spans="1:15" x14ac:dyDescent="0.3">
      <c r="A2569" t="s">
        <v>6081</v>
      </c>
      <c r="B2569" t="s">
        <v>6082</v>
      </c>
      <c r="C2569" t="s">
        <v>81</v>
      </c>
      <c r="D2569" t="s">
        <v>97</v>
      </c>
      <c r="E2569" t="s">
        <v>39</v>
      </c>
      <c r="F2569" t="s">
        <v>106</v>
      </c>
      <c r="G2569">
        <v>4.9400000000000004</v>
      </c>
      <c r="H2569" t="s">
        <v>61</v>
      </c>
      <c r="I2569" t="s">
        <v>42</v>
      </c>
      <c r="M2569">
        <f>VLOOKUP(H2569,'Stage Order'!$A$2:$B$8,2,FALSE)</f>
        <v>1</v>
      </c>
      <c r="N2569" t="str">
        <f t="shared" si="80"/>
        <v>2. 1-24 hours</v>
      </c>
      <c r="O2569" t="str">
        <f t="shared" si="81"/>
        <v>2026-05</v>
      </c>
    </row>
    <row r="2570" spans="1:15" x14ac:dyDescent="0.3">
      <c r="A2570" t="s">
        <v>6083</v>
      </c>
      <c r="B2570" t="s">
        <v>6084</v>
      </c>
      <c r="C2570" t="s">
        <v>76</v>
      </c>
      <c r="D2570" t="s">
        <v>54</v>
      </c>
      <c r="E2570" t="s">
        <v>30</v>
      </c>
      <c r="F2570" t="s">
        <v>31</v>
      </c>
      <c r="G2570">
        <v>1.37</v>
      </c>
      <c r="H2570" t="s">
        <v>41</v>
      </c>
      <c r="I2570" t="s">
        <v>42</v>
      </c>
      <c r="M2570">
        <f>VLOOKUP(H2570,'Stage Order'!$A$2:$B$8,2,FALSE)</f>
        <v>2</v>
      </c>
      <c r="N2570" t="str">
        <f t="shared" si="80"/>
        <v>2. 1-24 hours</v>
      </c>
      <c r="O2570" t="str">
        <f t="shared" si="81"/>
        <v>2025-04</v>
      </c>
    </row>
    <row r="2571" spans="1:15" x14ac:dyDescent="0.3">
      <c r="A2571" t="s">
        <v>6085</v>
      </c>
      <c r="B2571" t="s">
        <v>6086</v>
      </c>
      <c r="C2571" t="s">
        <v>37</v>
      </c>
      <c r="D2571" t="s">
        <v>77</v>
      </c>
      <c r="E2571" t="s">
        <v>39</v>
      </c>
      <c r="F2571" t="s">
        <v>106</v>
      </c>
      <c r="G2571">
        <v>0.99</v>
      </c>
      <c r="H2571" t="s">
        <v>138</v>
      </c>
      <c r="I2571" t="s">
        <v>48</v>
      </c>
      <c r="J2571" t="s">
        <v>113</v>
      </c>
      <c r="K2571">
        <v>1027.9000000000001</v>
      </c>
      <c r="L2571" t="s">
        <v>6087</v>
      </c>
      <c r="M2571">
        <f>VLOOKUP(H2571,'Stage Order'!$A$2:$B$8,2,FALSE)</f>
        <v>6</v>
      </c>
      <c r="N2571" t="str">
        <f t="shared" si="80"/>
        <v>1. Under 1 hour</v>
      </c>
      <c r="O2571" t="str">
        <f t="shared" si="81"/>
        <v>2025-06</v>
      </c>
    </row>
    <row r="2572" spans="1:15" x14ac:dyDescent="0.3">
      <c r="A2572" t="s">
        <v>6088</v>
      </c>
      <c r="B2572" t="s">
        <v>6089</v>
      </c>
      <c r="C2572" t="s">
        <v>37</v>
      </c>
      <c r="D2572" t="s">
        <v>77</v>
      </c>
      <c r="E2572" t="s">
        <v>45</v>
      </c>
      <c r="F2572" t="s">
        <v>55</v>
      </c>
      <c r="G2572">
        <v>2.2000000000000002</v>
      </c>
      <c r="H2572" t="s">
        <v>32</v>
      </c>
      <c r="I2572" t="s">
        <v>33</v>
      </c>
      <c r="K2572">
        <v>1180.69</v>
      </c>
      <c r="L2572" t="s">
        <v>6090</v>
      </c>
      <c r="M2572">
        <f>VLOOKUP(H2572,'Stage Order'!$A$2:$B$8,2,FALSE)</f>
        <v>7</v>
      </c>
      <c r="N2572" t="str">
        <f t="shared" si="80"/>
        <v>2. 1-24 hours</v>
      </c>
      <c r="O2572" t="str">
        <f t="shared" si="81"/>
        <v>2025-04</v>
      </c>
    </row>
    <row r="2573" spans="1:15" x14ac:dyDescent="0.3">
      <c r="A2573" t="s">
        <v>6091</v>
      </c>
      <c r="B2573" t="s">
        <v>6092</v>
      </c>
      <c r="C2573" t="s">
        <v>37</v>
      </c>
      <c r="D2573" t="s">
        <v>77</v>
      </c>
      <c r="E2573" t="s">
        <v>45</v>
      </c>
      <c r="F2573" t="s">
        <v>94</v>
      </c>
      <c r="G2573">
        <v>29.55</v>
      </c>
      <c r="H2573" t="s">
        <v>41</v>
      </c>
      <c r="I2573" t="s">
        <v>42</v>
      </c>
      <c r="M2573">
        <f>VLOOKUP(H2573,'Stage Order'!$A$2:$B$8,2,FALSE)</f>
        <v>2</v>
      </c>
      <c r="N2573" t="str">
        <f t="shared" si="80"/>
        <v>3. 1-3 days</v>
      </c>
      <c r="O2573" t="str">
        <f t="shared" si="81"/>
        <v>2025-08</v>
      </c>
    </row>
    <row r="2574" spans="1:15" x14ac:dyDescent="0.3">
      <c r="A2574" t="s">
        <v>6093</v>
      </c>
      <c r="B2574" t="s">
        <v>6094</v>
      </c>
      <c r="C2574" t="s">
        <v>58</v>
      </c>
      <c r="D2574" t="s">
        <v>38</v>
      </c>
      <c r="E2574" t="s">
        <v>59</v>
      </c>
      <c r="F2574" t="s">
        <v>137</v>
      </c>
      <c r="G2574">
        <v>9.5399999999999991</v>
      </c>
      <c r="H2574" t="s">
        <v>41</v>
      </c>
      <c r="I2574" t="s">
        <v>42</v>
      </c>
      <c r="M2574">
        <f>VLOOKUP(H2574,'Stage Order'!$A$2:$B$8,2,FALSE)</f>
        <v>2</v>
      </c>
      <c r="N2574" t="str">
        <f t="shared" si="80"/>
        <v>2. 1-24 hours</v>
      </c>
      <c r="O2574" t="str">
        <f t="shared" si="81"/>
        <v>2025-05</v>
      </c>
    </row>
    <row r="2575" spans="1:15" x14ac:dyDescent="0.3">
      <c r="A2575" t="s">
        <v>6095</v>
      </c>
      <c r="B2575" t="s">
        <v>6096</v>
      </c>
      <c r="C2575" t="s">
        <v>28</v>
      </c>
      <c r="D2575" t="s">
        <v>38</v>
      </c>
      <c r="E2575" t="s">
        <v>45</v>
      </c>
      <c r="F2575" t="s">
        <v>55</v>
      </c>
      <c r="G2575">
        <v>2.72</v>
      </c>
      <c r="H2575" t="s">
        <v>138</v>
      </c>
      <c r="I2575" t="s">
        <v>48</v>
      </c>
      <c r="J2575" t="s">
        <v>98</v>
      </c>
      <c r="K2575">
        <v>339.66</v>
      </c>
      <c r="L2575" t="s">
        <v>6097</v>
      </c>
      <c r="M2575">
        <f>VLOOKUP(H2575,'Stage Order'!$A$2:$B$8,2,FALSE)</f>
        <v>6</v>
      </c>
      <c r="N2575" t="str">
        <f t="shared" si="80"/>
        <v>2. 1-24 hours</v>
      </c>
      <c r="O2575" t="str">
        <f t="shared" si="81"/>
        <v>2025-07</v>
      </c>
    </row>
    <row r="2576" spans="1:15" x14ac:dyDescent="0.3">
      <c r="A2576" t="s">
        <v>6098</v>
      </c>
      <c r="B2576" t="s">
        <v>6099</v>
      </c>
      <c r="C2576" t="s">
        <v>81</v>
      </c>
      <c r="D2576" t="s">
        <v>54</v>
      </c>
      <c r="E2576" t="s">
        <v>30</v>
      </c>
      <c r="F2576" t="s">
        <v>82</v>
      </c>
      <c r="G2576">
        <v>1.63</v>
      </c>
      <c r="H2576" t="s">
        <v>61</v>
      </c>
      <c r="I2576" t="s">
        <v>42</v>
      </c>
      <c r="M2576">
        <f>VLOOKUP(H2576,'Stage Order'!$A$2:$B$8,2,FALSE)</f>
        <v>1</v>
      </c>
      <c r="N2576" t="str">
        <f t="shared" si="80"/>
        <v>2. 1-24 hours</v>
      </c>
      <c r="O2576" t="str">
        <f t="shared" si="81"/>
        <v>2025-06</v>
      </c>
    </row>
    <row r="2577" spans="1:15" x14ac:dyDescent="0.3">
      <c r="A2577" t="s">
        <v>6100</v>
      </c>
      <c r="B2577" t="s">
        <v>6101</v>
      </c>
      <c r="C2577" t="s">
        <v>37</v>
      </c>
      <c r="D2577" t="s">
        <v>54</v>
      </c>
      <c r="E2577" t="s">
        <v>90</v>
      </c>
      <c r="F2577" t="s">
        <v>91</v>
      </c>
      <c r="G2577">
        <v>3.66</v>
      </c>
      <c r="H2577" t="s">
        <v>41</v>
      </c>
      <c r="I2577" t="s">
        <v>42</v>
      </c>
      <c r="M2577">
        <f>VLOOKUP(H2577,'Stage Order'!$A$2:$B$8,2,FALSE)</f>
        <v>2</v>
      </c>
      <c r="N2577" t="str">
        <f t="shared" si="80"/>
        <v>2. 1-24 hours</v>
      </c>
      <c r="O2577" t="str">
        <f t="shared" si="81"/>
        <v>2025-08</v>
      </c>
    </row>
    <row r="2578" spans="1:15" x14ac:dyDescent="0.3">
      <c r="A2578" t="s">
        <v>6102</v>
      </c>
      <c r="B2578" t="s">
        <v>6103</v>
      </c>
      <c r="C2578" t="s">
        <v>37</v>
      </c>
      <c r="D2578" t="s">
        <v>54</v>
      </c>
      <c r="E2578" t="s">
        <v>45</v>
      </c>
      <c r="F2578" t="s">
        <v>94</v>
      </c>
      <c r="G2578">
        <v>1.66</v>
      </c>
      <c r="H2578" t="s">
        <v>138</v>
      </c>
      <c r="I2578" t="s">
        <v>48</v>
      </c>
      <c r="J2578" t="s">
        <v>98</v>
      </c>
      <c r="K2578">
        <v>445.83</v>
      </c>
      <c r="L2578" t="s">
        <v>6104</v>
      </c>
      <c r="M2578">
        <f>VLOOKUP(H2578,'Stage Order'!$A$2:$B$8,2,FALSE)</f>
        <v>6</v>
      </c>
      <c r="N2578" t="str">
        <f t="shared" si="80"/>
        <v>2. 1-24 hours</v>
      </c>
      <c r="O2578" t="str">
        <f t="shared" si="81"/>
        <v>2025-06</v>
      </c>
    </row>
    <row r="2579" spans="1:15" x14ac:dyDescent="0.3">
      <c r="A2579" t="s">
        <v>6105</v>
      </c>
      <c r="B2579" t="s">
        <v>6106</v>
      </c>
      <c r="C2579" t="s">
        <v>81</v>
      </c>
      <c r="D2579" t="s">
        <v>29</v>
      </c>
      <c r="E2579" t="s">
        <v>39</v>
      </c>
      <c r="F2579" t="s">
        <v>40</v>
      </c>
      <c r="G2579">
        <v>1.22</v>
      </c>
      <c r="H2579" t="s">
        <v>41</v>
      </c>
      <c r="I2579" t="s">
        <v>42</v>
      </c>
      <c r="M2579">
        <f>VLOOKUP(H2579,'Stage Order'!$A$2:$B$8,2,FALSE)</f>
        <v>2</v>
      </c>
      <c r="N2579" t="str">
        <f t="shared" si="80"/>
        <v>2. 1-24 hours</v>
      </c>
      <c r="O2579" t="str">
        <f t="shared" si="81"/>
        <v>2025-03</v>
      </c>
    </row>
    <row r="2580" spans="1:15" x14ac:dyDescent="0.3">
      <c r="A2580" t="s">
        <v>6107</v>
      </c>
      <c r="B2580" t="s">
        <v>6108</v>
      </c>
      <c r="C2580" t="s">
        <v>37</v>
      </c>
      <c r="D2580" t="s">
        <v>77</v>
      </c>
      <c r="E2580" t="s">
        <v>39</v>
      </c>
      <c r="F2580" t="s">
        <v>106</v>
      </c>
      <c r="G2580">
        <v>2.33</v>
      </c>
      <c r="H2580" t="s">
        <v>47</v>
      </c>
      <c r="I2580" t="s">
        <v>48</v>
      </c>
      <c r="J2580" t="s">
        <v>139</v>
      </c>
      <c r="K2580">
        <v>924.42</v>
      </c>
      <c r="L2580" t="s">
        <v>6109</v>
      </c>
      <c r="M2580">
        <f>VLOOKUP(H2580,'Stage Order'!$A$2:$B$8,2,FALSE)</f>
        <v>4</v>
      </c>
      <c r="N2580" t="str">
        <f t="shared" si="80"/>
        <v>2. 1-24 hours</v>
      </c>
      <c r="O2580" t="str">
        <f t="shared" si="81"/>
        <v>2025-01</v>
      </c>
    </row>
    <row r="2581" spans="1:15" x14ac:dyDescent="0.3">
      <c r="A2581" t="s">
        <v>6110</v>
      </c>
      <c r="B2581" t="s">
        <v>6111</v>
      </c>
      <c r="C2581" t="s">
        <v>28</v>
      </c>
      <c r="D2581" t="s">
        <v>54</v>
      </c>
      <c r="E2581" t="s">
        <v>59</v>
      </c>
      <c r="F2581" t="s">
        <v>137</v>
      </c>
      <c r="G2581">
        <v>12.7</v>
      </c>
      <c r="H2581" t="s">
        <v>41</v>
      </c>
      <c r="I2581" t="s">
        <v>42</v>
      </c>
      <c r="M2581">
        <f>VLOOKUP(H2581,'Stage Order'!$A$2:$B$8,2,FALSE)</f>
        <v>2</v>
      </c>
      <c r="N2581" t="str">
        <f t="shared" si="80"/>
        <v>2. 1-24 hours</v>
      </c>
      <c r="O2581" t="str">
        <f t="shared" si="81"/>
        <v>2025-09</v>
      </c>
    </row>
    <row r="2582" spans="1:15" x14ac:dyDescent="0.3">
      <c r="A2582" t="s">
        <v>6112</v>
      </c>
      <c r="B2582" t="s">
        <v>6113</v>
      </c>
      <c r="C2582" t="s">
        <v>81</v>
      </c>
      <c r="D2582" t="s">
        <v>38</v>
      </c>
      <c r="E2582" t="s">
        <v>90</v>
      </c>
      <c r="F2582" t="s">
        <v>112</v>
      </c>
      <c r="G2582">
        <v>1.72</v>
      </c>
      <c r="H2582" t="s">
        <v>61</v>
      </c>
      <c r="I2582" t="s">
        <v>42</v>
      </c>
      <c r="M2582">
        <f>VLOOKUP(H2582,'Stage Order'!$A$2:$B$8,2,FALSE)</f>
        <v>1</v>
      </c>
      <c r="N2582" t="str">
        <f t="shared" si="80"/>
        <v>2. 1-24 hours</v>
      </c>
      <c r="O2582" t="str">
        <f t="shared" si="81"/>
        <v>2026-02</v>
      </c>
    </row>
    <row r="2583" spans="1:15" x14ac:dyDescent="0.3">
      <c r="A2583" t="s">
        <v>6114</v>
      </c>
      <c r="B2583" t="s">
        <v>6115</v>
      </c>
      <c r="C2583" t="s">
        <v>37</v>
      </c>
      <c r="D2583" t="s">
        <v>77</v>
      </c>
      <c r="E2583" t="s">
        <v>30</v>
      </c>
      <c r="F2583" t="s">
        <v>78</v>
      </c>
      <c r="G2583">
        <v>2.58</v>
      </c>
      <c r="H2583" t="s">
        <v>146</v>
      </c>
      <c r="I2583" t="s">
        <v>48</v>
      </c>
      <c r="J2583" t="s">
        <v>98</v>
      </c>
      <c r="K2583">
        <v>1065.5</v>
      </c>
      <c r="L2583" t="s">
        <v>6116</v>
      </c>
      <c r="M2583">
        <f>VLOOKUP(H2583,'Stage Order'!$A$2:$B$8,2,FALSE)</f>
        <v>5</v>
      </c>
      <c r="N2583" t="str">
        <f t="shared" si="80"/>
        <v>2. 1-24 hours</v>
      </c>
      <c r="O2583" t="str">
        <f t="shared" si="81"/>
        <v>2026-05</v>
      </c>
    </row>
    <row r="2584" spans="1:15" x14ac:dyDescent="0.3">
      <c r="A2584" t="s">
        <v>6117</v>
      </c>
      <c r="B2584" t="s">
        <v>6118</v>
      </c>
      <c r="C2584" t="s">
        <v>53</v>
      </c>
      <c r="D2584" t="s">
        <v>77</v>
      </c>
      <c r="E2584" t="s">
        <v>59</v>
      </c>
      <c r="F2584" t="s">
        <v>137</v>
      </c>
      <c r="G2584">
        <v>1.31</v>
      </c>
      <c r="H2584" t="s">
        <v>138</v>
      </c>
      <c r="I2584" t="s">
        <v>48</v>
      </c>
      <c r="J2584" t="s">
        <v>98</v>
      </c>
      <c r="K2584">
        <v>946.96</v>
      </c>
      <c r="L2584" t="s">
        <v>6119</v>
      </c>
      <c r="M2584">
        <f>VLOOKUP(H2584,'Stage Order'!$A$2:$B$8,2,FALSE)</f>
        <v>6</v>
      </c>
      <c r="N2584" t="str">
        <f t="shared" si="80"/>
        <v>2. 1-24 hours</v>
      </c>
      <c r="O2584" t="str">
        <f t="shared" si="81"/>
        <v>2025-04</v>
      </c>
    </row>
    <row r="2585" spans="1:15" x14ac:dyDescent="0.3">
      <c r="A2585" t="s">
        <v>6120</v>
      </c>
      <c r="B2585" t="s">
        <v>6121</v>
      </c>
      <c r="C2585" t="s">
        <v>58</v>
      </c>
      <c r="D2585" t="s">
        <v>29</v>
      </c>
      <c r="E2585" t="s">
        <v>30</v>
      </c>
      <c r="F2585" t="s">
        <v>31</v>
      </c>
      <c r="G2585">
        <v>7.94</v>
      </c>
      <c r="H2585" t="s">
        <v>61</v>
      </c>
      <c r="I2585" t="s">
        <v>42</v>
      </c>
      <c r="M2585">
        <f>VLOOKUP(H2585,'Stage Order'!$A$2:$B$8,2,FALSE)</f>
        <v>1</v>
      </c>
      <c r="N2585" t="str">
        <f t="shared" si="80"/>
        <v>2. 1-24 hours</v>
      </c>
      <c r="O2585" t="str">
        <f t="shared" si="81"/>
        <v>2025-03</v>
      </c>
    </row>
    <row r="2586" spans="1:15" x14ac:dyDescent="0.3">
      <c r="A2586" t="s">
        <v>6122</v>
      </c>
      <c r="B2586" t="s">
        <v>6123</v>
      </c>
      <c r="C2586" t="s">
        <v>58</v>
      </c>
      <c r="D2586" t="s">
        <v>54</v>
      </c>
      <c r="E2586" t="s">
        <v>39</v>
      </c>
      <c r="F2586" t="s">
        <v>40</v>
      </c>
      <c r="G2586">
        <v>6.06</v>
      </c>
      <c r="H2586" t="s">
        <v>41</v>
      </c>
      <c r="I2586" t="s">
        <v>42</v>
      </c>
      <c r="M2586">
        <f>VLOOKUP(H2586,'Stage Order'!$A$2:$B$8,2,FALSE)</f>
        <v>2</v>
      </c>
      <c r="N2586" t="str">
        <f t="shared" si="80"/>
        <v>2. 1-24 hours</v>
      </c>
      <c r="O2586" t="str">
        <f t="shared" si="81"/>
        <v>2025-01</v>
      </c>
    </row>
    <row r="2587" spans="1:15" x14ac:dyDescent="0.3">
      <c r="A2587" t="s">
        <v>6124</v>
      </c>
      <c r="B2587" t="s">
        <v>6125</v>
      </c>
      <c r="C2587" t="s">
        <v>125</v>
      </c>
      <c r="D2587" t="s">
        <v>77</v>
      </c>
      <c r="E2587" t="s">
        <v>39</v>
      </c>
      <c r="F2587" t="s">
        <v>40</v>
      </c>
      <c r="G2587">
        <v>1.5</v>
      </c>
      <c r="H2587" t="s">
        <v>41</v>
      </c>
      <c r="I2587" t="s">
        <v>42</v>
      </c>
      <c r="M2587">
        <f>VLOOKUP(H2587,'Stage Order'!$A$2:$B$8,2,FALSE)</f>
        <v>2</v>
      </c>
      <c r="N2587" t="str">
        <f t="shared" si="80"/>
        <v>2. 1-24 hours</v>
      </c>
      <c r="O2587" t="str">
        <f t="shared" si="81"/>
        <v>2025-07</v>
      </c>
    </row>
    <row r="2588" spans="1:15" x14ac:dyDescent="0.3">
      <c r="A2588" t="s">
        <v>6126</v>
      </c>
      <c r="B2588" t="s">
        <v>6127</v>
      </c>
      <c r="C2588" t="s">
        <v>53</v>
      </c>
      <c r="D2588" t="s">
        <v>97</v>
      </c>
      <c r="E2588" t="s">
        <v>30</v>
      </c>
      <c r="F2588" t="s">
        <v>82</v>
      </c>
      <c r="G2588">
        <v>3.38</v>
      </c>
      <c r="H2588" t="s">
        <v>41</v>
      </c>
      <c r="I2588" t="s">
        <v>42</v>
      </c>
      <c r="M2588">
        <f>VLOOKUP(H2588,'Stage Order'!$A$2:$B$8,2,FALSE)</f>
        <v>2</v>
      </c>
      <c r="N2588" t="str">
        <f t="shared" si="80"/>
        <v>2. 1-24 hours</v>
      </c>
      <c r="O2588" t="str">
        <f t="shared" si="81"/>
        <v>2025-12</v>
      </c>
    </row>
    <row r="2589" spans="1:15" x14ac:dyDescent="0.3">
      <c r="A2589" t="s">
        <v>6128</v>
      </c>
      <c r="B2589" t="s">
        <v>6129</v>
      </c>
      <c r="C2589" t="s">
        <v>37</v>
      </c>
      <c r="D2589" t="s">
        <v>77</v>
      </c>
      <c r="E2589" t="s">
        <v>45</v>
      </c>
      <c r="F2589" t="s">
        <v>94</v>
      </c>
      <c r="G2589">
        <v>5.15</v>
      </c>
      <c r="H2589" t="s">
        <v>41</v>
      </c>
      <c r="I2589" t="s">
        <v>42</v>
      </c>
      <c r="M2589">
        <f>VLOOKUP(H2589,'Stage Order'!$A$2:$B$8,2,FALSE)</f>
        <v>2</v>
      </c>
      <c r="N2589" t="str">
        <f t="shared" si="80"/>
        <v>2. 1-24 hours</v>
      </c>
      <c r="O2589" t="str">
        <f t="shared" si="81"/>
        <v>2025-05</v>
      </c>
    </row>
    <row r="2590" spans="1:15" x14ac:dyDescent="0.3">
      <c r="A2590" t="s">
        <v>6130</v>
      </c>
      <c r="B2590" t="s">
        <v>6131</v>
      </c>
      <c r="C2590" t="s">
        <v>58</v>
      </c>
      <c r="D2590" t="s">
        <v>77</v>
      </c>
      <c r="E2590" t="s">
        <v>45</v>
      </c>
      <c r="F2590" t="s">
        <v>94</v>
      </c>
      <c r="G2590">
        <v>4.05</v>
      </c>
      <c r="H2590" t="s">
        <v>47</v>
      </c>
      <c r="I2590" t="s">
        <v>48</v>
      </c>
      <c r="J2590" t="s">
        <v>113</v>
      </c>
      <c r="K2590">
        <v>990.85</v>
      </c>
      <c r="L2590" t="s">
        <v>6132</v>
      </c>
      <c r="M2590">
        <f>VLOOKUP(H2590,'Stage Order'!$A$2:$B$8,2,FALSE)</f>
        <v>4</v>
      </c>
      <c r="N2590" t="str">
        <f t="shared" si="80"/>
        <v>2. 1-24 hours</v>
      </c>
      <c r="O2590" t="str">
        <f t="shared" si="81"/>
        <v>2026-06</v>
      </c>
    </row>
    <row r="2591" spans="1:15" x14ac:dyDescent="0.3">
      <c r="A2591" t="s">
        <v>6133</v>
      </c>
      <c r="B2591" t="s">
        <v>6134</v>
      </c>
      <c r="C2591" t="s">
        <v>125</v>
      </c>
      <c r="D2591" t="s">
        <v>97</v>
      </c>
      <c r="E2591" t="s">
        <v>90</v>
      </c>
      <c r="F2591" t="s">
        <v>112</v>
      </c>
      <c r="G2591">
        <v>45.53</v>
      </c>
      <c r="H2591" t="s">
        <v>61</v>
      </c>
      <c r="I2591" t="s">
        <v>42</v>
      </c>
      <c r="M2591">
        <f>VLOOKUP(H2591,'Stage Order'!$A$2:$B$8,2,FALSE)</f>
        <v>1</v>
      </c>
      <c r="N2591" t="str">
        <f t="shared" si="80"/>
        <v>3. 1-3 days</v>
      </c>
      <c r="O2591" t="str">
        <f t="shared" si="81"/>
        <v>2026-04</v>
      </c>
    </row>
    <row r="2592" spans="1:15" x14ac:dyDescent="0.3">
      <c r="A2592" t="s">
        <v>6135</v>
      </c>
      <c r="B2592" t="s">
        <v>6136</v>
      </c>
      <c r="C2592" t="s">
        <v>37</v>
      </c>
      <c r="D2592" t="s">
        <v>38</v>
      </c>
      <c r="E2592" t="s">
        <v>59</v>
      </c>
      <c r="F2592" t="s">
        <v>60</v>
      </c>
      <c r="G2592">
        <v>11.36</v>
      </c>
      <c r="H2592" t="s">
        <v>146</v>
      </c>
      <c r="I2592" t="s">
        <v>48</v>
      </c>
      <c r="J2592" t="s">
        <v>98</v>
      </c>
      <c r="K2592">
        <v>346.97</v>
      </c>
      <c r="L2592" t="s">
        <v>6137</v>
      </c>
      <c r="M2592">
        <f>VLOOKUP(H2592,'Stage Order'!$A$2:$B$8,2,FALSE)</f>
        <v>5</v>
      </c>
      <c r="N2592" t="str">
        <f t="shared" si="80"/>
        <v>2. 1-24 hours</v>
      </c>
      <c r="O2592" t="str">
        <f t="shared" si="81"/>
        <v>2025-05</v>
      </c>
    </row>
    <row r="2593" spans="1:15" x14ac:dyDescent="0.3">
      <c r="A2593" t="s">
        <v>6138</v>
      </c>
      <c r="B2593" t="s">
        <v>6139</v>
      </c>
      <c r="C2593" t="s">
        <v>58</v>
      </c>
      <c r="D2593" t="s">
        <v>29</v>
      </c>
      <c r="E2593" t="s">
        <v>59</v>
      </c>
      <c r="F2593" t="s">
        <v>117</v>
      </c>
      <c r="G2593">
        <v>3.93</v>
      </c>
      <c r="H2593" t="s">
        <v>32</v>
      </c>
      <c r="I2593" t="s">
        <v>33</v>
      </c>
      <c r="K2593">
        <v>597.95000000000005</v>
      </c>
      <c r="L2593" t="s">
        <v>6140</v>
      </c>
      <c r="M2593">
        <f>VLOOKUP(H2593,'Stage Order'!$A$2:$B$8,2,FALSE)</f>
        <v>7</v>
      </c>
      <c r="N2593" t="str">
        <f t="shared" si="80"/>
        <v>2. 1-24 hours</v>
      </c>
      <c r="O2593" t="str">
        <f t="shared" si="81"/>
        <v>2026-03</v>
      </c>
    </row>
    <row r="2594" spans="1:15" x14ac:dyDescent="0.3">
      <c r="A2594" t="s">
        <v>6141</v>
      </c>
      <c r="B2594" t="s">
        <v>6142</v>
      </c>
      <c r="C2594" t="s">
        <v>58</v>
      </c>
      <c r="D2594" t="s">
        <v>38</v>
      </c>
      <c r="E2594" t="s">
        <v>90</v>
      </c>
      <c r="F2594" t="s">
        <v>91</v>
      </c>
      <c r="G2594">
        <v>12.37</v>
      </c>
      <c r="H2594" t="s">
        <v>128</v>
      </c>
      <c r="I2594" t="s">
        <v>42</v>
      </c>
      <c r="M2594">
        <f>VLOOKUP(H2594,'Stage Order'!$A$2:$B$8,2,FALSE)</f>
        <v>3</v>
      </c>
      <c r="N2594" t="str">
        <f t="shared" si="80"/>
        <v>2. 1-24 hours</v>
      </c>
      <c r="O2594" t="str">
        <f t="shared" si="81"/>
        <v>2025-06</v>
      </c>
    </row>
    <row r="2595" spans="1:15" x14ac:dyDescent="0.3">
      <c r="A2595" t="s">
        <v>6143</v>
      </c>
      <c r="B2595" t="s">
        <v>6144</v>
      </c>
      <c r="C2595" t="s">
        <v>58</v>
      </c>
      <c r="D2595" t="s">
        <v>77</v>
      </c>
      <c r="E2595" t="s">
        <v>45</v>
      </c>
      <c r="F2595" t="s">
        <v>55</v>
      </c>
      <c r="G2595">
        <v>7.54</v>
      </c>
      <c r="H2595" t="s">
        <v>32</v>
      </c>
      <c r="I2595" t="s">
        <v>33</v>
      </c>
      <c r="K2595">
        <v>890.67</v>
      </c>
      <c r="L2595" t="s">
        <v>6145</v>
      </c>
      <c r="M2595">
        <f>VLOOKUP(H2595,'Stage Order'!$A$2:$B$8,2,FALSE)</f>
        <v>7</v>
      </c>
      <c r="N2595" t="str">
        <f t="shared" si="80"/>
        <v>2. 1-24 hours</v>
      </c>
      <c r="O2595" t="str">
        <f t="shared" si="81"/>
        <v>2025-07</v>
      </c>
    </row>
    <row r="2596" spans="1:15" x14ac:dyDescent="0.3">
      <c r="A2596" t="s">
        <v>6146</v>
      </c>
      <c r="B2596" t="s">
        <v>6147</v>
      </c>
      <c r="C2596" t="s">
        <v>53</v>
      </c>
      <c r="D2596" t="s">
        <v>77</v>
      </c>
      <c r="E2596" t="s">
        <v>39</v>
      </c>
      <c r="F2596" t="s">
        <v>66</v>
      </c>
      <c r="G2596">
        <v>0.95</v>
      </c>
      <c r="H2596" t="s">
        <v>41</v>
      </c>
      <c r="I2596" t="s">
        <v>42</v>
      </c>
      <c r="M2596">
        <f>VLOOKUP(H2596,'Stage Order'!$A$2:$B$8,2,FALSE)</f>
        <v>2</v>
      </c>
      <c r="N2596" t="str">
        <f t="shared" si="80"/>
        <v>1. Under 1 hour</v>
      </c>
      <c r="O2596" t="str">
        <f t="shared" si="81"/>
        <v>2025-07</v>
      </c>
    </row>
    <row r="2597" spans="1:15" x14ac:dyDescent="0.3">
      <c r="A2597" t="s">
        <v>6148</v>
      </c>
      <c r="B2597" t="s">
        <v>6149</v>
      </c>
      <c r="C2597" t="s">
        <v>53</v>
      </c>
      <c r="D2597" t="s">
        <v>54</v>
      </c>
      <c r="E2597" t="s">
        <v>45</v>
      </c>
      <c r="F2597" t="s">
        <v>46</v>
      </c>
      <c r="G2597">
        <v>3.45</v>
      </c>
      <c r="H2597" t="s">
        <v>138</v>
      </c>
      <c r="I2597" t="s">
        <v>48</v>
      </c>
      <c r="J2597" t="s">
        <v>139</v>
      </c>
      <c r="K2597">
        <v>569.49</v>
      </c>
      <c r="L2597" t="s">
        <v>6150</v>
      </c>
      <c r="M2597">
        <f>VLOOKUP(H2597,'Stage Order'!$A$2:$B$8,2,FALSE)</f>
        <v>6</v>
      </c>
      <c r="N2597" t="str">
        <f t="shared" si="80"/>
        <v>2. 1-24 hours</v>
      </c>
      <c r="O2597" t="str">
        <f t="shared" si="81"/>
        <v>2025-02</v>
      </c>
    </row>
    <row r="2598" spans="1:15" x14ac:dyDescent="0.3">
      <c r="A2598" t="s">
        <v>6151</v>
      </c>
      <c r="B2598" t="s">
        <v>6152</v>
      </c>
      <c r="C2598" t="s">
        <v>28</v>
      </c>
      <c r="D2598" t="s">
        <v>38</v>
      </c>
      <c r="E2598" t="s">
        <v>39</v>
      </c>
      <c r="F2598" t="s">
        <v>40</v>
      </c>
      <c r="G2598">
        <v>18.98</v>
      </c>
      <c r="H2598" t="s">
        <v>41</v>
      </c>
      <c r="I2598" t="s">
        <v>42</v>
      </c>
      <c r="M2598">
        <f>VLOOKUP(H2598,'Stage Order'!$A$2:$B$8,2,FALSE)</f>
        <v>2</v>
      </c>
      <c r="N2598" t="str">
        <f t="shared" si="80"/>
        <v>2. 1-24 hours</v>
      </c>
      <c r="O2598" t="str">
        <f t="shared" si="81"/>
        <v>2026-03</v>
      </c>
    </row>
    <row r="2599" spans="1:15" x14ac:dyDescent="0.3">
      <c r="A2599" t="s">
        <v>6153</v>
      </c>
      <c r="B2599" t="s">
        <v>6154</v>
      </c>
      <c r="C2599" t="s">
        <v>58</v>
      </c>
      <c r="D2599" t="s">
        <v>54</v>
      </c>
      <c r="E2599" t="s">
        <v>59</v>
      </c>
      <c r="F2599" t="s">
        <v>137</v>
      </c>
      <c r="G2599">
        <v>1.95</v>
      </c>
      <c r="H2599" t="s">
        <v>41</v>
      </c>
      <c r="I2599" t="s">
        <v>42</v>
      </c>
      <c r="M2599">
        <f>VLOOKUP(H2599,'Stage Order'!$A$2:$B$8,2,FALSE)</f>
        <v>2</v>
      </c>
      <c r="N2599" t="str">
        <f t="shared" si="80"/>
        <v>2. 1-24 hours</v>
      </c>
      <c r="O2599" t="str">
        <f t="shared" si="81"/>
        <v>2025-01</v>
      </c>
    </row>
    <row r="2600" spans="1:15" x14ac:dyDescent="0.3">
      <c r="A2600" t="s">
        <v>6155</v>
      </c>
      <c r="B2600" t="s">
        <v>6156</v>
      </c>
      <c r="C2600" t="s">
        <v>37</v>
      </c>
      <c r="D2600" t="s">
        <v>29</v>
      </c>
      <c r="E2600" t="s">
        <v>90</v>
      </c>
      <c r="F2600" t="s">
        <v>91</v>
      </c>
      <c r="G2600">
        <v>5.81</v>
      </c>
      <c r="H2600" t="s">
        <v>61</v>
      </c>
      <c r="I2600" t="s">
        <v>42</v>
      </c>
      <c r="M2600">
        <f>VLOOKUP(H2600,'Stage Order'!$A$2:$B$8,2,FALSE)</f>
        <v>1</v>
      </c>
      <c r="N2600" t="str">
        <f t="shared" si="80"/>
        <v>2. 1-24 hours</v>
      </c>
      <c r="O2600" t="str">
        <f t="shared" si="81"/>
        <v>2026-01</v>
      </c>
    </row>
    <row r="2601" spans="1:15" x14ac:dyDescent="0.3">
      <c r="A2601" t="s">
        <v>6157</v>
      </c>
      <c r="B2601" t="s">
        <v>6158</v>
      </c>
      <c r="C2601" t="s">
        <v>53</v>
      </c>
      <c r="D2601" t="s">
        <v>77</v>
      </c>
      <c r="E2601" t="s">
        <v>30</v>
      </c>
      <c r="F2601" t="s">
        <v>82</v>
      </c>
      <c r="G2601">
        <v>1.66</v>
      </c>
      <c r="H2601" t="s">
        <v>41</v>
      </c>
      <c r="I2601" t="s">
        <v>42</v>
      </c>
      <c r="M2601">
        <f>VLOOKUP(H2601,'Stage Order'!$A$2:$B$8,2,FALSE)</f>
        <v>2</v>
      </c>
      <c r="N2601" t="str">
        <f t="shared" si="80"/>
        <v>2. 1-24 hours</v>
      </c>
      <c r="O2601" t="str">
        <f t="shared" si="81"/>
        <v>2026-03</v>
      </c>
    </row>
    <row r="2602" spans="1:15" x14ac:dyDescent="0.3">
      <c r="A2602" t="s">
        <v>6159</v>
      </c>
      <c r="B2602" t="s">
        <v>6160</v>
      </c>
      <c r="C2602" t="s">
        <v>53</v>
      </c>
      <c r="D2602" t="s">
        <v>77</v>
      </c>
      <c r="E2602" t="s">
        <v>39</v>
      </c>
      <c r="F2602" t="s">
        <v>40</v>
      </c>
      <c r="G2602">
        <v>3.57</v>
      </c>
      <c r="H2602" t="s">
        <v>32</v>
      </c>
      <c r="I2602" t="s">
        <v>33</v>
      </c>
      <c r="K2602">
        <v>865.73</v>
      </c>
      <c r="L2602" t="s">
        <v>6161</v>
      </c>
      <c r="M2602">
        <f>VLOOKUP(H2602,'Stage Order'!$A$2:$B$8,2,FALSE)</f>
        <v>7</v>
      </c>
      <c r="N2602" t="str">
        <f t="shared" si="80"/>
        <v>2. 1-24 hours</v>
      </c>
      <c r="O2602" t="str">
        <f t="shared" si="81"/>
        <v>2026-02</v>
      </c>
    </row>
    <row r="2603" spans="1:15" x14ac:dyDescent="0.3">
      <c r="A2603" t="s">
        <v>6162</v>
      </c>
      <c r="B2603" t="s">
        <v>6163</v>
      </c>
      <c r="C2603" t="s">
        <v>53</v>
      </c>
      <c r="D2603" t="s">
        <v>38</v>
      </c>
      <c r="E2603" t="s">
        <v>39</v>
      </c>
      <c r="F2603" t="s">
        <v>106</v>
      </c>
      <c r="G2603">
        <v>2.4700000000000002</v>
      </c>
      <c r="H2603" t="s">
        <v>32</v>
      </c>
      <c r="I2603" t="s">
        <v>33</v>
      </c>
      <c r="K2603">
        <v>314.58</v>
      </c>
      <c r="L2603" t="s">
        <v>6164</v>
      </c>
      <c r="M2603">
        <f>VLOOKUP(H2603,'Stage Order'!$A$2:$B$8,2,FALSE)</f>
        <v>7</v>
      </c>
      <c r="N2603" t="str">
        <f t="shared" si="80"/>
        <v>2. 1-24 hours</v>
      </c>
      <c r="O2603" t="str">
        <f t="shared" si="81"/>
        <v>2025-10</v>
      </c>
    </row>
    <row r="2604" spans="1:15" x14ac:dyDescent="0.3">
      <c r="A2604" t="s">
        <v>6165</v>
      </c>
      <c r="B2604" t="s">
        <v>6166</v>
      </c>
      <c r="C2604" t="s">
        <v>81</v>
      </c>
      <c r="D2604" t="s">
        <v>29</v>
      </c>
      <c r="E2604" t="s">
        <v>59</v>
      </c>
      <c r="F2604" t="s">
        <v>137</v>
      </c>
      <c r="G2604">
        <v>1.54</v>
      </c>
      <c r="H2604" t="s">
        <v>47</v>
      </c>
      <c r="I2604" t="s">
        <v>48</v>
      </c>
      <c r="J2604" t="s">
        <v>139</v>
      </c>
      <c r="K2604">
        <v>745.1</v>
      </c>
      <c r="L2604" t="s">
        <v>6167</v>
      </c>
      <c r="M2604">
        <f>VLOOKUP(H2604,'Stage Order'!$A$2:$B$8,2,FALSE)</f>
        <v>4</v>
      </c>
      <c r="N2604" t="str">
        <f t="shared" si="80"/>
        <v>2. 1-24 hours</v>
      </c>
      <c r="O2604" t="str">
        <f t="shared" si="81"/>
        <v>2025-11</v>
      </c>
    </row>
    <row r="2605" spans="1:15" x14ac:dyDescent="0.3">
      <c r="A2605" t="s">
        <v>6168</v>
      </c>
      <c r="B2605" t="s">
        <v>6169</v>
      </c>
      <c r="C2605" t="s">
        <v>58</v>
      </c>
      <c r="D2605" t="s">
        <v>97</v>
      </c>
      <c r="E2605" t="s">
        <v>39</v>
      </c>
      <c r="F2605" t="s">
        <v>40</v>
      </c>
      <c r="G2605">
        <v>1.86</v>
      </c>
      <c r="H2605" t="s">
        <v>41</v>
      </c>
      <c r="I2605" t="s">
        <v>42</v>
      </c>
      <c r="M2605">
        <f>VLOOKUP(H2605,'Stage Order'!$A$2:$B$8,2,FALSE)</f>
        <v>2</v>
      </c>
      <c r="N2605" t="str">
        <f t="shared" si="80"/>
        <v>2. 1-24 hours</v>
      </c>
      <c r="O2605" t="str">
        <f t="shared" si="81"/>
        <v>2026-04</v>
      </c>
    </row>
    <row r="2606" spans="1:15" x14ac:dyDescent="0.3">
      <c r="A2606" t="s">
        <v>6170</v>
      </c>
      <c r="B2606" t="s">
        <v>6171</v>
      </c>
      <c r="C2606" t="s">
        <v>37</v>
      </c>
      <c r="D2606" t="s">
        <v>77</v>
      </c>
      <c r="E2606" t="s">
        <v>59</v>
      </c>
      <c r="F2606" t="s">
        <v>137</v>
      </c>
      <c r="G2606">
        <v>1.94</v>
      </c>
      <c r="H2606" t="s">
        <v>41</v>
      </c>
      <c r="I2606" t="s">
        <v>42</v>
      </c>
      <c r="M2606">
        <f>VLOOKUP(H2606,'Stage Order'!$A$2:$B$8,2,FALSE)</f>
        <v>2</v>
      </c>
      <c r="N2606" t="str">
        <f t="shared" si="80"/>
        <v>2. 1-24 hours</v>
      </c>
      <c r="O2606" t="str">
        <f t="shared" si="81"/>
        <v>2025-02</v>
      </c>
    </row>
    <row r="2607" spans="1:15" x14ac:dyDescent="0.3">
      <c r="A2607" t="s">
        <v>6172</v>
      </c>
      <c r="B2607" t="s">
        <v>6173</v>
      </c>
      <c r="C2607" t="s">
        <v>37</v>
      </c>
      <c r="D2607" t="s">
        <v>54</v>
      </c>
      <c r="E2607" t="s">
        <v>90</v>
      </c>
      <c r="F2607" t="s">
        <v>91</v>
      </c>
      <c r="G2607">
        <v>1.81</v>
      </c>
      <c r="H2607" t="s">
        <v>61</v>
      </c>
      <c r="I2607" t="s">
        <v>42</v>
      </c>
      <c r="M2607">
        <f>VLOOKUP(H2607,'Stage Order'!$A$2:$B$8,2,FALSE)</f>
        <v>1</v>
      </c>
      <c r="N2607" t="str">
        <f t="shared" si="80"/>
        <v>2. 1-24 hours</v>
      </c>
      <c r="O2607" t="str">
        <f t="shared" si="81"/>
        <v>2026-04</v>
      </c>
    </row>
    <row r="2608" spans="1:15" x14ac:dyDescent="0.3">
      <c r="A2608" t="s">
        <v>6174</v>
      </c>
      <c r="B2608" t="s">
        <v>6175</v>
      </c>
      <c r="C2608" t="s">
        <v>37</v>
      </c>
      <c r="D2608" t="s">
        <v>97</v>
      </c>
      <c r="E2608" t="s">
        <v>45</v>
      </c>
      <c r="F2608" t="s">
        <v>94</v>
      </c>
      <c r="G2608">
        <v>1.46</v>
      </c>
      <c r="H2608" t="s">
        <v>41</v>
      </c>
      <c r="I2608" t="s">
        <v>42</v>
      </c>
      <c r="M2608">
        <f>VLOOKUP(H2608,'Stage Order'!$A$2:$B$8,2,FALSE)</f>
        <v>2</v>
      </c>
      <c r="N2608" t="str">
        <f t="shared" si="80"/>
        <v>2. 1-24 hours</v>
      </c>
      <c r="O2608" t="str">
        <f t="shared" si="81"/>
        <v>2026-02</v>
      </c>
    </row>
    <row r="2609" spans="1:15" x14ac:dyDescent="0.3">
      <c r="A2609" t="s">
        <v>6176</v>
      </c>
      <c r="B2609" t="s">
        <v>6177</v>
      </c>
      <c r="C2609" t="s">
        <v>81</v>
      </c>
      <c r="D2609" t="s">
        <v>54</v>
      </c>
      <c r="E2609" t="s">
        <v>39</v>
      </c>
      <c r="F2609" t="s">
        <v>66</v>
      </c>
      <c r="G2609">
        <v>2.44</v>
      </c>
      <c r="H2609" t="s">
        <v>41</v>
      </c>
      <c r="I2609" t="s">
        <v>42</v>
      </c>
      <c r="M2609">
        <f>VLOOKUP(H2609,'Stage Order'!$A$2:$B$8,2,FALSE)</f>
        <v>2</v>
      </c>
      <c r="N2609" t="str">
        <f t="shared" si="80"/>
        <v>2. 1-24 hours</v>
      </c>
      <c r="O2609" t="str">
        <f t="shared" si="81"/>
        <v>2026-02</v>
      </c>
    </row>
    <row r="2610" spans="1:15" x14ac:dyDescent="0.3">
      <c r="A2610" t="s">
        <v>6178</v>
      </c>
      <c r="B2610" t="s">
        <v>6179</v>
      </c>
      <c r="C2610" t="s">
        <v>125</v>
      </c>
      <c r="D2610" t="s">
        <v>77</v>
      </c>
      <c r="E2610" t="s">
        <v>90</v>
      </c>
      <c r="F2610" t="s">
        <v>91</v>
      </c>
      <c r="G2610">
        <v>4.63</v>
      </c>
      <c r="H2610" t="s">
        <v>32</v>
      </c>
      <c r="I2610" t="s">
        <v>33</v>
      </c>
      <c r="K2610">
        <v>1030.6199999999999</v>
      </c>
      <c r="L2610" t="s">
        <v>6180</v>
      </c>
      <c r="M2610">
        <f>VLOOKUP(H2610,'Stage Order'!$A$2:$B$8,2,FALSE)</f>
        <v>7</v>
      </c>
      <c r="N2610" t="str">
        <f t="shared" si="80"/>
        <v>2. 1-24 hours</v>
      </c>
      <c r="O2610" t="str">
        <f t="shared" si="81"/>
        <v>2026-06</v>
      </c>
    </row>
    <row r="2611" spans="1:15" x14ac:dyDescent="0.3">
      <c r="A2611" t="s">
        <v>6181</v>
      </c>
      <c r="B2611" t="s">
        <v>6182</v>
      </c>
      <c r="C2611" t="s">
        <v>58</v>
      </c>
      <c r="D2611" t="s">
        <v>54</v>
      </c>
      <c r="E2611" t="s">
        <v>59</v>
      </c>
      <c r="F2611" t="s">
        <v>60</v>
      </c>
      <c r="G2611">
        <v>4.59</v>
      </c>
      <c r="H2611" t="s">
        <v>138</v>
      </c>
      <c r="I2611" t="s">
        <v>48</v>
      </c>
      <c r="J2611" t="s">
        <v>113</v>
      </c>
      <c r="K2611">
        <v>475.78</v>
      </c>
      <c r="L2611" t="s">
        <v>6183</v>
      </c>
      <c r="M2611">
        <f>VLOOKUP(H2611,'Stage Order'!$A$2:$B$8,2,FALSE)</f>
        <v>6</v>
      </c>
      <c r="N2611" t="str">
        <f t="shared" si="80"/>
        <v>2. 1-24 hours</v>
      </c>
      <c r="O2611" t="str">
        <f t="shared" si="81"/>
        <v>2025-08</v>
      </c>
    </row>
    <row r="2612" spans="1:15" x14ac:dyDescent="0.3">
      <c r="A2612" t="s">
        <v>6184</v>
      </c>
      <c r="B2612" t="s">
        <v>6185</v>
      </c>
      <c r="C2612" t="s">
        <v>58</v>
      </c>
      <c r="D2612" t="s">
        <v>38</v>
      </c>
      <c r="E2612" t="s">
        <v>45</v>
      </c>
      <c r="F2612" t="s">
        <v>94</v>
      </c>
      <c r="G2612">
        <v>0.45</v>
      </c>
      <c r="H2612" t="s">
        <v>47</v>
      </c>
      <c r="I2612" t="s">
        <v>48</v>
      </c>
      <c r="J2612" t="s">
        <v>113</v>
      </c>
      <c r="K2612">
        <v>306.52</v>
      </c>
      <c r="L2612" t="s">
        <v>6186</v>
      </c>
      <c r="M2612">
        <f>VLOOKUP(H2612,'Stage Order'!$A$2:$B$8,2,FALSE)</f>
        <v>4</v>
      </c>
      <c r="N2612" t="str">
        <f t="shared" si="80"/>
        <v>1. Under 1 hour</v>
      </c>
      <c r="O2612" t="str">
        <f t="shared" si="81"/>
        <v>2026-05</v>
      </c>
    </row>
    <row r="2613" spans="1:15" x14ac:dyDescent="0.3">
      <c r="A2613" t="s">
        <v>6187</v>
      </c>
      <c r="B2613" t="s">
        <v>6188</v>
      </c>
      <c r="C2613" t="s">
        <v>53</v>
      </c>
      <c r="D2613" t="s">
        <v>38</v>
      </c>
      <c r="E2613" t="s">
        <v>59</v>
      </c>
      <c r="F2613" t="s">
        <v>117</v>
      </c>
      <c r="G2613">
        <v>1.44</v>
      </c>
      <c r="H2613" t="s">
        <v>32</v>
      </c>
      <c r="I2613" t="s">
        <v>33</v>
      </c>
      <c r="K2613">
        <v>299.19</v>
      </c>
      <c r="L2613" t="s">
        <v>6189</v>
      </c>
      <c r="M2613">
        <f>VLOOKUP(H2613,'Stage Order'!$A$2:$B$8,2,FALSE)</f>
        <v>7</v>
      </c>
      <c r="N2613" t="str">
        <f t="shared" si="80"/>
        <v>2. 1-24 hours</v>
      </c>
      <c r="O2613" t="str">
        <f t="shared" si="81"/>
        <v>2025-10</v>
      </c>
    </row>
    <row r="2614" spans="1:15" x14ac:dyDescent="0.3">
      <c r="A2614" t="s">
        <v>6190</v>
      </c>
      <c r="B2614" t="s">
        <v>6191</v>
      </c>
      <c r="C2614" t="s">
        <v>37</v>
      </c>
      <c r="D2614" t="s">
        <v>77</v>
      </c>
      <c r="E2614" t="s">
        <v>45</v>
      </c>
      <c r="F2614" t="s">
        <v>94</v>
      </c>
      <c r="G2614">
        <v>5.77</v>
      </c>
      <c r="H2614" t="s">
        <v>41</v>
      </c>
      <c r="I2614" t="s">
        <v>42</v>
      </c>
      <c r="M2614">
        <f>VLOOKUP(H2614,'Stage Order'!$A$2:$B$8,2,FALSE)</f>
        <v>2</v>
      </c>
      <c r="N2614" t="str">
        <f t="shared" si="80"/>
        <v>2. 1-24 hours</v>
      </c>
      <c r="O2614" t="str">
        <f t="shared" si="81"/>
        <v>2025-11</v>
      </c>
    </row>
    <row r="2615" spans="1:15" x14ac:dyDescent="0.3">
      <c r="A2615" t="s">
        <v>6192</v>
      </c>
      <c r="B2615" t="s">
        <v>6193</v>
      </c>
      <c r="C2615" t="s">
        <v>58</v>
      </c>
      <c r="D2615" t="s">
        <v>29</v>
      </c>
      <c r="E2615" t="s">
        <v>59</v>
      </c>
      <c r="F2615" t="s">
        <v>60</v>
      </c>
      <c r="G2615">
        <v>1.04</v>
      </c>
      <c r="H2615" t="s">
        <v>41</v>
      </c>
      <c r="I2615" t="s">
        <v>42</v>
      </c>
      <c r="M2615">
        <f>VLOOKUP(H2615,'Stage Order'!$A$2:$B$8,2,FALSE)</f>
        <v>2</v>
      </c>
      <c r="N2615" t="str">
        <f t="shared" si="80"/>
        <v>2. 1-24 hours</v>
      </c>
      <c r="O2615" t="str">
        <f t="shared" si="81"/>
        <v>2026-03</v>
      </c>
    </row>
    <row r="2616" spans="1:15" x14ac:dyDescent="0.3">
      <c r="A2616" t="s">
        <v>6194</v>
      </c>
      <c r="B2616" t="s">
        <v>6195</v>
      </c>
      <c r="C2616" t="s">
        <v>76</v>
      </c>
      <c r="D2616" t="s">
        <v>77</v>
      </c>
      <c r="E2616" t="s">
        <v>45</v>
      </c>
      <c r="F2616" t="s">
        <v>46</v>
      </c>
      <c r="G2616">
        <v>1.51</v>
      </c>
      <c r="H2616" t="s">
        <v>41</v>
      </c>
      <c r="I2616" t="s">
        <v>42</v>
      </c>
      <c r="M2616">
        <f>VLOOKUP(H2616,'Stage Order'!$A$2:$B$8,2,FALSE)</f>
        <v>2</v>
      </c>
      <c r="N2616" t="str">
        <f t="shared" si="80"/>
        <v>2. 1-24 hours</v>
      </c>
      <c r="O2616" t="str">
        <f t="shared" si="81"/>
        <v>2025-04</v>
      </c>
    </row>
    <row r="2617" spans="1:15" x14ac:dyDescent="0.3">
      <c r="A2617" t="s">
        <v>6196</v>
      </c>
      <c r="B2617" t="s">
        <v>6197</v>
      </c>
      <c r="C2617" t="s">
        <v>53</v>
      </c>
      <c r="D2617" t="s">
        <v>77</v>
      </c>
      <c r="E2617" t="s">
        <v>45</v>
      </c>
      <c r="F2617" t="s">
        <v>46</v>
      </c>
      <c r="G2617">
        <v>2.93</v>
      </c>
      <c r="H2617" t="s">
        <v>32</v>
      </c>
      <c r="I2617" t="s">
        <v>33</v>
      </c>
      <c r="K2617">
        <v>1002.38</v>
      </c>
      <c r="L2617" t="s">
        <v>6198</v>
      </c>
      <c r="M2617">
        <f>VLOOKUP(H2617,'Stage Order'!$A$2:$B$8,2,FALSE)</f>
        <v>7</v>
      </c>
      <c r="N2617" t="str">
        <f t="shared" si="80"/>
        <v>2. 1-24 hours</v>
      </c>
      <c r="O2617" t="str">
        <f t="shared" si="81"/>
        <v>2026-02</v>
      </c>
    </row>
    <row r="2618" spans="1:15" x14ac:dyDescent="0.3">
      <c r="A2618" t="s">
        <v>6199</v>
      </c>
      <c r="B2618" t="s">
        <v>6200</v>
      </c>
      <c r="C2618" t="s">
        <v>81</v>
      </c>
      <c r="D2618" t="s">
        <v>77</v>
      </c>
      <c r="E2618" t="s">
        <v>45</v>
      </c>
      <c r="F2618" t="s">
        <v>46</v>
      </c>
      <c r="G2618">
        <v>1.25</v>
      </c>
      <c r="H2618" t="s">
        <v>41</v>
      </c>
      <c r="I2618" t="s">
        <v>42</v>
      </c>
      <c r="M2618">
        <f>VLOOKUP(H2618,'Stage Order'!$A$2:$B$8,2,FALSE)</f>
        <v>2</v>
      </c>
      <c r="N2618" t="str">
        <f t="shared" si="80"/>
        <v>2. 1-24 hours</v>
      </c>
      <c r="O2618" t="str">
        <f t="shared" si="81"/>
        <v>2026-06</v>
      </c>
    </row>
    <row r="2619" spans="1:15" x14ac:dyDescent="0.3">
      <c r="A2619" t="s">
        <v>6201</v>
      </c>
      <c r="B2619" t="s">
        <v>6202</v>
      </c>
      <c r="C2619" t="s">
        <v>58</v>
      </c>
      <c r="D2619" t="s">
        <v>77</v>
      </c>
      <c r="E2619" t="s">
        <v>59</v>
      </c>
      <c r="F2619" t="s">
        <v>137</v>
      </c>
      <c r="G2619">
        <v>7.44</v>
      </c>
      <c r="H2619" t="s">
        <v>47</v>
      </c>
      <c r="I2619" t="s">
        <v>48</v>
      </c>
      <c r="J2619" t="s">
        <v>49</v>
      </c>
      <c r="K2619">
        <v>1107.57</v>
      </c>
      <c r="L2619" t="s">
        <v>6203</v>
      </c>
      <c r="M2619">
        <f>VLOOKUP(H2619,'Stage Order'!$A$2:$B$8,2,FALSE)</f>
        <v>4</v>
      </c>
      <c r="N2619" t="str">
        <f t="shared" si="80"/>
        <v>2. 1-24 hours</v>
      </c>
      <c r="O2619" t="str">
        <f t="shared" si="81"/>
        <v>2026-02</v>
      </c>
    </row>
    <row r="2620" spans="1:15" x14ac:dyDescent="0.3">
      <c r="A2620" t="s">
        <v>6204</v>
      </c>
      <c r="B2620" t="s">
        <v>6205</v>
      </c>
      <c r="C2620" t="s">
        <v>81</v>
      </c>
      <c r="D2620" t="s">
        <v>29</v>
      </c>
      <c r="E2620" t="s">
        <v>30</v>
      </c>
      <c r="F2620" t="s">
        <v>31</v>
      </c>
      <c r="G2620">
        <v>1.44</v>
      </c>
      <c r="H2620" t="s">
        <v>128</v>
      </c>
      <c r="I2620" t="s">
        <v>42</v>
      </c>
      <c r="M2620">
        <f>VLOOKUP(H2620,'Stage Order'!$A$2:$B$8,2,FALSE)</f>
        <v>3</v>
      </c>
      <c r="N2620" t="str">
        <f t="shared" si="80"/>
        <v>2. 1-24 hours</v>
      </c>
      <c r="O2620" t="str">
        <f t="shared" si="81"/>
        <v>2026-05</v>
      </c>
    </row>
    <row r="2621" spans="1:15" x14ac:dyDescent="0.3">
      <c r="A2621" t="s">
        <v>6206</v>
      </c>
      <c r="B2621" t="s">
        <v>6207</v>
      </c>
      <c r="C2621" t="s">
        <v>125</v>
      </c>
      <c r="D2621" t="s">
        <v>77</v>
      </c>
      <c r="E2621" t="s">
        <v>30</v>
      </c>
      <c r="F2621" t="s">
        <v>82</v>
      </c>
      <c r="G2621">
        <v>7.89</v>
      </c>
      <c r="H2621" t="s">
        <v>61</v>
      </c>
      <c r="I2621" t="s">
        <v>42</v>
      </c>
      <c r="M2621">
        <f>VLOOKUP(H2621,'Stage Order'!$A$2:$B$8,2,FALSE)</f>
        <v>1</v>
      </c>
      <c r="N2621" t="str">
        <f t="shared" si="80"/>
        <v>2. 1-24 hours</v>
      </c>
      <c r="O2621" t="str">
        <f t="shared" si="81"/>
        <v>2025-01</v>
      </c>
    </row>
    <row r="2622" spans="1:15" x14ac:dyDescent="0.3">
      <c r="A2622" t="s">
        <v>6208</v>
      </c>
      <c r="B2622" t="s">
        <v>6209</v>
      </c>
      <c r="C2622" t="s">
        <v>28</v>
      </c>
      <c r="D2622" t="s">
        <v>54</v>
      </c>
      <c r="E2622" t="s">
        <v>45</v>
      </c>
      <c r="F2622" t="s">
        <v>94</v>
      </c>
      <c r="G2622">
        <v>1.31</v>
      </c>
      <c r="H2622" t="s">
        <v>41</v>
      </c>
      <c r="I2622" t="s">
        <v>42</v>
      </c>
      <c r="M2622">
        <f>VLOOKUP(H2622,'Stage Order'!$A$2:$B$8,2,FALSE)</f>
        <v>2</v>
      </c>
      <c r="N2622" t="str">
        <f t="shared" si="80"/>
        <v>2. 1-24 hours</v>
      </c>
      <c r="O2622" t="str">
        <f t="shared" si="81"/>
        <v>2025-03</v>
      </c>
    </row>
    <row r="2623" spans="1:15" x14ac:dyDescent="0.3">
      <c r="A2623" t="s">
        <v>6210</v>
      </c>
      <c r="B2623" t="s">
        <v>6211</v>
      </c>
      <c r="C2623" t="s">
        <v>58</v>
      </c>
      <c r="D2623" t="s">
        <v>77</v>
      </c>
      <c r="E2623" t="s">
        <v>45</v>
      </c>
      <c r="F2623" t="s">
        <v>46</v>
      </c>
      <c r="G2623">
        <v>1.37</v>
      </c>
      <c r="H2623" t="s">
        <v>138</v>
      </c>
      <c r="I2623" t="s">
        <v>48</v>
      </c>
      <c r="J2623" t="s">
        <v>49</v>
      </c>
      <c r="K2623">
        <v>1145.95</v>
      </c>
      <c r="L2623" t="s">
        <v>6212</v>
      </c>
      <c r="M2623">
        <f>VLOOKUP(H2623,'Stage Order'!$A$2:$B$8,2,FALSE)</f>
        <v>6</v>
      </c>
      <c r="N2623" t="str">
        <f t="shared" si="80"/>
        <v>2. 1-24 hours</v>
      </c>
      <c r="O2623" t="str">
        <f t="shared" si="81"/>
        <v>2025-01</v>
      </c>
    </row>
    <row r="2624" spans="1:15" x14ac:dyDescent="0.3">
      <c r="A2624" t="s">
        <v>6213</v>
      </c>
      <c r="B2624" t="s">
        <v>6214</v>
      </c>
      <c r="C2624" t="s">
        <v>37</v>
      </c>
      <c r="D2624" t="s">
        <v>97</v>
      </c>
      <c r="E2624" t="s">
        <v>45</v>
      </c>
      <c r="F2624" t="s">
        <v>94</v>
      </c>
      <c r="G2624">
        <v>6.28</v>
      </c>
      <c r="H2624" t="s">
        <v>41</v>
      </c>
      <c r="I2624" t="s">
        <v>42</v>
      </c>
      <c r="M2624">
        <f>VLOOKUP(H2624,'Stage Order'!$A$2:$B$8,2,FALSE)</f>
        <v>2</v>
      </c>
      <c r="N2624" t="str">
        <f t="shared" si="80"/>
        <v>2. 1-24 hours</v>
      </c>
      <c r="O2624" t="str">
        <f t="shared" si="81"/>
        <v>2025-01</v>
      </c>
    </row>
    <row r="2625" spans="1:15" x14ac:dyDescent="0.3">
      <c r="A2625" t="s">
        <v>6215</v>
      </c>
      <c r="B2625" t="s">
        <v>6216</v>
      </c>
      <c r="C2625" t="s">
        <v>28</v>
      </c>
      <c r="D2625" t="s">
        <v>77</v>
      </c>
      <c r="E2625" t="s">
        <v>45</v>
      </c>
      <c r="F2625" t="s">
        <v>46</v>
      </c>
      <c r="G2625">
        <v>2.81</v>
      </c>
      <c r="H2625" t="s">
        <v>61</v>
      </c>
      <c r="I2625" t="s">
        <v>42</v>
      </c>
      <c r="M2625">
        <f>VLOOKUP(H2625,'Stage Order'!$A$2:$B$8,2,FALSE)</f>
        <v>1</v>
      </c>
      <c r="N2625" t="str">
        <f t="shared" si="80"/>
        <v>2. 1-24 hours</v>
      </c>
      <c r="O2625" t="str">
        <f t="shared" si="81"/>
        <v>2025-11</v>
      </c>
    </row>
    <row r="2626" spans="1:15" x14ac:dyDescent="0.3">
      <c r="A2626" t="s">
        <v>6217</v>
      </c>
      <c r="B2626" t="s">
        <v>6218</v>
      </c>
      <c r="C2626" t="s">
        <v>53</v>
      </c>
      <c r="D2626" t="s">
        <v>29</v>
      </c>
      <c r="E2626" t="s">
        <v>39</v>
      </c>
      <c r="F2626" t="s">
        <v>66</v>
      </c>
      <c r="G2626">
        <v>26.36</v>
      </c>
      <c r="H2626" t="s">
        <v>41</v>
      </c>
      <c r="I2626" t="s">
        <v>42</v>
      </c>
      <c r="M2626">
        <f>VLOOKUP(H2626,'Stage Order'!$A$2:$B$8,2,FALSE)</f>
        <v>2</v>
      </c>
      <c r="N2626" t="str">
        <f t="shared" ref="N2626:N2689" si="82">IF(G2626&lt;=1,"1. Under 1 hour",IF(G2626&lt;=24,"2. 1-24 hours",IF(G2626&lt;=72,"3. 1-3 days","4. Over 3 days")))</f>
        <v>3. 1-3 days</v>
      </c>
      <c r="O2626" t="str">
        <f t="shared" ref="O2626:O2689" si="83">TEXT(B2626,"YYYY-MM")</f>
        <v>2025-09</v>
      </c>
    </row>
    <row r="2627" spans="1:15" x14ac:dyDescent="0.3">
      <c r="A2627" t="s">
        <v>6219</v>
      </c>
      <c r="B2627" t="s">
        <v>6220</v>
      </c>
      <c r="C2627" t="s">
        <v>81</v>
      </c>
      <c r="D2627" t="s">
        <v>54</v>
      </c>
      <c r="E2627" t="s">
        <v>39</v>
      </c>
      <c r="F2627" t="s">
        <v>40</v>
      </c>
      <c r="G2627">
        <v>4.29</v>
      </c>
      <c r="H2627" t="s">
        <v>41</v>
      </c>
      <c r="I2627" t="s">
        <v>42</v>
      </c>
      <c r="M2627">
        <f>VLOOKUP(H2627,'Stage Order'!$A$2:$B$8,2,FALSE)</f>
        <v>2</v>
      </c>
      <c r="N2627" t="str">
        <f t="shared" si="82"/>
        <v>2. 1-24 hours</v>
      </c>
      <c r="O2627" t="str">
        <f t="shared" si="83"/>
        <v>2026-04</v>
      </c>
    </row>
    <row r="2628" spans="1:15" x14ac:dyDescent="0.3">
      <c r="A2628" t="s">
        <v>6221</v>
      </c>
      <c r="B2628" t="s">
        <v>6222</v>
      </c>
      <c r="C2628" t="s">
        <v>37</v>
      </c>
      <c r="D2628" t="s">
        <v>97</v>
      </c>
      <c r="E2628" t="s">
        <v>45</v>
      </c>
      <c r="F2628" t="s">
        <v>94</v>
      </c>
      <c r="G2628">
        <v>0.63</v>
      </c>
      <c r="H2628" t="s">
        <v>138</v>
      </c>
      <c r="I2628" t="s">
        <v>48</v>
      </c>
      <c r="J2628" t="s">
        <v>98</v>
      </c>
      <c r="K2628">
        <v>1211.6600000000001</v>
      </c>
      <c r="L2628" t="s">
        <v>6223</v>
      </c>
      <c r="M2628">
        <f>VLOOKUP(H2628,'Stage Order'!$A$2:$B$8,2,FALSE)</f>
        <v>6</v>
      </c>
      <c r="N2628" t="str">
        <f t="shared" si="82"/>
        <v>1. Under 1 hour</v>
      </c>
      <c r="O2628" t="str">
        <f t="shared" si="83"/>
        <v>2026-05</v>
      </c>
    </row>
    <row r="2629" spans="1:15" x14ac:dyDescent="0.3">
      <c r="A2629" t="s">
        <v>6224</v>
      </c>
      <c r="B2629" t="s">
        <v>6225</v>
      </c>
      <c r="C2629" t="s">
        <v>125</v>
      </c>
      <c r="D2629" t="s">
        <v>29</v>
      </c>
      <c r="E2629" t="s">
        <v>45</v>
      </c>
      <c r="F2629" t="s">
        <v>55</v>
      </c>
      <c r="G2629">
        <v>0.82</v>
      </c>
      <c r="H2629" t="s">
        <v>138</v>
      </c>
      <c r="I2629" t="s">
        <v>48</v>
      </c>
      <c r="J2629" t="s">
        <v>139</v>
      </c>
      <c r="K2629">
        <v>676.52</v>
      </c>
      <c r="L2629" t="s">
        <v>6226</v>
      </c>
      <c r="M2629">
        <f>VLOOKUP(H2629,'Stage Order'!$A$2:$B$8,2,FALSE)</f>
        <v>6</v>
      </c>
      <c r="N2629" t="str">
        <f t="shared" si="82"/>
        <v>1. Under 1 hour</v>
      </c>
      <c r="O2629" t="str">
        <f t="shared" si="83"/>
        <v>2026-01</v>
      </c>
    </row>
    <row r="2630" spans="1:15" x14ac:dyDescent="0.3">
      <c r="A2630" t="s">
        <v>6227</v>
      </c>
      <c r="B2630" t="s">
        <v>6228</v>
      </c>
      <c r="C2630" t="s">
        <v>37</v>
      </c>
      <c r="D2630" t="s">
        <v>77</v>
      </c>
      <c r="E2630" t="s">
        <v>90</v>
      </c>
      <c r="F2630" t="s">
        <v>112</v>
      </c>
      <c r="G2630">
        <v>0.61</v>
      </c>
      <c r="H2630" t="s">
        <v>41</v>
      </c>
      <c r="I2630" t="s">
        <v>42</v>
      </c>
      <c r="M2630">
        <f>VLOOKUP(H2630,'Stage Order'!$A$2:$B$8,2,FALSE)</f>
        <v>2</v>
      </c>
      <c r="N2630" t="str">
        <f t="shared" si="82"/>
        <v>1. Under 1 hour</v>
      </c>
      <c r="O2630" t="str">
        <f t="shared" si="83"/>
        <v>2026-04</v>
      </c>
    </row>
    <row r="2631" spans="1:15" x14ac:dyDescent="0.3">
      <c r="A2631" t="s">
        <v>6229</v>
      </c>
      <c r="B2631" t="s">
        <v>3227</v>
      </c>
      <c r="C2631" t="s">
        <v>58</v>
      </c>
      <c r="D2631" t="s">
        <v>38</v>
      </c>
      <c r="E2631" t="s">
        <v>30</v>
      </c>
      <c r="F2631" t="s">
        <v>82</v>
      </c>
      <c r="G2631">
        <v>3.13</v>
      </c>
      <c r="H2631" t="s">
        <v>61</v>
      </c>
      <c r="I2631" t="s">
        <v>42</v>
      </c>
      <c r="M2631">
        <f>VLOOKUP(H2631,'Stage Order'!$A$2:$B$8,2,FALSE)</f>
        <v>1</v>
      </c>
      <c r="N2631" t="str">
        <f t="shared" si="82"/>
        <v>2. 1-24 hours</v>
      </c>
      <c r="O2631" t="str">
        <f t="shared" si="83"/>
        <v>2025-02</v>
      </c>
    </row>
    <row r="2632" spans="1:15" x14ac:dyDescent="0.3">
      <c r="A2632" t="s">
        <v>6230</v>
      </c>
      <c r="B2632" t="s">
        <v>6231</v>
      </c>
      <c r="C2632" t="s">
        <v>58</v>
      </c>
      <c r="D2632" t="s">
        <v>29</v>
      </c>
      <c r="E2632" t="s">
        <v>45</v>
      </c>
      <c r="F2632" t="s">
        <v>55</v>
      </c>
      <c r="G2632">
        <v>4.99</v>
      </c>
      <c r="H2632" t="s">
        <v>146</v>
      </c>
      <c r="I2632" t="s">
        <v>48</v>
      </c>
      <c r="J2632" t="s">
        <v>49</v>
      </c>
      <c r="K2632">
        <v>743.86</v>
      </c>
      <c r="L2632" t="s">
        <v>6232</v>
      </c>
      <c r="M2632">
        <f>VLOOKUP(H2632,'Stage Order'!$A$2:$B$8,2,FALSE)</f>
        <v>5</v>
      </c>
      <c r="N2632" t="str">
        <f t="shared" si="82"/>
        <v>2. 1-24 hours</v>
      </c>
      <c r="O2632" t="str">
        <f t="shared" si="83"/>
        <v>2025-09</v>
      </c>
    </row>
    <row r="2633" spans="1:15" x14ac:dyDescent="0.3">
      <c r="A2633" t="s">
        <v>6233</v>
      </c>
      <c r="B2633" t="s">
        <v>6234</v>
      </c>
      <c r="C2633" t="s">
        <v>125</v>
      </c>
      <c r="D2633" t="s">
        <v>29</v>
      </c>
      <c r="E2633" t="s">
        <v>30</v>
      </c>
      <c r="F2633" t="s">
        <v>78</v>
      </c>
      <c r="G2633">
        <v>1.28</v>
      </c>
      <c r="H2633" t="s">
        <v>61</v>
      </c>
      <c r="I2633" t="s">
        <v>42</v>
      </c>
      <c r="M2633">
        <f>VLOOKUP(H2633,'Stage Order'!$A$2:$B$8,2,FALSE)</f>
        <v>1</v>
      </c>
      <c r="N2633" t="str">
        <f t="shared" si="82"/>
        <v>2. 1-24 hours</v>
      </c>
      <c r="O2633" t="str">
        <f t="shared" si="83"/>
        <v>2025-03</v>
      </c>
    </row>
    <row r="2634" spans="1:15" x14ac:dyDescent="0.3">
      <c r="A2634" t="s">
        <v>6235</v>
      </c>
      <c r="B2634" t="s">
        <v>6236</v>
      </c>
      <c r="C2634" t="s">
        <v>125</v>
      </c>
      <c r="D2634" t="s">
        <v>38</v>
      </c>
      <c r="E2634" t="s">
        <v>59</v>
      </c>
      <c r="F2634" t="s">
        <v>117</v>
      </c>
      <c r="G2634">
        <v>5.86</v>
      </c>
      <c r="H2634" t="s">
        <v>47</v>
      </c>
      <c r="I2634" t="s">
        <v>48</v>
      </c>
      <c r="J2634" t="s">
        <v>139</v>
      </c>
      <c r="K2634">
        <v>294.94</v>
      </c>
      <c r="L2634" t="s">
        <v>6237</v>
      </c>
      <c r="M2634">
        <f>VLOOKUP(H2634,'Stage Order'!$A$2:$B$8,2,FALSE)</f>
        <v>4</v>
      </c>
      <c r="N2634" t="str">
        <f t="shared" si="82"/>
        <v>2. 1-24 hours</v>
      </c>
      <c r="O2634" t="str">
        <f t="shared" si="83"/>
        <v>2025-01</v>
      </c>
    </row>
    <row r="2635" spans="1:15" x14ac:dyDescent="0.3">
      <c r="A2635" t="s">
        <v>6238</v>
      </c>
      <c r="B2635" t="s">
        <v>6239</v>
      </c>
      <c r="C2635" t="s">
        <v>125</v>
      </c>
      <c r="D2635" t="s">
        <v>77</v>
      </c>
      <c r="E2635" t="s">
        <v>59</v>
      </c>
      <c r="F2635" t="s">
        <v>137</v>
      </c>
      <c r="G2635">
        <v>19.16</v>
      </c>
      <c r="H2635" t="s">
        <v>41</v>
      </c>
      <c r="I2635" t="s">
        <v>42</v>
      </c>
      <c r="M2635">
        <f>VLOOKUP(H2635,'Stage Order'!$A$2:$B$8,2,FALSE)</f>
        <v>2</v>
      </c>
      <c r="N2635" t="str">
        <f t="shared" si="82"/>
        <v>2. 1-24 hours</v>
      </c>
      <c r="O2635" t="str">
        <f t="shared" si="83"/>
        <v>2026-04</v>
      </c>
    </row>
    <row r="2636" spans="1:15" x14ac:dyDescent="0.3">
      <c r="A2636" t="s">
        <v>6240</v>
      </c>
      <c r="B2636" t="s">
        <v>6241</v>
      </c>
      <c r="C2636" t="s">
        <v>125</v>
      </c>
      <c r="D2636" t="s">
        <v>54</v>
      </c>
      <c r="E2636" t="s">
        <v>90</v>
      </c>
      <c r="F2636" t="s">
        <v>112</v>
      </c>
      <c r="G2636">
        <v>4.2300000000000004</v>
      </c>
      <c r="H2636" t="s">
        <v>61</v>
      </c>
      <c r="I2636" t="s">
        <v>42</v>
      </c>
      <c r="M2636">
        <f>VLOOKUP(H2636,'Stage Order'!$A$2:$B$8,2,FALSE)</f>
        <v>1</v>
      </c>
      <c r="N2636" t="str">
        <f t="shared" si="82"/>
        <v>2. 1-24 hours</v>
      </c>
      <c r="O2636" t="str">
        <f t="shared" si="83"/>
        <v>2026-02</v>
      </c>
    </row>
    <row r="2637" spans="1:15" x14ac:dyDescent="0.3">
      <c r="A2637" t="s">
        <v>6242</v>
      </c>
      <c r="B2637" t="s">
        <v>6243</v>
      </c>
      <c r="C2637" t="s">
        <v>125</v>
      </c>
      <c r="D2637" t="s">
        <v>77</v>
      </c>
      <c r="E2637" t="s">
        <v>39</v>
      </c>
      <c r="F2637" t="s">
        <v>106</v>
      </c>
      <c r="G2637">
        <v>2.2599999999999998</v>
      </c>
      <c r="H2637" t="s">
        <v>146</v>
      </c>
      <c r="I2637" t="s">
        <v>48</v>
      </c>
      <c r="J2637" t="s">
        <v>139</v>
      </c>
      <c r="K2637">
        <v>1060.01</v>
      </c>
      <c r="L2637" t="s">
        <v>6244</v>
      </c>
      <c r="M2637">
        <f>VLOOKUP(H2637,'Stage Order'!$A$2:$B$8,2,FALSE)</f>
        <v>5</v>
      </c>
      <c r="N2637" t="str">
        <f t="shared" si="82"/>
        <v>2. 1-24 hours</v>
      </c>
      <c r="O2637" t="str">
        <f t="shared" si="83"/>
        <v>2025-07</v>
      </c>
    </row>
    <row r="2638" spans="1:15" x14ac:dyDescent="0.3">
      <c r="A2638" t="s">
        <v>6245</v>
      </c>
      <c r="B2638" t="s">
        <v>6246</v>
      </c>
      <c r="C2638" t="s">
        <v>81</v>
      </c>
      <c r="D2638" t="s">
        <v>77</v>
      </c>
      <c r="E2638" t="s">
        <v>39</v>
      </c>
      <c r="F2638" t="s">
        <v>40</v>
      </c>
      <c r="G2638">
        <v>4.41</v>
      </c>
      <c r="H2638" t="s">
        <v>61</v>
      </c>
      <c r="I2638" t="s">
        <v>42</v>
      </c>
      <c r="M2638">
        <f>VLOOKUP(H2638,'Stage Order'!$A$2:$B$8,2,FALSE)</f>
        <v>1</v>
      </c>
      <c r="N2638" t="str">
        <f t="shared" si="82"/>
        <v>2. 1-24 hours</v>
      </c>
      <c r="O2638" t="str">
        <f t="shared" si="83"/>
        <v>2025-08</v>
      </c>
    </row>
    <row r="2639" spans="1:15" x14ac:dyDescent="0.3">
      <c r="A2639" t="s">
        <v>6247</v>
      </c>
      <c r="B2639" t="s">
        <v>6248</v>
      </c>
      <c r="C2639" t="s">
        <v>81</v>
      </c>
      <c r="D2639" t="s">
        <v>54</v>
      </c>
      <c r="E2639" t="s">
        <v>39</v>
      </c>
      <c r="F2639" t="s">
        <v>66</v>
      </c>
      <c r="G2639">
        <v>2.75</v>
      </c>
      <c r="H2639" t="s">
        <v>61</v>
      </c>
      <c r="I2639" t="s">
        <v>42</v>
      </c>
      <c r="M2639">
        <f>VLOOKUP(H2639,'Stage Order'!$A$2:$B$8,2,FALSE)</f>
        <v>1</v>
      </c>
      <c r="N2639" t="str">
        <f t="shared" si="82"/>
        <v>2. 1-24 hours</v>
      </c>
      <c r="O2639" t="str">
        <f t="shared" si="83"/>
        <v>2025-02</v>
      </c>
    </row>
    <row r="2640" spans="1:15" x14ac:dyDescent="0.3">
      <c r="A2640" t="s">
        <v>6249</v>
      </c>
      <c r="B2640" t="s">
        <v>6250</v>
      </c>
      <c r="C2640" t="s">
        <v>58</v>
      </c>
      <c r="D2640" t="s">
        <v>38</v>
      </c>
      <c r="E2640" t="s">
        <v>59</v>
      </c>
      <c r="F2640" t="s">
        <v>137</v>
      </c>
      <c r="G2640">
        <v>17.25</v>
      </c>
      <c r="H2640" t="s">
        <v>61</v>
      </c>
      <c r="I2640" t="s">
        <v>42</v>
      </c>
      <c r="M2640">
        <f>VLOOKUP(H2640,'Stage Order'!$A$2:$B$8,2,FALSE)</f>
        <v>1</v>
      </c>
      <c r="N2640" t="str">
        <f t="shared" si="82"/>
        <v>2. 1-24 hours</v>
      </c>
      <c r="O2640" t="str">
        <f t="shared" si="83"/>
        <v>2025-08</v>
      </c>
    </row>
    <row r="2641" spans="1:15" x14ac:dyDescent="0.3">
      <c r="A2641" t="s">
        <v>6251</v>
      </c>
      <c r="B2641" t="s">
        <v>6252</v>
      </c>
      <c r="C2641" t="s">
        <v>37</v>
      </c>
      <c r="D2641" t="s">
        <v>54</v>
      </c>
      <c r="E2641" t="s">
        <v>90</v>
      </c>
      <c r="F2641" t="s">
        <v>112</v>
      </c>
      <c r="G2641">
        <v>1.68</v>
      </c>
      <c r="H2641" t="s">
        <v>41</v>
      </c>
      <c r="I2641" t="s">
        <v>42</v>
      </c>
      <c r="M2641">
        <f>VLOOKUP(H2641,'Stage Order'!$A$2:$B$8,2,FALSE)</f>
        <v>2</v>
      </c>
      <c r="N2641" t="str">
        <f t="shared" si="82"/>
        <v>2. 1-24 hours</v>
      </c>
      <c r="O2641" t="str">
        <f t="shared" si="83"/>
        <v>2026-04</v>
      </c>
    </row>
    <row r="2642" spans="1:15" x14ac:dyDescent="0.3">
      <c r="A2642" t="s">
        <v>6253</v>
      </c>
      <c r="B2642" t="s">
        <v>6254</v>
      </c>
      <c r="C2642" t="s">
        <v>53</v>
      </c>
      <c r="D2642" t="s">
        <v>54</v>
      </c>
      <c r="E2642" t="s">
        <v>90</v>
      </c>
      <c r="F2642" t="s">
        <v>91</v>
      </c>
      <c r="G2642">
        <v>0.79</v>
      </c>
      <c r="H2642" t="s">
        <v>41</v>
      </c>
      <c r="I2642" t="s">
        <v>42</v>
      </c>
      <c r="M2642">
        <f>VLOOKUP(H2642,'Stage Order'!$A$2:$B$8,2,FALSE)</f>
        <v>2</v>
      </c>
      <c r="N2642" t="str">
        <f t="shared" si="82"/>
        <v>1. Under 1 hour</v>
      </c>
      <c r="O2642" t="str">
        <f t="shared" si="83"/>
        <v>2026-04</v>
      </c>
    </row>
    <row r="2643" spans="1:15" x14ac:dyDescent="0.3">
      <c r="A2643" t="s">
        <v>6255</v>
      </c>
      <c r="B2643" t="s">
        <v>6256</v>
      </c>
      <c r="C2643" t="s">
        <v>58</v>
      </c>
      <c r="D2643" t="s">
        <v>38</v>
      </c>
      <c r="E2643" t="s">
        <v>59</v>
      </c>
      <c r="F2643" t="s">
        <v>117</v>
      </c>
      <c r="G2643">
        <v>5.0999999999999996</v>
      </c>
      <c r="H2643" t="s">
        <v>32</v>
      </c>
      <c r="I2643" t="s">
        <v>33</v>
      </c>
      <c r="K2643">
        <v>342.17</v>
      </c>
      <c r="L2643" t="s">
        <v>6257</v>
      </c>
      <c r="M2643">
        <f>VLOOKUP(H2643,'Stage Order'!$A$2:$B$8,2,FALSE)</f>
        <v>7</v>
      </c>
      <c r="N2643" t="str">
        <f t="shared" si="82"/>
        <v>2. 1-24 hours</v>
      </c>
      <c r="O2643" t="str">
        <f t="shared" si="83"/>
        <v>2026-01</v>
      </c>
    </row>
    <row r="2644" spans="1:15" x14ac:dyDescent="0.3">
      <c r="A2644" t="s">
        <v>6258</v>
      </c>
      <c r="B2644" t="s">
        <v>6259</v>
      </c>
      <c r="C2644" t="s">
        <v>58</v>
      </c>
      <c r="D2644" t="s">
        <v>29</v>
      </c>
      <c r="E2644" t="s">
        <v>59</v>
      </c>
      <c r="F2644" t="s">
        <v>117</v>
      </c>
      <c r="G2644">
        <v>20.93</v>
      </c>
      <c r="H2644" t="s">
        <v>41</v>
      </c>
      <c r="I2644" t="s">
        <v>42</v>
      </c>
      <c r="M2644">
        <f>VLOOKUP(H2644,'Stage Order'!$A$2:$B$8,2,FALSE)</f>
        <v>2</v>
      </c>
      <c r="N2644" t="str">
        <f t="shared" si="82"/>
        <v>2. 1-24 hours</v>
      </c>
      <c r="O2644" t="str">
        <f t="shared" si="83"/>
        <v>2025-11</v>
      </c>
    </row>
    <row r="2645" spans="1:15" x14ac:dyDescent="0.3">
      <c r="A2645" t="s">
        <v>6260</v>
      </c>
      <c r="B2645" t="s">
        <v>6261</v>
      </c>
      <c r="C2645" t="s">
        <v>37</v>
      </c>
      <c r="D2645" t="s">
        <v>77</v>
      </c>
      <c r="E2645" t="s">
        <v>39</v>
      </c>
      <c r="F2645" t="s">
        <v>66</v>
      </c>
      <c r="G2645">
        <v>3.81</v>
      </c>
      <c r="H2645" t="s">
        <v>41</v>
      </c>
      <c r="I2645" t="s">
        <v>42</v>
      </c>
      <c r="M2645">
        <f>VLOOKUP(H2645,'Stage Order'!$A$2:$B$8,2,FALSE)</f>
        <v>2</v>
      </c>
      <c r="N2645" t="str">
        <f t="shared" si="82"/>
        <v>2. 1-24 hours</v>
      </c>
      <c r="O2645" t="str">
        <f t="shared" si="83"/>
        <v>2025-03</v>
      </c>
    </row>
    <row r="2646" spans="1:15" x14ac:dyDescent="0.3">
      <c r="A2646" t="s">
        <v>6262</v>
      </c>
      <c r="B2646" t="s">
        <v>6263</v>
      </c>
      <c r="C2646" t="s">
        <v>37</v>
      </c>
      <c r="D2646" t="s">
        <v>77</v>
      </c>
      <c r="E2646" t="s">
        <v>39</v>
      </c>
      <c r="F2646" t="s">
        <v>40</v>
      </c>
      <c r="G2646">
        <v>2.79</v>
      </c>
      <c r="H2646" t="s">
        <v>146</v>
      </c>
      <c r="I2646" t="s">
        <v>48</v>
      </c>
      <c r="J2646" t="s">
        <v>742</v>
      </c>
      <c r="K2646">
        <v>981.71</v>
      </c>
      <c r="L2646" t="s">
        <v>6264</v>
      </c>
      <c r="M2646">
        <f>VLOOKUP(H2646,'Stage Order'!$A$2:$B$8,2,FALSE)</f>
        <v>5</v>
      </c>
      <c r="N2646" t="str">
        <f t="shared" si="82"/>
        <v>2. 1-24 hours</v>
      </c>
      <c r="O2646" t="str">
        <f t="shared" si="83"/>
        <v>2026-04</v>
      </c>
    </row>
    <row r="2647" spans="1:15" x14ac:dyDescent="0.3">
      <c r="A2647" t="s">
        <v>6265</v>
      </c>
      <c r="B2647" t="s">
        <v>6266</v>
      </c>
      <c r="C2647" t="s">
        <v>125</v>
      </c>
      <c r="D2647" t="s">
        <v>97</v>
      </c>
      <c r="E2647" t="s">
        <v>59</v>
      </c>
      <c r="F2647" t="s">
        <v>137</v>
      </c>
      <c r="G2647">
        <v>4.41</v>
      </c>
      <c r="H2647" t="s">
        <v>61</v>
      </c>
      <c r="I2647" t="s">
        <v>42</v>
      </c>
      <c r="M2647">
        <f>VLOOKUP(H2647,'Stage Order'!$A$2:$B$8,2,FALSE)</f>
        <v>1</v>
      </c>
      <c r="N2647" t="str">
        <f t="shared" si="82"/>
        <v>2. 1-24 hours</v>
      </c>
      <c r="O2647" t="str">
        <f t="shared" si="83"/>
        <v>2026-05</v>
      </c>
    </row>
    <row r="2648" spans="1:15" x14ac:dyDescent="0.3">
      <c r="A2648" t="s">
        <v>6267</v>
      </c>
      <c r="B2648" t="s">
        <v>6268</v>
      </c>
      <c r="C2648" t="s">
        <v>28</v>
      </c>
      <c r="D2648" t="s">
        <v>97</v>
      </c>
      <c r="E2648" t="s">
        <v>45</v>
      </c>
      <c r="F2648" t="s">
        <v>94</v>
      </c>
      <c r="G2648">
        <v>0.92</v>
      </c>
      <c r="H2648" t="s">
        <v>32</v>
      </c>
      <c r="I2648" t="s">
        <v>33</v>
      </c>
      <c r="K2648">
        <v>1678.4</v>
      </c>
      <c r="L2648" t="s">
        <v>6269</v>
      </c>
      <c r="M2648">
        <f>VLOOKUP(H2648,'Stage Order'!$A$2:$B$8,2,FALSE)</f>
        <v>7</v>
      </c>
      <c r="N2648" t="str">
        <f t="shared" si="82"/>
        <v>1. Under 1 hour</v>
      </c>
      <c r="O2648" t="str">
        <f t="shared" si="83"/>
        <v>2025-03</v>
      </c>
    </row>
    <row r="2649" spans="1:15" x14ac:dyDescent="0.3">
      <c r="A2649" t="s">
        <v>6270</v>
      </c>
      <c r="B2649" t="s">
        <v>6271</v>
      </c>
      <c r="C2649" t="s">
        <v>37</v>
      </c>
      <c r="D2649" t="s">
        <v>29</v>
      </c>
      <c r="E2649" t="s">
        <v>90</v>
      </c>
      <c r="F2649" t="s">
        <v>145</v>
      </c>
      <c r="G2649">
        <v>3.97</v>
      </c>
      <c r="H2649" t="s">
        <v>61</v>
      </c>
      <c r="I2649" t="s">
        <v>42</v>
      </c>
      <c r="M2649">
        <f>VLOOKUP(H2649,'Stage Order'!$A$2:$B$8,2,FALSE)</f>
        <v>1</v>
      </c>
      <c r="N2649" t="str">
        <f t="shared" si="82"/>
        <v>2. 1-24 hours</v>
      </c>
      <c r="O2649" t="str">
        <f t="shared" si="83"/>
        <v>2026-04</v>
      </c>
    </row>
    <row r="2650" spans="1:15" x14ac:dyDescent="0.3">
      <c r="A2650" t="s">
        <v>6272</v>
      </c>
      <c r="B2650" t="s">
        <v>6273</v>
      </c>
      <c r="C2650" t="s">
        <v>37</v>
      </c>
      <c r="D2650" t="s">
        <v>77</v>
      </c>
      <c r="E2650" t="s">
        <v>45</v>
      </c>
      <c r="F2650" t="s">
        <v>55</v>
      </c>
      <c r="G2650">
        <v>1.28</v>
      </c>
      <c r="H2650" t="s">
        <v>41</v>
      </c>
      <c r="I2650" t="s">
        <v>42</v>
      </c>
      <c r="M2650">
        <f>VLOOKUP(H2650,'Stage Order'!$A$2:$B$8,2,FALSE)</f>
        <v>2</v>
      </c>
      <c r="N2650" t="str">
        <f t="shared" si="82"/>
        <v>2. 1-24 hours</v>
      </c>
      <c r="O2650" t="str">
        <f t="shared" si="83"/>
        <v>2025-03</v>
      </c>
    </row>
    <row r="2651" spans="1:15" x14ac:dyDescent="0.3">
      <c r="A2651" t="s">
        <v>6274</v>
      </c>
      <c r="B2651" t="s">
        <v>6275</v>
      </c>
      <c r="C2651" t="s">
        <v>81</v>
      </c>
      <c r="D2651" t="s">
        <v>29</v>
      </c>
      <c r="E2651" t="s">
        <v>39</v>
      </c>
      <c r="F2651" t="s">
        <v>40</v>
      </c>
      <c r="G2651">
        <v>3.63</v>
      </c>
      <c r="H2651" t="s">
        <v>41</v>
      </c>
      <c r="I2651" t="s">
        <v>42</v>
      </c>
      <c r="M2651">
        <f>VLOOKUP(H2651,'Stage Order'!$A$2:$B$8,2,FALSE)</f>
        <v>2</v>
      </c>
      <c r="N2651" t="str">
        <f t="shared" si="82"/>
        <v>2. 1-24 hours</v>
      </c>
      <c r="O2651" t="str">
        <f t="shared" si="83"/>
        <v>2025-01</v>
      </c>
    </row>
    <row r="2652" spans="1:15" x14ac:dyDescent="0.3">
      <c r="A2652" t="s">
        <v>6276</v>
      </c>
      <c r="B2652" t="s">
        <v>6277</v>
      </c>
      <c r="C2652" t="s">
        <v>28</v>
      </c>
      <c r="D2652" t="s">
        <v>77</v>
      </c>
      <c r="E2652" t="s">
        <v>59</v>
      </c>
      <c r="F2652" t="s">
        <v>60</v>
      </c>
      <c r="G2652">
        <v>1.3</v>
      </c>
      <c r="H2652" t="s">
        <v>41</v>
      </c>
      <c r="I2652" t="s">
        <v>42</v>
      </c>
      <c r="M2652">
        <f>VLOOKUP(H2652,'Stage Order'!$A$2:$B$8,2,FALSE)</f>
        <v>2</v>
      </c>
      <c r="N2652" t="str">
        <f t="shared" si="82"/>
        <v>2. 1-24 hours</v>
      </c>
      <c r="O2652" t="str">
        <f t="shared" si="83"/>
        <v>2025-01</v>
      </c>
    </row>
    <row r="2653" spans="1:15" x14ac:dyDescent="0.3">
      <c r="A2653" t="s">
        <v>6278</v>
      </c>
      <c r="B2653" t="s">
        <v>6279</v>
      </c>
      <c r="C2653" t="s">
        <v>28</v>
      </c>
      <c r="D2653" t="s">
        <v>97</v>
      </c>
      <c r="E2653" t="s">
        <v>39</v>
      </c>
      <c r="F2653" t="s">
        <v>40</v>
      </c>
      <c r="G2653">
        <v>3.35</v>
      </c>
      <c r="H2653" t="s">
        <v>41</v>
      </c>
      <c r="I2653" t="s">
        <v>42</v>
      </c>
      <c r="M2653">
        <f>VLOOKUP(H2653,'Stage Order'!$A$2:$B$8,2,FALSE)</f>
        <v>2</v>
      </c>
      <c r="N2653" t="str">
        <f t="shared" si="82"/>
        <v>2. 1-24 hours</v>
      </c>
      <c r="O2653" t="str">
        <f t="shared" si="83"/>
        <v>2025-06</v>
      </c>
    </row>
    <row r="2654" spans="1:15" x14ac:dyDescent="0.3">
      <c r="A2654" t="s">
        <v>6280</v>
      </c>
      <c r="B2654" t="s">
        <v>6281</v>
      </c>
      <c r="C2654" t="s">
        <v>125</v>
      </c>
      <c r="D2654" t="s">
        <v>97</v>
      </c>
      <c r="E2654" t="s">
        <v>30</v>
      </c>
      <c r="F2654" t="s">
        <v>78</v>
      </c>
      <c r="G2654">
        <v>1.62</v>
      </c>
      <c r="H2654" t="s">
        <v>61</v>
      </c>
      <c r="I2654" t="s">
        <v>42</v>
      </c>
      <c r="M2654">
        <f>VLOOKUP(H2654,'Stage Order'!$A$2:$B$8,2,FALSE)</f>
        <v>1</v>
      </c>
      <c r="N2654" t="str">
        <f t="shared" si="82"/>
        <v>2. 1-24 hours</v>
      </c>
      <c r="O2654" t="str">
        <f t="shared" si="83"/>
        <v>2025-04</v>
      </c>
    </row>
    <row r="2655" spans="1:15" x14ac:dyDescent="0.3">
      <c r="A2655" t="s">
        <v>6282</v>
      </c>
      <c r="B2655" t="s">
        <v>6283</v>
      </c>
      <c r="C2655" t="s">
        <v>28</v>
      </c>
      <c r="D2655" t="s">
        <v>77</v>
      </c>
      <c r="E2655" t="s">
        <v>39</v>
      </c>
      <c r="F2655" t="s">
        <v>106</v>
      </c>
      <c r="G2655">
        <v>1.68</v>
      </c>
      <c r="H2655" t="s">
        <v>41</v>
      </c>
      <c r="I2655" t="s">
        <v>42</v>
      </c>
      <c r="M2655">
        <f>VLOOKUP(H2655,'Stage Order'!$A$2:$B$8,2,FALSE)</f>
        <v>2</v>
      </c>
      <c r="N2655" t="str">
        <f t="shared" si="82"/>
        <v>2. 1-24 hours</v>
      </c>
      <c r="O2655" t="str">
        <f t="shared" si="83"/>
        <v>2026-06</v>
      </c>
    </row>
    <row r="2656" spans="1:15" x14ac:dyDescent="0.3">
      <c r="A2656" t="s">
        <v>6284</v>
      </c>
      <c r="B2656" t="s">
        <v>6285</v>
      </c>
      <c r="C2656" t="s">
        <v>53</v>
      </c>
      <c r="D2656" t="s">
        <v>29</v>
      </c>
      <c r="E2656" t="s">
        <v>90</v>
      </c>
      <c r="F2656" t="s">
        <v>145</v>
      </c>
      <c r="G2656">
        <v>3.32</v>
      </c>
      <c r="H2656" t="s">
        <v>41</v>
      </c>
      <c r="I2656" t="s">
        <v>42</v>
      </c>
      <c r="M2656">
        <f>VLOOKUP(H2656,'Stage Order'!$A$2:$B$8,2,FALSE)</f>
        <v>2</v>
      </c>
      <c r="N2656" t="str">
        <f t="shared" si="82"/>
        <v>2. 1-24 hours</v>
      </c>
      <c r="O2656" t="str">
        <f t="shared" si="83"/>
        <v>2026-05</v>
      </c>
    </row>
    <row r="2657" spans="1:15" x14ac:dyDescent="0.3">
      <c r="A2657" t="s">
        <v>6286</v>
      </c>
      <c r="B2657" t="s">
        <v>6287</v>
      </c>
      <c r="C2657" t="s">
        <v>53</v>
      </c>
      <c r="D2657" t="s">
        <v>29</v>
      </c>
      <c r="E2657" t="s">
        <v>39</v>
      </c>
      <c r="F2657" t="s">
        <v>40</v>
      </c>
      <c r="G2657">
        <v>0.6</v>
      </c>
      <c r="H2657" t="s">
        <v>32</v>
      </c>
      <c r="I2657" t="s">
        <v>33</v>
      </c>
      <c r="K2657">
        <v>753.21</v>
      </c>
      <c r="L2657" t="s">
        <v>6288</v>
      </c>
      <c r="M2657">
        <f>VLOOKUP(H2657,'Stage Order'!$A$2:$B$8,2,FALSE)</f>
        <v>7</v>
      </c>
      <c r="N2657" t="str">
        <f t="shared" si="82"/>
        <v>1. Under 1 hour</v>
      </c>
      <c r="O2657" t="str">
        <f t="shared" si="83"/>
        <v>2025-12</v>
      </c>
    </row>
    <row r="2658" spans="1:15" x14ac:dyDescent="0.3">
      <c r="A2658" t="s">
        <v>6289</v>
      </c>
      <c r="B2658" t="s">
        <v>6290</v>
      </c>
      <c r="C2658" t="s">
        <v>28</v>
      </c>
      <c r="D2658" t="s">
        <v>38</v>
      </c>
      <c r="E2658" t="s">
        <v>39</v>
      </c>
      <c r="F2658" t="s">
        <v>106</v>
      </c>
      <c r="G2658">
        <v>10.130000000000001</v>
      </c>
      <c r="H2658" t="s">
        <v>41</v>
      </c>
      <c r="I2658" t="s">
        <v>42</v>
      </c>
      <c r="M2658">
        <f>VLOOKUP(H2658,'Stage Order'!$A$2:$B$8,2,FALSE)</f>
        <v>2</v>
      </c>
      <c r="N2658" t="str">
        <f t="shared" si="82"/>
        <v>2. 1-24 hours</v>
      </c>
      <c r="O2658" t="str">
        <f t="shared" si="83"/>
        <v>2026-04</v>
      </c>
    </row>
    <row r="2659" spans="1:15" x14ac:dyDescent="0.3">
      <c r="A2659" t="s">
        <v>6291</v>
      </c>
      <c r="B2659" t="s">
        <v>6292</v>
      </c>
      <c r="C2659" t="s">
        <v>37</v>
      </c>
      <c r="D2659" t="s">
        <v>77</v>
      </c>
      <c r="E2659" t="s">
        <v>30</v>
      </c>
      <c r="F2659" t="s">
        <v>78</v>
      </c>
      <c r="G2659">
        <v>2.5</v>
      </c>
      <c r="H2659" t="s">
        <v>41</v>
      </c>
      <c r="I2659" t="s">
        <v>42</v>
      </c>
      <c r="M2659">
        <f>VLOOKUP(H2659,'Stage Order'!$A$2:$B$8,2,FALSE)</f>
        <v>2</v>
      </c>
      <c r="N2659" t="str">
        <f t="shared" si="82"/>
        <v>2. 1-24 hours</v>
      </c>
      <c r="O2659" t="str">
        <f t="shared" si="83"/>
        <v>2025-08</v>
      </c>
    </row>
    <row r="2660" spans="1:15" x14ac:dyDescent="0.3">
      <c r="A2660" t="s">
        <v>6293</v>
      </c>
      <c r="B2660" t="s">
        <v>6294</v>
      </c>
      <c r="C2660" t="s">
        <v>81</v>
      </c>
      <c r="D2660" t="s">
        <v>77</v>
      </c>
      <c r="E2660" t="s">
        <v>59</v>
      </c>
      <c r="F2660" t="s">
        <v>60</v>
      </c>
      <c r="G2660">
        <v>1.6</v>
      </c>
      <c r="H2660" t="s">
        <v>61</v>
      </c>
      <c r="I2660" t="s">
        <v>42</v>
      </c>
      <c r="M2660">
        <f>VLOOKUP(H2660,'Stage Order'!$A$2:$B$8,2,FALSE)</f>
        <v>1</v>
      </c>
      <c r="N2660" t="str">
        <f t="shared" si="82"/>
        <v>2. 1-24 hours</v>
      </c>
      <c r="O2660" t="str">
        <f t="shared" si="83"/>
        <v>2025-10</v>
      </c>
    </row>
    <row r="2661" spans="1:15" x14ac:dyDescent="0.3">
      <c r="A2661" t="s">
        <v>6295</v>
      </c>
      <c r="B2661" t="s">
        <v>6296</v>
      </c>
      <c r="C2661" t="s">
        <v>58</v>
      </c>
      <c r="D2661" t="s">
        <v>77</v>
      </c>
      <c r="E2661" t="s">
        <v>39</v>
      </c>
      <c r="F2661" t="s">
        <v>106</v>
      </c>
      <c r="G2661">
        <v>13.14</v>
      </c>
      <c r="H2661" t="s">
        <v>41</v>
      </c>
      <c r="I2661" t="s">
        <v>42</v>
      </c>
      <c r="M2661">
        <f>VLOOKUP(H2661,'Stage Order'!$A$2:$B$8,2,FALSE)</f>
        <v>2</v>
      </c>
      <c r="N2661" t="str">
        <f t="shared" si="82"/>
        <v>2. 1-24 hours</v>
      </c>
      <c r="O2661" t="str">
        <f t="shared" si="83"/>
        <v>2025-09</v>
      </c>
    </row>
    <row r="2662" spans="1:15" x14ac:dyDescent="0.3">
      <c r="A2662" t="s">
        <v>6297</v>
      </c>
      <c r="B2662" t="s">
        <v>6298</v>
      </c>
      <c r="C2662" t="s">
        <v>125</v>
      </c>
      <c r="D2662" t="s">
        <v>29</v>
      </c>
      <c r="E2662" t="s">
        <v>45</v>
      </c>
      <c r="F2662" t="s">
        <v>55</v>
      </c>
      <c r="G2662">
        <v>1.51</v>
      </c>
      <c r="H2662" t="s">
        <v>128</v>
      </c>
      <c r="I2662" t="s">
        <v>42</v>
      </c>
      <c r="M2662">
        <f>VLOOKUP(H2662,'Stage Order'!$A$2:$B$8,2,FALSE)</f>
        <v>3</v>
      </c>
      <c r="N2662" t="str">
        <f t="shared" si="82"/>
        <v>2. 1-24 hours</v>
      </c>
      <c r="O2662" t="str">
        <f t="shared" si="83"/>
        <v>2025-08</v>
      </c>
    </row>
    <row r="2663" spans="1:15" x14ac:dyDescent="0.3">
      <c r="A2663" t="s">
        <v>6299</v>
      </c>
      <c r="B2663" t="s">
        <v>6300</v>
      </c>
      <c r="C2663" t="s">
        <v>28</v>
      </c>
      <c r="D2663" t="s">
        <v>38</v>
      </c>
      <c r="E2663" t="s">
        <v>45</v>
      </c>
      <c r="F2663" t="s">
        <v>46</v>
      </c>
      <c r="G2663">
        <v>3.9</v>
      </c>
      <c r="H2663" t="s">
        <v>41</v>
      </c>
      <c r="I2663" t="s">
        <v>42</v>
      </c>
      <c r="M2663">
        <f>VLOOKUP(H2663,'Stage Order'!$A$2:$B$8,2,FALSE)</f>
        <v>2</v>
      </c>
      <c r="N2663" t="str">
        <f t="shared" si="82"/>
        <v>2. 1-24 hours</v>
      </c>
      <c r="O2663" t="str">
        <f t="shared" si="83"/>
        <v>2025-07</v>
      </c>
    </row>
    <row r="2664" spans="1:15" x14ac:dyDescent="0.3">
      <c r="A2664" t="s">
        <v>6301</v>
      </c>
      <c r="B2664" t="s">
        <v>6302</v>
      </c>
      <c r="C2664" t="s">
        <v>37</v>
      </c>
      <c r="D2664" t="s">
        <v>38</v>
      </c>
      <c r="E2664" t="s">
        <v>45</v>
      </c>
      <c r="F2664" t="s">
        <v>94</v>
      </c>
      <c r="G2664">
        <v>1.53</v>
      </c>
      <c r="H2664" t="s">
        <v>41</v>
      </c>
      <c r="I2664" t="s">
        <v>42</v>
      </c>
      <c r="M2664">
        <f>VLOOKUP(H2664,'Stage Order'!$A$2:$B$8,2,FALSE)</f>
        <v>2</v>
      </c>
      <c r="N2664" t="str">
        <f t="shared" si="82"/>
        <v>2. 1-24 hours</v>
      </c>
      <c r="O2664" t="str">
        <f t="shared" si="83"/>
        <v>2025-05</v>
      </c>
    </row>
    <row r="2665" spans="1:15" x14ac:dyDescent="0.3">
      <c r="A2665" t="s">
        <v>6303</v>
      </c>
      <c r="B2665" t="s">
        <v>6304</v>
      </c>
      <c r="C2665" t="s">
        <v>28</v>
      </c>
      <c r="D2665" t="s">
        <v>77</v>
      </c>
      <c r="E2665" t="s">
        <v>45</v>
      </c>
      <c r="F2665" t="s">
        <v>94</v>
      </c>
      <c r="G2665">
        <v>2.0299999999999998</v>
      </c>
      <c r="H2665" t="s">
        <v>32</v>
      </c>
      <c r="I2665" t="s">
        <v>33</v>
      </c>
      <c r="K2665">
        <v>971.46</v>
      </c>
      <c r="L2665" t="s">
        <v>6305</v>
      </c>
      <c r="M2665">
        <f>VLOOKUP(H2665,'Stage Order'!$A$2:$B$8,2,FALSE)</f>
        <v>7</v>
      </c>
      <c r="N2665" t="str">
        <f t="shared" si="82"/>
        <v>2. 1-24 hours</v>
      </c>
      <c r="O2665" t="str">
        <f t="shared" si="83"/>
        <v>2026-03</v>
      </c>
    </row>
    <row r="2666" spans="1:15" x14ac:dyDescent="0.3">
      <c r="A2666" t="s">
        <v>6306</v>
      </c>
      <c r="B2666" t="s">
        <v>6307</v>
      </c>
      <c r="C2666" t="s">
        <v>37</v>
      </c>
      <c r="D2666" t="s">
        <v>54</v>
      </c>
      <c r="E2666" t="s">
        <v>59</v>
      </c>
      <c r="F2666" t="s">
        <v>60</v>
      </c>
      <c r="G2666">
        <v>0.17</v>
      </c>
      <c r="H2666" t="s">
        <v>32</v>
      </c>
      <c r="I2666" t="s">
        <v>33</v>
      </c>
      <c r="K2666">
        <v>572.75</v>
      </c>
      <c r="L2666" t="s">
        <v>6308</v>
      </c>
      <c r="M2666">
        <f>VLOOKUP(H2666,'Stage Order'!$A$2:$B$8,2,FALSE)</f>
        <v>7</v>
      </c>
      <c r="N2666" t="str">
        <f t="shared" si="82"/>
        <v>1. Under 1 hour</v>
      </c>
      <c r="O2666" t="str">
        <f t="shared" si="83"/>
        <v>2025-01</v>
      </c>
    </row>
    <row r="2667" spans="1:15" x14ac:dyDescent="0.3">
      <c r="A2667" t="s">
        <v>6309</v>
      </c>
      <c r="B2667" t="s">
        <v>6310</v>
      </c>
      <c r="C2667" t="s">
        <v>58</v>
      </c>
      <c r="D2667" t="s">
        <v>29</v>
      </c>
      <c r="E2667" t="s">
        <v>30</v>
      </c>
      <c r="F2667" t="s">
        <v>78</v>
      </c>
      <c r="G2667">
        <v>12.52</v>
      </c>
      <c r="H2667" t="s">
        <v>41</v>
      </c>
      <c r="I2667" t="s">
        <v>42</v>
      </c>
      <c r="M2667">
        <f>VLOOKUP(H2667,'Stage Order'!$A$2:$B$8,2,FALSE)</f>
        <v>2</v>
      </c>
      <c r="N2667" t="str">
        <f t="shared" si="82"/>
        <v>2. 1-24 hours</v>
      </c>
      <c r="O2667" t="str">
        <f t="shared" si="83"/>
        <v>2025-10</v>
      </c>
    </row>
    <row r="2668" spans="1:15" x14ac:dyDescent="0.3">
      <c r="A2668" t="s">
        <v>6311</v>
      </c>
      <c r="B2668" t="s">
        <v>6312</v>
      </c>
      <c r="C2668" t="s">
        <v>58</v>
      </c>
      <c r="D2668" t="s">
        <v>54</v>
      </c>
      <c r="E2668" t="s">
        <v>59</v>
      </c>
      <c r="F2668" t="s">
        <v>60</v>
      </c>
      <c r="G2668">
        <v>3.2</v>
      </c>
      <c r="H2668" t="s">
        <v>41</v>
      </c>
      <c r="I2668" t="s">
        <v>42</v>
      </c>
      <c r="M2668">
        <f>VLOOKUP(H2668,'Stage Order'!$A$2:$B$8,2,FALSE)</f>
        <v>2</v>
      </c>
      <c r="N2668" t="str">
        <f t="shared" si="82"/>
        <v>2. 1-24 hours</v>
      </c>
      <c r="O2668" t="str">
        <f t="shared" si="83"/>
        <v>2025-09</v>
      </c>
    </row>
    <row r="2669" spans="1:15" x14ac:dyDescent="0.3">
      <c r="A2669" t="s">
        <v>6313</v>
      </c>
      <c r="B2669" t="s">
        <v>6314</v>
      </c>
      <c r="C2669" t="s">
        <v>76</v>
      </c>
      <c r="D2669" t="s">
        <v>77</v>
      </c>
      <c r="E2669" t="s">
        <v>59</v>
      </c>
      <c r="F2669" t="s">
        <v>137</v>
      </c>
      <c r="G2669">
        <v>1.41</v>
      </c>
      <c r="H2669" t="s">
        <v>138</v>
      </c>
      <c r="I2669" t="s">
        <v>48</v>
      </c>
      <c r="J2669" t="s">
        <v>113</v>
      </c>
      <c r="K2669">
        <v>1087.77</v>
      </c>
      <c r="L2669" t="s">
        <v>6315</v>
      </c>
      <c r="M2669">
        <f>VLOOKUP(H2669,'Stage Order'!$A$2:$B$8,2,FALSE)</f>
        <v>6</v>
      </c>
      <c r="N2669" t="str">
        <f t="shared" si="82"/>
        <v>2. 1-24 hours</v>
      </c>
      <c r="O2669" t="str">
        <f t="shared" si="83"/>
        <v>2025-05</v>
      </c>
    </row>
    <row r="2670" spans="1:15" x14ac:dyDescent="0.3">
      <c r="A2670" t="s">
        <v>6316</v>
      </c>
      <c r="B2670" t="s">
        <v>6317</v>
      </c>
      <c r="C2670" t="s">
        <v>37</v>
      </c>
      <c r="D2670" t="s">
        <v>54</v>
      </c>
      <c r="E2670" t="s">
        <v>45</v>
      </c>
      <c r="F2670" t="s">
        <v>55</v>
      </c>
      <c r="G2670">
        <v>3.78</v>
      </c>
      <c r="H2670" t="s">
        <v>41</v>
      </c>
      <c r="I2670" t="s">
        <v>42</v>
      </c>
      <c r="M2670">
        <f>VLOOKUP(H2670,'Stage Order'!$A$2:$B$8,2,FALSE)</f>
        <v>2</v>
      </c>
      <c r="N2670" t="str">
        <f t="shared" si="82"/>
        <v>2. 1-24 hours</v>
      </c>
      <c r="O2670" t="str">
        <f t="shared" si="83"/>
        <v>2025-03</v>
      </c>
    </row>
    <row r="2671" spans="1:15" x14ac:dyDescent="0.3">
      <c r="A2671" t="s">
        <v>6318</v>
      </c>
      <c r="B2671" t="s">
        <v>6319</v>
      </c>
      <c r="C2671" t="s">
        <v>81</v>
      </c>
      <c r="D2671" t="s">
        <v>77</v>
      </c>
      <c r="E2671" t="s">
        <v>39</v>
      </c>
      <c r="F2671" t="s">
        <v>66</v>
      </c>
      <c r="G2671">
        <v>3.93</v>
      </c>
      <c r="H2671" t="s">
        <v>61</v>
      </c>
      <c r="I2671" t="s">
        <v>42</v>
      </c>
      <c r="M2671">
        <f>VLOOKUP(H2671,'Stage Order'!$A$2:$B$8,2,FALSE)</f>
        <v>1</v>
      </c>
      <c r="N2671" t="str">
        <f t="shared" si="82"/>
        <v>2. 1-24 hours</v>
      </c>
      <c r="O2671" t="str">
        <f t="shared" si="83"/>
        <v>2026-06</v>
      </c>
    </row>
    <row r="2672" spans="1:15" x14ac:dyDescent="0.3">
      <c r="A2672" t="s">
        <v>6320</v>
      </c>
      <c r="B2672" t="s">
        <v>6321</v>
      </c>
      <c r="C2672" t="s">
        <v>76</v>
      </c>
      <c r="D2672" t="s">
        <v>54</v>
      </c>
      <c r="E2672" t="s">
        <v>45</v>
      </c>
      <c r="F2672" t="s">
        <v>94</v>
      </c>
      <c r="G2672">
        <v>1.53</v>
      </c>
      <c r="H2672" t="s">
        <v>41</v>
      </c>
      <c r="I2672" t="s">
        <v>42</v>
      </c>
      <c r="M2672">
        <f>VLOOKUP(H2672,'Stage Order'!$A$2:$B$8,2,FALSE)</f>
        <v>2</v>
      </c>
      <c r="N2672" t="str">
        <f t="shared" si="82"/>
        <v>2. 1-24 hours</v>
      </c>
      <c r="O2672" t="str">
        <f t="shared" si="83"/>
        <v>2025-02</v>
      </c>
    </row>
    <row r="2673" spans="1:15" x14ac:dyDescent="0.3">
      <c r="A2673" t="s">
        <v>6322</v>
      </c>
      <c r="B2673" t="s">
        <v>6323</v>
      </c>
      <c r="C2673" t="s">
        <v>125</v>
      </c>
      <c r="D2673" t="s">
        <v>77</v>
      </c>
      <c r="E2673" t="s">
        <v>39</v>
      </c>
      <c r="F2673" t="s">
        <v>40</v>
      </c>
      <c r="G2673">
        <v>7.42</v>
      </c>
      <c r="H2673" t="s">
        <v>41</v>
      </c>
      <c r="I2673" t="s">
        <v>42</v>
      </c>
      <c r="M2673">
        <f>VLOOKUP(H2673,'Stage Order'!$A$2:$B$8,2,FALSE)</f>
        <v>2</v>
      </c>
      <c r="N2673" t="str">
        <f t="shared" si="82"/>
        <v>2. 1-24 hours</v>
      </c>
      <c r="O2673" t="str">
        <f t="shared" si="83"/>
        <v>2025-08</v>
      </c>
    </row>
    <row r="2674" spans="1:15" x14ac:dyDescent="0.3">
      <c r="A2674" t="s">
        <v>6324</v>
      </c>
      <c r="B2674" t="s">
        <v>6325</v>
      </c>
      <c r="C2674" t="s">
        <v>37</v>
      </c>
      <c r="D2674" t="s">
        <v>29</v>
      </c>
      <c r="E2674" t="s">
        <v>59</v>
      </c>
      <c r="F2674" t="s">
        <v>60</v>
      </c>
      <c r="G2674">
        <v>4.43</v>
      </c>
      <c r="H2674" t="s">
        <v>41</v>
      </c>
      <c r="I2674" t="s">
        <v>42</v>
      </c>
      <c r="M2674">
        <f>VLOOKUP(H2674,'Stage Order'!$A$2:$B$8,2,FALSE)</f>
        <v>2</v>
      </c>
      <c r="N2674" t="str">
        <f t="shared" si="82"/>
        <v>2. 1-24 hours</v>
      </c>
      <c r="O2674" t="str">
        <f t="shared" si="83"/>
        <v>2025-09</v>
      </c>
    </row>
    <row r="2675" spans="1:15" x14ac:dyDescent="0.3">
      <c r="A2675" t="s">
        <v>6326</v>
      </c>
      <c r="B2675" t="s">
        <v>6327</v>
      </c>
      <c r="C2675" t="s">
        <v>37</v>
      </c>
      <c r="D2675" t="s">
        <v>38</v>
      </c>
      <c r="E2675" t="s">
        <v>90</v>
      </c>
      <c r="F2675" t="s">
        <v>145</v>
      </c>
      <c r="G2675">
        <v>1.62</v>
      </c>
      <c r="H2675" t="s">
        <v>61</v>
      </c>
      <c r="I2675" t="s">
        <v>42</v>
      </c>
      <c r="M2675">
        <f>VLOOKUP(H2675,'Stage Order'!$A$2:$B$8,2,FALSE)</f>
        <v>1</v>
      </c>
      <c r="N2675" t="str">
        <f t="shared" si="82"/>
        <v>2. 1-24 hours</v>
      </c>
      <c r="O2675" t="str">
        <f t="shared" si="83"/>
        <v>2025-07</v>
      </c>
    </row>
    <row r="2676" spans="1:15" x14ac:dyDescent="0.3">
      <c r="A2676" t="s">
        <v>6328</v>
      </c>
      <c r="B2676" t="s">
        <v>6329</v>
      </c>
      <c r="C2676" t="s">
        <v>58</v>
      </c>
      <c r="D2676" t="s">
        <v>77</v>
      </c>
      <c r="E2676" t="s">
        <v>39</v>
      </c>
      <c r="F2676" t="s">
        <v>106</v>
      </c>
      <c r="G2676">
        <v>10.28</v>
      </c>
      <c r="H2676" t="s">
        <v>138</v>
      </c>
      <c r="I2676" t="s">
        <v>48</v>
      </c>
      <c r="J2676" t="s">
        <v>49</v>
      </c>
      <c r="K2676">
        <v>1017.34</v>
      </c>
      <c r="L2676" t="s">
        <v>6330</v>
      </c>
      <c r="M2676">
        <f>VLOOKUP(H2676,'Stage Order'!$A$2:$B$8,2,FALSE)</f>
        <v>6</v>
      </c>
      <c r="N2676" t="str">
        <f t="shared" si="82"/>
        <v>2. 1-24 hours</v>
      </c>
      <c r="O2676" t="str">
        <f t="shared" si="83"/>
        <v>2026-04</v>
      </c>
    </row>
    <row r="2677" spans="1:15" x14ac:dyDescent="0.3">
      <c r="A2677" t="s">
        <v>6331</v>
      </c>
      <c r="B2677" t="s">
        <v>6332</v>
      </c>
      <c r="C2677" t="s">
        <v>125</v>
      </c>
      <c r="D2677" t="s">
        <v>77</v>
      </c>
      <c r="E2677" t="s">
        <v>90</v>
      </c>
      <c r="F2677" t="s">
        <v>145</v>
      </c>
      <c r="G2677">
        <v>13.94</v>
      </c>
      <c r="H2677" t="s">
        <v>61</v>
      </c>
      <c r="I2677" t="s">
        <v>42</v>
      </c>
      <c r="M2677">
        <f>VLOOKUP(H2677,'Stage Order'!$A$2:$B$8,2,FALSE)</f>
        <v>1</v>
      </c>
      <c r="N2677" t="str">
        <f t="shared" si="82"/>
        <v>2. 1-24 hours</v>
      </c>
      <c r="O2677" t="str">
        <f t="shared" si="83"/>
        <v>2025-03</v>
      </c>
    </row>
    <row r="2678" spans="1:15" x14ac:dyDescent="0.3">
      <c r="A2678" t="s">
        <v>6333</v>
      </c>
      <c r="B2678" t="s">
        <v>6334</v>
      </c>
      <c r="C2678" t="s">
        <v>125</v>
      </c>
      <c r="D2678" t="s">
        <v>38</v>
      </c>
      <c r="E2678" t="s">
        <v>59</v>
      </c>
      <c r="F2678" t="s">
        <v>137</v>
      </c>
      <c r="G2678">
        <v>5.42</v>
      </c>
      <c r="H2678" t="s">
        <v>41</v>
      </c>
      <c r="I2678" t="s">
        <v>42</v>
      </c>
      <c r="M2678">
        <f>VLOOKUP(H2678,'Stage Order'!$A$2:$B$8,2,FALSE)</f>
        <v>2</v>
      </c>
      <c r="N2678" t="str">
        <f t="shared" si="82"/>
        <v>2. 1-24 hours</v>
      </c>
      <c r="O2678" t="str">
        <f t="shared" si="83"/>
        <v>2026-02</v>
      </c>
    </row>
    <row r="2679" spans="1:15" x14ac:dyDescent="0.3">
      <c r="A2679" t="s">
        <v>6335</v>
      </c>
      <c r="B2679" t="s">
        <v>6336</v>
      </c>
      <c r="C2679" t="s">
        <v>53</v>
      </c>
      <c r="D2679" t="s">
        <v>77</v>
      </c>
      <c r="E2679" t="s">
        <v>90</v>
      </c>
      <c r="F2679" t="s">
        <v>112</v>
      </c>
      <c r="G2679">
        <v>1.58</v>
      </c>
      <c r="H2679" t="s">
        <v>146</v>
      </c>
      <c r="I2679" t="s">
        <v>48</v>
      </c>
      <c r="J2679" t="s">
        <v>98</v>
      </c>
      <c r="K2679">
        <v>1157.0999999999999</v>
      </c>
      <c r="L2679" t="s">
        <v>6337</v>
      </c>
      <c r="M2679">
        <f>VLOOKUP(H2679,'Stage Order'!$A$2:$B$8,2,FALSE)</f>
        <v>5</v>
      </c>
      <c r="N2679" t="str">
        <f t="shared" si="82"/>
        <v>2. 1-24 hours</v>
      </c>
      <c r="O2679" t="str">
        <f t="shared" si="83"/>
        <v>2025-07</v>
      </c>
    </row>
    <row r="2680" spans="1:15" x14ac:dyDescent="0.3">
      <c r="A2680" t="s">
        <v>6338</v>
      </c>
      <c r="B2680" t="s">
        <v>6339</v>
      </c>
      <c r="C2680" t="s">
        <v>125</v>
      </c>
      <c r="D2680" t="s">
        <v>97</v>
      </c>
      <c r="E2680" t="s">
        <v>90</v>
      </c>
      <c r="F2680" t="s">
        <v>91</v>
      </c>
      <c r="G2680">
        <v>0.89</v>
      </c>
      <c r="H2680" t="s">
        <v>128</v>
      </c>
      <c r="I2680" t="s">
        <v>42</v>
      </c>
      <c r="M2680">
        <f>VLOOKUP(H2680,'Stage Order'!$A$2:$B$8,2,FALSE)</f>
        <v>3</v>
      </c>
      <c r="N2680" t="str">
        <f t="shared" si="82"/>
        <v>1. Under 1 hour</v>
      </c>
      <c r="O2680" t="str">
        <f t="shared" si="83"/>
        <v>2025-07</v>
      </c>
    </row>
    <row r="2681" spans="1:15" x14ac:dyDescent="0.3">
      <c r="A2681" t="s">
        <v>6340</v>
      </c>
      <c r="B2681" t="s">
        <v>6341</v>
      </c>
      <c r="C2681" t="s">
        <v>28</v>
      </c>
      <c r="D2681" t="s">
        <v>54</v>
      </c>
      <c r="E2681" t="s">
        <v>90</v>
      </c>
      <c r="F2681" t="s">
        <v>145</v>
      </c>
      <c r="G2681">
        <v>0.9</v>
      </c>
      <c r="H2681" t="s">
        <v>32</v>
      </c>
      <c r="I2681" t="s">
        <v>33</v>
      </c>
      <c r="K2681">
        <v>577.75</v>
      </c>
      <c r="L2681" t="s">
        <v>6342</v>
      </c>
      <c r="M2681">
        <f>VLOOKUP(H2681,'Stage Order'!$A$2:$B$8,2,FALSE)</f>
        <v>7</v>
      </c>
      <c r="N2681" t="str">
        <f t="shared" si="82"/>
        <v>1. Under 1 hour</v>
      </c>
      <c r="O2681" t="str">
        <f t="shared" si="83"/>
        <v>2025-08</v>
      </c>
    </row>
    <row r="2682" spans="1:15" x14ac:dyDescent="0.3">
      <c r="A2682" t="s">
        <v>6343</v>
      </c>
      <c r="B2682" t="s">
        <v>6344</v>
      </c>
      <c r="C2682" t="s">
        <v>58</v>
      </c>
      <c r="D2682" t="s">
        <v>77</v>
      </c>
      <c r="E2682" t="s">
        <v>39</v>
      </c>
      <c r="F2682" t="s">
        <v>40</v>
      </c>
      <c r="G2682">
        <v>3.31</v>
      </c>
      <c r="H2682" t="s">
        <v>41</v>
      </c>
      <c r="I2682" t="s">
        <v>42</v>
      </c>
      <c r="M2682">
        <f>VLOOKUP(H2682,'Stage Order'!$A$2:$B$8,2,FALSE)</f>
        <v>2</v>
      </c>
      <c r="N2682" t="str">
        <f t="shared" si="82"/>
        <v>2. 1-24 hours</v>
      </c>
      <c r="O2682" t="str">
        <f t="shared" si="83"/>
        <v>2025-05</v>
      </c>
    </row>
    <row r="2683" spans="1:15" x14ac:dyDescent="0.3">
      <c r="A2683" t="s">
        <v>6345</v>
      </c>
      <c r="B2683" t="s">
        <v>6346</v>
      </c>
      <c r="C2683" t="s">
        <v>53</v>
      </c>
      <c r="D2683" t="s">
        <v>54</v>
      </c>
      <c r="E2683" t="s">
        <v>59</v>
      </c>
      <c r="F2683" t="s">
        <v>137</v>
      </c>
      <c r="G2683">
        <v>9.07</v>
      </c>
      <c r="H2683" t="s">
        <v>32</v>
      </c>
      <c r="I2683" t="s">
        <v>33</v>
      </c>
      <c r="K2683">
        <v>597.24</v>
      </c>
      <c r="L2683" t="s">
        <v>6347</v>
      </c>
      <c r="M2683">
        <f>VLOOKUP(H2683,'Stage Order'!$A$2:$B$8,2,FALSE)</f>
        <v>7</v>
      </c>
      <c r="N2683" t="str">
        <f t="shared" si="82"/>
        <v>2. 1-24 hours</v>
      </c>
      <c r="O2683" t="str">
        <f t="shared" si="83"/>
        <v>2026-03</v>
      </c>
    </row>
    <row r="2684" spans="1:15" x14ac:dyDescent="0.3">
      <c r="A2684" t="s">
        <v>6348</v>
      </c>
      <c r="B2684" t="s">
        <v>6349</v>
      </c>
      <c r="C2684" t="s">
        <v>125</v>
      </c>
      <c r="D2684" t="s">
        <v>29</v>
      </c>
      <c r="E2684" t="s">
        <v>90</v>
      </c>
      <c r="F2684" t="s">
        <v>112</v>
      </c>
      <c r="G2684">
        <v>2.88</v>
      </c>
      <c r="H2684" t="s">
        <v>41</v>
      </c>
      <c r="I2684" t="s">
        <v>42</v>
      </c>
      <c r="M2684">
        <f>VLOOKUP(H2684,'Stage Order'!$A$2:$B$8,2,FALSE)</f>
        <v>2</v>
      </c>
      <c r="N2684" t="str">
        <f t="shared" si="82"/>
        <v>2. 1-24 hours</v>
      </c>
      <c r="O2684" t="str">
        <f t="shared" si="83"/>
        <v>2026-03</v>
      </c>
    </row>
    <row r="2685" spans="1:15" x14ac:dyDescent="0.3">
      <c r="A2685" t="s">
        <v>6350</v>
      </c>
      <c r="B2685" t="s">
        <v>6351</v>
      </c>
      <c r="C2685" t="s">
        <v>76</v>
      </c>
      <c r="D2685" t="s">
        <v>38</v>
      </c>
      <c r="E2685" t="s">
        <v>30</v>
      </c>
      <c r="F2685" t="s">
        <v>82</v>
      </c>
      <c r="G2685">
        <v>4.18</v>
      </c>
      <c r="H2685" t="s">
        <v>47</v>
      </c>
      <c r="I2685" t="s">
        <v>48</v>
      </c>
      <c r="J2685" t="s">
        <v>742</v>
      </c>
      <c r="K2685">
        <v>336.61</v>
      </c>
      <c r="L2685" t="s">
        <v>6352</v>
      </c>
      <c r="M2685">
        <f>VLOOKUP(H2685,'Stage Order'!$A$2:$B$8,2,FALSE)</f>
        <v>4</v>
      </c>
      <c r="N2685" t="str">
        <f t="shared" si="82"/>
        <v>2. 1-24 hours</v>
      </c>
      <c r="O2685" t="str">
        <f t="shared" si="83"/>
        <v>2025-01</v>
      </c>
    </row>
    <row r="2686" spans="1:15" x14ac:dyDescent="0.3">
      <c r="A2686" t="s">
        <v>6353</v>
      </c>
      <c r="B2686" t="s">
        <v>6354</v>
      </c>
      <c r="C2686" t="s">
        <v>37</v>
      </c>
      <c r="D2686" t="s">
        <v>38</v>
      </c>
      <c r="E2686" t="s">
        <v>45</v>
      </c>
      <c r="F2686" t="s">
        <v>94</v>
      </c>
      <c r="G2686">
        <v>0.68</v>
      </c>
      <c r="H2686" t="s">
        <v>61</v>
      </c>
      <c r="I2686" t="s">
        <v>42</v>
      </c>
      <c r="M2686">
        <f>VLOOKUP(H2686,'Stage Order'!$A$2:$B$8,2,FALSE)</f>
        <v>1</v>
      </c>
      <c r="N2686" t="str">
        <f t="shared" si="82"/>
        <v>1. Under 1 hour</v>
      </c>
      <c r="O2686" t="str">
        <f t="shared" si="83"/>
        <v>2026-06</v>
      </c>
    </row>
    <row r="2687" spans="1:15" x14ac:dyDescent="0.3">
      <c r="A2687" t="s">
        <v>6355</v>
      </c>
      <c r="B2687" t="s">
        <v>6356</v>
      </c>
      <c r="C2687" t="s">
        <v>81</v>
      </c>
      <c r="D2687" t="s">
        <v>97</v>
      </c>
      <c r="E2687" t="s">
        <v>59</v>
      </c>
      <c r="F2687" t="s">
        <v>117</v>
      </c>
      <c r="G2687">
        <v>1.59</v>
      </c>
      <c r="H2687" t="s">
        <v>128</v>
      </c>
      <c r="I2687" t="s">
        <v>42</v>
      </c>
      <c r="M2687">
        <f>VLOOKUP(H2687,'Stage Order'!$A$2:$B$8,2,FALSE)</f>
        <v>3</v>
      </c>
      <c r="N2687" t="str">
        <f t="shared" si="82"/>
        <v>2. 1-24 hours</v>
      </c>
      <c r="O2687" t="str">
        <f t="shared" si="83"/>
        <v>2026-03</v>
      </c>
    </row>
    <row r="2688" spans="1:15" x14ac:dyDescent="0.3">
      <c r="A2688" t="s">
        <v>6357</v>
      </c>
      <c r="B2688" t="s">
        <v>6358</v>
      </c>
      <c r="C2688" t="s">
        <v>28</v>
      </c>
      <c r="D2688" t="s">
        <v>54</v>
      </c>
      <c r="E2688" t="s">
        <v>59</v>
      </c>
      <c r="F2688" t="s">
        <v>117</v>
      </c>
      <c r="G2688">
        <v>13.28</v>
      </c>
      <c r="H2688" t="s">
        <v>41</v>
      </c>
      <c r="I2688" t="s">
        <v>42</v>
      </c>
      <c r="M2688">
        <f>VLOOKUP(H2688,'Stage Order'!$A$2:$B$8,2,FALSE)</f>
        <v>2</v>
      </c>
      <c r="N2688" t="str">
        <f t="shared" si="82"/>
        <v>2. 1-24 hours</v>
      </c>
      <c r="O2688" t="str">
        <f t="shared" si="83"/>
        <v>2026-04</v>
      </c>
    </row>
    <row r="2689" spans="1:15" x14ac:dyDescent="0.3">
      <c r="A2689" t="s">
        <v>6359</v>
      </c>
      <c r="B2689" t="s">
        <v>6360</v>
      </c>
      <c r="C2689" t="s">
        <v>37</v>
      </c>
      <c r="D2689" t="s">
        <v>38</v>
      </c>
      <c r="E2689" t="s">
        <v>39</v>
      </c>
      <c r="F2689" t="s">
        <v>106</v>
      </c>
      <c r="G2689">
        <v>0.97</v>
      </c>
      <c r="H2689" t="s">
        <v>41</v>
      </c>
      <c r="I2689" t="s">
        <v>42</v>
      </c>
      <c r="M2689">
        <f>VLOOKUP(H2689,'Stage Order'!$A$2:$B$8,2,FALSE)</f>
        <v>2</v>
      </c>
      <c r="N2689" t="str">
        <f t="shared" si="82"/>
        <v>1. Under 1 hour</v>
      </c>
      <c r="O2689" t="str">
        <f t="shared" si="83"/>
        <v>2025-08</v>
      </c>
    </row>
    <row r="2690" spans="1:15" x14ac:dyDescent="0.3">
      <c r="A2690" t="s">
        <v>6361</v>
      </c>
      <c r="B2690" t="s">
        <v>6362</v>
      </c>
      <c r="C2690" t="s">
        <v>125</v>
      </c>
      <c r="D2690" t="s">
        <v>97</v>
      </c>
      <c r="E2690" t="s">
        <v>39</v>
      </c>
      <c r="F2690" t="s">
        <v>66</v>
      </c>
      <c r="G2690">
        <v>1.58</v>
      </c>
      <c r="H2690" t="s">
        <v>61</v>
      </c>
      <c r="I2690" t="s">
        <v>42</v>
      </c>
      <c r="M2690">
        <f>VLOOKUP(H2690,'Stage Order'!$A$2:$B$8,2,FALSE)</f>
        <v>1</v>
      </c>
      <c r="N2690" t="str">
        <f t="shared" ref="N2690:N2753" si="84">IF(G2690&lt;=1,"1. Under 1 hour",IF(G2690&lt;=24,"2. 1-24 hours",IF(G2690&lt;=72,"3. 1-3 days","4. Over 3 days")))</f>
        <v>2. 1-24 hours</v>
      </c>
      <c r="O2690" t="str">
        <f t="shared" ref="O2690:O2753" si="85">TEXT(B2690,"YYYY-MM")</f>
        <v>2025-12</v>
      </c>
    </row>
    <row r="2691" spans="1:15" x14ac:dyDescent="0.3">
      <c r="A2691" t="s">
        <v>6363</v>
      </c>
      <c r="B2691" t="s">
        <v>6364</v>
      </c>
      <c r="C2691" t="s">
        <v>76</v>
      </c>
      <c r="D2691" t="s">
        <v>97</v>
      </c>
      <c r="E2691" t="s">
        <v>30</v>
      </c>
      <c r="F2691" t="s">
        <v>78</v>
      </c>
      <c r="G2691">
        <v>11.49</v>
      </c>
      <c r="H2691" t="s">
        <v>41</v>
      </c>
      <c r="I2691" t="s">
        <v>42</v>
      </c>
      <c r="M2691">
        <f>VLOOKUP(H2691,'Stage Order'!$A$2:$B$8,2,FALSE)</f>
        <v>2</v>
      </c>
      <c r="N2691" t="str">
        <f t="shared" si="84"/>
        <v>2. 1-24 hours</v>
      </c>
      <c r="O2691" t="str">
        <f t="shared" si="85"/>
        <v>2025-10</v>
      </c>
    </row>
    <row r="2692" spans="1:15" x14ac:dyDescent="0.3">
      <c r="A2692" t="s">
        <v>6365</v>
      </c>
      <c r="B2692" t="s">
        <v>6366</v>
      </c>
      <c r="C2692" t="s">
        <v>58</v>
      </c>
      <c r="D2692" t="s">
        <v>29</v>
      </c>
      <c r="E2692" t="s">
        <v>90</v>
      </c>
      <c r="F2692" t="s">
        <v>91</v>
      </c>
      <c r="G2692">
        <v>7.79</v>
      </c>
      <c r="H2692" t="s">
        <v>61</v>
      </c>
      <c r="I2692" t="s">
        <v>42</v>
      </c>
      <c r="M2692">
        <f>VLOOKUP(H2692,'Stage Order'!$A$2:$B$8,2,FALSE)</f>
        <v>1</v>
      </c>
      <c r="N2692" t="str">
        <f t="shared" si="84"/>
        <v>2. 1-24 hours</v>
      </c>
      <c r="O2692" t="str">
        <f t="shared" si="85"/>
        <v>2026-02</v>
      </c>
    </row>
    <row r="2693" spans="1:15" x14ac:dyDescent="0.3">
      <c r="A2693" t="s">
        <v>6367</v>
      </c>
      <c r="B2693" t="s">
        <v>6368</v>
      </c>
      <c r="C2693" t="s">
        <v>58</v>
      </c>
      <c r="D2693" t="s">
        <v>29</v>
      </c>
      <c r="E2693" t="s">
        <v>90</v>
      </c>
      <c r="F2693" t="s">
        <v>112</v>
      </c>
      <c r="G2693">
        <v>9.0500000000000007</v>
      </c>
      <c r="H2693" t="s">
        <v>41</v>
      </c>
      <c r="I2693" t="s">
        <v>42</v>
      </c>
      <c r="M2693">
        <f>VLOOKUP(H2693,'Stage Order'!$A$2:$B$8,2,FALSE)</f>
        <v>2</v>
      </c>
      <c r="N2693" t="str">
        <f t="shared" si="84"/>
        <v>2. 1-24 hours</v>
      </c>
      <c r="O2693" t="str">
        <f t="shared" si="85"/>
        <v>2025-08</v>
      </c>
    </row>
    <row r="2694" spans="1:15" x14ac:dyDescent="0.3">
      <c r="A2694" t="s">
        <v>6369</v>
      </c>
      <c r="B2694" t="s">
        <v>6370</v>
      </c>
      <c r="C2694" t="s">
        <v>37</v>
      </c>
      <c r="D2694" t="s">
        <v>54</v>
      </c>
      <c r="E2694" t="s">
        <v>39</v>
      </c>
      <c r="F2694" t="s">
        <v>40</v>
      </c>
      <c r="G2694">
        <v>2.82</v>
      </c>
      <c r="H2694" t="s">
        <v>146</v>
      </c>
      <c r="I2694" t="s">
        <v>48</v>
      </c>
      <c r="J2694" t="s">
        <v>49</v>
      </c>
      <c r="K2694">
        <v>489.09</v>
      </c>
      <c r="L2694" t="s">
        <v>6371</v>
      </c>
      <c r="M2694">
        <f>VLOOKUP(H2694,'Stage Order'!$A$2:$B$8,2,FALSE)</f>
        <v>5</v>
      </c>
      <c r="N2694" t="str">
        <f t="shared" si="84"/>
        <v>2. 1-24 hours</v>
      </c>
      <c r="O2694" t="str">
        <f t="shared" si="85"/>
        <v>2025-06</v>
      </c>
    </row>
    <row r="2695" spans="1:15" x14ac:dyDescent="0.3">
      <c r="A2695" t="s">
        <v>6372</v>
      </c>
      <c r="B2695" t="s">
        <v>6373</v>
      </c>
      <c r="C2695" t="s">
        <v>53</v>
      </c>
      <c r="D2695" t="s">
        <v>29</v>
      </c>
      <c r="E2695" t="s">
        <v>90</v>
      </c>
      <c r="F2695" t="s">
        <v>145</v>
      </c>
      <c r="G2695">
        <v>3.14</v>
      </c>
      <c r="H2695" t="s">
        <v>41</v>
      </c>
      <c r="I2695" t="s">
        <v>42</v>
      </c>
      <c r="M2695">
        <f>VLOOKUP(H2695,'Stage Order'!$A$2:$B$8,2,FALSE)</f>
        <v>2</v>
      </c>
      <c r="N2695" t="str">
        <f t="shared" si="84"/>
        <v>2. 1-24 hours</v>
      </c>
      <c r="O2695" t="str">
        <f t="shared" si="85"/>
        <v>2025-10</v>
      </c>
    </row>
    <row r="2696" spans="1:15" x14ac:dyDescent="0.3">
      <c r="A2696" t="s">
        <v>6374</v>
      </c>
      <c r="B2696" t="s">
        <v>6375</v>
      </c>
      <c r="C2696" t="s">
        <v>58</v>
      </c>
      <c r="D2696" t="s">
        <v>29</v>
      </c>
      <c r="E2696" t="s">
        <v>45</v>
      </c>
      <c r="F2696" t="s">
        <v>46</v>
      </c>
      <c r="G2696">
        <v>2.34</v>
      </c>
      <c r="H2696" t="s">
        <v>41</v>
      </c>
      <c r="I2696" t="s">
        <v>42</v>
      </c>
      <c r="M2696">
        <f>VLOOKUP(H2696,'Stage Order'!$A$2:$B$8,2,FALSE)</f>
        <v>2</v>
      </c>
      <c r="N2696" t="str">
        <f t="shared" si="84"/>
        <v>2. 1-24 hours</v>
      </c>
      <c r="O2696" t="str">
        <f t="shared" si="85"/>
        <v>2025-04</v>
      </c>
    </row>
    <row r="2697" spans="1:15" x14ac:dyDescent="0.3">
      <c r="A2697" t="s">
        <v>6376</v>
      </c>
      <c r="B2697" t="s">
        <v>6377</v>
      </c>
      <c r="C2697" t="s">
        <v>81</v>
      </c>
      <c r="D2697" t="s">
        <v>54</v>
      </c>
      <c r="E2697" t="s">
        <v>30</v>
      </c>
      <c r="F2697" t="s">
        <v>78</v>
      </c>
      <c r="G2697">
        <v>4.58</v>
      </c>
      <c r="H2697" t="s">
        <v>61</v>
      </c>
      <c r="I2697" t="s">
        <v>42</v>
      </c>
      <c r="M2697">
        <f>VLOOKUP(H2697,'Stage Order'!$A$2:$B$8,2,FALSE)</f>
        <v>1</v>
      </c>
      <c r="N2697" t="str">
        <f t="shared" si="84"/>
        <v>2. 1-24 hours</v>
      </c>
      <c r="O2697" t="str">
        <f t="shared" si="85"/>
        <v>2026-04</v>
      </c>
    </row>
    <row r="2698" spans="1:15" x14ac:dyDescent="0.3">
      <c r="A2698" t="s">
        <v>6378</v>
      </c>
      <c r="B2698" t="s">
        <v>6379</v>
      </c>
      <c r="C2698" t="s">
        <v>81</v>
      </c>
      <c r="D2698" t="s">
        <v>77</v>
      </c>
      <c r="E2698" t="s">
        <v>45</v>
      </c>
      <c r="F2698" t="s">
        <v>94</v>
      </c>
      <c r="G2698">
        <v>4.6399999999999997</v>
      </c>
      <c r="H2698" t="s">
        <v>61</v>
      </c>
      <c r="I2698" t="s">
        <v>42</v>
      </c>
      <c r="M2698">
        <f>VLOOKUP(H2698,'Stage Order'!$A$2:$B$8,2,FALSE)</f>
        <v>1</v>
      </c>
      <c r="N2698" t="str">
        <f t="shared" si="84"/>
        <v>2. 1-24 hours</v>
      </c>
      <c r="O2698" t="str">
        <f t="shared" si="85"/>
        <v>2026-01</v>
      </c>
    </row>
    <row r="2699" spans="1:15" x14ac:dyDescent="0.3">
      <c r="A2699" t="s">
        <v>6380</v>
      </c>
      <c r="B2699" t="s">
        <v>6381</v>
      </c>
      <c r="C2699" t="s">
        <v>37</v>
      </c>
      <c r="D2699" t="s">
        <v>54</v>
      </c>
      <c r="E2699" t="s">
        <v>39</v>
      </c>
      <c r="F2699" t="s">
        <v>40</v>
      </c>
      <c r="G2699">
        <v>1.08</v>
      </c>
      <c r="H2699" t="s">
        <v>146</v>
      </c>
      <c r="I2699" t="s">
        <v>48</v>
      </c>
      <c r="J2699" t="s">
        <v>49</v>
      </c>
      <c r="K2699">
        <v>582.04</v>
      </c>
      <c r="L2699" t="s">
        <v>6382</v>
      </c>
      <c r="M2699">
        <f>VLOOKUP(H2699,'Stage Order'!$A$2:$B$8,2,FALSE)</f>
        <v>5</v>
      </c>
      <c r="N2699" t="str">
        <f t="shared" si="84"/>
        <v>2. 1-24 hours</v>
      </c>
      <c r="O2699" t="str">
        <f t="shared" si="85"/>
        <v>2025-02</v>
      </c>
    </row>
    <row r="2700" spans="1:15" x14ac:dyDescent="0.3">
      <c r="A2700" t="s">
        <v>6383</v>
      </c>
      <c r="B2700" t="s">
        <v>6384</v>
      </c>
      <c r="C2700" t="s">
        <v>28</v>
      </c>
      <c r="D2700" t="s">
        <v>38</v>
      </c>
      <c r="E2700" t="s">
        <v>39</v>
      </c>
      <c r="F2700" t="s">
        <v>40</v>
      </c>
      <c r="G2700">
        <v>4.01</v>
      </c>
      <c r="H2700" t="s">
        <v>146</v>
      </c>
      <c r="I2700" t="s">
        <v>48</v>
      </c>
      <c r="J2700" t="s">
        <v>139</v>
      </c>
      <c r="K2700">
        <v>375.06</v>
      </c>
      <c r="L2700" t="s">
        <v>6385</v>
      </c>
      <c r="M2700">
        <f>VLOOKUP(H2700,'Stage Order'!$A$2:$B$8,2,FALSE)</f>
        <v>5</v>
      </c>
      <c r="N2700" t="str">
        <f t="shared" si="84"/>
        <v>2. 1-24 hours</v>
      </c>
      <c r="O2700" t="str">
        <f t="shared" si="85"/>
        <v>2025-06</v>
      </c>
    </row>
    <row r="2701" spans="1:15" x14ac:dyDescent="0.3">
      <c r="A2701" t="s">
        <v>6386</v>
      </c>
      <c r="B2701" t="s">
        <v>6387</v>
      </c>
      <c r="C2701" t="s">
        <v>53</v>
      </c>
      <c r="D2701" t="s">
        <v>54</v>
      </c>
      <c r="E2701" t="s">
        <v>90</v>
      </c>
      <c r="F2701" t="s">
        <v>145</v>
      </c>
      <c r="G2701">
        <v>11.56</v>
      </c>
      <c r="H2701" t="s">
        <v>41</v>
      </c>
      <c r="I2701" t="s">
        <v>42</v>
      </c>
      <c r="M2701">
        <f>VLOOKUP(H2701,'Stage Order'!$A$2:$B$8,2,FALSE)</f>
        <v>2</v>
      </c>
      <c r="N2701" t="str">
        <f t="shared" si="84"/>
        <v>2. 1-24 hours</v>
      </c>
      <c r="O2701" t="str">
        <f t="shared" si="85"/>
        <v>2025-04</v>
      </c>
    </row>
    <row r="2702" spans="1:15" x14ac:dyDescent="0.3">
      <c r="A2702" t="s">
        <v>6388</v>
      </c>
      <c r="B2702" t="s">
        <v>6389</v>
      </c>
      <c r="C2702" t="s">
        <v>76</v>
      </c>
      <c r="D2702" t="s">
        <v>38</v>
      </c>
      <c r="E2702" t="s">
        <v>39</v>
      </c>
      <c r="F2702" t="s">
        <v>66</v>
      </c>
      <c r="G2702">
        <v>5.72</v>
      </c>
      <c r="H2702" t="s">
        <v>61</v>
      </c>
      <c r="I2702" t="s">
        <v>42</v>
      </c>
      <c r="M2702">
        <f>VLOOKUP(H2702,'Stage Order'!$A$2:$B$8,2,FALSE)</f>
        <v>1</v>
      </c>
      <c r="N2702" t="str">
        <f t="shared" si="84"/>
        <v>2. 1-24 hours</v>
      </c>
      <c r="O2702" t="str">
        <f t="shared" si="85"/>
        <v>2025-12</v>
      </c>
    </row>
    <row r="2703" spans="1:15" x14ac:dyDescent="0.3">
      <c r="A2703" t="s">
        <v>6390</v>
      </c>
      <c r="B2703" t="s">
        <v>6391</v>
      </c>
      <c r="C2703" t="s">
        <v>81</v>
      </c>
      <c r="D2703" t="s">
        <v>29</v>
      </c>
      <c r="E2703" t="s">
        <v>39</v>
      </c>
      <c r="F2703" t="s">
        <v>40</v>
      </c>
      <c r="G2703">
        <v>6.04</v>
      </c>
      <c r="H2703" t="s">
        <v>61</v>
      </c>
      <c r="I2703" t="s">
        <v>42</v>
      </c>
      <c r="M2703">
        <f>VLOOKUP(H2703,'Stage Order'!$A$2:$B$8,2,FALSE)</f>
        <v>1</v>
      </c>
      <c r="N2703" t="str">
        <f t="shared" si="84"/>
        <v>2. 1-24 hours</v>
      </c>
      <c r="O2703" t="str">
        <f t="shared" si="85"/>
        <v>2025-12</v>
      </c>
    </row>
    <row r="2704" spans="1:15" x14ac:dyDescent="0.3">
      <c r="A2704" t="s">
        <v>6392</v>
      </c>
      <c r="B2704" t="s">
        <v>6393</v>
      </c>
      <c r="C2704" t="s">
        <v>58</v>
      </c>
      <c r="D2704" t="s">
        <v>29</v>
      </c>
      <c r="E2704" t="s">
        <v>39</v>
      </c>
      <c r="F2704" t="s">
        <v>106</v>
      </c>
      <c r="G2704">
        <v>1.1100000000000001</v>
      </c>
      <c r="H2704" t="s">
        <v>146</v>
      </c>
      <c r="I2704" t="s">
        <v>48</v>
      </c>
      <c r="J2704" t="s">
        <v>49</v>
      </c>
      <c r="K2704">
        <v>714.18</v>
      </c>
      <c r="L2704" t="s">
        <v>6394</v>
      </c>
      <c r="M2704">
        <f>VLOOKUP(H2704,'Stage Order'!$A$2:$B$8,2,FALSE)</f>
        <v>5</v>
      </c>
      <c r="N2704" t="str">
        <f t="shared" si="84"/>
        <v>2. 1-24 hours</v>
      </c>
      <c r="O2704" t="str">
        <f t="shared" si="85"/>
        <v>2025-08</v>
      </c>
    </row>
    <row r="2705" spans="1:15" x14ac:dyDescent="0.3">
      <c r="A2705" t="s">
        <v>6395</v>
      </c>
      <c r="B2705" t="s">
        <v>6396</v>
      </c>
      <c r="C2705" t="s">
        <v>125</v>
      </c>
      <c r="D2705" t="s">
        <v>54</v>
      </c>
      <c r="E2705" t="s">
        <v>45</v>
      </c>
      <c r="F2705" t="s">
        <v>55</v>
      </c>
      <c r="G2705">
        <v>9.61</v>
      </c>
      <c r="H2705" t="s">
        <v>41</v>
      </c>
      <c r="I2705" t="s">
        <v>42</v>
      </c>
      <c r="M2705">
        <f>VLOOKUP(H2705,'Stage Order'!$A$2:$B$8,2,FALSE)</f>
        <v>2</v>
      </c>
      <c r="N2705" t="str">
        <f t="shared" si="84"/>
        <v>2. 1-24 hours</v>
      </c>
      <c r="O2705" t="str">
        <f t="shared" si="85"/>
        <v>2025-05</v>
      </c>
    </row>
    <row r="2706" spans="1:15" x14ac:dyDescent="0.3">
      <c r="A2706" t="s">
        <v>6397</v>
      </c>
      <c r="B2706" t="s">
        <v>6398</v>
      </c>
      <c r="C2706" t="s">
        <v>58</v>
      </c>
      <c r="D2706" t="s">
        <v>77</v>
      </c>
      <c r="E2706" t="s">
        <v>45</v>
      </c>
      <c r="F2706" t="s">
        <v>55</v>
      </c>
      <c r="G2706">
        <v>2.76</v>
      </c>
      <c r="H2706" t="s">
        <v>128</v>
      </c>
      <c r="I2706" t="s">
        <v>42</v>
      </c>
      <c r="M2706">
        <f>VLOOKUP(H2706,'Stage Order'!$A$2:$B$8,2,FALSE)</f>
        <v>3</v>
      </c>
      <c r="N2706" t="str">
        <f t="shared" si="84"/>
        <v>2. 1-24 hours</v>
      </c>
      <c r="O2706" t="str">
        <f t="shared" si="85"/>
        <v>2025-03</v>
      </c>
    </row>
    <row r="2707" spans="1:15" x14ac:dyDescent="0.3">
      <c r="A2707" t="s">
        <v>6399</v>
      </c>
      <c r="B2707" t="s">
        <v>6400</v>
      </c>
      <c r="C2707" t="s">
        <v>58</v>
      </c>
      <c r="D2707" t="s">
        <v>97</v>
      </c>
      <c r="E2707" t="s">
        <v>45</v>
      </c>
      <c r="F2707" t="s">
        <v>94</v>
      </c>
      <c r="G2707">
        <v>17.53</v>
      </c>
      <c r="H2707" t="s">
        <v>41</v>
      </c>
      <c r="I2707" t="s">
        <v>42</v>
      </c>
      <c r="M2707">
        <f>VLOOKUP(H2707,'Stage Order'!$A$2:$B$8,2,FALSE)</f>
        <v>2</v>
      </c>
      <c r="N2707" t="str">
        <f t="shared" si="84"/>
        <v>2. 1-24 hours</v>
      </c>
      <c r="O2707" t="str">
        <f t="shared" si="85"/>
        <v>2025-09</v>
      </c>
    </row>
    <row r="2708" spans="1:15" x14ac:dyDescent="0.3">
      <c r="A2708" t="s">
        <v>6401</v>
      </c>
      <c r="B2708" t="s">
        <v>6402</v>
      </c>
      <c r="C2708" t="s">
        <v>125</v>
      </c>
      <c r="D2708" t="s">
        <v>29</v>
      </c>
      <c r="E2708" t="s">
        <v>90</v>
      </c>
      <c r="F2708" t="s">
        <v>112</v>
      </c>
      <c r="G2708">
        <v>0.52</v>
      </c>
      <c r="H2708" t="s">
        <v>61</v>
      </c>
      <c r="I2708" t="s">
        <v>42</v>
      </c>
      <c r="M2708">
        <f>VLOOKUP(H2708,'Stage Order'!$A$2:$B$8,2,FALSE)</f>
        <v>1</v>
      </c>
      <c r="N2708" t="str">
        <f t="shared" si="84"/>
        <v>1. Under 1 hour</v>
      </c>
      <c r="O2708" t="str">
        <f t="shared" si="85"/>
        <v>2025-12</v>
      </c>
    </row>
    <row r="2709" spans="1:15" x14ac:dyDescent="0.3">
      <c r="A2709" t="s">
        <v>6403</v>
      </c>
      <c r="B2709" t="s">
        <v>6404</v>
      </c>
      <c r="C2709" t="s">
        <v>37</v>
      </c>
      <c r="D2709" t="s">
        <v>54</v>
      </c>
      <c r="E2709" t="s">
        <v>45</v>
      </c>
      <c r="F2709" t="s">
        <v>94</v>
      </c>
      <c r="G2709">
        <v>1.17</v>
      </c>
      <c r="H2709" t="s">
        <v>138</v>
      </c>
      <c r="I2709" t="s">
        <v>48</v>
      </c>
      <c r="J2709" t="s">
        <v>49</v>
      </c>
      <c r="K2709">
        <v>444.18</v>
      </c>
      <c r="L2709" t="s">
        <v>6405</v>
      </c>
      <c r="M2709">
        <f>VLOOKUP(H2709,'Stage Order'!$A$2:$B$8,2,FALSE)</f>
        <v>6</v>
      </c>
      <c r="N2709" t="str">
        <f t="shared" si="84"/>
        <v>2. 1-24 hours</v>
      </c>
      <c r="O2709" t="str">
        <f t="shared" si="85"/>
        <v>2025-07</v>
      </c>
    </row>
    <row r="2710" spans="1:15" x14ac:dyDescent="0.3">
      <c r="A2710" t="s">
        <v>6406</v>
      </c>
      <c r="B2710" t="s">
        <v>6407</v>
      </c>
      <c r="C2710" t="s">
        <v>37</v>
      </c>
      <c r="D2710" t="s">
        <v>54</v>
      </c>
      <c r="E2710" t="s">
        <v>30</v>
      </c>
      <c r="F2710" t="s">
        <v>78</v>
      </c>
      <c r="G2710">
        <v>8.0399999999999991</v>
      </c>
      <c r="H2710" t="s">
        <v>41</v>
      </c>
      <c r="I2710" t="s">
        <v>42</v>
      </c>
      <c r="M2710">
        <f>VLOOKUP(H2710,'Stage Order'!$A$2:$B$8,2,FALSE)</f>
        <v>2</v>
      </c>
      <c r="N2710" t="str">
        <f t="shared" si="84"/>
        <v>2. 1-24 hours</v>
      </c>
      <c r="O2710" t="str">
        <f t="shared" si="85"/>
        <v>2025-07</v>
      </c>
    </row>
    <row r="2711" spans="1:15" x14ac:dyDescent="0.3">
      <c r="A2711" t="s">
        <v>6408</v>
      </c>
      <c r="B2711" t="s">
        <v>6409</v>
      </c>
      <c r="C2711" t="s">
        <v>125</v>
      </c>
      <c r="D2711" t="s">
        <v>54</v>
      </c>
      <c r="E2711" t="s">
        <v>30</v>
      </c>
      <c r="F2711" t="s">
        <v>82</v>
      </c>
      <c r="G2711">
        <v>2.0499999999999998</v>
      </c>
      <c r="H2711" t="s">
        <v>47</v>
      </c>
      <c r="I2711" t="s">
        <v>48</v>
      </c>
      <c r="J2711" t="s">
        <v>113</v>
      </c>
      <c r="K2711">
        <v>500.38</v>
      </c>
      <c r="L2711" t="s">
        <v>6410</v>
      </c>
      <c r="M2711">
        <f>VLOOKUP(H2711,'Stage Order'!$A$2:$B$8,2,FALSE)</f>
        <v>4</v>
      </c>
      <c r="N2711" t="str">
        <f t="shared" si="84"/>
        <v>2. 1-24 hours</v>
      </c>
      <c r="O2711" t="str">
        <f t="shared" si="85"/>
        <v>2026-03</v>
      </c>
    </row>
    <row r="2712" spans="1:15" x14ac:dyDescent="0.3">
      <c r="A2712" t="s">
        <v>6411</v>
      </c>
      <c r="B2712" t="s">
        <v>6412</v>
      </c>
      <c r="C2712" t="s">
        <v>53</v>
      </c>
      <c r="D2712" t="s">
        <v>29</v>
      </c>
      <c r="E2712" t="s">
        <v>59</v>
      </c>
      <c r="F2712" t="s">
        <v>137</v>
      </c>
      <c r="G2712">
        <v>4.58</v>
      </c>
      <c r="H2712" t="s">
        <v>138</v>
      </c>
      <c r="I2712" t="s">
        <v>48</v>
      </c>
      <c r="J2712" t="s">
        <v>113</v>
      </c>
      <c r="K2712">
        <v>773.46</v>
      </c>
      <c r="L2712" t="s">
        <v>6413</v>
      </c>
      <c r="M2712">
        <f>VLOOKUP(H2712,'Stage Order'!$A$2:$B$8,2,FALSE)</f>
        <v>6</v>
      </c>
      <c r="N2712" t="str">
        <f t="shared" si="84"/>
        <v>2. 1-24 hours</v>
      </c>
      <c r="O2712" t="str">
        <f t="shared" si="85"/>
        <v>2025-08</v>
      </c>
    </row>
    <row r="2713" spans="1:15" x14ac:dyDescent="0.3">
      <c r="A2713" t="s">
        <v>6414</v>
      </c>
      <c r="B2713" t="s">
        <v>6415</v>
      </c>
      <c r="C2713" t="s">
        <v>81</v>
      </c>
      <c r="D2713" t="s">
        <v>77</v>
      </c>
      <c r="E2713" t="s">
        <v>45</v>
      </c>
      <c r="F2713" t="s">
        <v>55</v>
      </c>
      <c r="G2713">
        <v>1.21</v>
      </c>
      <c r="H2713" t="s">
        <v>61</v>
      </c>
      <c r="I2713" t="s">
        <v>42</v>
      </c>
      <c r="M2713">
        <f>VLOOKUP(H2713,'Stage Order'!$A$2:$B$8,2,FALSE)</f>
        <v>1</v>
      </c>
      <c r="N2713" t="str">
        <f t="shared" si="84"/>
        <v>2. 1-24 hours</v>
      </c>
      <c r="O2713" t="str">
        <f t="shared" si="85"/>
        <v>2026-01</v>
      </c>
    </row>
    <row r="2714" spans="1:15" x14ac:dyDescent="0.3">
      <c r="A2714" t="s">
        <v>6416</v>
      </c>
      <c r="B2714" t="s">
        <v>6417</v>
      </c>
      <c r="C2714" t="s">
        <v>58</v>
      </c>
      <c r="D2714" t="s">
        <v>97</v>
      </c>
      <c r="E2714" t="s">
        <v>45</v>
      </c>
      <c r="F2714" t="s">
        <v>94</v>
      </c>
      <c r="G2714">
        <v>3.34</v>
      </c>
      <c r="H2714" t="s">
        <v>41</v>
      </c>
      <c r="I2714" t="s">
        <v>42</v>
      </c>
      <c r="M2714">
        <f>VLOOKUP(H2714,'Stage Order'!$A$2:$B$8,2,FALSE)</f>
        <v>2</v>
      </c>
      <c r="N2714" t="str">
        <f t="shared" si="84"/>
        <v>2. 1-24 hours</v>
      </c>
      <c r="O2714" t="str">
        <f t="shared" si="85"/>
        <v>2025-10</v>
      </c>
    </row>
    <row r="2715" spans="1:15" x14ac:dyDescent="0.3">
      <c r="A2715" t="s">
        <v>6418</v>
      </c>
      <c r="B2715" t="s">
        <v>6419</v>
      </c>
      <c r="C2715" t="s">
        <v>28</v>
      </c>
      <c r="D2715" t="s">
        <v>29</v>
      </c>
      <c r="E2715" t="s">
        <v>45</v>
      </c>
      <c r="F2715" t="s">
        <v>46</v>
      </c>
      <c r="G2715">
        <v>11.7</v>
      </c>
      <c r="H2715" t="s">
        <v>128</v>
      </c>
      <c r="I2715" t="s">
        <v>42</v>
      </c>
      <c r="M2715">
        <f>VLOOKUP(H2715,'Stage Order'!$A$2:$B$8,2,FALSE)</f>
        <v>3</v>
      </c>
      <c r="N2715" t="str">
        <f t="shared" si="84"/>
        <v>2. 1-24 hours</v>
      </c>
      <c r="O2715" t="str">
        <f t="shared" si="85"/>
        <v>2025-10</v>
      </c>
    </row>
    <row r="2716" spans="1:15" x14ac:dyDescent="0.3">
      <c r="A2716" t="s">
        <v>6420</v>
      </c>
      <c r="B2716" t="s">
        <v>6421</v>
      </c>
      <c r="C2716" t="s">
        <v>58</v>
      </c>
      <c r="D2716" t="s">
        <v>54</v>
      </c>
      <c r="E2716" t="s">
        <v>45</v>
      </c>
      <c r="F2716" t="s">
        <v>55</v>
      </c>
      <c r="G2716">
        <v>1.21</v>
      </c>
      <c r="H2716" t="s">
        <v>32</v>
      </c>
      <c r="I2716" t="s">
        <v>33</v>
      </c>
      <c r="K2716">
        <v>448.58</v>
      </c>
      <c r="L2716" t="s">
        <v>6422</v>
      </c>
      <c r="M2716">
        <f>VLOOKUP(H2716,'Stage Order'!$A$2:$B$8,2,FALSE)</f>
        <v>7</v>
      </c>
      <c r="N2716" t="str">
        <f t="shared" si="84"/>
        <v>2. 1-24 hours</v>
      </c>
      <c r="O2716" t="str">
        <f t="shared" si="85"/>
        <v>2026-01</v>
      </c>
    </row>
    <row r="2717" spans="1:15" x14ac:dyDescent="0.3">
      <c r="A2717" t="s">
        <v>6423</v>
      </c>
      <c r="B2717" t="s">
        <v>6424</v>
      </c>
      <c r="C2717" t="s">
        <v>58</v>
      </c>
      <c r="D2717" t="s">
        <v>29</v>
      </c>
      <c r="E2717" t="s">
        <v>90</v>
      </c>
      <c r="F2717" t="s">
        <v>91</v>
      </c>
      <c r="G2717">
        <v>7.73</v>
      </c>
      <c r="H2717" t="s">
        <v>61</v>
      </c>
      <c r="I2717" t="s">
        <v>42</v>
      </c>
      <c r="M2717">
        <f>VLOOKUP(H2717,'Stage Order'!$A$2:$B$8,2,FALSE)</f>
        <v>1</v>
      </c>
      <c r="N2717" t="str">
        <f t="shared" si="84"/>
        <v>2. 1-24 hours</v>
      </c>
      <c r="O2717" t="str">
        <f t="shared" si="85"/>
        <v>2026-06</v>
      </c>
    </row>
    <row r="2718" spans="1:15" x14ac:dyDescent="0.3">
      <c r="A2718" t="s">
        <v>6425</v>
      </c>
      <c r="B2718" t="s">
        <v>6426</v>
      </c>
      <c r="C2718" t="s">
        <v>53</v>
      </c>
      <c r="D2718" t="s">
        <v>97</v>
      </c>
      <c r="E2718" t="s">
        <v>30</v>
      </c>
      <c r="F2718" t="s">
        <v>31</v>
      </c>
      <c r="G2718">
        <v>1.43</v>
      </c>
      <c r="H2718" t="s">
        <v>41</v>
      </c>
      <c r="I2718" t="s">
        <v>42</v>
      </c>
      <c r="M2718">
        <f>VLOOKUP(H2718,'Stage Order'!$A$2:$B$8,2,FALSE)</f>
        <v>2</v>
      </c>
      <c r="N2718" t="str">
        <f t="shared" si="84"/>
        <v>2. 1-24 hours</v>
      </c>
      <c r="O2718" t="str">
        <f t="shared" si="85"/>
        <v>2025-08</v>
      </c>
    </row>
    <row r="2719" spans="1:15" x14ac:dyDescent="0.3">
      <c r="A2719" t="s">
        <v>6427</v>
      </c>
      <c r="B2719" t="s">
        <v>6428</v>
      </c>
      <c r="C2719" t="s">
        <v>53</v>
      </c>
      <c r="D2719" t="s">
        <v>54</v>
      </c>
      <c r="E2719" t="s">
        <v>39</v>
      </c>
      <c r="F2719" t="s">
        <v>66</v>
      </c>
      <c r="G2719">
        <v>1.88</v>
      </c>
      <c r="H2719" t="s">
        <v>41</v>
      </c>
      <c r="I2719" t="s">
        <v>42</v>
      </c>
      <c r="M2719">
        <f>VLOOKUP(H2719,'Stage Order'!$A$2:$B$8,2,FALSE)</f>
        <v>2</v>
      </c>
      <c r="N2719" t="str">
        <f t="shared" si="84"/>
        <v>2. 1-24 hours</v>
      </c>
      <c r="O2719" t="str">
        <f t="shared" si="85"/>
        <v>2026-03</v>
      </c>
    </row>
    <row r="2720" spans="1:15" x14ac:dyDescent="0.3">
      <c r="A2720" t="s">
        <v>6429</v>
      </c>
      <c r="B2720" t="s">
        <v>6430</v>
      </c>
      <c r="C2720" t="s">
        <v>58</v>
      </c>
      <c r="D2720" t="s">
        <v>29</v>
      </c>
      <c r="E2720" t="s">
        <v>59</v>
      </c>
      <c r="F2720" t="s">
        <v>60</v>
      </c>
      <c r="G2720">
        <v>1.32</v>
      </c>
      <c r="H2720" t="s">
        <v>47</v>
      </c>
      <c r="I2720" t="s">
        <v>48</v>
      </c>
      <c r="J2720" t="s">
        <v>113</v>
      </c>
      <c r="K2720">
        <v>746.11</v>
      </c>
      <c r="L2720" t="s">
        <v>6431</v>
      </c>
      <c r="M2720">
        <f>VLOOKUP(H2720,'Stage Order'!$A$2:$B$8,2,FALSE)</f>
        <v>4</v>
      </c>
      <c r="N2720" t="str">
        <f t="shared" si="84"/>
        <v>2. 1-24 hours</v>
      </c>
      <c r="O2720" t="str">
        <f t="shared" si="85"/>
        <v>2026-06</v>
      </c>
    </row>
    <row r="2721" spans="1:15" x14ac:dyDescent="0.3">
      <c r="A2721" t="s">
        <v>6432</v>
      </c>
      <c r="B2721" t="s">
        <v>6433</v>
      </c>
      <c r="C2721" t="s">
        <v>28</v>
      </c>
      <c r="D2721" t="s">
        <v>77</v>
      </c>
      <c r="E2721" t="s">
        <v>90</v>
      </c>
      <c r="F2721" t="s">
        <v>91</v>
      </c>
      <c r="G2721">
        <v>5.71</v>
      </c>
      <c r="H2721" t="s">
        <v>47</v>
      </c>
      <c r="I2721" t="s">
        <v>48</v>
      </c>
      <c r="J2721" t="s">
        <v>139</v>
      </c>
      <c r="K2721">
        <v>838.46</v>
      </c>
      <c r="L2721" t="s">
        <v>6434</v>
      </c>
      <c r="M2721">
        <f>VLOOKUP(H2721,'Stage Order'!$A$2:$B$8,2,FALSE)</f>
        <v>4</v>
      </c>
      <c r="N2721" t="str">
        <f t="shared" si="84"/>
        <v>2. 1-24 hours</v>
      </c>
      <c r="O2721" t="str">
        <f t="shared" si="85"/>
        <v>2026-06</v>
      </c>
    </row>
    <row r="2722" spans="1:15" x14ac:dyDescent="0.3">
      <c r="A2722" t="s">
        <v>6435</v>
      </c>
      <c r="B2722" t="s">
        <v>6436</v>
      </c>
      <c r="C2722" t="s">
        <v>76</v>
      </c>
      <c r="D2722" t="s">
        <v>54</v>
      </c>
      <c r="E2722" t="s">
        <v>59</v>
      </c>
      <c r="F2722" t="s">
        <v>60</v>
      </c>
      <c r="G2722">
        <v>1.37</v>
      </c>
      <c r="H2722" t="s">
        <v>32</v>
      </c>
      <c r="I2722" t="s">
        <v>33</v>
      </c>
      <c r="K2722">
        <v>446.05</v>
      </c>
      <c r="L2722" t="s">
        <v>6437</v>
      </c>
      <c r="M2722">
        <f>VLOOKUP(H2722,'Stage Order'!$A$2:$B$8,2,FALSE)</f>
        <v>7</v>
      </c>
      <c r="N2722" t="str">
        <f t="shared" si="84"/>
        <v>2. 1-24 hours</v>
      </c>
      <c r="O2722" t="str">
        <f t="shared" si="85"/>
        <v>2025-04</v>
      </c>
    </row>
    <row r="2723" spans="1:15" x14ac:dyDescent="0.3">
      <c r="A2723" t="s">
        <v>6438</v>
      </c>
      <c r="B2723" t="s">
        <v>6439</v>
      </c>
      <c r="C2723" t="s">
        <v>37</v>
      </c>
      <c r="D2723" t="s">
        <v>54</v>
      </c>
      <c r="E2723" t="s">
        <v>90</v>
      </c>
      <c r="F2723" t="s">
        <v>91</v>
      </c>
      <c r="G2723">
        <v>2.86</v>
      </c>
      <c r="H2723" t="s">
        <v>41</v>
      </c>
      <c r="I2723" t="s">
        <v>42</v>
      </c>
      <c r="M2723">
        <f>VLOOKUP(H2723,'Stage Order'!$A$2:$B$8,2,FALSE)</f>
        <v>2</v>
      </c>
      <c r="N2723" t="str">
        <f t="shared" si="84"/>
        <v>2. 1-24 hours</v>
      </c>
      <c r="O2723" t="str">
        <f t="shared" si="85"/>
        <v>2025-12</v>
      </c>
    </row>
    <row r="2724" spans="1:15" x14ac:dyDescent="0.3">
      <c r="A2724" t="s">
        <v>6440</v>
      </c>
      <c r="B2724" t="s">
        <v>6441</v>
      </c>
      <c r="C2724" t="s">
        <v>37</v>
      </c>
      <c r="D2724" t="s">
        <v>38</v>
      </c>
      <c r="E2724" t="s">
        <v>59</v>
      </c>
      <c r="F2724" t="s">
        <v>60</v>
      </c>
      <c r="G2724">
        <v>2.4</v>
      </c>
      <c r="H2724" t="s">
        <v>32</v>
      </c>
      <c r="I2724" t="s">
        <v>33</v>
      </c>
      <c r="K2724">
        <v>303.38</v>
      </c>
      <c r="L2724" t="s">
        <v>6442</v>
      </c>
      <c r="M2724">
        <f>VLOOKUP(H2724,'Stage Order'!$A$2:$B$8,2,FALSE)</f>
        <v>7</v>
      </c>
      <c r="N2724" t="str">
        <f t="shared" si="84"/>
        <v>2. 1-24 hours</v>
      </c>
      <c r="O2724" t="str">
        <f t="shared" si="85"/>
        <v>2026-03</v>
      </c>
    </row>
    <row r="2725" spans="1:15" x14ac:dyDescent="0.3">
      <c r="A2725" t="s">
        <v>6443</v>
      </c>
      <c r="B2725" t="s">
        <v>6444</v>
      </c>
      <c r="C2725" t="s">
        <v>28</v>
      </c>
      <c r="D2725" t="s">
        <v>29</v>
      </c>
      <c r="E2725" t="s">
        <v>39</v>
      </c>
      <c r="F2725" t="s">
        <v>106</v>
      </c>
      <c r="G2725">
        <v>2.33</v>
      </c>
      <c r="H2725" t="s">
        <v>32</v>
      </c>
      <c r="I2725" t="s">
        <v>33</v>
      </c>
      <c r="K2725">
        <v>762.04</v>
      </c>
      <c r="L2725" t="s">
        <v>6445</v>
      </c>
      <c r="M2725">
        <f>VLOOKUP(H2725,'Stage Order'!$A$2:$B$8,2,FALSE)</f>
        <v>7</v>
      </c>
      <c r="N2725" t="str">
        <f t="shared" si="84"/>
        <v>2. 1-24 hours</v>
      </c>
      <c r="O2725" t="str">
        <f t="shared" si="85"/>
        <v>2026-02</v>
      </c>
    </row>
    <row r="2726" spans="1:15" x14ac:dyDescent="0.3">
      <c r="A2726" t="s">
        <v>6446</v>
      </c>
      <c r="B2726" t="s">
        <v>6447</v>
      </c>
      <c r="C2726" t="s">
        <v>58</v>
      </c>
      <c r="D2726" t="s">
        <v>38</v>
      </c>
      <c r="E2726" t="s">
        <v>59</v>
      </c>
      <c r="F2726" t="s">
        <v>117</v>
      </c>
      <c r="G2726">
        <v>3.5</v>
      </c>
      <c r="H2726" t="s">
        <v>138</v>
      </c>
      <c r="I2726" t="s">
        <v>48</v>
      </c>
      <c r="J2726" t="s">
        <v>98</v>
      </c>
      <c r="K2726">
        <v>323.88</v>
      </c>
      <c r="L2726" t="s">
        <v>6448</v>
      </c>
      <c r="M2726">
        <f>VLOOKUP(H2726,'Stage Order'!$A$2:$B$8,2,FALSE)</f>
        <v>6</v>
      </c>
      <c r="N2726" t="str">
        <f t="shared" si="84"/>
        <v>2. 1-24 hours</v>
      </c>
      <c r="O2726" t="str">
        <f t="shared" si="85"/>
        <v>2025-10</v>
      </c>
    </row>
    <row r="2727" spans="1:15" x14ac:dyDescent="0.3">
      <c r="A2727" t="s">
        <v>6449</v>
      </c>
      <c r="B2727" t="s">
        <v>6450</v>
      </c>
      <c r="C2727" t="s">
        <v>125</v>
      </c>
      <c r="D2727" t="s">
        <v>77</v>
      </c>
      <c r="E2727" t="s">
        <v>90</v>
      </c>
      <c r="F2727" t="s">
        <v>145</v>
      </c>
      <c r="G2727">
        <v>6.75</v>
      </c>
      <c r="H2727" t="s">
        <v>41</v>
      </c>
      <c r="I2727" t="s">
        <v>42</v>
      </c>
      <c r="M2727">
        <f>VLOOKUP(H2727,'Stage Order'!$A$2:$B$8,2,FALSE)</f>
        <v>2</v>
      </c>
      <c r="N2727" t="str">
        <f t="shared" si="84"/>
        <v>2. 1-24 hours</v>
      </c>
      <c r="O2727" t="str">
        <f t="shared" si="85"/>
        <v>2025-02</v>
      </c>
    </row>
    <row r="2728" spans="1:15" x14ac:dyDescent="0.3">
      <c r="A2728" t="s">
        <v>6451</v>
      </c>
      <c r="B2728" t="s">
        <v>6452</v>
      </c>
      <c r="C2728" t="s">
        <v>125</v>
      </c>
      <c r="D2728" t="s">
        <v>97</v>
      </c>
      <c r="E2728" t="s">
        <v>39</v>
      </c>
      <c r="F2728" t="s">
        <v>66</v>
      </c>
      <c r="G2728">
        <v>4.26</v>
      </c>
      <c r="H2728" t="s">
        <v>61</v>
      </c>
      <c r="I2728" t="s">
        <v>42</v>
      </c>
      <c r="M2728">
        <f>VLOOKUP(H2728,'Stage Order'!$A$2:$B$8,2,FALSE)</f>
        <v>1</v>
      </c>
      <c r="N2728" t="str">
        <f t="shared" si="84"/>
        <v>2. 1-24 hours</v>
      </c>
      <c r="O2728" t="str">
        <f t="shared" si="85"/>
        <v>2025-10</v>
      </c>
    </row>
    <row r="2729" spans="1:15" x14ac:dyDescent="0.3">
      <c r="A2729" t="s">
        <v>6453</v>
      </c>
      <c r="B2729" t="s">
        <v>6454</v>
      </c>
      <c r="C2729" t="s">
        <v>76</v>
      </c>
      <c r="D2729" t="s">
        <v>77</v>
      </c>
      <c r="E2729" t="s">
        <v>90</v>
      </c>
      <c r="F2729" t="s">
        <v>112</v>
      </c>
      <c r="G2729">
        <v>3.12</v>
      </c>
      <c r="H2729" t="s">
        <v>32</v>
      </c>
      <c r="I2729" t="s">
        <v>33</v>
      </c>
      <c r="K2729">
        <v>989.98</v>
      </c>
      <c r="L2729" t="s">
        <v>6455</v>
      </c>
      <c r="M2729">
        <f>VLOOKUP(H2729,'Stage Order'!$A$2:$B$8,2,FALSE)</f>
        <v>7</v>
      </c>
      <c r="N2729" t="str">
        <f t="shared" si="84"/>
        <v>2. 1-24 hours</v>
      </c>
      <c r="O2729" t="str">
        <f t="shared" si="85"/>
        <v>2025-03</v>
      </c>
    </row>
    <row r="2730" spans="1:15" x14ac:dyDescent="0.3">
      <c r="A2730" t="s">
        <v>6456</v>
      </c>
      <c r="B2730" t="s">
        <v>6457</v>
      </c>
      <c r="C2730" t="s">
        <v>37</v>
      </c>
      <c r="D2730" t="s">
        <v>54</v>
      </c>
      <c r="E2730" t="s">
        <v>90</v>
      </c>
      <c r="F2730" t="s">
        <v>91</v>
      </c>
      <c r="G2730">
        <v>1.95</v>
      </c>
      <c r="H2730" t="s">
        <v>47</v>
      </c>
      <c r="I2730" t="s">
        <v>48</v>
      </c>
      <c r="J2730" t="s">
        <v>98</v>
      </c>
      <c r="K2730">
        <v>568.83000000000004</v>
      </c>
      <c r="L2730" t="s">
        <v>6458</v>
      </c>
      <c r="M2730">
        <f>VLOOKUP(H2730,'Stage Order'!$A$2:$B$8,2,FALSE)</f>
        <v>4</v>
      </c>
      <c r="N2730" t="str">
        <f t="shared" si="84"/>
        <v>2. 1-24 hours</v>
      </c>
      <c r="O2730" t="str">
        <f t="shared" si="85"/>
        <v>2025-12</v>
      </c>
    </row>
    <row r="2731" spans="1:15" x14ac:dyDescent="0.3">
      <c r="A2731" t="s">
        <v>6459</v>
      </c>
      <c r="B2731" t="s">
        <v>6460</v>
      </c>
      <c r="C2731" t="s">
        <v>81</v>
      </c>
      <c r="D2731" t="s">
        <v>54</v>
      </c>
      <c r="E2731" t="s">
        <v>90</v>
      </c>
      <c r="F2731" t="s">
        <v>145</v>
      </c>
      <c r="G2731">
        <v>3.26</v>
      </c>
      <c r="H2731" t="s">
        <v>41</v>
      </c>
      <c r="I2731" t="s">
        <v>42</v>
      </c>
      <c r="M2731">
        <f>VLOOKUP(H2731,'Stage Order'!$A$2:$B$8,2,FALSE)</f>
        <v>2</v>
      </c>
      <c r="N2731" t="str">
        <f t="shared" si="84"/>
        <v>2. 1-24 hours</v>
      </c>
      <c r="O2731" t="str">
        <f t="shared" si="85"/>
        <v>2025-08</v>
      </c>
    </row>
    <row r="2732" spans="1:15" x14ac:dyDescent="0.3">
      <c r="A2732" t="s">
        <v>6461</v>
      </c>
      <c r="B2732" t="s">
        <v>6462</v>
      </c>
      <c r="C2732" t="s">
        <v>81</v>
      </c>
      <c r="D2732" t="s">
        <v>38</v>
      </c>
      <c r="E2732" t="s">
        <v>45</v>
      </c>
      <c r="F2732" t="s">
        <v>55</v>
      </c>
      <c r="G2732">
        <v>4.5199999999999996</v>
      </c>
      <c r="H2732" t="s">
        <v>61</v>
      </c>
      <c r="I2732" t="s">
        <v>42</v>
      </c>
      <c r="M2732">
        <f>VLOOKUP(H2732,'Stage Order'!$A$2:$B$8,2,FALSE)</f>
        <v>1</v>
      </c>
      <c r="N2732" t="str">
        <f t="shared" si="84"/>
        <v>2. 1-24 hours</v>
      </c>
      <c r="O2732" t="str">
        <f t="shared" si="85"/>
        <v>2025-02</v>
      </c>
    </row>
    <row r="2733" spans="1:15" x14ac:dyDescent="0.3">
      <c r="A2733" t="s">
        <v>6463</v>
      </c>
      <c r="B2733" t="s">
        <v>6464</v>
      </c>
      <c r="C2733" t="s">
        <v>58</v>
      </c>
      <c r="D2733" t="s">
        <v>77</v>
      </c>
      <c r="E2733" t="s">
        <v>45</v>
      </c>
      <c r="F2733" t="s">
        <v>55</v>
      </c>
      <c r="G2733">
        <v>1.23</v>
      </c>
      <c r="H2733" t="s">
        <v>146</v>
      </c>
      <c r="I2733" t="s">
        <v>48</v>
      </c>
      <c r="J2733" t="s">
        <v>98</v>
      </c>
      <c r="K2733">
        <v>1012.29</v>
      </c>
      <c r="L2733" t="s">
        <v>6465</v>
      </c>
      <c r="M2733">
        <f>VLOOKUP(H2733,'Stage Order'!$A$2:$B$8,2,FALSE)</f>
        <v>5</v>
      </c>
      <c r="N2733" t="str">
        <f t="shared" si="84"/>
        <v>2. 1-24 hours</v>
      </c>
      <c r="O2733" t="str">
        <f t="shared" si="85"/>
        <v>2025-05</v>
      </c>
    </row>
    <row r="2734" spans="1:15" x14ac:dyDescent="0.3">
      <c r="A2734" t="s">
        <v>6466</v>
      </c>
      <c r="B2734" t="s">
        <v>6467</v>
      </c>
      <c r="C2734" t="s">
        <v>53</v>
      </c>
      <c r="D2734" t="s">
        <v>29</v>
      </c>
      <c r="E2734" t="s">
        <v>30</v>
      </c>
      <c r="F2734" t="s">
        <v>78</v>
      </c>
      <c r="G2734">
        <v>2.84</v>
      </c>
      <c r="H2734" t="s">
        <v>41</v>
      </c>
      <c r="I2734" t="s">
        <v>42</v>
      </c>
      <c r="M2734">
        <f>VLOOKUP(H2734,'Stage Order'!$A$2:$B$8,2,FALSE)</f>
        <v>2</v>
      </c>
      <c r="N2734" t="str">
        <f t="shared" si="84"/>
        <v>2. 1-24 hours</v>
      </c>
      <c r="O2734" t="str">
        <f t="shared" si="85"/>
        <v>2025-10</v>
      </c>
    </row>
    <row r="2735" spans="1:15" x14ac:dyDescent="0.3">
      <c r="A2735" t="s">
        <v>6468</v>
      </c>
      <c r="B2735" t="s">
        <v>6469</v>
      </c>
      <c r="C2735" t="s">
        <v>37</v>
      </c>
      <c r="D2735" t="s">
        <v>54</v>
      </c>
      <c r="E2735" t="s">
        <v>59</v>
      </c>
      <c r="F2735" t="s">
        <v>137</v>
      </c>
      <c r="G2735">
        <v>0.82</v>
      </c>
      <c r="H2735" t="s">
        <v>41</v>
      </c>
      <c r="I2735" t="s">
        <v>42</v>
      </c>
      <c r="M2735">
        <f>VLOOKUP(H2735,'Stage Order'!$A$2:$B$8,2,FALSE)</f>
        <v>2</v>
      </c>
      <c r="N2735" t="str">
        <f t="shared" si="84"/>
        <v>1. Under 1 hour</v>
      </c>
      <c r="O2735" t="str">
        <f t="shared" si="85"/>
        <v>2025-04</v>
      </c>
    </row>
    <row r="2736" spans="1:15" x14ac:dyDescent="0.3">
      <c r="A2736" t="s">
        <v>6470</v>
      </c>
      <c r="B2736" t="s">
        <v>6471</v>
      </c>
      <c r="C2736" t="s">
        <v>28</v>
      </c>
      <c r="D2736" t="s">
        <v>54</v>
      </c>
      <c r="E2736" t="s">
        <v>39</v>
      </c>
      <c r="F2736" t="s">
        <v>40</v>
      </c>
      <c r="G2736">
        <v>2.15</v>
      </c>
      <c r="H2736" t="s">
        <v>41</v>
      </c>
      <c r="I2736" t="s">
        <v>42</v>
      </c>
      <c r="M2736">
        <f>VLOOKUP(H2736,'Stage Order'!$A$2:$B$8,2,FALSE)</f>
        <v>2</v>
      </c>
      <c r="N2736" t="str">
        <f t="shared" si="84"/>
        <v>2. 1-24 hours</v>
      </c>
      <c r="O2736" t="str">
        <f t="shared" si="85"/>
        <v>2026-06</v>
      </c>
    </row>
    <row r="2737" spans="1:15" x14ac:dyDescent="0.3">
      <c r="A2737" t="s">
        <v>6472</v>
      </c>
      <c r="B2737" t="s">
        <v>6473</v>
      </c>
      <c r="C2737" t="s">
        <v>76</v>
      </c>
      <c r="D2737" t="s">
        <v>29</v>
      </c>
      <c r="E2737" t="s">
        <v>39</v>
      </c>
      <c r="F2737" t="s">
        <v>66</v>
      </c>
      <c r="G2737">
        <v>2.99</v>
      </c>
      <c r="H2737" t="s">
        <v>146</v>
      </c>
      <c r="I2737" t="s">
        <v>48</v>
      </c>
      <c r="J2737" t="s">
        <v>113</v>
      </c>
      <c r="K2737">
        <v>547.14</v>
      </c>
      <c r="L2737" t="s">
        <v>6474</v>
      </c>
      <c r="M2737">
        <f>VLOOKUP(H2737,'Stage Order'!$A$2:$B$8,2,FALSE)</f>
        <v>5</v>
      </c>
      <c r="N2737" t="str">
        <f t="shared" si="84"/>
        <v>2. 1-24 hours</v>
      </c>
      <c r="O2737" t="str">
        <f t="shared" si="85"/>
        <v>2025-02</v>
      </c>
    </row>
    <row r="2738" spans="1:15" x14ac:dyDescent="0.3">
      <c r="A2738" t="s">
        <v>6475</v>
      </c>
      <c r="B2738" t="s">
        <v>6476</v>
      </c>
      <c r="C2738" t="s">
        <v>58</v>
      </c>
      <c r="D2738" t="s">
        <v>38</v>
      </c>
      <c r="E2738" t="s">
        <v>45</v>
      </c>
      <c r="F2738" t="s">
        <v>94</v>
      </c>
      <c r="G2738">
        <v>1.1499999999999999</v>
      </c>
      <c r="H2738" t="s">
        <v>47</v>
      </c>
      <c r="I2738" t="s">
        <v>48</v>
      </c>
      <c r="J2738" t="s">
        <v>98</v>
      </c>
      <c r="K2738">
        <v>337.22</v>
      </c>
      <c r="L2738" t="s">
        <v>6477</v>
      </c>
      <c r="M2738">
        <f>VLOOKUP(H2738,'Stage Order'!$A$2:$B$8,2,FALSE)</f>
        <v>4</v>
      </c>
      <c r="N2738" t="str">
        <f t="shared" si="84"/>
        <v>2. 1-24 hours</v>
      </c>
      <c r="O2738" t="str">
        <f t="shared" si="85"/>
        <v>2025-06</v>
      </c>
    </row>
    <row r="2739" spans="1:15" x14ac:dyDescent="0.3">
      <c r="A2739" t="s">
        <v>6478</v>
      </c>
      <c r="B2739" t="s">
        <v>6479</v>
      </c>
      <c r="C2739" t="s">
        <v>53</v>
      </c>
      <c r="D2739" t="s">
        <v>54</v>
      </c>
      <c r="E2739" t="s">
        <v>30</v>
      </c>
      <c r="F2739" t="s">
        <v>78</v>
      </c>
      <c r="G2739">
        <v>0.79</v>
      </c>
      <c r="H2739" t="s">
        <v>138</v>
      </c>
      <c r="I2739" t="s">
        <v>48</v>
      </c>
      <c r="J2739" t="s">
        <v>139</v>
      </c>
      <c r="K2739">
        <v>518.91999999999996</v>
      </c>
      <c r="L2739" t="s">
        <v>6480</v>
      </c>
      <c r="M2739">
        <f>VLOOKUP(H2739,'Stage Order'!$A$2:$B$8,2,FALSE)</f>
        <v>6</v>
      </c>
      <c r="N2739" t="str">
        <f t="shared" si="84"/>
        <v>1. Under 1 hour</v>
      </c>
      <c r="O2739" t="str">
        <f t="shared" si="85"/>
        <v>2025-07</v>
      </c>
    </row>
    <row r="2740" spans="1:15" x14ac:dyDescent="0.3">
      <c r="A2740" t="s">
        <v>6481</v>
      </c>
      <c r="B2740" t="s">
        <v>6482</v>
      </c>
      <c r="C2740" t="s">
        <v>37</v>
      </c>
      <c r="D2740" t="s">
        <v>54</v>
      </c>
      <c r="E2740" t="s">
        <v>30</v>
      </c>
      <c r="F2740" t="s">
        <v>78</v>
      </c>
      <c r="G2740">
        <v>1.32</v>
      </c>
      <c r="H2740" t="s">
        <v>41</v>
      </c>
      <c r="I2740" t="s">
        <v>42</v>
      </c>
      <c r="M2740">
        <f>VLOOKUP(H2740,'Stage Order'!$A$2:$B$8,2,FALSE)</f>
        <v>2</v>
      </c>
      <c r="N2740" t="str">
        <f t="shared" si="84"/>
        <v>2. 1-24 hours</v>
      </c>
      <c r="O2740" t="str">
        <f t="shared" si="85"/>
        <v>2025-08</v>
      </c>
    </row>
    <row r="2741" spans="1:15" x14ac:dyDescent="0.3">
      <c r="A2741" t="s">
        <v>6483</v>
      </c>
      <c r="B2741" t="s">
        <v>6484</v>
      </c>
      <c r="C2741" t="s">
        <v>28</v>
      </c>
      <c r="D2741" t="s">
        <v>54</v>
      </c>
      <c r="E2741" t="s">
        <v>39</v>
      </c>
      <c r="F2741" t="s">
        <v>40</v>
      </c>
      <c r="G2741">
        <v>3.16</v>
      </c>
      <c r="H2741" t="s">
        <v>32</v>
      </c>
      <c r="I2741" t="s">
        <v>33</v>
      </c>
      <c r="K2741">
        <v>497.89</v>
      </c>
      <c r="L2741" t="s">
        <v>6485</v>
      </c>
      <c r="M2741">
        <f>VLOOKUP(H2741,'Stage Order'!$A$2:$B$8,2,FALSE)</f>
        <v>7</v>
      </c>
      <c r="N2741" t="str">
        <f t="shared" si="84"/>
        <v>2. 1-24 hours</v>
      </c>
      <c r="O2741" t="str">
        <f t="shared" si="85"/>
        <v>2025-06</v>
      </c>
    </row>
    <row r="2742" spans="1:15" x14ac:dyDescent="0.3">
      <c r="A2742" t="s">
        <v>6486</v>
      </c>
      <c r="B2742" t="s">
        <v>6487</v>
      </c>
      <c r="C2742" t="s">
        <v>125</v>
      </c>
      <c r="D2742" t="s">
        <v>77</v>
      </c>
      <c r="E2742" t="s">
        <v>39</v>
      </c>
      <c r="F2742" t="s">
        <v>66</v>
      </c>
      <c r="G2742">
        <v>6.29</v>
      </c>
      <c r="H2742" t="s">
        <v>61</v>
      </c>
      <c r="I2742" t="s">
        <v>42</v>
      </c>
      <c r="M2742">
        <f>VLOOKUP(H2742,'Stage Order'!$A$2:$B$8,2,FALSE)</f>
        <v>1</v>
      </c>
      <c r="N2742" t="str">
        <f t="shared" si="84"/>
        <v>2. 1-24 hours</v>
      </c>
      <c r="O2742" t="str">
        <f t="shared" si="85"/>
        <v>2026-05</v>
      </c>
    </row>
    <row r="2743" spans="1:15" x14ac:dyDescent="0.3">
      <c r="A2743" t="s">
        <v>6488</v>
      </c>
      <c r="B2743" t="s">
        <v>6489</v>
      </c>
      <c r="C2743" t="s">
        <v>28</v>
      </c>
      <c r="D2743" t="s">
        <v>38</v>
      </c>
      <c r="E2743" t="s">
        <v>30</v>
      </c>
      <c r="F2743" t="s">
        <v>78</v>
      </c>
      <c r="G2743">
        <v>5.31</v>
      </c>
      <c r="H2743" t="s">
        <v>32</v>
      </c>
      <c r="I2743" t="s">
        <v>33</v>
      </c>
      <c r="K2743">
        <v>367.25</v>
      </c>
      <c r="L2743" t="s">
        <v>6490</v>
      </c>
      <c r="M2743">
        <f>VLOOKUP(H2743,'Stage Order'!$A$2:$B$8,2,FALSE)</f>
        <v>7</v>
      </c>
      <c r="N2743" t="str">
        <f t="shared" si="84"/>
        <v>2. 1-24 hours</v>
      </c>
      <c r="O2743" t="str">
        <f t="shared" si="85"/>
        <v>2026-03</v>
      </c>
    </row>
    <row r="2744" spans="1:15" x14ac:dyDescent="0.3">
      <c r="A2744" t="s">
        <v>6491</v>
      </c>
      <c r="B2744" t="s">
        <v>6492</v>
      </c>
      <c r="C2744" t="s">
        <v>76</v>
      </c>
      <c r="D2744" t="s">
        <v>97</v>
      </c>
      <c r="E2744" t="s">
        <v>45</v>
      </c>
      <c r="F2744" t="s">
        <v>55</v>
      </c>
      <c r="G2744">
        <v>2.54</v>
      </c>
      <c r="H2744" t="s">
        <v>41</v>
      </c>
      <c r="I2744" t="s">
        <v>42</v>
      </c>
      <c r="M2744">
        <f>VLOOKUP(H2744,'Stage Order'!$A$2:$B$8,2,FALSE)</f>
        <v>2</v>
      </c>
      <c r="N2744" t="str">
        <f t="shared" si="84"/>
        <v>2. 1-24 hours</v>
      </c>
      <c r="O2744" t="str">
        <f t="shared" si="85"/>
        <v>2025-05</v>
      </c>
    </row>
    <row r="2745" spans="1:15" x14ac:dyDescent="0.3">
      <c r="A2745" t="s">
        <v>6493</v>
      </c>
      <c r="B2745" t="s">
        <v>6494</v>
      </c>
      <c r="C2745" t="s">
        <v>58</v>
      </c>
      <c r="D2745" t="s">
        <v>77</v>
      </c>
      <c r="E2745" t="s">
        <v>39</v>
      </c>
      <c r="F2745" t="s">
        <v>40</v>
      </c>
      <c r="G2745">
        <v>4.66</v>
      </c>
      <c r="H2745" t="s">
        <v>128</v>
      </c>
      <c r="I2745" t="s">
        <v>42</v>
      </c>
      <c r="M2745">
        <f>VLOOKUP(H2745,'Stage Order'!$A$2:$B$8,2,FALSE)</f>
        <v>3</v>
      </c>
      <c r="N2745" t="str">
        <f t="shared" si="84"/>
        <v>2. 1-24 hours</v>
      </c>
      <c r="O2745" t="str">
        <f t="shared" si="85"/>
        <v>2026-06</v>
      </c>
    </row>
    <row r="2746" spans="1:15" x14ac:dyDescent="0.3">
      <c r="A2746" t="s">
        <v>6495</v>
      </c>
      <c r="B2746" t="s">
        <v>6496</v>
      </c>
      <c r="C2746" t="s">
        <v>125</v>
      </c>
      <c r="D2746" t="s">
        <v>77</v>
      </c>
      <c r="E2746" t="s">
        <v>39</v>
      </c>
      <c r="F2746" t="s">
        <v>40</v>
      </c>
      <c r="G2746">
        <v>1.87</v>
      </c>
      <c r="H2746" t="s">
        <v>61</v>
      </c>
      <c r="I2746" t="s">
        <v>42</v>
      </c>
      <c r="M2746">
        <f>VLOOKUP(H2746,'Stage Order'!$A$2:$B$8,2,FALSE)</f>
        <v>1</v>
      </c>
      <c r="N2746" t="str">
        <f t="shared" si="84"/>
        <v>2. 1-24 hours</v>
      </c>
      <c r="O2746" t="str">
        <f t="shared" si="85"/>
        <v>2026-02</v>
      </c>
    </row>
    <row r="2747" spans="1:15" x14ac:dyDescent="0.3">
      <c r="A2747" t="s">
        <v>6497</v>
      </c>
      <c r="B2747" t="s">
        <v>6498</v>
      </c>
      <c r="C2747" t="s">
        <v>125</v>
      </c>
      <c r="D2747" t="s">
        <v>97</v>
      </c>
      <c r="E2747" t="s">
        <v>90</v>
      </c>
      <c r="F2747" t="s">
        <v>91</v>
      </c>
      <c r="G2747">
        <v>10.71</v>
      </c>
      <c r="H2747" t="s">
        <v>61</v>
      </c>
      <c r="I2747" t="s">
        <v>42</v>
      </c>
      <c r="M2747">
        <f>VLOOKUP(H2747,'Stage Order'!$A$2:$B$8,2,FALSE)</f>
        <v>1</v>
      </c>
      <c r="N2747" t="str">
        <f t="shared" si="84"/>
        <v>2. 1-24 hours</v>
      </c>
      <c r="O2747" t="str">
        <f t="shared" si="85"/>
        <v>2026-05</v>
      </c>
    </row>
    <row r="2748" spans="1:15" x14ac:dyDescent="0.3">
      <c r="A2748" t="s">
        <v>6499</v>
      </c>
      <c r="B2748" t="s">
        <v>6500</v>
      </c>
      <c r="C2748" t="s">
        <v>58</v>
      </c>
      <c r="D2748" t="s">
        <v>54</v>
      </c>
      <c r="E2748" t="s">
        <v>59</v>
      </c>
      <c r="F2748" t="s">
        <v>137</v>
      </c>
      <c r="G2748">
        <v>1.85</v>
      </c>
      <c r="H2748" t="s">
        <v>41</v>
      </c>
      <c r="I2748" t="s">
        <v>42</v>
      </c>
      <c r="M2748">
        <f>VLOOKUP(H2748,'Stage Order'!$A$2:$B$8,2,FALSE)</f>
        <v>2</v>
      </c>
      <c r="N2748" t="str">
        <f t="shared" si="84"/>
        <v>2. 1-24 hours</v>
      </c>
      <c r="O2748" t="str">
        <f t="shared" si="85"/>
        <v>2026-06</v>
      </c>
    </row>
    <row r="2749" spans="1:15" x14ac:dyDescent="0.3">
      <c r="A2749" t="s">
        <v>6501</v>
      </c>
      <c r="B2749" t="s">
        <v>6502</v>
      </c>
      <c r="C2749" t="s">
        <v>28</v>
      </c>
      <c r="D2749" t="s">
        <v>29</v>
      </c>
      <c r="E2749" t="s">
        <v>39</v>
      </c>
      <c r="F2749" t="s">
        <v>66</v>
      </c>
      <c r="G2749">
        <v>8.69</v>
      </c>
      <c r="H2749" t="s">
        <v>41</v>
      </c>
      <c r="I2749" t="s">
        <v>42</v>
      </c>
      <c r="M2749">
        <f>VLOOKUP(H2749,'Stage Order'!$A$2:$B$8,2,FALSE)</f>
        <v>2</v>
      </c>
      <c r="N2749" t="str">
        <f t="shared" si="84"/>
        <v>2. 1-24 hours</v>
      </c>
      <c r="O2749" t="str">
        <f t="shared" si="85"/>
        <v>2025-08</v>
      </c>
    </row>
    <row r="2750" spans="1:15" x14ac:dyDescent="0.3">
      <c r="A2750" t="s">
        <v>6503</v>
      </c>
      <c r="B2750" t="s">
        <v>6504</v>
      </c>
      <c r="C2750" t="s">
        <v>125</v>
      </c>
      <c r="D2750" t="s">
        <v>54</v>
      </c>
      <c r="E2750" t="s">
        <v>90</v>
      </c>
      <c r="F2750" t="s">
        <v>145</v>
      </c>
      <c r="G2750">
        <v>3.02</v>
      </c>
      <c r="H2750" t="s">
        <v>41</v>
      </c>
      <c r="I2750" t="s">
        <v>42</v>
      </c>
      <c r="M2750">
        <f>VLOOKUP(H2750,'Stage Order'!$A$2:$B$8,2,FALSE)</f>
        <v>2</v>
      </c>
      <c r="N2750" t="str">
        <f t="shared" si="84"/>
        <v>2. 1-24 hours</v>
      </c>
      <c r="O2750" t="str">
        <f t="shared" si="85"/>
        <v>2025-10</v>
      </c>
    </row>
    <row r="2751" spans="1:15" x14ac:dyDescent="0.3">
      <c r="A2751" t="s">
        <v>6505</v>
      </c>
      <c r="B2751" t="s">
        <v>6506</v>
      </c>
      <c r="C2751" t="s">
        <v>37</v>
      </c>
      <c r="D2751" t="s">
        <v>54</v>
      </c>
      <c r="E2751" t="s">
        <v>59</v>
      </c>
      <c r="F2751" t="s">
        <v>60</v>
      </c>
      <c r="G2751">
        <v>1.19</v>
      </c>
      <c r="H2751" t="s">
        <v>41</v>
      </c>
      <c r="I2751" t="s">
        <v>42</v>
      </c>
      <c r="M2751">
        <f>VLOOKUP(H2751,'Stage Order'!$A$2:$B$8,2,FALSE)</f>
        <v>2</v>
      </c>
      <c r="N2751" t="str">
        <f t="shared" si="84"/>
        <v>2. 1-24 hours</v>
      </c>
      <c r="O2751" t="str">
        <f t="shared" si="85"/>
        <v>2026-05</v>
      </c>
    </row>
    <row r="2752" spans="1:15" x14ac:dyDescent="0.3">
      <c r="A2752" t="s">
        <v>6507</v>
      </c>
      <c r="B2752" t="s">
        <v>6508</v>
      </c>
      <c r="C2752" t="s">
        <v>58</v>
      </c>
      <c r="D2752" t="s">
        <v>97</v>
      </c>
      <c r="E2752" t="s">
        <v>39</v>
      </c>
      <c r="F2752" t="s">
        <v>106</v>
      </c>
      <c r="G2752">
        <v>4.18</v>
      </c>
      <c r="H2752" t="s">
        <v>41</v>
      </c>
      <c r="I2752" t="s">
        <v>42</v>
      </c>
      <c r="M2752">
        <f>VLOOKUP(H2752,'Stage Order'!$A$2:$B$8,2,FALSE)</f>
        <v>2</v>
      </c>
      <c r="N2752" t="str">
        <f t="shared" si="84"/>
        <v>2. 1-24 hours</v>
      </c>
      <c r="O2752" t="str">
        <f t="shared" si="85"/>
        <v>2026-06</v>
      </c>
    </row>
    <row r="2753" spans="1:15" x14ac:dyDescent="0.3">
      <c r="A2753" t="s">
        <v>6509</v>
      </c>
      <c r="B2753" t="s">
        <v>6510</v>
      </c>
      <c r="C2753" t="s">
        <v>58</v>
      </c>
      <c r="D2753" t="s">
        <v>38</v>
      </c>
      <c r="E2753" t="s">
        <v>59</v>
      </c>
      <c r="F2753" t="s">
        <v>137</v>
      </c>
      <c r="G2753">
        <v>4.92</v>
      </c>
      <c r="H2753" t="s">
        <v>41</v>
      </c>
      <c r="I2753" t="s">
        <v>42</v>
      </c>
      <c r="M2753">
        <f>VLOOKUP(H2753,'Stage Order'!$A$2:$B$8,2,FALSE)</f>
        <v>2</v>
      </c>
      <c r="N2753" t="str">
        <f t="shared" si="84"/>
        <v>2. 1-24 hours</v>
      </c>
      <c r="O2753" t="str">
        <f t="shared" si="85"/>
        <v>2025-03</v>
      </c>
    </row>
    <row r="2754" spans="1:15" x14ac:dyDescent="0.3">
      <c r="A2754" t="s">
        <v>6511</v>
      </c>
      <c r="B2754" t="s">
        <v>6512</v>
      </c>
      <c r="C2754" t="s">
        <v>37</v>
      </c>
      <c r="D2754" t="s">
        <v>97</v>
      </c>
      <c r="E2754" t="s">
        <v>90</v>
      </c>
      <c r="F2754" t="s">
        <v>91</v>
      </c>
      <c r="G2754">
        <v>3.46</v>
      </c>
      <c r="H2754" t="s">
        <v>41</v>
      </c>
      <c r="I2754" t="s">
        <v>42</v>
      </c>
      <c r="M2754">
        <f>VLOOKUP(H2754,'Stage Order'!$A$2:$B$8,2,FALSE)</f>
        <v>2</v>
      </c>
      <c r="N2754" t="str">
        <f t="shared" ref="N2754:N2817" si="86">IF(G2754&lt;=1,"1. Under 1 hour",IF(G2754&lt;=24,"2. 1-24 hours",IF(G2754&lt;=72,"3. 1-3 days","4. Over 3 days")))</f>
        <v>2. 1-24 hours</v>
      </c>
      <c r="O2754" t="str">
        <f t="shared" ref="O2754:O2817" si="87">TEXT(B2754,"YYYY-MM")</f>
        <v>2025-04</v>
      </c>
    </row>
    <row r="2755" spans="1:15" x14ac:dyDescent="0.3">
      <c r="A2755" t="s">
        <v>6513</v>
      </c>
      <c r="B2755" t="s">
        <v>6514</v>
      </c>
      <c r="C2755" t="s">
        <v>58</v>
      </c>
      <c r="D2755" t="s">
        <v>54</v>
      </c>
      <c r="E2755" t="s">
        <v>45</v>
      </c>
      <c r="F2755" t="s">
        <v>55</v>
      </c>
      <c r="G2755">
        <v>1.6</v>
      </c>
      <c r="H2755" t="s">
        <v>47</v>
      </c>
      <c r="I2755" t="s">
        <v>48</v>
      </c>
      <c r="J2755" t="s">
        <v>113</v>
      </c>
      <c r="K2755">
        <v>514.16999999999996</v>
      </c>
      <c r="L2755" t="s">
        <v>6515</v>
      </c>
      <c r="M2755">
        <f>VLOOKUP(H2755,'Stage Order'!$A$2:$B$8,2,FALSE)</f>
        <v>4</v>
      </c>
      <c r="N2755" t="str">
        <f t="shared" si="86"/>
        <v>2. 1-24 hours</v>
      </c>
      <c r="O2755" t="str">
        <f t="shared" si="87"/>
        <v>2026-04</v>
      </c>
    </row>
    <row r="2756" spans="1:15" x14ac:dyDescent="0.3">
      <c r="A2756" t="s">
        <v>6516</v>
      </c>
      <c r="B2756" t="s">
        <v>6517</v>
      </c>
      <c r="C2756" t="s">
        <v>125</v>
      </c>
      <c r="D2756" t="s">
        <v>77</v>
      </c>
      <c r="E2756" t="s">
        <v>45</v>
      </c>
      <c r="F2756" t="s">
        <v>94</v>
      </c>
      <c r="G2756">
        <v>2.12</v>
      </c>
      <c r="H2756" t="s">
        <v>41</v>
      </c>
      <c r="I2756" t="s">
        <v>42</v>
      </c>
      <c r="M2756">
        <f>VLOOKUP(H2756,'Stage Order'!$A$2:$B$8,2,FALSE)</f>
        <v>2</v>
      </c>
      <c r="N2756" t="str">
        <f t="shared" si="86"/>
        <v>2. 1-24 hours</v>
      </c>
      <c r="O2756" t="str">
        <f t="shared" si="87"/>
        <v>2026-05</v>
      </c>
    </row>
    <row r="2757" spans="1:15" x14ac:dyDescent="0.3">
      <c r="A2757" t="s">
        <v>6518</v>
      </c>
      <c r="B2757" t="s">
        <v>6519</v>
      </c>
      <c r="C2757" t="s">
        <v>58</v>
      </c>
      <c r="D2757" t="s">
        <v>77</v>
      </c>
      <c r="E2757" t="s">
        <v>90</v>
      </c>
      <c r="F2757" t="s">
        <v>145</v>
      </c>
      <c r="G2757">
        <v>13.81</v>
      </c>
      <c r="H2757" t="s">
        <v>41</v>
      </c>
      <c r="I2757" t="s">
        <v>42</v>
      </c>
      <c r="M2757">
        <f>VLOOKUP(H2757,'Stage Order'!$A$2:$B$8,2,FALSE)</f>
        <v>2</v>
      </c>
      <c r="N2757" t="str">
        <f t="shared" si="86"/>
        <v>2. 1-24 hours</v>
      </c>
      <c r="O2757" t="str">
        <f t="shared" si="87"/>
        <v>2025-06</v>
      </c>
    </row>
    <row r="2758" spans="1:15" x14ac:dyDescent="0.3">
      <c r="A2758" t="s">
        <v>6520</v>
      </c>
      <c r="B2758" t="s">
        <v>6521</v>
      </c>
      <c r="C2758" t="s">
        <v>81</v>
      </c>
      <c r="D2758" t="s">
        <v>29</v>
      </c>
      <c r="E2758" t="s">
        <v>39</v>
      </c>
      <c r="F2758" t="s">
        <v>106</v>
      </c>
      <c r="G2758">
        <v>2.14</v>
      </c>
      <c r="H2758" t="s">
        <v>61</v>
      </c>
      <c r="I2758" t="s">
        <v>42</v>
      </c>
      <c r="M2758">
        <f>VLOOKUP(H2758,'Stage Order'!$A$2:$B$8,2,FALSE)</f>
        <v>1</v>
      </c>
      <c r="N2758" t="str">
        <f t="shared" si="86"/>
        <v>2. 1-24 hours</v>
      </c>
      <c r="O2758" t="str">
        <f t="shared" si="87"/>
        <v>2026-02</v>
      </c>
    </row>
    <row r="2759" spans="1:15" x14ac:dyDescent="0.3">
      <c r="A2759" t="s">
        <v>6522</v>
      </c>
      <c r="B2759" t="s">
        <v>6523</v>
      </c>
      <c r="C2759" t="s">
        <v>81</v>
      </c>
      <c r="D2759" t="s">
        <v>29</v>
      </c>
      <c r="E2759" t="s">
        <v>45</v>
      </c>
      <c r="F2759" t="s">
        <v>94</v>
      </c>
      <c r="G2759">
        <v>1.7</v>
      </c>
      <c r="H2759" t="s">
        <v>61</v>
      </c>
      <c r="I2759" t="s">
        <v>42</v>
      </c>
      <c r="M2759">
        <f>VLOOKUP(H2759,'Stage Order'!$A$2:$B$8,2,FALSE)</f>
        <v>1</v>
      </c>
      <c r="N2759" t="str">
        <f t="shared" si="86"/>
        <v>2. 1-24 hours</v>
      </c>
      <c r="O2759" t="str">
        <f t="shared" si="87"/>
        <v>2026-03</v>
      </c>
    </row>
    <row r="2760" spans="1:15" x14ac:dyDescent="0.3">
      <c r="A2760" t="s">
        <v>6524</v>
      </c>
      <c r="B2760" t="s">
        <v>6525</v>
      </c>
      <c r="C2760" t="s">
        <v>53</v>
      </c>
      <c r="D2760" t="s">
        <v>54</v>
      </c>
      <c r="E2760" t="s">
        <v>45</v>
      </c>
      <c r="F2760" t="s">
        <v>46</v>
      </c>
      <c r="G2760">
        <v>2.59</v>
      </c>
      <c r="H2760" t="s">
        <v>138</v>
      </c>
      <c r="I2760" t="s">
        <v>48</v>
      </c>
      <c r="J2760" t="s">
        <v>49</v>
      </c>
      <c r="K2760">
        <v>439.45</v>
      </c>
      <c r="L2760" t="s">
        <v>6526</v>
      </c>
      <c r="M2760">
        <f>VLOOKUP(H2760,'Stage Order'!$A$2:$B$8,2,FALSE)</f>
        <v>6</v>
      </c>
      <c r="N2760" t="str">
        <f t="shared" si="86"/>
        <v>2. 1-24 hours</v>
      </c>
      <c r="O2760" t="str">
        <f t="shared" si="87"/>
        <v>2026-01</v>
      </c>
    </row>
    <row r="2761" spans="1:15" x14ac:dyDescent="0.3">
      <c r="A2761" t="s">
        <v>6527</v>
      </c>
      <c r="B2761" t="s">
        <v>6528</v>
      </c>
      <c r="C2761" t="s">
        <v>53</v>
      </c>
      <c r="D2761" t="s">
        <v>29</v>
      </c>
      <c r="E2761" t="s">
        <v>39</v>
      </c>
      <c r="F2761" t="s">
        <v>106</v>
      </c>
      <c r="G2761">
        <v>2.74</v>
      </c>
      <c r="H2761" t="s">
        <v>41</v>
      </c>
      <c r="I2761" t="s">
        <v>42</v>
      </c>
      <c r="M2761">
        <f>VLOOKUP(H2761,'Stage Order'!$A$2:$B$8,2,FALSE)</f>
        <v>2</v>
      </c>
      <c r="N2761" t="str">
        <f t="shared" si="86"/>
        <v>2. 1-24 hours</v>
      </c>
      <c r="O2761" t="str">
        <f t="shared" si="87"/>
        <v>2025-08</v>
      </c>
    </row>
    <row r="2762" spans="1:15" x14ac:dyDescent="0.3">
      <c r="A2762" t="s">
        <v>6529</v>
      </c>
      <c r="B2762" t="s">
        <v>6530</v>
      </c>
      <c r="C2762" t="s">
        <v>28</v>
      </c>
      <c r="D2762" t="s">
        <v>38</v>
      </c>
      <c r="E2762" t="s">
        <v>39</v>
      </c>
      <c r="F2762" t="s">
        <v>66</v>
      </c>
      <c r="G2762">
        <v>0.5</v>
      </c>
      <c r="H2762" t="s">
        <v>32</v>
      </c>
      <c r="I2762" t="s">
        <v>33</v>
      </c>
      <c r="K2762">
        <v>418.66</v>
      </c>
      <c r="L2762" t="s">
        <v>6531</v>
      </c>
      <c r="M2762">
        <f>VLOOKUP(H2762,'Stage Order'!$A$2:$B$8,2,FALSE)</f>
        <v>7</v>
      </c>
      <c r="N2762" t="str">
        <f t="shared" si="86"/>
        <v>1. Under 1 hour</v>
      </c>
      <c r="O2762" t="str">
        <f t="shared" si="87"/>
        <v>2025-06</v>
      </c>
    </row>
    <row r="2763" spans="1:15" x14ac:dyDescent="0.3">
      <c r="A2763" t="s">
        <v>6532</v>
      </c>
      <c r="B2763" t="s">
        <v>6533</v>
      </c>
      <c r="C2763" t="s">
        <v>76</v>
      </c>
      <c r="D2763" t="s">
        <v>29</v>
      </c>
      <c r="E2763" t="s">
        <v>90</v>
      </c>
      <c r="F2763" t="s">
        <v>112</v>
      </c>
      <c r="G2763">
        <v>1.1299999999999999</v>
      </c>
      <c r="H2763" t="s">
        <v>61</v>
      </c>
      <c r="I2763" t="s">
        <v>42</v>
      </c>
      <c r="M2763">
        <f>VLOOKUP(H2763,'Stage Order'!$A$2:$B$8,2,FALSE)</f>
        <v>1</v>
      </c>
      <c r="N2763" t="str">
        <f t="shared" si="86"/>
        <v>2. 1-24 hours</v>
      </c>
      <c r="O2763" t="str">
        <f t="shared" si="87"/>
        <v>2025-07</v>
      </c>
    </row>
    <row r="2764" spans="1:15" x14ac:dyDescent="0.3">
      <c r="A2764" t="s">
        <v>6534</v>
      </c>
      <c r="B2764" t="s">
        <v>6535</v>
      </c>
      <c r="C2764" t="s">
        <v>58</v>
      </c>
      <c r="D2764" t="s">
        <v>77</v>
      </c>
      <c r="E2764" t="s">
        <v>39</v>
      </c>
      <c r="F2764" t="s">
        <v>66</v>
      </c>
      <c r="G2764">
        <v>3.89</v>
      </c>
      <c r="H2764" t="s">
        <v>146</v>
      </c>
      <c r="I2764" t="s">
        <v>48</v>
      </c>
      <c r="J2764" t="s">
        <v>139</v>
      </c>
      <c r="K2764">
        <v>808.66</v>
      </c>
      <c r="L2764" t="s">
        <v>6536</v>
      </c>
      <c r="M2764">
        <f>VLOOKUP(H2764,'Stage Order'!$A$2:$B$8,2,FALSE)</f>
        <v>5</v>
      </c>
      <c r="N2764" t="str">
        <f t="shared" si="86"/>
        <v>2. 1-24 hours</v>
      </c>
      <c r="O2764" t="str">
        <f t="shared" si="87"/>
        <v>2025-09</v>
      </c>
    </row>
    <row r="2765" spans="1:15" x14ac:dyDescent="0.3">
      <c r="A2765" t="s">
        <v>6537</v>
      </c>
      <c r="B2765" t="s">
        <v>6538</v>
      </c>
      <c r="C2765" t="s">
        <v>81</v>
      </c>
      <c r="D2765" t="s">
        <v>29</v>
      </c>
      <c r="E2765" t="s">
        <v>45</v>
      </c>
      <c r="F2765" t="s">
        <v>46</v>
      </c>
      <c r="G2765">
        <v>7.69</v>
      </c>
      <c r="H2765" t="s">
        <v>61</v>
      </c>
      <c r="I2765" t="s">
        <v>42</v>
      </c>
      <c r="M2765">
        <f>VLOOKUP(H2765,'Stage Order'!$A$2:$B$8,2,FALSE)</f>
        <v>1</v>
      </c>
      <c r="N2765" t="str">
        <f t="shared" si="86"/>
        <v>2. 1-24 hours</v>
      </c>
      <c r="O2765" t="str">
        <f t="shared" si="87"/>
        <v>2025-03</v>
      </c>
    </row>
    <row r="2766" spans="1:15" x14ac:dyDescent="0.3">
      <c r="A2766" t="s">
        <v>6539</v>
      </c>
      <c r="B2766" t="s">
        <v>6540</v>
      </c>
      <c r="C2766" t="s">
        <v>28</v>
      </c>
      <c r="D2766" t="s">
        <v>54</v>
      </c>
      <c r="E2766" t="s">
        <v>30</v>
      </c>
      <c r="F2766" t="s">
        <v>78</v>
      </c>
      <c r="G2766">
        <v>5.15</v>
      </c>
      <c r="H2766" t="s">
        <v>41</v>
      </c>
      <c r="I2766" t="s">
        <v>42</v>
      </c>
      <c r="M2766">
        <f>VLOOKUP(H2766,'Stage Order'!$A$2:$B$8,2,FALSE)</f>
        <v>2</v>
      </c>
      <c r="N2766" t="str">
        <f t="shared" si="86"/>
        <v>2. 1-24 hours</v>
      </c>
      <c r="O2766" t="str">
        <f t="shared" si="87"/>
        <v>2025-11</v>
      </c>
    </row>
    <row r="2767" spans="1:15" x14ac:dyDescent="0.3">
      <c r="A2767" t="s">
        <v>6541</v>
      </c>
      <c r="B2767" t="s">
        <v>6542</v>
      </c>
      <c r="C2767" t="s">
        <v>125</v>
      </c>
      <c r="D2767" t="s">
        <v>97</v>
      </c>
      <c r="E2767" t="s">
        <v>59</v>
      </c>
      <c r="F2767" t="s">
        <v>137</v>
      </c>
      <c r="G2767">
        <v>10.51</v>
      </c>
      <c r="H2767" t="s">
        <v>41</v>
      </c>
      <c r="I2767" t="s">
        <v>42</v>
      </c>
      <c r="M2767">
        <f>VLOOKUP(H2767,'Stage Order'!$A$2:$B$8,2,FALSE)</f>
        <v>2</v>
      </c>
      <c r="N2767" t="str">
        <f t="shared" si="86"/>
        <v>2. 1-24 hours</v>
      </c>
      <c r="O2767" t="str">
        <f t="shared" si="87"/>
        <v>2025-11</v>
      </c>
    </row>
    <row r="2768" spans="1:15" x14ac:dyDescent="0.3">
      <c r="A2768" t="s">
        <v>6543</v>
      </c>
      <c r="B2768" t="s">
        <v>6544</v>
      </c>
      <c r="C2768" t="s">
        <v>37</v>
      </c>
      <c r="D2768" t="s">
        <v>97</v>
      </c>
      <c r="E2768" t="s">
        <v>59</v>
      </c>
      <c r="F2768" t="s">
        <v>117</v>
      </c>
      <c r="G2768">
        <v>0.79</v>
      </c>
      <c r="H2768" t="s">
        <v>32</v>
      </c>
      <c r="I2768" t="s">
        <v>33</v>
      </c>
      <c r="K2768">
        <v>1408.78</v>
      </c>
      <c r="L2768" t="s">
        <v>6545</v>
      </c>
      <c r="M2768">
        <f>VLOOKUP(H2768,'Stage Order'!$A$2:$B$8,2,FALSE)</f>
        <v>7</v>
      </c>
      <c r="N2768" t="str">
        <f t="shared" si="86"/>
        <v>1. Under 1 hour</v>
      </c>
      <c r="O2768" t="str">
        <f t="shared" si="87"/>
        <v>2025-02</v>
      </c>
    </row>
    <row r="2769" spans="1:15" x14ac:dyDescent="0.3">
      <c r="A2769" t="s">
        <v>6546</v>
      </c>
      <c r="B2769" t="s">
        <v>6547</v>
      </c>
      <c r="C2769" t="s">
        <v>125</v>
      </c>
      <c r="D2769" t="s">
        <v>77</v>
      </c>
      <c r="E2769" t="s">
        <v>59</v>
      </c>
      <c r="F2769" t="s">
        <v>137</v>
      </c>
      <c r="G2769">
        <v>7.65</v>
      </c>
      <c r="H2769" t="s">
        <v>41</v>
      </c>
      <c r="I2769" t="s">
        <v>42</v>
      </c>
      <c r="M2769">
        <f>VLOOKUP(H2769,'Stage Order'!$A$2:$B$8,2,FALSE)</f>
        <v>2</v>
      </c>
      <c r="N2769" t="str">
        <f t="shared" si="86"/>
        <v>2. 1-24 hours</v>
      </c>
      <c r="O2769" t="str">
        <f t="shared" si="87"/>
        <v>2026-06</v>
      </c>
    </row>
    <row r="2770" spans="1:15" x14ac:dyDescent="0.3">
      <c r="A2770" t="s">
        <v>6548</v>
      </c>
      <c r="B2770" t="s">
        <v>6549</v>
      </c>
      <c r="C2770" t="s">
        <v>53</v>
      </c>
      <c r="D2770" t="s">
        <v>77</v>
      </c>
      <c r="E2770" t="s">
        <v>59</v>
      </c>
      <c r="F2770" t="s">
        <v>60</v>
      </c>
      <c r="G2770">
        <v>4.1900000000000004</v>
      </c>
      <c r="H2770" t="s">
        <v>41</v>
      </c>
      <c r="I2770" t="s">
        <v>42</v>
      </c>
      <c r="M2770">
        <f>VLOOKUP(H2770,'Stage Order'!$A$2:$B$8,2,FALSE)</f>
        <v>2</v>
      </c>
      <c r="N2770" t="str">
        <f t="shared" si="86"/>
        <v>2. 1-24 hours</v>
      </c>
      <c r="O2770" t="str">
        <f t="shared" si="87"/>
        <v>2025-06</v>
      </c>
    </row>
    <row r="2771" spans="1:15" x14ac:dyDescent="0.3">
      <c r="A2771" t="s">
        <v>6550</v>
      </c>
      <c r="B2771" t="s">
        <v>6551</v>
      </c>
      <c r="C2771" t="s">
        <v>58</v>
      </c>
      <c r="D2771" t="s">
        <v>29</v>
      </c>
      <c r="E2771" t="s">
        <v>45</v>
      </c>
      <c r="F2771" t="s">
        <v>55</v>
      </c>
      <c r="G2771">
        <v>5.0199999999999996</v>
      </c>
      <c r="H2771" t="s">
        <v>138</v>
      </c>
      <c r="I2771" t="s">
        <v>48</v>
      </c>
      <c r="J2771" t="s">
        <v>98</v>
      </c>
      <c r="K2771">
        <v>743.45</v>
      </c>
      <c r="L2771" t="s">
        <v>6552</v>
      </c>
      <c r="M2771">
        <f>VLOOKUP(H2771,'Stage Order'!$A$2:$B$8,2,FALSE)</f>
        <v>6</v>
      </c>
      <c r="N2771" t="str">
        <f t="shared" si="86"/>
        <v>2. 1-24 hours</v>
      </c>
      <c r="O2771" t="str">
        <f t="shared" si="87"/>
        <v>2026-05</v>
      </c>
    </row>
    <row r="2772" spans="1:15" x14ac:dyDescent="0.3">
      <c r="A2772" t="s">
        <v>6553</v>
      </c>
      <c r="B2772" t="s">
        <v>6554</v>
      </c>
      <c r="C2772" t="s">
        <v>58</v>
      </c>
      <c r="D2772" t="s">
        <v>97</v>
      </c>
      <c r="E2772" t="s">
        <v>45</v>
      </c>
      <c r="F2772" t="s">
        <v>55</v>
      </c>
      <c r="G2772">
        <v>4.16</v>
      </c>
      <c r="H2772" t="s">
        <v>61</v>
      </c>
      <c r="I2772" t="s">
        <v>42</v>
      </c>
      <c r="M2772">
        <f>VLOOKUP(H2772,'Stage Order'!$A$2:$B$8,2,FALSE)</f>
        <v>1</v>
      </c>
      <c r="N2772" t="str">
        <f t="shared" si="86"/>
        <v>2. 1-24 hours</v>
      </c>
      <c r="O2772" t="str">
        <f t="shared" si="87"/>
        <v>2025-05</v>
      </c>
    </row>
    <row r="2773" spans="1:15" x14ac:dyDescent="0.3">
      <c r="A2773" t="s">
        <v>6555</v>
      </c>
      <c r="B2773" t="s">
        <v>6556</v>
      </c>
      <c r="C2773" t="s">
        <v>76</v>
      </c>
      <c r="D2773" t="s">
        <v>54</v>
      </c>
      <c r="E2773" t="s">
        <v>45</v>
      </c>
      <c r="F2773" t="s">
        <v>55</v>
      </c>
      <c r="G2773">
        <v>1.1499999999999999</v>
      </c>
      <c r="H2773" t="s">
        <v>138</v>
      </c>
      <c r="I2773" t="s">
        <v>48</v>
      </c>
      <c r="J2773" t="s">
        <v>113</v>
      </c>
      <c r="K2773">
        <v>435.77</v>
      </c>
      <c r="L2773" t="s">
        <v>6557</v>
      </c>
      <c r="M2773">
        <f>VLOOKUP(H2773,'Stage Order'!$A$2:$B$8,2,FALSE)</f>
        <v>6</v>
      </c>
      <c r="N2773" t="str">
        <f t="shared" si="86"/>
        <v>2. 1-24 hours</v>
      </c>
      <c r="O2773" t="str">
        <f t="shared" si="87"/>
        <v>2025-11</v>
      </c>
    </row>
    <row r="2774" spans="1:15" x14ac:dyDescent="0.3">
      <c r="A2774" t="s">
        <v>6558</v>
      </c>
      <c r="B2774" t="s">
        <v>6559</v>
      </c>
      <c r="C2774" t="s">
        <v>37</v>
      </c>
      <c r="D2774" t="s">
        <v>29</v>
      </c>
      <c r="E2774" t="s">
        <v>30</v>
      </c>
      <c r="F2774" t="s">
        <v>82</v>
      </c>
      <c r="G2774">
        <v>5.51</v>
      </c>
      <c r="H2774" t="s">
        <v>138</v>
      </c>
      <c r="I2774" t="s">
        <v>48</v>
      </c>
      <c r="J2774" t="s">
        <v>98</v>
      </c>
      <c r="K2774">
        <v>658.2</v>
      </c>
      <c r="L2774" t="s">
        <v>6560</v>
      </c>
      <c r="M2774">
        <f>VLOOKUP(H2774,'Stage Order'!$A$2:$B$8,2,FALSE)</f>
        <v>6</v>
      </c>
      <c r="N2774" t="str">
        <f t="shared" si="86"/>
        <v>2. 1-24 hours</v>
      </c>
      <c r="O2774" t="str">
        <f t="shared" si="87"/>
        <v>2025-06</v>
      </c>
    </row>
    <row r="2775" spans="1:15" x14ac:dyDescent="0.3">
      <c r="A2775" t="s">
        <v>6561</v>
      </c>
      <c r="B2775" t="s">
        <v>6562</v>
      </c>
      <c r="C2775" t="s">
        <v>37</v>
      </c>
      <c r="D2775" t="s">
        <v>38</v>
      </c>
      <c r="E2775" t="s">
        <v>90</v>
      </c>
      <c r="F2775" t="s">
        <v>91</v>
      </c>
      <c r="G2775">
        <v>2.21</v>
      </c>
      <c r="H2775" t="s">
        <v>61</v>
      </c>
      <c r="I2775" t="s">
        <v>42</v>
      </c>
      <c r="M2775">
        <f>VLOOKUP(H2775,'Stage Order'!$A$2:$B$8,2,FALSE)</f>
        <v>1</v>
      </c>
      <c r="N2775" t="str">
        <f t="shared" si="86"/>
        <v>2. 1-24 hours</v>
      </c>
      <c r="O2775" t="str">
        <f t="shared" si="87"/>
        <v>2025-12</v>
      </c>
    </row>
    <row r="2776" spans="1:15" x14ac:dyDescent="0.3">
      <c r="A2776" t="s">
        <v>6563</v>
      </c>
      <c r="B2776" t="s">
        <v>6564</v>
      </c>
      <c r="C2776" t="s">
        <v>37</v>
      </c>
      <c r="D2776" t="s">
        <v>97</v>
      </c>
      <c r="E2776" t="s">
        <v>39</v>
      </c>
      <c r="F2776" t="s">
        <v>66</v>
      </c>
      <c r="G2776">
        <v>2.52</v>
      </c>
      <c r="H2776" t="s">
        <v>61</v>
      </c>
      <c r="I2776" t="s">
        <v>42</v>
      </c>
      <c r="M2776">
        <f>VLOOKUP(H2776,'Stage Order'!$A$2:$B$8,2,FALSE)</f>
        <v>1</v>
      </c>
      <c r="N2776" t="str">
        <f t="shared" si="86"/>
        <v>2. 1-24 hours</v>
      </c>
      <c r="O2776" t="str">
        <f t="shared" si="87"/>
        <v>2025-04</v>
      </c>
    </row>
    <row r="2777" spans="1:15" x14ac:dyDescent="0.3">
      <c r="A2777" t="s">
        <v>6565</v>
      </c>
      <c r="B2777" t="s">
        <v>6566</v>
      </c>
      <c r="C2777" t="s">
        <v>125</v>
      </c>
      <c r="D2777" t="s">
        <v>29</v>
      </c>
      <c r="E2777" t="s">
        <v>30</v>
      </c>
      <c r="F2777" t="s">
        <v>82</v>
      </c>
      <c r="G2777">
        <v>10.02</v>
      </c>
      <c r="H2777" t="s">
        <v>61</v>
      </c>
      <c r="I2777" t="s">
        <v>42</v>
      </c>
      <c r="M2777">
        <f>VLOOKUP(H2777,'Stage Order'!$A$2:$B$8,2,FALSE)</f>
        <v>1</v>
      </c>
      <c r="N2777" t="str">
        <f t="shared" si="86"/>
        <v>2. 1-24 hours</v>
      </c>
      <c r="O2777" t="str">
        <f t="shared" si="87"/>
        <v>2026-02</v>
      </c>
    </row>
    <row r="2778" spans="1:15" x14ac:dyDescent="0.3">
      <c r="A2778" t="s">
        <v>6567</v>
      </c>
      <c r="B2778" t="s">
        <v>6568</v>
      </c>
      <c r="C2778" t="s">
        <v>125</v>
      </c>
      <c r="D2778" t="s">
        <v>54</v>
      </c>
      <c r="E2778" t="s">
        <v>39</v>
      </c>
      <c r="F2778" t="s">
        <v>106</v>
      </c>
      <c r="G2778">
        <v>0.72</v>
      </c>
      <c r="H2778" t="s">
        <v>41</v>
      </c>
      <c r="I2778" t="s">
        <v>42</v>
      </c>
      <c r="M2778">
        <f>VLOOKUP(H2778,'Stage Order'!$A$2:$B$8,2,FALSE)</f>
        <v>2</v>
      </c>
      <c r="N2778" t="str">
        <f t="shared" si="86"/>
        <v>1. Under 1 hour</v>
      </c>
      <c r="O2778" t="str">
        <f t="shared" si="87"/>
        <v>2025-09</v>
      </c>
    </row>
    <row r="2779" spans="1:15" x14ac:dyDescent="0.3">
      <c r="A2779" t="s">
        <v>6569</v>
      </c>
      <c r="B2779" t="s">
        <v>6570</v>
      </c>
      <c r="C2779" t="s">
        <v>37</v>
      </c>
      <c r="D2779" t="s">
        <v>54</v>
      </c>
      <c r="E2779" t="s">
        <v>59</v>
      </c>
      <c r="F2779" t="s">
        <v>137</v>
      </c>
      <c r="G2779">
        <v>3.41</v>
      </c>
      <c r="H2779" t="s">
        <v>61</v>
      </c>
      <c r="I2779" t="s">
        <v>42</v>
      </c>
      <c r="M2779">
        <f>VLOOKUP(H2779,'Stage Order'!$A$2:$B$8,2,FALSE)</f>
        <v>1</v>
      </c>
      <c r="N2779" t="str">
        <f t="shared" si="86"/>
        <v>2. 1-24 hours</v>
      </c>
      <c r="O2779" t="str">
        <f t="shared" si="87"/>
        <v>2025-11</v>
      </c>
    </row>
    <row r="2780" spans="1:15" x14ac:dyDescent="0.3">
      <c r="A2780" t="s">
        <v>6571</v>
      </c>
      <c r="B2780" t="s">
        <v>6572</v>
      </c>
      <c r="C2780" t="s">
        <v>53</v>
      </c>
      <c r="D2780" t="s">
        <v>54</v>
      </c>
      <c r="E2780" t="s">
        <v>90</v>
      </c>
      <c r="F2780" t="s">
        <v>91</v>
      </c>
      <c r="G2780">
        <v>0.88</v>
      </c>
      <c r="H2780" t="s">
        <v>41</v>
      </c>
      <c r="I2780" t="s">
        <v>42</v>
      </c>
      <c r="M2780">
        <f>VLOOKUP(H2780,'Stage Order'!$A$2:$B$8,2,FALSE)</f>
        <v>2</v>
      </c>
      <c r="N2780" t="str">
        <f t="shared" si="86"/>
        <v>1. Under 1 hour</v>
      </c>
      <c r="O2780" t="str">
        <f t="shared" si="87"/>
        <v>2026-06</v>
      </c>
    </row>
    <row r="2781" spans="1:15" x14ac:dyDescent="0.3">
      <c r="A2781" t="s">
        <v>6573</v>
      </c>
      <c r="B2781" t="s">
        <v>6574</v>
      </c>
      <c r="C2781" t="s">
        <v>37</v>
      </c>
      <c r="D2781" t="s">
        <v>77</v>
      </c>
      <c r="E2781" t="s">
        <v>39</v>
      </c>
      <c r="F2781" t="s">
        <v>40</v>
      </c>
      <c r="G2781">
        <v>2.0299999999999998</v>
      </c>
      <c r="H2781" t="s">
        <v>41</v>
      </c>
      <c r="I2781" t="s">
        <v>42</v>
      </c>
      <c r="M2781">
        <f>VLOOKUP(H2781,'Stage Order'!$A$2:$B$8,2,FALSE)</f>
        <v>2</v>
      </c>
      <c r="N2781" t="str">
        <f t="shared" si="86"/>
        <v>2. 1-24 hours</v>
      </c>
      <c r="O2781" t="str">
        <f t="shared" si="87"/>
        <v>2025-12</v>
      </c>
    </row>
    <row r="2782" spans="1:15" x14ac:dyDescent="0.3">
      <c r="A2782" t="s">
        <v>6575</v>
      </c>
      <c r="B2782" t="s">
        <v>6576</v>
      </c>
      <c r="C2782" t="s">
        <v>37</v>
      </c>
      <c r="D2782" t="s">
        <v>29</v>
      </c>
      <c r="E2782" t="s">
        <v>39</v>
      </c>
      <c r="F2782" t="s">
        <v>66</v>
      </c>
      <c r="G2782">
        <v>5.93</v>
      </c>
      <c r="H2782" t="s">
        <v>41</v>
      </c>
      <c r="I2782" t="s">
        <v>42</v>
      </c>
      <c r="M2782">
        <f>VLOOKUP(H2782,'Stage Order'!$A$2:$B$8,2,FALSE)</f>
        <v>2</v>
      </c>
      <c r="N2782" t="str">
        <f t="shared" si="86"/>
        <v>2. 1-24 hours</v>
      </c>
      <c r="O2782" t="str">
        <f t="shared" si="87"/>
        <v>2025-04</v>
      </c>
    </row>
    <row r="2783" spans="1:15" x14ac:dyDescent="0.3">
      <c r="A2783" t="s">
        <v>6577</v>
      </c>
      <c r="B2783" t="s">
        <v>6578</v>
      </c>
      <c r="C2783" t="s">
        <v>53</v>
      </c>
      <c r="D2783" t="s">
        <v>29</v>
      </c>
      <c r="E2783" t="s">
        <v>39</v>
      </c>
      <c r="F2783" t="s">
        <v>40</v>
      </c>
      <c r="G2783">
        <v>14.99</v>
      </c>
      <c r="H2783" t="s">
        <v>32</v>
      </c>
      <c r="I2783" t="s">
        <v>33</v>
      </c>
      <c r="K2783">
        <v>685.64</v>
      </c>
      <c r="L2783" t="s">
        <v>6579</v>
      </c>
      <c r="M2783">
        <f>VLOOKUP(H2783,'Stage Order'!$A$2:$B$8,2,FALSE)</f>
        <v>7</v>
      </c>
      <c r="N2783" t="str">
        <f t="shared" si="86"/>
        <v>2. 1-24 hours</v>
      </c>
      <c r="O2783" t="str">
        <f t="shared" si="87"/>
        <v>2026-02</v>
      </c>
    </row>
    <row r="2784" spans="1:15" x14ac:dyDescent="0.3">
      <c r="A2784" t="s">
        <v>6580</v>
      </c>
      <c r="B2784" t="s">
        <v>6581</v>
      </c>
      <c r="C2784" t="s">
        <v>81</v>
      </c>
      <c r="D2784" t="s">
        <v>77</v>
      </c>
      <c r="E2784" t="s">
        <v>45</v>
      </c>
      <c r="F2784" t="s">
        <v>55</v>
      </c>
      <c r="G2784">
        <v>3.3</v>
      </c>
      <c r="H2784" t="s">
        <v>41</v>
      </c>
      <c r="I2784" t="s">
        <v>42</v>
      </c>
      <c r="M2784">
        <f>VLOOKUP(H2784,'Stage Order'!$A$2:$B$8,2,FALSE)</f>
        <v>2</v>
      </c>
      <c r="N2784" t="str">
        <f t="shared" si="86"/>
        <v>2. 1-24 hours</v>
      </c>
      <c r="O2784" t="str">
        <f t="shared" si="87"/>
        <v>2026-01</v>
      </c>
    </row>
    <row r="2785" spans="1:15" x14ac:dyDescent="0.3">
      <c r="A2785" t="s">
        <v>6582</v>
      </c>
      <c r="B2785" t="s">
        <v>6583</v>
      </c>
      <c r="C2785" t="s">
        <v>58</v>
      </c>
      <c r="D2785" t="s">
        <v>54</v>
      </c>
      <c r="E2785" t="s">
        <v>90</v>
      </c>
      <c r="F2785" t="s">
        <v>145</v>
      </c>
      <c r="G2785">
        <v>9.1300000000000008</v>
      </c>
      <c r="H2785" t="s">
        <v>61</v>
      </c>
      <c r="I2785" t="s">
        <v>42</v>
      </c>
      <c r="M2785">
        <f>VLOOKUP(H2785,'Stage Order'!$A$2:$B$8,2,FALSE)</f>
        <v>1</v>
      </c>
      <c r="N2785" t="str">
        <f t="shared" si="86"/>
        <v>2. 1-24 hours</v>
      </c>
      <c r="O2785" t="str">
        <f t="shared" si="87"/>
        <v>2025-02</v>
      </c>
    </row>
    <row r="2786" spans="1:15" x14ac:dyDescent="0.3">
      <c r="A2786" t="s">
        <v>6584</v>
      </c>
      <c r="B2786" t="s">
        <v>6585</v>
      </c>
      <c r="C2786" t="s">
        <v>53</v>
      </c>
      <c r="D2786" t="s">
        <v>38</v>
      </c>
      <c r="E2786" t="s">
        <v>90</v>
      </c>
      <c r="F2786" t="s">
        <v>112</v>
      </c>
      <c r="G2786">
        <v>3.97</v>
      </c>
      <c r="H2786" t="s">
        <v>32</v>
      </c>
      <c r="I2786" t="s">
        <v>33</v>
      </c>
      <c r="K2786">
        <v>385.41</v>
      </c>
      <c r="L2786" t="s">
        <v>6586</v>
      </c>
      <c r="M2786">
        <f>VLOOKUP(H2786,'Stage Order'!$A$2:$B$8,2,FALSE)</f>
        <v>7</v>
      </c>
      <c r="N2786" t="str">
        <f t="shared" si="86"/>
        <v>2. 1-24 hours</v>
      </c>
      <c r="O2786" t="str">
        <f t="shared" si="87"/>
        <v>2025-01</v>
      </c>
    </row>
    <row r="2787" spans="1:15" x14ac:dyDescent="0.3">
      <c r="A2787" t="s">
        <v>6587</v>
      </c>
      <c r="B2787" t="s">
        <v>6588</v>
      </c>
      <c r="C2787" t="s">
        <v>37</v>
      </c>
      <c r="D2787" t="s">
        <v>97</v>
      </c>
      <c r="E2787" t="s">
        <v>59</v>
      </c>
      <c r="F2787" t="s">
        <v>117</v>
      </c>
      <c r="G2787">
        <v>1.35</v>
      </c>
      <c r="H2787" t="s">
        <v>41</v>
      </c>
      <c r="I2787" t="s">
        <v>42</v>
      </c>
      <c r="M2787">
        <f>VLOOKUP(H2787,'Stage Order'!$A$2:$B$8,2,FALSE)</f>
        <v>2</v>
      </c>
      <c r="N2787" t="str">
        <f t="shared" si="86"/>
        <v>2. 1-24 hours</v>
      </c>
      <c r="O2787" t="str">
        <f t="shared" si="87"/>
        <v>2025-09</v>
      </c>
    </row>
    <row r="2788" spans="1:15" x14ac:dyDescent="0.3">
      <c r="A2788" t="s">
        <v>6589</v>
      </c>
      <c r="B2788" t="s">
        <v>6590</v>
      </c>
      <c r="C2788" t="s">
        <v>28</v>
      </c>
      <c r="D2788" t="s">
        <v>54</v>
      </c>
      <c r="E2788" t="s">
        <v>39</v>
      </c>
      <c r="F2788" t="s">
        <v>106</v>
      </c>
      <c r="G2788">
        <v>4.68</v>
      </c>
      <c r="H2788" t="s">
        <v>32</v>
      </c>
      <c r="I2788" t="s">
        <v>33</v>
      </c>
      <c r="K2788">
        <v>409.73</v>
      </c>
      <c r="L2788" t="s">
        <v>6591</v>
      </c>
      <c r="M2788">
        <f>VLOOKUP(H2788,'Stage Order'!$A$2:$B$8,2,FALSE)</f>
        <v>7</v>
      </c>
      <c r="N2788" t="str">
        <f t="shared" si="86"/>
        <v>2. 1-24 hours</v>
      </c>
      <c r="O2788" t="str">
        <f t="shared" si="87"/>
        <v>2025-11</v>
      </c>
    </row>
    <row r="2789" spans="1:15" x14ac:dyDescent="0.3">
      <c r="A2789" t="s">
        <v>6592</v>
      </c>
      <c r="B2789" t="s">
        <v>6593</v>
      </c>
      <c r="C2789" t="s">
        <v>58</v>
      </c>
      <c r="D2789" t="s">
        <v>54</v>
      </c>
      <c r="E2789" t="s">
        <v>90</v>
      </c>
      <c r="F2789" t="s">
        <v>145</v>
      </c>
      <c r="G2789">
        <v>2.41</v>
      </c>
      <c r="H2789" t="s">
        <v>61</v>
      </c>
      <c r="I2789" t="s">
        <v>42</v>
      </c>
      <c r="M2789">
        <f>VLOOKUP(H2789,'Stage Order'!$A$2:$B$8,2,FALSE)</f>
        <v>1</v>
      </c>
      <c r="N2789" t="str">
        <f t="shared" si="86"/>
        <v>2. 1-24 hours</v>
      </c>
      <c r="O2789" t="str">
        <f t="shared" si="87"/>
        <v>2025-01</v>
      </c>
    </row>
    <row r="2790" spans="1:15" x14ac:dyDescent="0.3">
      <c r="A2790" t="s">
        <v>6594</v>
      </c>
      <c r="B2790" t="s">
        <v>6595</v>
      </c>
      <c r="C2790" t="s">
        <v>53</v>
      </c>
      <c r="D2790" t="s">
        <v>77</v>
      </c>
      <c r="E2790" t="s">
        <v>59</v>
      </c>
      <c r="F2790" t="s">
        <v>137</v>
      </c>
      <c r="G2790">
        <v>21.27</v>
      </c>
      <c r="H2790" t="s">
        <v>138</v>
      </c>
      <c r="I2790" t="s">
        <v>48</v>
      </c>
      <c r="J2790" t="s">
        <v>113</v>
      </c>
      <c r="K2790">
        <v>1183.73</v>
      </c>
      <c r="L2790" t="s">
        <v>6596</v>
      </c>
      <c r="M2790">
        <f>VLOOKUP(H2790,'Stage Order'!$A$2:$B$8,2,FALSE)</f>
        <v>6</v>
      </c>
      <c r="N2790" t="str">
        <f t="shared" si="86"/>
        <v>2. 1-24 hours</v>
      </c>
      <c r="O2790" t="str">
        <f t="shared" si="87"/>
        <v>2025-04</v>
      </c>
    </row>
    <row r="2791" spans="1:15" x14ac:dyDescent="0.3">
      <c r="A2791" t="s">
        <v>6597</v>
      </c>
      <c r="B2791" t="s">
        <v>6598</v>
      </c>
      <c r="C2791" t="s">
        <v>53</v>
      </c>
      <c r="D2791" t="s">
        <v>77</v>
      </c>
      <c r="E2791" t="s">
        <v>90</v>
      </c>
      <c r="F2791" t="s">
        <v>91</v>
      </c>
      <c r="G2791">
        <v>2.16</v>
      </c>
      <c r="H2791" t="s">
        <v>32</v>
      </c>
      <c r="I2791" t="s">
        <v>33</v>
      </c>
      <c r="K2791">
        <v>1109.56</v>
      </c>
      <c r="L2791" t="s">
        <v>6599</v>
      </c>
      <c r="M2791">
        <f>VLOOKUP(H2791,'Stage Order'!$A$2:$B$8,2,FALSE)</f>
        <v>7</v>
      </c>
      <c r="N2791" t="str">
        <f t="shared" si="86"/>
        <v>2. 1-24 hours</v>
      </c>
      <c r="O2791" t="str">
        <f t="shared" si="87"/>
        <v>2025-11</v>
      </c>
    </row>
    <row r="2792" spans="1:15" x14ac:dyDescent="0.3">
      <c r="A2792" t="s">
        <v>6600</v>
      </c>
      <c r="B2792" t="s">
        <v>6601</v>
      </c>
      <c r="C2792" t="s">
        <v>58</v>
      </c>
      <c r="D2792" t="s">
        <v>77</v>
      </c>
      <c r="E2792" t="s">
        <v>90</v>
      </c>
      <c r="F2792" t="s">
        <v>91</v>
      </c>
      <c r="G2792">
        <v>2.4700000000000002</v>
      </c>
      <c r="H2792" t="s">
        <v>128</v>
      </c>
      <c r="I2792" t="s">
        <v>42</v>
      </c>
      <c r="M2792">
        <f>VLOOKUP(H2792,'Stage Order'!$A$2:$B$8,2,FALSE)</f>
        <v>3</v>
      </c>
      <c r="N2792" t="str">
        <f t="shared" si="86"/>
        <v>2. 1-24 hours</v>
      </c>
      <c r="O2792" t="str">
        <f t="shared" si="87"/>
        <v>2025-06</v>
      </c>
    </row>
    <row r="2793" spans="1:15" x14ac:dyDescent="0.3">
      <c r="A2793" t="s">
        <v>6602</v>
      </c>
      <c r="B2793" t="s">
        <v>6603</v>
      </c>
      <c r="C2793" t="s">
        <v>76</v>
      </c>
      <c r="D2793" t="s">
        <v>29</v>
      </c>
      <c r="E2793" t="s">
        <v>45</v>
      </c>
      <c r="F2793" t="s">
        <v>94</v>
      </c>
      <c r="G2793">
        <v>3.04</v>
      </c>
      <c r="H2793" t="s">
        <v>41</v>
      </c>
      <c r="I2793" t="s">
        <v>42</v>
      </c>
      <c r="M2793">
        <f>VLOOKUP(H2793,'Stage Order'!$A$2:$B$8,2,FALSE)</f>
        <v>2</v>
      </c>
      <c r="N2793" t="str">
        <f t="shared" si="86"/>
        <v>2. 1-24 hours</v>
      </c>
      <c r="O2793" t="str">
        <f t="shared" si="87"/>
        <v>2026-05</v>
      </c>
    </row>
    <row r="2794" spans="1:15" x14ac:dyDescent="0.3">
      <c r="A2794" t="s">
        <v>6604</v>
      </c>
      <c r="B2794" t="s">
        <v>6605</v>
      </c>
      <c r="C2794" t="s">
        <v>53</v>
      </c>
      <c r="D2794" t="s">
        <v>77</v>
      </c>
      <c r="E2794" t="s">
        <v>45</v>
      </c>
      <c r="F2794" t="s">
        <v>46</v>
      </c>
      <c r="G2794">
        <v>1.58</v>
      </c>
      <c r="H2794" t="s">
        <v>32</v>
      </c>
      <c r="I2794" t="s">
        <v>33</v>
      </c>
      <c r="K2794">
        <v>953.78</v>
      </c>
      <c r="L2794" t="s">
        <v>6606</v>
      </c>
      <c r="M2794">
        <f>VLOOKUP(H2794,'Stage Order'!$A$2:$B$8,2,FALSE)</f>
        <v>7</v>
      </c>
      <c r="N2794" t="str">
        <f t="shared" si="86"/>
        <v>2. 1-24 hours</v>
      </c>
      <c r="O2794" t="str">
        <f t="shared" si="87"/>
        <v>2025-01</v>
      </c>
    </row>
    <row r="2795" spans="1:15" x14ac:dyDescent="0.3">
      <c r="A2795" t="s">
        <v>6607</v>
      </c>
      <c r="B2795" t="s">
        <v>6608</v>
      </c>
      <c r="C2795" t="s">
        <v>28</v>
      </c>
      <c r="D2795" t="s">
        <v>38</v>
      </c>
      <c r="E2795" t="s">
        <v>59</v>
      </c>
      <c r="F2795" t="s">
        <v>137</v>
      </c>
      <c r="G2795">
        <v>3.65</v>
      </c>
      <c r="H2795" t="s">
        <v>41</v>
      </c>
      <c r="I2795" t="s">
        <v>42</v>
      </c>
      <c r="M2795">
        <f>VLOOKUP(H2795,'Stage Order'!$A$2:$B$8,2,FALSE)</f>
        <v>2</v>
      </c>
      <c r="N2795" t="str">
        <f t="shared" si="86"/>
        <v>2. 1-24 hours</v>
      </c>
      <c r="O2795" t="str">
        <f t="shared" si="87"/>
        <v>2025-08</v>
      </c>
    </row>
    <row r="2796" spans="1:15" x14ac:dyDescent="0.3">
      <c r="A2796" t="s">
        <v>6609</v>
      </c>
      <c r="B2796" t="s">
        <v>6610</v>
      </c>
      <c r="C2796" t="s">
        <v>28</v>
      </c>
      <c r="D2796" t="s">
        <v>77</v>
      </c>
      <c r="E2796" t="s">
        <v>39</v>
      </c>
      <c r="F2796" t="s">
        <v>106</v>
      </c>
      <c r="G2796">
        <v>7.36</v>
      </c>
      <c r="H2796" t="s">
        <v>138</v>
      </c>
      <c r="I2796" t="s">
        <v>48</v>
      </c>
      <c r="J2796" t="s">
        <v>139</v>
      </c>
      <c r="K2796">
        <v>1177.56</v>
      </c>
      <c r="L2796" t="s">
        <v>6611</v>
      </c>
      <c r="M2796">
        <f>VLOOKUP(H2796,'Stage Order'!$A$2:$B$8,2,FALSE)</f>
        <v>6</v>
      </c>
      <c r="N2796" t="str">
        <f t="shared" si="86"/>
        <v>2. 1-24 hours</v>
      </c>
      <c r="O2796" t="str">
        <f t="shared" si="87"/>
        <v>2026-04</v>
      </c>
    </row>
    <row r="2797" spans="1:15" x14ac:dyDescent="0.3">
      <c r="A2797" t="s">
        <v>6612</v>
      </c>
      <c r="B2797" t="s">
        <v>6613</v>
      </c>
      <c r="C2797" t="s">
        <v>28</v>
      </c>
      <c r="D2797" t="s">
        <v>38</v>
      </c>
      <c r="E2797" t="s">
        <v>90</v>
      </c>
      <c r="F2797" t="s">
        <v>91</v>
      </c>
      <c r="G2797">
        <v>15.4</v>
      </c>
      <c r="H2797" t="s">
        <v>128</v>
      </c>
      <c r="I2797" t="s">
        <v>42</v>
      </c>
      <c r="M2797">
        <f>VLOOKUP(H2797,'Stage Order'!$A$2:$B$8,2,FALSE)</f>
        <v>3</v>
      </c>
      <c r="N2797" t="str">
        <f t="shared" si="86"/>
        <v>2. 1-24 hours</v>
      </c>
      <c r="O2797" t="str">
        <f t="shared" si="87"/>
        <v>2025-11</v>
      </c>
    </row>
    <row r="2798" spans="1:15" x14ac:dyDescent="0.3">
      <c r="A2798" t="s">
        <v>6614</v>
      </c>
      <c r="B2798" t="s">
        <v>6615</v>
      </c>
      <c r="C2798" t="s">
        <v>125</v>
      </c>
      <c r="D2798" t="s">
        <v>77</v>
      </c>
      <c r="E2798" t="s">
        <v>39</v>
      </c>
      <c r="F2798" t="s">
        <v>66</v>
      </c>
      <c r="G2798">
        <v>4.51</v>
      </c>
      <c r="H2798" t="s">
        <v>32</v>
      </c>
      <c r="I2798" t="s">
        <v>33</v>
      </c>
      <c r="K2798">
        <v>1043.54</v>
      </c>
      <c r="L2798" t="s">
        <v>6616</v>
      </c>
      <c r="M2798">
        <f>VLOOKUP(H2798,'Stage Order'!$A$2:$B$8,2,FALSE)</f>
        <v>7</v>
      </c>
      <c r="N2798" t="str">
        <f t="shared" si="86"/>
        <v>2. 1-24 hours</v>
      </c>
      <c r="O2798" t="str">
        <f t="shared" si="87"/>
        <v>2026-01</v>
      </c>
    </row>
    <row r="2799" spans="1:15" x14ac:dyDescent="0.3">
      <c r="A2799" t="s">
        <v>6617</v>
      </c>
      <c r="B2799" t="s">
        <v>6618</v>
      </c>
      <c r="C2799" t="s">
        <v>58</v>
      </c>
      <c r="D2799" t="s">
        <v>97</v>
      </c>
      <c r="E2799" t="s">
        <v>90</v>
      </c>
      <c r="F2799" t="s">
        <v>145</v>
      </c>
      <c r="G2799">
        <v>6.63</v>
      </c>
      <c r="H2799" t="s">
        <v>128</v>
      </c>
      <c r="I2799" t="s">
        <v>42</v>
      </c>
      <c r="M2799">
        <f>VLOOKUP(H2799,'Stage Order'!$A$2:$B$8,2,FALSE)</f>
        <v>3</v>
      </c>
      <c r="N2799" t="str">
        <f t="shared" si="86"/>
        <v>2. 1-24 hours</v>
      </c>
      <c r="O2799" t="str">
        <f t="shared" si="87"/>
        <v>2026-05</v>
      </c>
    </row>
    <row r="2800" spans="1:15" x14ac:dyDescent="0.3">
      <c r="A2800" t="s">
        <v>6619</v>
      </c>
      <c r="B2800" t="s">
        <v>6620</v>
      </c>
      <c r="C2800" t="s">
        <v>37</v>
      </c>
      <c r="D2800" t="s">
        <v>29</v>
      </c>
      <c r="E2800" t="s">
        <v>45</v>
      </c>
      <c r="F2800" t="s">
        <v>46</v>
      </c>
      <c r="G2800">
        <v>5.43</v>
      </c>
      <c r="H2800" t="s">
        <v>41</v>
      </c>
      <c r="I2800" t="s">
        <v>42</v>
      </c>
      <c r="M2800">
        <f>VLOOKUP(H2800,'Stage Order'!$A$2:$B$8,2,FALSE)</f>
        <v>2</v>
      </c>
      <c r="N2800" t="str">
        <f t="shared" si="86"/>
        <v>2. 1-24 hours</v>
      </c>
      <c r="O2800" t="str">
        <f t="shared" si="87"/>
        <v>2025-04</v>
      </c>
    </row>
    <row r="2801" spans="1:15" x14ac:dyDescent="0.3">
      <c r="A2801" t="s">
        <v>6621</v>
      </c>
      <c r="B2801" t="s">
        <v>6622</v>
      </c>
      <c r="C2801" t="s">
        <v>37</v>
      </c>
      <c r="D2801" t="s">
        <v>38</v>
      </c>
      <c r="E2801" t="s">
        <v>90</v>
      </c>
      <c r="F2801" t="s">
        <v>145</v>
      </c>
      <c r="G2801">
        <v>0.82</v>
      </c>
      <c r="H2801" t="s">
        <v>41</v>
      </c>
      <c r="I2801" t="s">
        <v>42</v>
      </c>
      <c r="M2801">
        <f>VLOOKUP(H2801,'Stage Order'!$A$2:$B$8,2,FALSE)</f>
        <v>2</v>
      </c>
      <c r="N2801" t="str">
        <f t="shared" si="86"/>
        <v>1. Under 1 hour</v>
      </c>
      <c r="O2801" t="str">
        <f t="shared" si="87"/>
        <v>2025-08</v>
      </c>
    </row>
    <row r="2802" spans="1:15" x14ac:dyDescent="0.3">
      <c r="A2802" t="s">
        <v>6623</v>
      </c>
      <c r="B2802" t="s">
        <v>6624</v>
      </c>
      <c r="C2802" t="s">
        <v>81</v>
      </c>
      <c r="D2802" t="s">
        <v>77</v>
      </c>
      <c r="E2802" t="s">
        <v>39</v>
      </c>
      <c r="F2802" t="s">
        <v>66</v>
      </c>
      <c r="G2802">
        <v>2.61</v>
      </c>
      <c r="H2802" t="s">
        <v>61</v>
      </c>
      <c r="I2802" t="s">
        <v>42</v>
      </c>
      <c r="M2802">
        <f>VLOOKUP(H2802,'Stage Order'!$A$2:$B$8,2,FALSE)</f>
        <v>1</v>
      </c>
      <c r="N2802" t="str">
        <f t="shared" si="86"/>
        <v>2. 1-24 hours</v>
      </c>
      <c r="O2802" t="str">
        <f t="shared" si="87"/>
        <v>2025-01</v>
      </c>
    </row>
    <row r="2803" spans="1:15" x14ac:dyDescent="0.3">
      <c r="A2803" t="s">
        <v>6625</v>
      </c>
      <c r="B2803" t="s">
        <v>6626</v>
      </c>
      <c r="C2803" t="s">
        <v>53</v>
      </c>
      <c r="D2803" t="s">
        <v>54</v>
      </c>
      <c r="E2803" t="s">
        <v>45</v>
      </c>
      <c r="F2803" t="s">
        <v>46</v>
      </c>
      <c r="G2803">
        <v>7.96</v>
      </c>
      <c r="H2803" t="s">
        <v>41</v>
      </c>
      <c r="I2803" t="s">
        <v>42</v>
      </c>
      <c r="M2803">
        <f>VLOOKUP(H2803,'Stage Order'!$A$2:$B$8,2,FALSE)</f>
        <v>2</v>
      </c>
      <c r="N2803" t="str">
        <f t="shared" si="86"/>
        <v>2. 1-24 hours</v>
      </c>
      <c r="O2803" t="str">
        <f t="shared" si="87"/>
        <v>2025-09</v>
      </c>
    </row>
    <row r="2804" spans="1:15" x14ac:dyDescent="0.3">
      <c r="A2804" t="s">
        <v>6627</v>
      </c>
      <c r="B2804" t="s">
        <v>6628</v>
      </c>
      <c r="C2804" t="s">
        <v>58</v>
      </c>
      <c r="D2804" t="s">
        <v>29</v>
      </c>
      <c r="E2804" t="s">
        <v>39</v>
      </c>
      <c r="F2804" t="s">
        <v>40</v>
      </c>
      <c r="G2804">
        <v>0.67</v>
      </c>
      <c r="H2804" t="s">
        <v>41</v>
      </c>
      <c r="I2804" t="s">
        <v>42</v>
      </c>
      <c r="M2804">
        <f>VLOOKUP(H2804,'Stage Order'!$A$2:$B$8,2,FALSE)</f>
        <v>2</v>
      </c>
      <c r="N2804" t="str">
        <f t="shared" si="86"/>
        <v>1. Under 1 hour</v>
      </c>
      <c r="O2804" t="str">
        <f t="shared" si="87"/>
        <v>2025-09</v>
      </c>
    </row>
    <row r="2805" spans="1:15" x14ac:dyDescent="0.3">
      <c r="A2805" t="s">
        <v>6629</v>
      </c>
      <c r="B2805" t="s">
        <v>6630</v>
      </c>
      <c r="C2805" t="s">
        <v>76</v>
      </c>
      <c r="D2805" t="s">
        <v>54</v>
      </c>
      <c r="E2805" t="s">
        <v>59</v>
      </c>
      <c r="F2805" t="s">
        <v>60</v>
      </c>
      <c r="G2805">
        <v>4.46</v>
      </c>
      <c r="H2805" t="s">
        <v>41</v>
      </c>
      <c r="I2805" t="s">
        <v>42</v>
      </c>
      <c r="M2805">
        <f>VLOOKUP(H2805,'Stage Order'!$A$2:$B$8,2,FALSE)</f>
        <v>2</v>
      </c>
      <c r="N2805" t="str">
        <f t="shared" si="86"/>
        <v>2. 1-24 hours</v>
      </c>
      <c r="O2805" t="str">
        <f t="shared" si="87"/>
        <v>2026-05</v>
      </c>
    </row>
    <row r="2806" spans="1:15" x14ac:dyDescent="0.3">
      <c r="A2806" t="s">
        <v>6631</v>
      </c>
      <c r="B2806" t="s">
        <v>6632</v>
      </c>
      <c r="C2806" t="s">
        <v>81</v>
      </c>
      <c r="D2806" t="s">
        <v>29</v>
      </c>
      <c r="E2806" t="s">
        <v>45</v>
      </c>
      <c r="F2806" t="s">
        <v>46</v>
      </c>
      <c r="G2806">
        <v>3.41</v>
      </c>
      <c r="H2806" t="s">
        <v>47</v>
      </c>
      <c r="I2806" t="s">
        <v>48</v>
      </c>
      <c r="J2806" t="s">
        <v>139</v>
      </c>
      <c r="K2806">
        <v>578.07000000000005</v>
      </c>
      <c r="L2806" t="s">
        <v>6633</v>
      </c>
      <c r="M2806">
        <f>VLOOKUP(H2806,'Stage Order'!$A$2:$B$8,2,FALSE)</f>
        <v>4</v>
      </c>
      <c r="N2806" t="str">
        <f t="shared" si="86"/>
        <v>2. 1-24 hours</v>
      </c>
      <c r="O2806" t="str">
        <f t="shared" si="87"/>
        <v>2026-06</v>
      </c>
    </row>
    <row r="2807" spans="1:15" x14ac:dyDescent="0.3">
      <c r="A2807" t="s">
        <v>6634</v>
      </c>
      <c r="B2807" t="s">
        <v>6635</v>
      </c>
      <c r="C2807" t="s">
        <v>81</v>
      </c>
      <c r="D2807" t="s">
        <v>54</v>
      </c>
      <c r="E2807" t="s">
        <v>90</v>
      </c>
      <c r="F2807" t="s">
        <v>145</v>
      </c>
      <c r="G2807">
        <v>4.82</v>
      </c>
      <c r="H2807" t="s">
        <v>61</v>
      </c>
      <c r="I2807" t="s">
        <v>42</v>
      </c>
      <c r="M2807">
        <f>VLOOKUP(H2807,'Stage Order'!$A$2:$B$8,2,FALSE)</f>
        <v>1</v>
      </c>
      <c r="N2807" t="str">
        <f t="shared" si="86"/>
        <v>2. 1-24 hours</v>
      </c>
      <c r="O2807" t="str">
        <f t="shared" si="87"/>
        <v>2025-01</v>
      </c>
    </row>
    <row r="2808" spans="1:15" x14ac:dyDescent="0.3">
      <c r="A2808" t="s">
        <v>6636</v>
      </c>
      <c r="B2808" t="s">
        <v>6637</v>
      </c>
      <c r="C2808" t="s">
        <v>53</v>
      </c>
      <c r="D2808" t="s">
        <v>29</v>
      </c>
      <c r="E2808" t="s">
        <v>39</v>
      </c>
      <c r="F2808" t="s">
        <v>66</v>
      </c>
      <c r="G2808">
        <v>8.6</v>
      </c>
      <c r="H2808" t="s">
        <v>146</v>
      </c>
      <c r="I2808" t="s">
        <v>48</v>
      </c>
      <c r="J2808" t="s">
        <v>113</v>
      </c>
      <c r="K2808">
        <v>677.21</v>
      </c>
      <c r="L2808" t="s">
        <v>6638</v>
      </c>
      <c r="M2808">
        <f>VLOOKUP(H2808,'Stage Order'!$A$2:$B$8,2,FALSE)</f>
        <v>5</v>
      </c>
      <c r="N2808" t="str">
        <f t="shared" si="86"/>
        <v>2. 1-24 hours</v>
      </c>
      <c r="O2808" t="str">
        <f t="shared" si="87"/>
        <v>2025-10</v>
      </c>
    </row>
    <row r="2809" spans="1:15" x14ac:dyDescent="0.3">
      <c r="A2809" t="s">
        <v>6639</v>
      </c>
      <c r="B2809" t="s">
        <v>6640</v>
      </c>
      <c r="C2809" t="s">
        <v>125</v>
      </c>
      <c r="D2809" t="s">
        <v>54</v>
      </c>
      <c r="E2809" t="s">
        <v>30</v>
      </c>
      <c r="F2809" t="s">
        <v>31</v>
      </c>
      <c r="G2809">
        <v>5.99</v>
      </c>
      <c r="H2809" t="s">
        <v>41</v>
      </c>
      <c r="I2809" t="s">
        <v>42</v>
      </c>
      <c r="M2809">
        <f>VLOOKUP(H2809,'Stage Order'!$A$2:$B$8,2,FALSE)</f>
        <v>2</v>
      </c>
      <c r="N2809" t="str">
        <f t="shared" si="86"/>
        <v>2. 1-24 hours</v>
      </c>
      <c r="O2809" t="str">
        <f t="shared" si="87"/>
        <v>2025-11</v>
      </c>
    </row>
    <row r="2810" spans="1:15" x14ac:dyDescent="0.3">
      <c r="A2810" t="s">
        <v>6641</v>
      </c>
      <c r="B2810" t="s">
        <v>6642</v>
      </c>
      <c r="C2810" t="s">
        <v>37</v>
      </c>
      <c r="D2810" t="s">
        <v>77</v>
      </c>
      <c r="E2810" t="s">
        <v>30</v>
      </c>
      <c r="F2810" t="s">
        <v>82</v>
      </c>
      <c r="G2810">
        <v>2.11</v>
      </c>
      <c r="H2810" t="s">
        <v>41</v>
      </c>
      <c r="I2810" t="s">
        <v>42</v>
      </c>
      <c r="M2810">
        <f>VLOOKUP(H2810,'Stage Order'!$A$2:$B$8,2,FALSE)</f>
        <v>2</v>
      </c>
      <c r="N2810" t="str">
        <f t="shared" si="86"/>
        <v>2. 1-24 hours</v>
      </c>
      <c r="O2810" t="str">
        <f t="shared" si="87"/>
        <v>2025-10</v>
      </c>
    </row>
    <row r="2811" spans="1:15" x14ac:dyDescent="0.3">
      <c r="A2811" t="s">
        <v>6643</v>
      </c>
      <c r="B2811" t="s">
        <v>6644</v>
      </c>
      <c r="C2811" t="s">
        <v>37</v>
      </c>
      <c r="D2811" t="s">
        <v>77</v>
      </c>
      <c r="E2811" t="s">
        <v>59</v>
      </c>
      <c r="F2811" t="s">
        <v>60</v>
      </c>
      <c r="G2811">
        <v>6.22</v>
      </c>
      <c r="H2811" t="s">
        <v>61</v>
      </c>
      <c r="I2811" t="s">
        <v>42</v>
      </c>
      <c r="M2811">
        <f>VLOOKUP(H2811,'Stage Order'!$A$2:$B$8,2,FALSE)</f>
        <v>1</v>
      </c>
      <c r="N2811" t="str">
        <f t="shared" si="86"/>
        <v>2. 1-24 hours</v>
      </c>
      <c r="O2811" t="str">
        <f t="shared" si="87"/>
        <v>2025-10</v>
      </c>
    </row>
    <row r="2812" spans="1:15" x14ac:dyDescent="0.3">
      <c r="A2812" t="s">
        <v>6645</v>
      </c>
      <c r="B2812" t="s">
        <v>6646</v>
      </c>
      <c r="C2812" t="s">
        <v>81</v>
      </c>
      <c r="D2812" t="s">
        <v>54</v>
      </c>
      <c r="E2812" t="s">
        <v>45</v>
      </c>
      <c r="F2812" t="s">
        <v>55</v>
      </c>
      <c r="G2812">
        <v>3.86</v>
      </c>
      <c r="H2812" t="s">
        <v>41</v>
      </c>
      <c r="I2812" t="s">
        <v>42</v>
      </c>
      <c r="M2812">
        <f>VLOOKUP(H2812,'Stage Order'!$A$2:$B$8,2,FALSE)</f>
        <v>2</v>
      </c>
      <c r="N2812" t="str">
        <f t="shared" si="86"/>
        <v>2. 1-24 hours</v>
      </c>
      <c r="O2812" t="str">
        <f t="shared" si="87"/>
        <v>2025-04</v>
      </c>
    </row>
    <row r="2813" spans="1:15" x14ac:dyDescent="0.3">
      <c r="A2813" t="s">
        <v>6647</v>
      </c>
      <c r="B2813" t="s">
        <v>6648</v>
      </c>
      <c r="C2813" t="s">
        <v>53</v>
      </c>
      <c r="D2813" t="s">
        <v>77</v>
      </c>
      <c r="E2813" t="s">
        <v>59</v>
      </c>
      <c r="F2813" t="s">
        <v>117</v>
      </c>
      <c r="G2813">
        <v>4.1399999999999997</v>
      </c>
      <c r="H2813" t="s">
        <v>61</v>
      </c>
      <c r="I2813" t="s">
        <v>42</v>
      </c>
      <c r="M2813">
        <f>VLOOKUP(H2813,'Stage Order'!$A$2:$B$8,2,FALSE)</f>
        <v>1</v>
      </c>
      <c r="N2813" t="str">
        <f t="shared" si="86"/>
        <v>2. 1-24 hours</v>
      </c>
      <c r="O2813" t="str">
        <f t="shared" si="87"/>
        <v>2025-07</v>
      </c>
    </row>
    <row r="2814" spans="1:15" x14ac:dyDescent="0.3">
      <c r="A2814" t="s">
        <v>6649</v>
      </c>
      <c r="B2814" t="s">
        <v>6650</v>
      </c>
      <c r="C2814" t="s">
        <v>125</v>
      </c>
      <c r="D2814" t="s">
        <v>29</v>
      </c>
      <c r="E2814" t="s">
        <v>90</v>
      </c>
      <c r="F2814" t="s">
        <v>112</v>
      </c>
      <c r="G2814">
        <v>4.22</v>
      </c>
      <c r="H2814" t="s">
        <v>47</v>
      </c>
      <c r="I2814" t="s">
        <v>48</v>
      </c>
      <c r="J2814" t="s">
        <v>139</v>
      </c>
      <c r="K2814">
        <v>534.71</v>
      </c>
      <c r="L2814" t="s">
        <v>6651</v>
      </c>
      <c r="M2814">
        <f>VLOOKUP(H2814,'Stage Order'!$A$2:$B$8,2,FALSE)</f>
        <v>4</v>
      </c>
      <c r="N2814" t="str">
        <f t="shared" si="86"/>
        <v>2. 1-24 hours</v>
      </c>
      <c r="O2814" t="str">
        <f t="shared" si="87"/>
        <v>2025-12</v>
      </c>
    </row>
    <row r="2815" spans="1:15" x14ac:dyDescent="0.3">
      <c r="A2815" t="s">
        <v>6652</v>
      </c>
      <c r="B2815" t="s">
        <v>6653</v>
      </c>
      <c r="C2815" t="s">
        <v>53</v>
      </c>
      <c r="D2815" t="s">
        <v>54</v>
      </c>
      <c r="E2815" t="s">
        <v>45</v>
      </c>
      <c r="F2815" t="s">
        <v>46</v>
      </c>
      <c r="G2815">
        <v>3.1</v>
      </c>
      <c r="H2815" t="s">
        <v>41</v>
      </c>
      <c r="I2815" t="s">
        <v>42</v>
      </c>
      <c r="M2815">
        <f>VLOOKUP(H2815,'Stage Order'!$A$2:$B$8,2,FALSE)</f>
        <v>2</v>
      </c>
      <c r="N2815" t="str">
        <f t="shared" si="86"/>
        <v>2. 1-24 hours</v>
      </c>
      <c r="O2815" t="str">
        <f t="shared" si="87"/>
        <v>2025-05</v>
      </c>
    </row>
    <row r="2816" spans="1:15" x14ac:dyDescent="0.3">
      <c r="A2816" t="s">
        <v>6654</v>
      </c>
      <c r="B2816" t="s">
        <v>6655</v>
      </c>
      <c r="C2816" t="s">
        <v>53</v>
      </c>
      <c r="D2816" t="s">
        <v>97</v>
      </c>
      <c r="E2816" t="s">
        <v>39</v>
      </c>
      <c r="F2816" t="s">
        <v>40</v>
      </c>
      <c r="G2816">
        <v>1.91</v>
      </c>
      <c r="H2816" t="s">
        <v>41</v>
      </c>
      <c r="I2816" t="s">
        <v>42</v>
      </c>
      <c r="M2816">
        <f>VLOOKUP(H2816,'Stage Order'!$A$2:$B$8,2,FALSE)</f>
        <v>2</v>
      </c>
      <c r="N2816" t="str">
        <f t="shared" si="86"/>
        <v>2. 1-24 hours</v>
      </c>
      <c r="O2816" t="str">
        <f t="shared" si="87"/>
        <v>2026-06</v>
      </c>
    </row>
    <row r="2817" spans="1:15" x14ac:dyDescent="0.3">
      <c r="A2817" t="s">
        <v>6656</v>
      </c>
      <c r="B2817" t="s">
        <v>6657</v>
      </c>
      <c r="C2817" t="s">
        <v>81</v>
      </c>
      <c r="D2817" t="s">
        <v>29</v>
      </c>
      <c r="E2817" t="s">
        <v>45</v>
      </c>
      <c r="F2817" t="s">
        <v>94</v>
      </c>
      <c r="G2817">
        <v>0.7</v>
      </c>
      <c r="H2817" t="s">
        <v>61</v>
      </c>
      <c r="I2817" t="s">
        <v>42</v>
      </c>
      <c r="M2817">
        <f>VLOOKUP(H2817,'Stage Order'!$A$2:$B$8,2,FALSE)</f>
        <v>1</v>
      </c>
      <c r="N2817" t="str">
        <f t="shared" si="86"/>
        <v>1. Under 1 hour</v>
      </c>
      <c r="O2817" t="str">
        <f t="shared" si="87"/>
        <v>2025-11</v>
      </c>
    </row>
    <row r="2818" spans="1:15" x14ac:dyDescent="0.3">
      <c r="A2818" t="s">
        <v>6658</v>
      </c>
      <c r="B2818" t="s">
        <v>6659</v>
      </c>
      <c r="C2818" t="s">
        <v>76</v>
      </c>
      <c r="D2818" t="s">
        <v>54</v>
      </c>
      <c r="E2818" t="s">
        <v>39</v>
      </c>
      <c r="F2818" t="s">
        <v>40</v>
      </c>
      <c r="G2818">
        <v>11.81</v>
      </c>
      <c r="H2818" t="s">
        <v>138</v>
      </c>
      <c r="I2818" t="s">
        <v>48</v>
      </c>
      <c r="J2818" t="s">
        <v>139</v>
      </c>
      <c r="K2818">
        <v>408.77</v>
      </c>
      <c r="L2818" t="s">
        <v>6660</v>
      </c>
      <c r="M2818">
        <f>VLOOKUP(H2818,'Stage Order'!$A$2:$B$8,2,FALSE)</f>
        <v>6</v>
      </c>
      <c r="N2818" t="str">
        <f t="shared" ref="N2818:N2881" si="88">IF(G2818&lt;=1,"1. Under 1 hour",IF(G2818&lt;=24,"2. 1-24 hours",IF(G2818&lt;=72,"3. 1-3 days","4. Over 3 days")))</f>
        <v>2. 1-24 hours</v>
      </c>
      <c r="O2818" t="str">
        <f t="shared" ref="O2818:O2881" si="89">TEXT(B2818,"YYYY-MM")</f>
        <v>2026-06</v>
      </c>
    </row>
    <row r="2819" spans="1:15" x14ac:dyDescent="0.3">
      <c r="A2819" t="s">
        <v>6661</v>
      </c>
      <c r="B2819" t="s">
        <v>6662</v>
      </c>
      <c r="C2819" t="s">
        <v>53</v>
      </c>
      <c r="D2819" t="s">
        <v>77</v>
      </c>
      <c r="E2819" t="s">
        <v>59</v>
      </c>
      <c r="F2819" t="s">
        <v>60</v>
      </c>
      <c r="G2819">
        <v>7.72</v>
      </c>
      <c r="H2819" t="s">
        <v>32</v>
      </c>
      <c r="I2819" t="s">
        <v>33</v>
      </c>
      <c r="K2819">
        <v>808.42</v>
      </c>
      <c r="L2819" t="s">
        <v>6663</v>
      </c>
      <c r="M2819">
        <f>VLOOKUP(H2819,'Stage Order'!$A$2:$B$8,2,FALSE)</f>
        <v>7</v>
      </c>
      <c r="N2819" t="str">
        <f t="shared" si="88"/>
        <v>2. 1-24 hours</v>
      </c>
      <c r="O2819" t="str">
        <f t="shared" si="89"/>
        <v>2025-11</v>
      </c>
    </row>
    <row r="2820" spans="1:15" x14ac:dyDescent="0.3">
      <c r="A2820" t="s">
        <v>6664</v>
      </c>
      <c r="B2820" t="s">
        <v>6665</v>
      </c>
      <c r="C2820" t="s">
        <v>58</v>
      </c>
      <c r="D2820" t="s">
        <v>38</v>
      </c>
      <c r="E2820" t="s">
        <v>59</v>
      </c>
      <c r="F2820" t="s">
        <v>117</v>
      </c>
      <c r="G2820">
        <v>2.14</v>
      </c>
      <c r="H2820" t="s">
        <v>32</v>
      </c>
      <c r="I2820" t="s">
        <v>33</v>
      </c>
      <c r="K2820">
        <v>361.89</v>
      </c>
      <c r="L2820" t="s">
        <v>6666</v>
      </c>
      <c r="M2820">
        <f>VLOOKUP(H2820,'Stage Order'!$A$2:$B$8,2,FALSE)</f>
        <v>7</v>
      </c>
      <c r="N2820" t="str">
        <f t="shared" si="88"/>
        <v>2. 1-24 hours</v>
      </c>
      <c r="O2820" t="str">
        <f t="shared" si="89"/>
        <v>2025-01</v>
      </c>
    </row>
    <row r="2821" spans="1:15" x14ac:dyDescent="0.3">
      <c r="A2821" t="s">
        <v>6667</v>
      </c>
      <c r="B2821" t="s">
        <v>6668</v>
      </c>
      <c r="C2821" t="s">
        <v>76</v>
      </c>
      <c r="D2821" t="s">
        <v>38</v>
      </c>
      <c r="E2821" t="s">
        <v>45</v>
      </c>
      <c r="F2821" t="s">
        <v>55</v>
      </c>
      <c r="G2821">
        <v>2.0099999999999998</v>
      </c>
      <c r="H2821" t="s">
        <v>41</v>
      </c>
      <c r="I2821" t="s">
        <v>42</v>
      </c>
      <c r="M2821">
        <f>VLOOKUP(H2821,'Stage Order'!$A$2:$B$8,2,FALSE)</f>
        <v>2</v>
      </c>
      <c r="N2821" t="str">
        <f t="shared" si="88"/>
        <v>2. 1-24 hours</v>
      </c>
      <c r="O2821" t="str">
        <f t="shared" si="89"/>
        <v>2025-08</v>
      </c>
    </row>
    <row r="2822" spans="1:15" x14ac:dyDescent="0.3">
      <c r="A2822" t="s">
        <v>6669</v>
      </c>
      <c r="B2822" t="s">
        <v>6670</v>
      </c>
      <c r="C2822" t="s">
        <v>125</v>
      </c>
      <c r="D2822" t="s">
        <v>29</v>
      </c>
      <c r="E2822" t="s">
        <v>39</v>
      </c>
      <c r="F2822" t="s">
        <v>66</v>
      </c>
      <c r="G2822">
        <v>1.73</v>
      </c>
      <c r="H2822" t="s">
        <v>41</v>
      </c>
      <c r="I2822" t="s">
        <v>42</v>
      </c>
      <c r="M2822">
        <f>VLOOKUP(H2822,'Stage Order'!$A$2:$B$8,2,FALSE)</f>
        <v>2</v>
      </c>
      <c r="N2822" t="str">
        <f t="shared" si="88"/>
        <v>2. 1-24 hours</v>
      </c>
      <c r="O2822" t="str">
        <f t="shared" si="89"/>
        <v>2026-04</v>
      </c>
    </row>
    <row r="2823" spans="1:15" x14ac:dyDescent="0.3">
      <c r="A2823" t="s">
        <v>6671</v>
      </c>
      <c r="B2823" t="s">
        <v>6672</v>
      </c>
      <c r="C2823" t="s">
        <v>53</v>
      </c>
      <c r="D2823" t="s">
        <v>97</v>
      </c>
      <c r="E2823" t="s">
        <v>45</v>
      </c>
      <c r="F2823" t="s">
        <v>46</v>
      </c>
      <c r="G2823">
        <v>3.86</v>
      </c>
      <c r="H2823" t="s">
        <v>47</v>
      </c>
      <c r="I2823" t="s">
        <v>48</v>
      </c>
      <c r="J2823" t="s">
        <v>139</v>
      </c>
      <c r="K2823">
        <v>1614.16</v>
      </c>
      <c r="L2823" t="s">
        <v>6673</v>
      </c>
      <c r="M2823">
        <f>VLOOKUP(H2823,'Stage Order'!$A$2:$B$8,2,FALSE)</f>
        <v>4</v>
      </c>
      <c r="N2823" t="str">
        <f t="shared" si="88"/>
        <v>2. 1-24 hours</v>
      </c>
      <c r="O2823" t="str">
        <f t="shared" si="89"/>
        <v>2025-05</v>
      </c>
    </row>
    <row r="2824" spans="1:15" x14ac:dyDescent="0.3">
      <c r="A2824" t="s">
        <v>6674</v>
      </c>
      <c r="B2824" t="s">
        <v>6675</v>
      </c>
      <c r="C2824" t="s">
        <v>37</v>
      </c>
      <c r="D2824" t="s">
        <v>29</v>
      </c>
      <c r="E2824" t="s">
        <v>30</v>
      </c>
      <c r="F2824" t="s">
        <v>31</v>
      </c>
      <c r="G2824">
        <v>1.66</v>
      </c>
      <c r="H2824" t="s">
        <v>138</v>
      </c>
      <c r="I2824" t="s">
        <v>48</v>
      </c>
      <c r="J2824" t="s">
        <v>113</v>
      </c>
      <c r="K2824">
        <v>641.67999999999995</v>
      </c>
      <c r="L2824" t="s">
        <v>6676</v>
      </c>
      <c r="M2824">
        <f>VLOOKUP(H2824,'Stage Order'!$A$2:$B$8,2,FALSE)</f>
        <v>6</v>
      </c>
      <c r="N2824" t="str">
        <f t="shared" si="88"/>
        <v>2. 1-24 hours</v>
      </c>
      <c r="O2824" t="str">
        <f t="shared" si="89"/>
        <v>2025-08</v>
      </c>
    </row>
    <row r="2825" spans="1:15" x14ac:dyDescent="0.3">
      <c r="A2825" t="s">
        <v>6677</v>
      </c>
      <c r="B2825" t="s">
        <v>6678</v>
      </c>
      <c r="C2825" t="s">
        <v>37</v>
      </c>
      <c r="D2825" t="s">
        <v>54</v>
      </c>
      <c r="E2825" t="s">
        <v>59</v>
      </c>
      <c r="F2825" t="s">
        <v>117</v>
      </c>
      <c r="G2825">
        <v>0.9</v>
      </c>
      <c r="H2825" t="s">
        <v>41</v>
      </c>
      <c r="I2825" t="s">
        <v>42</v>
      </c>
      <c r="M2825">
        <f>VLOOKUP(H2825,'Stage Order'!$A$2:$B$8,2,FALSE)</f>
        <v>2</v>
      </c>
      <c r="N2825" t="str">
        <f t="shared" si="88"/>
        <v>1. Under 1 hour</v>
      </c>
      <c r="O2825" t="str">
        <f t="shared" si="89"/>
        <v>2025-08</v>
      </c>
    </row>
    <row r="2826" spans="1:15" x14ac:dyDescent="0.3">
      <c r="A2826" t="s">
        <v>6679</v>
      </c>
      <c r="B2826" t="s">
        <v>6680</v>
      </c>
      <c r="C2826" t="s">
        <v>58</v>
      </c>
      <c r="D2826" t="s">
        <v>29</v>
      </c>
      <c r="E2826" t="s">
        <v>45</v>
      </c>
      <c r="F2826" t="s">
        <v>46</v>
      </c>
      <c r="G2826">
        <v>3.94</v>
      </c>
      <c r="H2826" t="s">
        <v>61</v>
      </c>
      <c r="I2826" t="s">
        <v>42</v>
      </c>
      <c r="M2826">
        <f>VLOOKUP(H2826,'Stage Order'!$A$2:$B$8,2,FALSE)</f>
        <v>1</v>
      </c>
      <c r="N2826" t="str">
        <f t="shared" si="88"/>
        <v>2. 1-24 hours</v>
      </c>
      <c r="O2826" t="str">
        <f t="shared" si="89"/>
        <v>2026-06</v>
      </c>
    </row>
    <row r="2827" spans="1:15" x14ac:dyDescent="0.3">
      <c r="A2827" t="s">
        <v>6681</v>
      </c>
      <c r="B2827" t="s">
        <v>6682</v>
      </c>
      <c r="C2827" t="s">
        <v>125</v>
      </c>
      <c r="D2827" t="s">
        <v>29</v>
      </c>
      <c r="E2827" t="s">
        <v>59</v>
      </c>
      <c r="F2827" t="s">
        <v>117</v>
      </c>
      <c r="G2827">
        <v>1.49</v>
      </c>
      <c r="H2827" t="s">
        <v>146</v>
      </c>
      <c r="I2827" t="s">
        <v>48</v>
      </c>
      <c r="J2827" t="s">
        <v>113</v>
      </c>
      <c r="K2827">
        <v>562.12</v>
      </c>
      <c r="L2827" t="s">
        <v>6683</v>
      </c>
      <c r="M2827">
        <f>VLOOKUP(H2827,'Stage Order'!$A$2:$B$8,2,FALSE)</f>
        <v>5</v>
      </c>
      <c r="N2827" t="str">
        <f t="shared" si="88"/>
        <v>2. 1-24 hours</v>
      </c>
      <c r="O2827" t="str">
        <f t="shared" si="89"/>
        <v>2026-03</v>
      </c>
    </row>
    <row r="2828" spans="1:15" x14ac:dyDescent="0.3">
      <c r="A2828" t="s">
        <v>6684</v>
      </c>
      <c r="B2828" t="s">
        <v>6685</v>
      </c>
      <c r="C2828" t="s">
        <v>37</v>
      </c>
      <c r="D2828" t="s">
        <v>54</v>
      </c>
      <c r="E2828" t="s">
        <v>39</v>
      </c>
      <c r="F2828" t="s">
        <v>66</v>
      </c>
      <c r="G2828">
        <v>3.31</v>
      </c>
      <c r="H2828" t="s">
        <v>128</v>
      </c>
      <c r="I2828" t="s">
        <v>42</v>
      </c>
      <c r="M2828">
        <f>VLOOKUP(H2828,'Stage Order'!$A$2:$B$8,2,FALSE)</f>
        <v>3</v>
      </c>
      <c r="N2828" t="str">
        <f t="shared" si="88"/>
        <v>2. 1-24 hours</v>
      </c>
      <c r="O2828" t="str">
        <f t="shared" si="89"/>
        <v>2026-06</v>
      </c>
    </row>
    <row r="2829" spans="1:15" x14ac:dyDescent="0.3">
      <c r="A2829" t="s">
        <v>6686</v>
      </c>
      <c r="B2829" t="s">
        <v>6687</v>
      </c>
      <c r="C2829" t="s">
        <v>76</v>
      </c>
      <c r="D2829" t="s">
        <v>29</v>
      </c>
      <c r="E2829" t="s">
        <v>59</v>
      </c>
      <c r="F2829" t="s">
        <v>137</v>
      </c>
      <c r="G2829">
        <v>1.37</v>
      </c>
      <c r="H2829" t="s">
        <v>41</v>
      </c>
      <c r="I2829" t="s">
        <v>42</v>
      </c>
      <c r="M2829">
        <f>VLOOKUP(H2829,'Stage Order'!$A$2:$B$8,2,FALSE)</f>
        <v>2</v>
      </c>
      <c r="N2829" t="str">
        <f t="shared" si="88"/>
        <v>2. 1-24 hours</v>
      </c>
      <c r="O2829" t="str">
        <f t="shared" si="89"/>
        <v>2025-05</v>
      </c>
    </row>
    <row r="2830" spans="1:15" x14ac:dyDescent="0.3">
      <c r="A2830" t="s">
        <v>6688</v>
      </c>
      <c r="B2830" t="s">
        <v>6689</v>
      </c>
      <c r="C2830" t="s">
        <v>28</v>
      </c>
      <c r="D2830" t="s">
        <v>29</v>
      </c>
      <c r="E2830" t="s">
        <v>39</v>
      </c>
      <c r="F2830" t="s">
        <v>106</v>
      </c>
      <c r="G2830">
        <v>2.17</v>
      </c>
      <c r="H2830" t="s">
        <v>41</v>
      </c>
      <c r="I2830" t="s">
        <v>42</v>
      </c>
      <c r="M2830">
        <f>VLOOKUP(H2830,'Stage Order'!$A$2:$B$8,2,FALSE)</f>
        <v>2</v>
      </c>
      <c r="N2830" t="str">
        <f t="shared" si="88"/>
        <v>2. 1-24 hours</v>
      </c>
      <c r="O2830" t="str">
        <f t="shared" si="89"/>
        <v>2025-12</v>
      </c>
    </row>
    <row r="2831" spans="1:15" x14ac:dyDescent="0.3">
      <c r="A2831" t="s">
        <v>6690</v>
      </c>
      <c r="B2831" t="s">
        <v>6691</v>
      </c>
      <c r="C2831" t="s">
        <v>37</v>
      </c>
      <c r="D2831" t="s">
        <v>77</v>
      </c>
      <c r="E2831" t="s">
        <v>45</v>
      </c>
      <c r="F2831" t="s">
        <v>46</v>
      </c>
      <c r="G2831">
        <v>0.76</v>
      </c>
      <c r="H2831" t="s">
        <v>41</v>
      </c>
      <c r="I2831" t="s">
        <v>42</v>
      </c>
      <c r="M2831">
        <f>VLOOKUP(H2831,'Stage Order'!$A$2:$B$8,2,FALSE)</f>
        <v>2</v>
      </c>
      <c r="N2831" t="str">
        <f t="shared" si="88"/>
        <v>1. Under 1 hour</v>
      </c>
      <c r="O2831" t="str">
        <f t="shared" si="89"/>
        <v>2026-06</v>
      </c>
    </row>
    <row r="2832" spans="1:15" x14ac:dyDescent="0.3">
      <c r="A2832" t="s">
        <v>6692</v>
      </c>
      <c r="B2832" t="s">
        <v>6693</v>
      </c>
      <c r="C2832" t="s">
        <v>28</v>
      </c>
      <c r="D2832" t="s">
        <v>77</v>
      </c>
      <c r="E2832" t="s">
        <v>59</v>
      </c>
      <c r="F2832" t="s">
        <v>117</v>
      </c>
      <c r="G2832">
        <v>6.02</v>
      </c>
      <c r="H2832" t="s">
        <v>41</v>
      </c>
      <c r="I2832" t="s">
        <v>42</v>
      </c>
      <c r="M2832">
        <f>VLOOKUP(H2832,'Stage Order'!$A$2:$B$8,2,FALSE)</f>
        <v>2</v>
      </c>
      <c r="N2832" t="str">
        <f t="shared" si="88"/>
        <v>2. 1-24 hours</v>
      </c>
      <c r="O2832" t="str">
        <f t="shared" si="89"/>
        <v>2025-02</v>
      </c>
    </row>
    <row r="2833" spans="1:15" x14ac:dyDescent="0.3">
      <c r="A2833" t="s">
        <v>6694</v>
      </c>
      <c r="B2833" t="s">
        <v>6695</v>
      </c>
      <c r="C2833" t="s">
        <v>76</v>
      </c>
      <c r="D2833" t="s">
        <v>97</v>
      </c>
      <c r="E2833" t="s">
        <v>39</v>
      </c>
      <c r="F2833" t="s">
        <v>66</v>
      </c>
      <c r="G2833">
        <v>4.7699999999999996</v>
      </c>
      <c r="H2833" t="s">
        <v>61</v>
      </c>
      <c r="I2833" t="s">
        <v>42</v>
      </c>
      <c r="M2833">
        <f>VLOOKUP(H2833,'Stage Order'!$A$2:$B$8,2,FALSE)</f>
        <v>1</v>
      </c>
      <c r="N2833" t="str">
        <f t="shared" si="88"/>
        <v>2. 1-24 hours</v>
      </c>
      <c r="O2833" t="str">
        <f t="shared" si="89"/>
        <v>2025-05</v>
      </c>
    </row>
    <row r="2834" spans="1:15" x14ac:dyDescent="0.3">
      <c r="A2834" t="s">
        <v>6696</v>
      </c>
      <c r="B2834" t="s">
        <v>6697</v>
      </c>
      <c r="C2834" t="s">
        <v>125</v>
      </c>
      <c r="D2834" t="s">
        <v>77</v>
      </c>
      <c r="E2834" t="s">
        <v>39</v>
      </c>
      <c r="F2834" t="s">
        <v>66</v>
      </c>
      <c r="G2834">
        <v>6.74</v>
      </c>
      <c r="H2834" t="s">
        <v>41</v>
      </c>
      <c r="I2834" t="s">
        <v>42</v>
      </c>
      <c r="M2834">
        <f>VLOOKUP(H2834,'Stage Order'!$A$2:$B$8,2,FALSE)</f>
        <v>2</v>
      </c>
      <c r="N2834" t="str">
        <f t="shared" si="88"/>
        <v>2. 1-24 hours</v>
      </c>
      <c r="O2834" t="str">
        <f t="shared" si="89"/>
        <v>2025-03</v>
      </c>
    </row>
    <row r="2835" spans="1:15" x14ac:dyDescent="0.3">
      <c r="A2835" t="s">
        <v>6698</v>
      </c>
      <c r="B2835" t="s">
        <v>6699</v>
      </c>
      <c r="C2835" t="s">
        <v>28</v>
      </c>
      <c r="D2835" t="s">
        <v>77</v>
      </c>
      <c r="E2835" t="s">
        <v>45</v>
      </c>
      <c r="F2835" t="s">
        <v>94</v>
      </c>
      <c r="G2835">
        <v>2.2000000000000002</v>
      </c>
      <c r="H2835" t="s">
        <v>138</v>
      </c>
      <c r="I2835" t="s">
        <v>48</v>
      </c>
      <c r="J2835" t="s">
        <v>139</v>
      </c>
      <c r="K2835">
        <v>1051.28</v>
      </c>
      <c r="L2835" t="s">
        <v>6700</v>
      </c>
      <c r="M2835">
        <f>VLOOKUP(H2835,'Stage Order'!$A$2:$B$8,2,FALSE)</f>
        <v>6</v>
      </c>
      <c r="N2835" t="str">
        <f t="shared" si="88"/>
        <v>2. 1-24 hours</v>
      </c>
      <c r="O2835" t="str">
        <f t="shared" si="89"/>
        <v>2025-09</v>
      </c>
    </row>
    <row r="2836" spans="1:15" x14ac:dyDescent="0.3">
      <c r="A2836" t="s">
        <v>6701</v>
      </c>
      <c r="B2836" t="s">
        <v>6702</v>
      </c>
      <c r="C2836" t="s">
        <v>81</v>
      </c>
      <c r="D2836" t="s">
        <v>38</v>
      </c>
      <c r="E2836" t="s">
        <v>90</v>
      </c>
      <c r="F2836" t="s">
        <v>91</v>
      </c>
      <c r="G2836">
        <v>17.96</v>
      </c>
      <c r="H2836" t="s">
        <v>61</v>
      </c>
      <c r="I2836" t="s">
        <v>42</v>
      </c>
      <c r="M2836">
        <f>VLOOKUP(H2836,'Stage Order'!$A$2:$B$8,2,FALSE)</f>
        <v>1</v>
      </c>
      <c r="N2836" t="str">
        <f t="shared" si="88"/>
        <v>2. 1-24 hours</v>
      </c>
      <c r="O2836" t="str">
        <f t="shared" si="89"/>
        <v>2025-08</v>
      </c>
    </row>
    <row r="2837" spans="1:15" x14ac:dyDescent="0.3">
      <c r="A2837" t="s">
        <v>6703</v>
      </c>
      <c r="B2837" t="s">
        <v>6704</v>
      </c>
      <c r="C2837" t="s">
        <v>37</v>
      </c>
      <c r="D2837" t="s">
        <v>54</v>
      </c>
      <c r="E2837" t="s">
        <v>59</v>
      </c>
      <c r="F2837" t="s">
        <v>137</v>
      </c>
      <c r="G2837">
        <v>5.66</v>
      </c>
      <c r="H2837" t="s">
        <v>138</v>
      </c>
      <c r="I2837" t="s">
        <v>48</v>
      </c>
      <c r="J2837" t="s">
        <v>49</v>
      </c>
      <c r="K2837">
        <v>595.88</v>
      </c>
      <c r="L2837" t="s">
        <v>6705</v>
      </c>
      <c r="M2837">
        <f>VLOOKUP(H2837,'Stage Order'!$A$2:$B$8,2,FALSE)</f>
        <v>6</v>
      </c>
      <c r="N2837" t="str">
        <f t="shared" si="88"/>
        <v>2. 1-24 hours</v>
      </c>
      <c r="O2837" t="str">
        <f t="shared" si="89"/>
        <v>2025-05</v>
      </c>
    </row>
    <row r="2838" spans="1:15" x14ac:dyDescent="0.3">
      <c r="A2838" t="s">
        <v>6706</v>
      </c>
      <c r="B2838" t="s">
        <v>6707</v>
      </c>
      <c r="C2838" t="s">
        <v>28</v>
      </c>
      <c r="D2838" t="s">
        <v>54</v>
      </c>
      <c r="E2838" t="s">
        <v>39</v>
      </c>
      <c r="F2838" t="s">
        <v>106</v>
      </c>
      <c r="G2838">
        <v>1.52</v>
      </c>
      <c r="H2838" t="s">
        <v>41</v>
      </c>
      <c r="I2838" t="s">
        <v>42</v>
      </c>
      <c r="M2838">
        <f>VLOOKUP(H2838,'Stage Order'!$A$2:$B$8,2,FALSE)</f>
        <v>2</v>
      </c>
      <c r="N2838" t="str">
        <f t="shared" si="88"/>
        <v>2. 1-24 hours</v>
      </c>
      <c r="O2838" t="str">
        <f t="shared" si="89"/>
        <v>2026-03</v>
      </c>
    </row>
    <row r="2839" spans="1:15" x14ac:dyDescent="0.3">
      <c r="A2839" t="s">
        <v>6708</v>
      </c>
      <c r="B2839" t="s">
        <v>6709</v>
      </c>
      <c r="C2839" t="s">
        <v>81</v>
      </c>
      <c r="D2839" t="s">
        <v>38</v>
      </c>
      <c r="E2839" t="s">
        <v>45</v>
      </c>
      <c r="F2839" t="s">
        <v>46</v>
      </c>
      <c r="G2839">
        <v>2.93</v>
      </c>
      <c r="H2839" t="s">
        <v>41</v>
      </c>
      <c r="I2839" t="s">
        <v>42</v>
      </c>
      <c r="M2839">
        <f>VLOOKUP(H2839,'Stage Order'!$A$2:$B$8,2,FALSE)</f>
        <v>2</v>
      </c>
      <c r="N2839" t="str">
        <f t="shared" si="88"/>
        <v>2. 1-24 hours</v>
      </c>
      <c r="O2839" t="str">
        <f t="shared" si="89"/>
        <v>2025-02</v>
      </c>
    </row>
    <row r="2840" spans="1:15" x14ac:dyDescent="0.3">
      <c r="A2840" t="s">
        <v>6710</v>
      </c>
      <c r="B2840" t="s">
        <v>6711</v>
      </c>
      <c r="C2840" t="s">
        <v>37</v>
      </c>
      <c r="D2840" t="s">
        <v>77</v>
      </c>
      <c r="E2840" t="s">
        <v>59</v>
      </c>
      <c r="F2840" t="s">
        <v>60</v>
      </c>
      <c r="G2840">
        <v>8.2899999999999991</v>
      </c>
      <c r="H2840" t="s">
        <v>41</v>
      </c>
      <c r="I2840" t="s">
        <v>42</v>
      </c>
      <c r="M2840">
        <f>VLOOKUP(H2840,'Stage Order'!$A$2:$B$8,2,FALSE)</f>
        <v>2</v>
      </c>
      <c r="N2840" t="str">
        <f t="shared" si="88"/>
        <v>2. 1-24 hours</v>
      </c>
      <c r="O2840" t="str">
        <f t="shared" si="89"/>
        <v>2025-04</v>
      </c>
    </row>
    <row r="2841" spans="1:15" x14ac:dyDescent="0.3">
      <c r="A2841" t="s">
        <v>6712</v>
      </c>
      <c r="B2841" t="s">
        <v>6713</v>
      </c>
      <c r="C2841" t="s">
        <v>53</v>
      </c>
      <c r="D2841" t="s">
        <v>54</v>
      </c>
      <c r="E2841" t="s">
        <v>30</v>
      </c>
      <c r="F2841" t="s">
        <v>82</v>
      </c>
      <c r="G2841">
        <v>1.35</v>
      </c>
      <c r="H2841" t="s">
        <v>138</v>
      </c>
      <c r="I2841" t="s">
        <v>48</v>
      </c>
      <c r="J2841" t="s">
        <v>139</v>
      </c>
      <c r="K2841">
        <v>469.34</v>
      </c>
      <c r="L2841" t="s">
        <v>6714</v>
      </c>
      <c r="M2841">
        <f>VLOOKUP(H2841,'Stage Order'!$A$2:$B$8,2,FALSE)</f>
        <v>6</v>
      </c>
      <c r="N2841" t="str">
        <f t="shared" si="88"/>
        <v>2. 1-24 hours</v>
      </c>
      <c r="O2841" t="str">
        <f t="shared" si="89"/>
        <v>2026-01</v>
      </c>
    </row>
    <row r="2842" spans="1:15" x14ac:dyDescent="0.3">
      <c r="A2842" t="s">
        <v>6715</v>
      </c>
      <c r="B2842" t="s">
        <v>6716</v>
      </c>
      <c r="C2842" t="s">
        <v>37</v>
      </c>
      <c r="D2842" t="s">
        <v>29</v>
      </c>
      <c r="E2842" t="s">
        <v>90</v>
      </c>
      <c r="F2842" t="s">
        <v>91</v>
      </c>
      <c r="G2842">
        <v>8.25</v>
      </c>
      <c r="H2842" t="s">
        <v>146</v>
      </c>
      <c r="I2842" t="s">
        <v>48</v>
      </c>
      <c r="J2842" t="s">
        <v>49</v>
      </c>
      <c r="K2842">
        <v>725.98</v>
      </c>
      <c r="L2842" t="s">
        <v>6717</v>
      </c>
      <c r="M2842">
        <f>VLOOKUP(H2842,'Stage Order'!$A$2:$B$8,2,FALSE)</f>
        <v>5</v>
      </c>
      <c r="N2842" t="str">
        <f t="shared" si="88"/>
        <v>2. 1-24 hours</v>
      </c>
      <c r="O2842" t="str">
        <f t="shared" si="89"/>
        <v>2025-09</v>
      </c>
    </row>
    <row r="2843" spans="1:15" x14ac:dyDescent="0.3">
      <c r="A2843" t="s">
        <v>6718</v>
      </c>
      <c r="B2843" t="s">
        <v>6719</v>
      </c>
      <c r="C2843" t="s">
        <v>58</v>
      </c>
      <c r="D2843" t="s">
        <v>29</v>
      </c>
      <c r="E2843" t="s">
        <v>59</v>
      </c>
      <c r="F2843" t="s">
        <v>117</v>
      </c>
      <c r="G2843">
        <v>4.87</v>
      </c>
      <c r="H2843" t="s">
        <v>41</v>
      </c>
      <c r="I2843" t="s">
        <v>42</v>
      </c>
      <c r="M2843">
        <f>VLOOKUP(H2843,'Stage Order'!$A$2:$B$8,2,FALSE)</f>
        <v>2</v>
      </c>
      <c r="N2843" t="str">
        <f t="shared" si="88"/>
        <v>2. 1-24 hours</v>
      </c>
      <c r="O2843" t="str">
        <f t="shared" si="89"/>
        <v>2026-06</v>
      </c>
    </row>
    <row r="2844" spans="1:15" x14ac:dyDescent="0.3">
      <c r="A2844" t="s">
        <v>6720</v>
      </c>
      <c r="B2844" t="s">
        <v>6721</v>
      </c>
      <c r="C2844" t="s">
        <v>28</v>
      </c>
      <c r="D2844" t="s">
        <v>38</v>
      </c>
      <c r="E2844" t="s">
        <v>45</v>
      </c>
      <c r="F2844" t="s">
        <v>94</v>
      </c>
      <c r="G2844">
        <v>0.6</v>
      </c>
      <c r="H2844" t="s">
        <v>32</v>
      </c>
      <c r="I2844" t="s">
        <v>33</v>
      </c>
      <c r="K2844">
        <v>397.29</v>
      </c>
      <c r="L2844" t="s">
        <v>6722</v>
      </c>
      <c r="M2844">
        <f>VLOOKUP(H2844,'Stage Order'!$A$2:$B$8,2,FALSE)</f>
        <v>7</v>
      </c>
      <c r="N2844" t="str">
        <f t="shared" si="88"/>
        <v>1. Under 1 hour</v>
      </c>
      <c r="O2844" t="str">
        <f t="shared" si="89"/>
        <v>2025-02</v>
      </c>
    </row>
    <row r="2845" spans="1:15" x14ac:dyDescent="0.3">
      <c r="A2845" t="s">
        <v>6723</v>
      </c>
      <c r="B2845" t="s">
        <v>6724</v>
      </c>
      <c r="C2845" t="s">
        <v>53</v>
      </c>
      <c r="D2845" t="s">
        <v>29</v>
      </c>
      <c r="E2845" t="s">
        <v>39</v>
      </c>
      <c r="F2845" t="s">
        <v>106</v>
      </c>
      <c r="G2845">
        <v>34.119999999999997</v>
      </c>
      <c r="H2845" t="s">
        <v>32</v>
      </c>
      <c r="I2845" t="s">
        <v>33</v>
      </c>
      <c r="K2845">
        <v>712.74</v>
      </c>
      <c r="L2845" t="s">
        <v>6725</v>
      </c>
      <c r="M2845">
        <f>VLOOKUP(H2845,'Stage Order'!$A$2:$B$8,2,FALSE)</f>
        <v>7</v>
      </c>
      <c r="N2845" t="str">
        <f t="shared" si="88"/>
        <v>3. 1-3 days</v>
      </c>
      <c r="O2845" t="str">
        <f t="shared" si="89"/>
        <v>2025-04</v>
      </c>
    </row>
    <row r="2846" spans="1:15" x14ac:dyDescent="0.3">
      <c r="A2846" t="s">
        <v>6726</v>
      </c>
      <c r="B2846" t="s">
        <v>6727</v>
      </c>
      <c r="C2846" t="s">
        <v>37</v>
      </c>
      <c r="D2846" t="s">
        <v>77</v>
      </c>
      <c r="E2846" t="s">
        <v>45</v>
      </c>
      <c r="F2846" t="s">
        <v>55</v>
      </c>
      <c r="G2846">
        <v>7.98</v>
      </c>
      <c r="H2846" t="s">
        <v>41</v>
      </c>
      <c r="I2846" t="s">
        <v>42</v>
      </c>
      <c r="M2846">
        <f>VLOOKUP(H2846,'Stage Order'!$A$2:$B$8,2,FALSE)</f>
        <v>2</v>
      </c>
      <c r="N2846" t="str">
        <f t="shared" si="88"/>
        <v>2. 1-24 hours</v>
      </c>
      <c r="O2846" t="str">
        <f t="shared" si="89"/>
        <v>2025-10</v>
      </c>
    </row>
    <row r="2847" spans="1:15" x14ac:dyDescent="0.3">
      <c r="A2847" t="s">
        <v>6728</v>
      </c>
      <c r="B2847" t="s">
        <v>6729</v>
      </c>
      <c r="C2847" t="s">
        <v>37</v>
      </c>
      <c r="D2847" t="s">
        <v>77</v>
      </c>
      <c r="E2847" t="s">
        <v>39</v>
      </c>
      <c r="F2847" t="s">
        <v>40</v>
      </c>
      <c r="G2847">
        <v>3.49</v>
      </c>
      <c r="H2847" t="s">
        <v>41</v>
      </c>
      <c r="I2847" t="s">
        <v>42</v>
      </c>
      <c r="M2847">
        <f>VLOOKUP(H2847,'Stage Order'!$A$2:$B$8,2,FALSE)</f>
        <v>2</v>
      </c>
      <c r="N2847" t="str">
        <f t="shared" si="88"/>
        <v>2. 1-24 hours</v>
      </c>
      <c r="O2847" t="str">
        <f t="shared" si="89"/>
        <v>2025-01</v>
      </c>
    </row>
    <row r="2848" spans="1:15" x14ac:dyDescent="0.3">
      <c r="A2848" t="s">
        <v>6730</v>
      </c>
      <c r="B2848" t="s">
        <v>6731</v>
      </c>
      <c r="C2848" t="s">
        <v>76</v>
      </c>
      <c r="D2848" t="s">
        <v>77</v>
      </c>
      <c r="E2848" t="s">
        <v>30</v>
      </c>
      <c r="F2848" t="s">
        <v>82</v>
      </c>
      <c r="G2848">
        <v>1.43</v>
      </c>
      <c r="H2848" t="s">
        <v>146</v>
      </c>
      <c r="I2848" t="s">
        <v>48</v>
      </c>
      <c r="J2848" t="s">
        <v>98</v>
      </c>
      <c r="K2848">
        <v>1181.56</v>
      </c>
      <c r="L2848" t="s">
        <v>6732</v>
      </c>
      <c r="M2848">
        <f>VLOOKUP(H2848,'Stage Order'!$A$2:$B$8,2,FALSE)</f>
        <v>5</v>
      </c>
      <c r="N2848" t="str">
        <f t="shared" si="88"/>
        <v>2. 1-24 hours</v>
      </c>
      <c r="O2848" t="str">
        <f t="shared" si="89"/>
        <v>2025-02</v>
      </c>
    </row>
    <row r="2849" spans="1:15" x14ac:dyDescent="0.3">
      <c r="A2849" t="s">
        <v>6733</v>
      </c>
      <c r="B2849" t="s">
        <v>6734</v>
      </c>
      <c r="C2849" t="s">
        <v>76</v>
      </c>
      <c r="D2849" t="s">
        <v>77</v>
      </c>
      <c r="E2849" t="s">
        <v>45</v>
      </c>
      <c r="F2849" t="s">
        <v>46</v>
      </c>
      <c r="G2849">
        <v>2.02</v>
      </c>
      <c r="H2849" t="s">
        <v>47</v>
      </c>
      <c r="I2849" t="s">
        <v>48</v>
      </c>
      <c r="J2849" t="s">
        <v>742</v>
      </c>
      <c r="K2849">
        <v>1085.29</v>
      </c>
      <c r="L2849" t="s">
        <v>6735</v>
      </c>
      <c r="M2849">
        <f>VLOOKUP(H2849,'Stage Order'!$A$2:$B$8,2,FALSE)</f>
        <v>4</v>
      </c>
      <c r="N2849" t="str">
        <f t="shared" si="88"/>
        <v>2. 1-24 hours</v>
      </c>
      <c r="O2849" t="str">
        <f t="shared" si="89"/>
        <v>2025-12</v>
      </c>
    </row>
    <row r="2850" spans="1:15" x14ac:dyDescent="0.3">
      <c r="A2850" t="s">
        <v>6736</v>
      </c>
      <c r="B2850" t="s">
        <v>6737</v>
      </c>
      <c r="C2850" t="s">
        <v>53</v>
      </c>
      <c r="D2850" t="s">
        <v>54</v>
      </c>
      <c r="E2850" t="s">
        <v>39</v>
      </c>
      <c r="F2850" t="s">
        <v>106</v>
      </c>
      <c r="G2850">
        <v>3.42</v>
      </c>
      <c r="H2850" t="s">
        <v>41</v>
      </c>
      <c r="I2850" t="s">
        <v>42</v>
      </c>
      <c r="M2850">
        <f>VLOOKUP(H2850,'Stage Order'!$A$2:$B$8,2,FALSE)</f>
        <v>2</v>
      </c>
      <c r="N2850" t="str">
        <f t="shared" si="88"/>
        <v>2. 1-24 hours</v>
      </c>
      <c r="O2850" t="str">
        <f t="shared" si="89"/>
        <v>2025-06</v>
      </c>
    </row>
    <row r="2851" spans="1:15" x14ac:dyDescent="0.3">
      <c r="A2851" t="s">
        <v>6738</v>
      </c>
      <c r="B2851" t="s">
        <v>6739</v>
      </c>
      <c r="C2851" t="s">
        <v>81</v>
      </c>
      <c r="D2851" t="s">
        <v>54</v>
      </c>
      <c r="E2851" t="s">
        <v>45</v>
      </c>
      <c r="F2851" t="s">
        <v>46</v>
      </c>
      <c r="G2851">
        <v>1.64</v>
      </c>
      <c r="H2851" t="s">
        <v>61</v>
      </c>
      <c r="I2851" t="s">
        <v>42</v>
      </c>
      <c r="M2851">
        <f>VLOOKUP(H2851,'Stage Order'!$A$2:$B$8,2,FALSE)</f>
        <v>1</v>
      </c>
      <c r="N2851" t="str">
        <f t="shared" si="88"/>
        <v>2. 1-24 hours</v>
      </c>
      <c r="O2851" t="str">
        <f t="shared" si="89"/>
        <v>2025-09</v>
      </c>
    </row>
    <row r="2852" spans="1:15" x14ac:dyDescent="0.3">
      <c r="A2852" t="s">
        <v>6740</v>
      </c>
      <c r="B2852" t="s">
        <v>6741</v>
      </c>
      <c r="C2852" t="s">
        <v>53</v>
      </c>
      <c r="D2852" t="s">
        <v>29</v>
      </c>
      <c r="E2852" t="s">
        <v>39</v>
      </c>
      <c r="F2852" t="s">
        <v>66</v>
      </c>
      <c r="G2852">
        <v>5.33</v>
      </c>
      <c r="H2852" t="s">
        <v>47</v>
      </c>
      <c r="I2852" t="s">
        <v>48</v>
      </c>
      <c r="J2852" t="s">
        <v>49</v>
      </c>
      <c r="K2852">
        <v>726.26</v>
      </c>
      <c r="L2852" t="s">
        <v>6742</v>
      </c>
      <c r="M2852">
        <f>VLOOKUP(H2852,'Stage Order'!$A$2:$B$8,2,FALSE)</f>
        <v>4</v>
      </c>
      <c r="N2852" t="str">
        <f t="shared" si="88"/>
        <v>2. 1-24 hours</v>
      </c>
      <c r="O2852" t="str">
        <f t="shared" si="89"/>
        <v>2025-01</v>
      </c>
    </row>
    <row r="2853" spans="1:15" x14ac:dyDescent="0.3">
      <c r="A2853" t="s">
        <v>6743</v>
      </c>
      <c r="B2853" t="s">
        <v>6744</v>
      </c>
      <c r="C2853" t="s">
        <v>76</v>
      </c>
      <c r="D2853" t="s">
        <v>77</v>
      </c>
      <c r="E2853" t="s">
        <v>45</v>
      </c>
      <c r="F2853" t="s">
        <v>55</v>
      </c>
      <c r="G2853">
        <v>3.1</v>
      </c>
      <c r="H2853" t="s">
        <v>32</v>
      </c>
      <c r="I2853" t="s">
        <v>33</v>
      </c>
      <c r="K2853">
        <v>1183.1400000000001</v>
      </c>
      <c r="L2853" t="s">
        <v>6745</v>
      </c>
      <c r="M2853">
        <f>VLOOKUP(H2853,'Stage Order'!$A$2:$B$8,2,FALSE)</f>
        <v>7</v>
      </c>
      <c r="N2853" t="str">
        <f t="shared" si="88"/>
        <v>2. 1-24 hours</v>
      </c>
      <c r="O2853" t="str">
        <f t="shared" si="89"/>
        <v>2026-04</v>
      </c>
    </row>
    <row r="2854" spans="1:15" x14ac:dyDescent="0.3">
      <c r="A2854" t="s">
        <v>6746</v>
      </c>
      <c r="B2854" t="s">
        <v>6747</v>
      </c>
      <c r="C2854" t="s">
        <v>37</v>
      </c>
      <c r="D2854" t="s">
        <v>29</v>
      </c>
      <c r="E2854" t="s">
        <v>59</v>
      </c>
      <c r="F2854" t="s">
        <v>117</v>
      </c>
      <c r="G2854">
        <v>5.97</v>
      </c>
      <c r="H2854" t="s">
        <v>41</v>
      </c>
      <c r="I2854" t="s">
        <v>42</v>
      </c>
      <c r="M2854">
        <f>VLOOKUP(H2854,'Stage Order'!$A$2:$B$8,2,FALSE)</f>
        <v>2</v>
      </c>
      <c r="N2854" t="str">
        <f t="shared" si="88"/>
        <v>2. 1-24 hours</v>
      </c>
      <c r="O2854" t="str">
        <f t="shared" si="89"/>
        <v>2025-09</v>
      </c>
    </row>
    <row r="2855" spans="1:15" x14ac:dyDescent="0.3">
      <c r="A2855" t="s">
        <v>6748</v>
      </c>
      <c r="B2855" t="s">
        <v>6749</v>
      </c>
      <c r="C2855" t="s">
        <v>58</v>
      </c>
      <c r="D2855" t="s">
        <v>97</v>
      </c>
      <c r="E2855" t="s">
        <v>90</v>
      </c>
      <c r="F2855" t="s">
        <v>91</v>
      </c>
      <c r="G2855">
        <v>7.76</v>
      </c>
      <c r="H2855" t="s">
        <v>61</v>
      </c>
      <c r="I2855" t="s">
        <v>42</v>
      </c>
      <c r="M2855">
        <f>VLOOKUP(H2855,'Stage Order'!$A$2:$B$8,2,FALSE)</f>
        <v>1</v>
      </c>
      <c r="N2855" t="str">
        <f t="shared" si="88"/>
        <v>2. 1-24 hours</v>
      </c>
      <c r="O2855" t="str">
        <f t="shared" si="89"/>
        <v>2026-04</v>
      </c>
    </row>
    <row r="2856" spans="1:15" x14ac:dyDescent="0.3">
      <c r="A2856" t="s">
        <v>6750</v>
      </c>
      <c r="B2856" t="s">
        <v>6751</v>
      </c>
      <c r="C2856" t="s">
        <v>58</v>
      </c>
      <c r="D2856" t="s">
        <v>97</v>
      </c>
      <c r="E2856" t="s">
        <v>90</v>
      </c>
      <c r="F2856" t="s">
        <v>91</v>
      </c>
      <c r="G2856">
        <v>1.38</v>
      </c>
      <c r="H2856" t="s">
        <v>41</v>
      </c>
      <c r="I2856" t="s">
        <v>42</v>
      </c>
      <c r="M2856">
        <f>VLOOKUP(H2856,'Stage Order'!$A$2:$B$8,2,FALSE)</f>
        <v>2</v>
      </c>
      <c r="N2856" t="str">
        <f t="shared" si="88"/>
        <v>2. 1-24 hours</v>
      </c>
      <c r="O2856" t="str">
        <f t="shared" si="89"/>
        <v>2025-04</v>
      </c>
    </row>
    <row r="2857" spans="1:15" x14ac:dyDescent="0.3">
      <c r="A2857" t="s">
        <v>6752</v>
      </c>
      <c r="B2857" t="s">
        <v>6753</v>
      </c>
      <c r="C2857" t="s">
        <v>53</v>
      </c>
      <c r="D2857" t="s">
        <v>29</v>
      </c>
      <c r="E2857" t="s">
        <v>39</v>
      </c>
      <c r="F2857" t="s">
        <v>106</v>
      </c>
      <c r="G2857">
        <v>2.23</v>
      </c>
      <c r="H2857" t="s">
        <v>146</v>
      </c>
      <c r="I2857" t="s">
        <v>48</v>
      </c>
      <c r="J2857" t="s">
        <v>98</v>
      </c>
      <c r="K2857">
        <v>684.17</v>
      </c>
      <c r="L2857" t="s">
        <v>6754</v>
      </c>
      <c r="M2857">
        <f>VLOOKUP(H2857,'Stage Order'!$A$2:$B$8,2,FALSE)</f>
        <v>5</v>
      </c>
      <c r="N2857" t="str">
        <f t="shared" si="88"/>
        <v>2. 1-24 hours</v>
      </c>
      <c r="O2857" t="str">
        <f t="shared" si="89"/>
        <v>2025-03</v>
      </c>
    </row>
    <row r="2858" spans="1:15" x14ac:dyDescent="0.3">
      <c r="A2858" t="s">
        <v>6755</v>
      </c>
      <c r="B2858" t="s">
        <v>6756</v>
      </c>
      <c r="C2858" t="s">
        <v>37</v>
      </c>
      <c r="D2858" t="s">
        <v>77</v>
      </c>
      <c r="E2858" t="s">
        <v>45</v>
      </c>
      <c r="F2858" t="s">
        <v>94</v>
      </c>
      <c r="G2858">
        <v>7.82</v>
      </c>
      <c r="H2858" t="s">
        <v>146</v>
      </c>
      <c r="I2858" t="s">
        <v>48</v>
      </c>
      <c r="J2858" t="s">
        <v>139</v>
      </c>
      <c r="K2858">
        <v>819.09</v>
      </c>
      <c r="L2858" t="s">
        <v>6757</v>
      </c>
      <c r="M2858">
        <f>VLOOKUP(H2858,'Stage Order'!$A$2:$B$8,2,FALSE)</f>
        <v>5</v>
      </c>
      <c r="N2858" t="str">
        <f t="shared" si="88"/>
        <v>2. 1-24 hours</v>
      </c>
      <c r="O2858" t="str">
        <f t="shared" si="89"/>
        <v>2025-03</v>
      </c>
    </row>
    <row r="2859" spans="1:15" x14ac:dyDescent="0.3">
      <c r="A2859" t="s">
        <v>6758</v>
      </c>
      <c r="B2859" t="s">
        <v>6759</v>
      </c>
      <c r="C2859" t="s">
        <v>37</v>
      </c>
      <c r="D2859" t="s">
        <v>54</v>
      </c>
      <c r="E2859" t="s">
        <v>45</v>
      </c>
      <c r="F2859" t="s">
        <v>94</v>
      </c>
      <c r="G2859">
        <v>4.49</v>
      </c>
      <c r="H2859" t="s">
        <v>41</v>
      </c>
      <c r="I2859" t="s">
        <v>42</v>
      </c>
      <c r="M2859">
        <f>VLOOKUP(H2859,'Stage Order'!$A$2:$B$8,2,FALSE)</f>
        <v>2</v>
      </c>
      <c r="N2859" t="str">
        <f t="shared" si="88"/>
        <v>2. 1-24 hours</v>
      </c>
      <c r="O2859" t="str">
        <f t="shared" si="89"/>
        <v>2026-01</v>
      </c>
    </row>
    <row r="2860" spans="1:15" x14ac:dyDescent="0.3">
      <c r="A2860" t="s">
        <v>6760</v>
      </c>
      <c r="B2860" t="s">
        <v>6761</v>
      </c>
      <c r="C2860" t="s">
        <v>125</v>
      </c>
      <c r="D2860" t="s">
        <v>97</v>
      </c>
      <c r="E2860" t="s">
        <v>45</v>
      </c>
      <c r="F2860" t="s">
        <v>46</v>
      </c>
      <c r="G2860">
        <v>7.09</v>
      </c>
      <c r="H2860" t="s">
        <v>41</v>
      </c>
      <c r="I2860" t="s">
        <v>42</v>
      </c>
      <c r="M2860">
        <f>VLOOKUP(H2860,'Stage Order'!$A$2:$B$8,2,FALSE)</f>
        <v>2</v>
      </c>
      <c r="N2860" t="str">
        <f t="shared" si="88"/>
        <v>2. 1-24 hours</v>
      </c>
      <c r="O2860" t="str">
        <f t="shared" si="89"/>
        <v>2025-04</v>
      </c>
    </row>
    <row r="2861" spans="1:15" x14ac:dyDescent="0.3">
      <c r="A2861" t="s">
        <v>6762</v>
      </c>
      <c r="B2861" t="s">
        <v>6763</v>
      </c>
      <c r="C2861" t="s">
        <v>37</v>
      </c>
      <c r="D2861" t="s">
        <v>29</v>
      </c>
      <c r="E2861" t="s">
        <v>30</v>
      </c>
      <c r="F2861" t="s">
        <v>31</v>
      </c>
      <c r="G2861">
        <v>1.32</v>
      </c>
      <c r="H2861" t="s">
        <v>41</v>
      </c>
      <c r="I2861" t="s">
        <v>42</v>
      </c>
      <c r="M2861">
        <f>VLOOKUP(H2861,'Stage Order'!$A$2:$B$8,2,FALSE)</f>
        <v>2</v>
      </c>
      <c r="N2861" t="str">
        <f t="shared" si="88"/>
        <v>2. 1-24 hours</v>
      </c>
      <c r="O2861" t="str">
        <f t="shared" si="89"/>
        <v>2026-05</v>
      </c>
    </row>
    <row r="2862" spans="1:15" x14ac:dyDescent="0.3">
      <c r="A2862" t="s">
        <v>6764</v>
      </c>
      <c r="B2862" t="s">
        <v>6765</v>
      </c>
      <c r="C2862" t="s">
        <v>53</v>
      </c>
      <c r="D2862" t="s">
        <v>54</v>
      </c>
      <c r="E2862" t="s">
        <v>39</v>
      </c>
      <c r="F2862" t="s">
        <v>66</v>
      </c>
      <c r="G2862">
        <v>8.0299999999999994</v>
      </c>
      <c r="H2862" t="s">
        <v>138</v>
      </c>
      <c r="I2862" t="s">
        <v>48</v>
      </c>
      <c r="J2862" t="s">
        <v>742</v>
      </c>
      <c r="K2862">
        <v>446.44</v>
      </c>
      <c r="L2862" t="s">
        <v>6766</v>
      </c>
      <c r="M2862">
        <f>VLOOKUP(H2862,'Stage Order'!$A$2:$B$8,2,FALSE)</f>
        <v>6</v>
      </c>
      <c r="N2862" t="str">
        <f t="shared" si="88"/>
        <v>2. 1-24 hours</v>
      </c>
      <c r="O2862" t="str">
        <f t="shared" si="89"/>
        <v>2025-05</v>
      </c>
    </row>
    <row r="2863" spans="1:15" x14ac:dyDescent="0.3">
      <c r="A2863" t="s">
        <v>6767</v>
      </c>
      <c r="B2863" t="s">
        <v>6768</v>
      </c>
      <c r="C2863" t="s">
        <v>37</v>
      </c>
      <c r="D2863" t="s">
        <v>54</v>
      </c>
      <c r="E2863" t="s">
        <v>39</v>
      </c>
      <c r="F2863" t="s">
        <v>66</v>
      </c>
      <c r="G2863">
        <v>8.85</v>
      </c>
      <c r="H2863" t="s">
        <v>41</v>
      </c>
      <c r="I2863" t="s">
        <v>42</v>
      </c>
      <c r="M2863">
        <f>VLOOKUP(H2863,'Stage Order'!$A$2:$B$8,2,FALSE)</f>
        <v>2</v>
      </c>
      <c r="N2863" t="str">
        <f t="shared" si="88"/>
        <v>2. 1-24 hours</v>
      </c>
      <c r="O2863" t="str">
        <f t="shared" si="89"/>
        <v>2025-06</v>
      </c>
    </row>
    <row r="2864" spans="1:15" x14ac:dyDescent="0.3">
      <c r="A2864" t="s">
        <v>6769</v>
      </c>
      <c r="B2864" t="s">
        <v>6770</v>
      </c>
      <c r="C2864" t="s">
        <v>125</v>
      </c>
      <c r="D2864" t="s">
        <v>38</v>
      </c>
      <c r="E2864" t="s">
        <v>39</v>
      </c>
      <c r="F2864" t="s">
        <v>106</v>
      </c>
      <c r="G2864">
        <v>8.0399999999999991</v>
      </c>
      <c r="H2864" t="s">
        <v>61</v>
      </c>
      <c r="I2864" t="s">
        <v>42</v>
      </c>
      <c r="M2864">
        <f>VLOOKUP(H2864,'Stage Order'!$A$2:$B$8,2,FALSE)</f>
        <v>1</v>
      </c>
      <c r="N2864" t="str">
        <f t="shared" si="88"/>
        <v>2. 1-24 hours</v>
      </c>
      <c r="O2864" t="str">
        <f t="shared" si="89"/>
        <v>2026-05</v>
      </c>
    </row>
    <row r="2865" spans="1:15" x14ac:dyDescent="0.3">
      <c r="A2865" t="s">
        <v>6771</v>
      </c>
      <c r="B2865" t="s">
        <v>6772</v>
      </c>
      <c r="C2865" t="s">
        <v>58</v>
      </c>
      <c r="D2865" t="s">
        <v>54</v>
      </c>
      <c r="E2865" t="s">
        <v>90</v>
      </c>
      <c r="F2865" t="s">
        <v>112</v>
      </c>
      <c r="G2865">
        <v>2.61</v>
      </c>
      <c r="H2865" t="s">
        <v>61</v>
      </c>
      <c r="I2865" t="s">
        <v>42</v>
      </c>
      <c r="M2865">
        <f>VLOOKUP(H2865,'Stage Order'!$A$2:$B$8,2,FALSE)</f>
        <v>1</v>
      </c>
      <c r="N2865" t="str">
        <f t="shared" si="88"/>
        <v>2. 1-24 hours</v>
      </c>
      <c r="O2865" t="str">
        <f t="shared" si="89"/>
        <v>2025-06</v>
      </c>
    </row>
    <row r="2866" spans="1:15" x14ac:dyDescent="0.3">
      <c r="A2866" t="s">
        <v>6773</v>
      </c>
      <c r="B2866" t="s">
        <v>6774</v>
      </c>
      <c r="C2866" t="s">
        <v>37</v>
      </c>
      <c r="D2866" t="s">
        <v>77</v>
      </c>
      <c r="E2866" t="s">
        <v>30</v>
      </c>
      <c r="F2866" t="s">
        <v>78</v>
      </c>
      <c r="G2866">
        <v>13.82</v>
      </c>
      <c r="H2866" t="s">
        <v>146</v>
      </c>
      <c r="I2866" t="s">
        <v>48</v>
      </c>
      <c r="J2866" t="s">
        <v>113</v>
      </c>
      <c r="K2866">
        <v>849.76</v>
      </c>
      <c r="L2866" t="s">
        <v>6775</v>
      </c>
      <c r="M2866">
        <f>VLOOKUP(H2866,'Stage Order'!$A$2:$B$8,2,FALSE)</f>
        <v>5</v>
      </c>
      <c r="N2866" t="str">
        <f t="shared" si="88"/>
        <v>2. 1-24 hours</v>
      </c>
      <c r="O2866" t="str">
        <f t="shared" si="89"/>
        <v>2025-03</v>
      </c>
    </row>
    <row r="2867" spans="1:15" x14ac:dyDescent="0.3">
      <c r="A2867" t="s">
        <v>6776</v>
      </c>
      <c r="B2867" t="s">
        <v>6777</v>
      </c>
      <c r="C2867" t="s">
        <v>28</v>
      </c>
      <c r="D2867" t="s">
        <v>77</v>
      </c>
      <c r="E2867" t="s">
        <v>39</v>
      </c>
      <c r="F2867" t="s">
        <v>66</v>
      </c>
      <c r="G2867">
        <v>2.4700000000000002</v>
      </c>
      <c r="H2867" t="s">
        <v>128</v>
      </c>
      <c r="I2867" t="s">
        <v>42</v>
      </c>
      <c r="M2867">
        <f>VLOOKUP(H2867,'Stage Order'!$A$2:$B$8,2,FALSE)</f>
        <v>3</v>
      </c>
      <c r="N2867" t="str">
        <f t="shared" si="88"/>
        <v>2. 1-24 hours</v>
      </c>
      <c r="O2867" t="str">
        <f t="shared" si="89"/>
        <v>2025-03</v>
      </c>
    </row>
    <row r="2868" spans="1:15" x14ac:dyDescent="0.3">
      <c r="A2868" t="s">
        <v>6778</v>
      </c>
      <c r="B2868" t="s">
        <v>6779</v>
      </c>
      <c r="C2868" t="s">
        <v>28</v>
      </c>
      <c r="D2868" t="s">
        <v>77</v>
      </c>
      <c r="E2868" t="s">
        <v>90</v>
      </c>
      <c r="F2868" t="s">
        <v>91</v>
      </c>
      <c r="G2868">
        <v>1.65</v>
      </c>
      <c r="H2868" t="s">
        <v>41</v>
      </c>
      <c r="I2868" t="s">
        <v>42</v>
      </c>
      <c r="M2868">
        <f>VLOOKUP(H2868,'Stage Order'!$A$2:$B$8,2,FALSE)</f>
        <v>2</v>
      </c>
      <c r="N2868" t="str">
        <f t="shared" si="88"/>
        <v>2. 1-24 hours</v>
      </c>
      <c r="O2868" t="str">
        <f t="shared" si="89"/>
        <v>2026-03</v>
      </c>
    </row>
    <row r="2869" spans="1:15" x14ac:dyDescent="0.3">
      <c r="A2869" t="s">
        <v>6780</v>
      </c>
      <c r="B2869" t="s">
        <v>6781</v>
      </c>
      <c r="C2869" t="s">
        <v>125</v>
      </c>
      <c r="D2869" t="s">
        <v>29</v>
      </c>
      <c r="E2869" t="s">
        <v>30</v>
      </c>
      <c r="F2869" t="s">
        <v>82</v>
      </c>
      <c r="G2869">
        <v>0.61</v>
      </c>
      <c r="H2869" t="s">
        <v>41</v>
      </c>
      <c r="I2869" t="s">
        <v>42</v>
      </c>
      <c r="M2869">
        <f>VLOOKUP(H2869,'Stage Order'!$A$2:$B$8,2,FALSE)</f>
        <v>2</v>
      </c>
      <c r="N2869" t="str">
        <f t="shared" si="88"/>
        <v>1. Under 1 hour</v>
      </c>
      <c r="O2869" t="str">
        <f t="shared" si="89"/>
        <v>2025-06</v>
      </c>
    </row>
    <row r="2870" spans="1:15" x14ac:dyDescent="0.3">
      <c r="A2870" t="s">
        <v>6782</v>
      </c>
      <c r="B2870" t="s">
        <v>6783</v>
      </c>
      <c r="C2870" t="s">
        <v>81</v>
      </c>
      <c r="D2870" t="s">
        <v>29</v>
      </c>
      <c r="E2870" t="s">
        <v>59</v>
      </c>
      <c r="F2870" t="s">
        <v>137</v>
      </c>
      <c r="G2870">
        <v>10.07</v>
      </c>
      <c r="H2870" t="s">
        <v>61</v>
      </c>
      <c r="I2870" t="s">
        <v>42</v>
      </c>
      <c r="M2870">
        <f>VLOOKUP(H2870,'Stage Order'!$A$2:$B$8,2,FALSE)</f>
        <v>1</v>
      </c>
      <c r="N2870" t="str">
        <f t="shared" si="88"/>
        <v>2. 1-24 hours</v>
      </c>
      <c r="O2870" t="str">
        <f t="shared" si="89"/>
        <v>2025-11</v>
      </c>
    </row>
    <row r="2871" spans="1:15" x14ac:dyDescent="0.3">
      <c r="A2871" t="s">
        <v>6784</v>
      </c>
      <c r="B2871" t="s">
        <v>6785</v>
      </c>
      <c r="C2871" t="s">
        <v>81</v>
      </c>
      <c r="D2871" t="s">
        <v>29</v>
      </c>
      <c r="E2871" t="s">
        <v>45</v>
      </c>
      <c r="F2871" t="s">
        <v>46</v>
      </c>
      <c r="G2871">
        <v>3.79</v>
      </c>
      <c r="H2871" t="s">
        <v>61</v>
      </c>
      <c r="I2871" t="s">
        <v>42</v>
      </c>
      <c r="M2871">
        <f>VLOOKUP(H2871,'Stage Order'!$A$2:$B$8,2,FALSE)</f>
        <v>1</v>
      </c>
      <c r="N2871" t="str">
        <f t="shared" si="88"/>
        <v>2. 1-24 hours</v>
      </c>
      <c r="O2871" t="str">
        <f t="shared" si="89"/>
        <v>2025-11</v>
      </c>
    </row>
    <row r="2872" spans="1:15" x14ac:dyDescent="0.3">
      <c r="A2872" t="s">
        <v>6786</v>
      </c>
      <c r="B2872" t="s">
        <v>6787</v>
      </c>
      <c r="C2872" t="s">
        <v>53</v>
      </c>
      <c r="D2872" t="s">
        <v>97</v>
      </c>
      <c r="E2872" t="s">
        <v>59</v>
      </c>
      <c r="F2872" t="s">
        <v>60</v>
      </c>
      <c r="G2872">
        <v>2.4300000000000002</v>
      </c>
      <c r="H2872" t="s">
        <v>47</v>
      </c>
      <c r="I2872" t="s">
        <v>48</v>
      </c>
      <c r="J2872" t="s">
        <v>113</v>
      </c>
      <c r="K2872">
        <v>1467.26</v>
      </c>
      <c r="L2872" t="s">
        <v>6788</v>
      </c>
      <c r="M2872">
        <f>VLOOKUP(H2872,'Stage Order'!$A$2:$B$8,2,FALSE)</f>
        <v>4</v>
      </c>
      <c r="N2872" t="str">
        <f t="shared" si="88"/>
        <v>2. 1-24 hours</v>
      </c>
      <c r="O2872" t="str">
        <f t="shared" si="89"/>
        <v>2026-03</v>
      </c>
    </row>
    <row r="2873" spans="1:15" x14ac:dyDescent="0.3">
      <c r="A2873" t="s">
        <v>6789</v>
      </c>
      <c r="B2873" t="s">
        <v>6790</v>
      </c>
      <c r="C2873" t="s">
        <v>125</v>
      </c>
      <c r="D2873" t="s">
        <v>38</v>
      </c>
      <c r="E2873" t="s">
        <v>45</v>
      </c>
      <c r="F2873" t="s">
        <v>46</v>
      </c>
      <c r="G2873">
        <v>1.53</v>
      </c>
      <c r="H2873" t="s">
        <v>41</v>
      </c>
      <c r="I2873" t="s">
        <v>42</v>
      </c>
      <c r="M2873">
        <f>VLOOKUP(H2873,'Stage Order'!$A$2:$B$8,2,FALSE)</f>
        <v>2</v>
      </c>
      <c r="N2873" t="str">
        <f t="shared" si="88"/>
        <v>2. 1-24 hours</v>
      </c>
      <c r="O2873" t="str">
        <f t="shared" si="89"/>
        <v>2025-05</v>
      </c>
    </row>
    <row r="2874" spans="1:15" x14ac:dyDescent="0.3">
      <c r="A2874" t="s">
        <v>6791</v>
      </c>
      <c r="B2874" t="s">
        <v>6792</v>
      </c>
      <c r="C2874" t="s">
        <v>37</v>
      </c>
      <c r="D2874" t="s">
        <v>54</v>
      </c>
      <c r="E2874" t="s">
        <v>39</v>
      </c>
      <c r="F2874" t="s">
        <v>40</v>
      </c>
      <c r="G2874">
        <v>3.63</v>
      </c>
      <c r="H2874" t="s">
        <v>138</v>
      </c>
      <c r="I2874" t="s">
        <v>48</v>
      </c>
      <c r="J2874" t="s">
        <v>139</v>
      </c>
      <c r="K2874">
        <v>588.21</v>
      </c>
      <c r="L2874" t="s">
        <v>6793</v>
      </c>
      <c r="M2874">
        <f>VLOOKUP(H2874,'Stage Order'!$A$2:$B$8,2,FALSE)</f>
        <v>6</v>
      </c>
      <c r="N2874" t="str">
        <f t="shared" si="88"/>
        <v>2. 1-24 hours</v>
      </c>
      <c r="O2874" t="str">
        <f t="shared" si="89"/>
        <v>2025-03</v>
      </c>
    </row>
    <row r="2875" spans="1:15" x14ac:dyDescent="0.3">
      <c r="A2875" t="s">
        <v>6794</v>
      </c>
      <c r="B2875" t="s">
        <v>6795</v>
      </c>
      <c r="C2875" t="s">
        <v>125</v>
      </c>
      <c r="D2875" t="s">
        <v>77</v>
      </c>
      <c r="E2875" t="s">
        <v>90</v>
      </c>
      <c r="F2875" t="s">
        <v>91</v>
      </c>
      <c r="G2875">
        <v>1.64</v>
      </c>
      <c r="H2875" t="s">
        <v>41</v>
      </c>
      <c r="I2875" t="s">
        <v>42</v>
      </c>
      <c r="M2875">
        <f>VLOOKUP(H2875,'Stage Order'!$A$2:$B$8,2,FALSE)</f>
        <v>2</v>
      </c>
      <c r="N2875" t="str">
        <f t="shared" si="88"/>
        <v>2. 1-24 hours</v>
      </c>
      <c r="O2875" t="str">
        <f t="shared" si="89"/>
        <v>2025-08</v>
      </c>
    </row>
    <row r="2876" spans="1:15" x14ac:dyDescent="0.3">
      <c r="A2876" t="s">
        <v>6796</v>
      </c>
      <c r="B2876" t="s">
        <v>6797</v>
      </c>
      <c r="C2876" t="s">
        <v>28</v>
      </c>
      <c r="D2876" t="s">
        <v>77</v>
      </c>
      <c r="E2876" t="s">
        <v>45</v>
      </c>
      <c r="F2876" t="s">
        <v>55</v>
      </c>
      <c r="G2876">
        <v>10.25</v>
      </c>
      <c r="H2876" t="s">
        <v>138</v>
      </c>
      <c r="I2876" t="s">
        <v>48</v>
      </c>
      <c r="J2876" t="s">
        <v>98</v>
      </c>
      <c r="K2876">
        <v>1040.0999999999999</v>
      </c>
      <c r="L2876" t="s">
        <v>6798</v>
      </c>
      <c r="M2876">
        <f>VLOOKUP(H2876,'Stage Order'!$A$2:$B$8,2,FALSE)</f>
        <v>6</v>
      </c>
      <c r="N2876" t="str">
        <f t="shared" si="88"/>
        <v>2. 1-24 hours</v>
      </c>
      <c r="O2876" t="str">
        <f t="shared" si="89"/>
        <v>2025-07</v>
      </c>
    </row>
    <row r="2877" spans="1:15" x14ac:dyDescent="0.3">
      <c r="A2877" t="s">
        <v>6799</v>
      </c>
      <c r="B2877" t="s">
        <v>6800</v>
      </c>
      <c r="C2877" t="s">
        <v>28</v>
      </c>
      <c r="D2877" t="s">
        <v>38</v>
      </c>
      <c r="E2877" t="s">
        <v>59</v>
      </c>
      <c r="F2877" t="s">
        <v>117</v>
      </c>
      <c r="G2877">
        <v>3.15</v>
      </c>
      <c r="H2877" t="s">
        <v>138</v>
      </c>
      <c r="I2877" t="s">
        <v>48</v>
      </c>
      <c r="J2877" t="s">
        <v>742</v>
      </c>
      <c r="K2877">
        <v>402.14</v>
      </c>
      <c r="L2877" t="s">
        <v>6801</v>
      </c>
      <c r="M2877">
        <f>VLOOKUP(H2877,'Stage Order'!$A$2:$B$8,2,FALSE)</f>
        <v>6</v>
      </c>
      <c r="N2877" t="str">
        <f t="shared" si="88"/>
        <v>2. 1-24 hours</v>
      </c>
      <c r="O2877" t="str">
        <f t="shared" si="89"/>
        <v>2025-02</v>
      </c>
    </row>
    <row r="2878" spans="1:15" x14ac:dyDescent="0.3">
      <c r="A2878" t="s">
        <v>6802</v>
      </c>
      <c r="B2878" t="s">
        <v>6803</v>
      </c>
      <c r="C2878" t="s">
        <v>125</v>
      </c>
      <c r="D2878" t="s">
        <v>29</v>
      </c>
      <c r="E2878" t="s">
        <v>45</v>
      </c>
      <c r="F2878" t="s">
        <v>94</v>
      </c>
      <c r="G2878">
        <v>1.02</v>
      </c>
      <c r="H2878" t="s">
        <v>41</v>
      </c>
      <c r="I2878" t="s">
        <v>42</v>
      </c>
      <c r="M2878">
        <f>VLOOKUP(H2878,'Stage Order'!$A$2:$B$8,2,FALSE)</f>
        <v>2</v>
      </c>
      <c r="N2878" t="str">
        <f t="shared" si="88"/>
        <v>2. 1-24 hours</v>
      </c>
      <c r="O2878" t="str">
        <f t="shared" si="89"/>
        <v>2025-02</v>
      </c>
    </row>
    <row r="2879" spans="1:15" x14ac:dyDescent="0.3">
      <c r="A2879" t="s">
        <v>6804</v>
      </c>
      <c r="B2879" t="s">
        <v>6805</v>
      </c>
      <c r="C2879" t="s">
        <v>58</v>
      </c>
      <c r="D2879" t="s">
        <v>97</v>
      </c>
      <c r="E2879" t="s">
        <v>39</v>
      </c>
      <c r="F2879" t="s">
        <v>66</v>
      </c>
      <c r="G2879">
        <v>2.2400000000000002</v>
      </c>
      <c r="H2879" t="s">
        <v>41</v>
      </c>
      <c r="I2879" t="s">
        <v>42</v>
      </c>
      <c r="M2879">
        <f>VLOOKUP(H2879,'Stage Order'!$A$2:$B$8,2,FALSE)</f>
        <v>2</v>
      </c>
      <c r="N2879" t="str">
        <f t="shared" si="88"/>
        <v>2. 1-24 hours</v>
      </c>
      <c r="O2879" t="str">
        <f t="shared" si="89"/>
        <v>2025-12</v>
      </c>
    </row>
    <row r="2880" spans="1:15" x14ac:dyDescent="0.3">
      <c r="A2880" t="s">
        <v>6806</v>
      </c>
      <c r="B2880" t="s">
        <v>6807</v>
      </c>
      <c r="C2880" t="s">
        <v>125</v>
      </c>
      <c r="D2880" t="s">
        <v>54</v>
      </c>
      <c r="E2880" t="s">
        <v>30</v>
      </c>
      <c r="F2880" t="s">
        <v>78</v>
      </c>
      <c r="G2880">
        <v>3.19</v>
      </c>
      <c r="H2880" t="s">
        <v>41</v>
      </c>
      <c r="I2880" t="s">
        <v>42</v>
      </c>
      <c r="M2880">
        <f>VLOOKUP(H2880,'Stage Order'!$A$2:$B$8,2,FALSE)</f>
        <v>2</v>
      </c>
      <c r="N2880" t="str">
        <f t="shared" si="88"/>
        <v>2. 1-24 hours</v>
      </c>
      <c r="O2880" t="str">
        <f t="shared" si="89"/>
        <v>2025-08</v>
      </c>
    </row>
    <row r="2881" spans="1:15" x14ac:dyDescent="0.3">
      <c r="A2881" t="s">
        <v>6808</v>
      </c>
      <c r="B2881" t="s">
        <v>6809</v>
      </c>
      <c r="C2881" t="s">
        <v>58</v>
      </c>
      <c r="D2881" t="s">
        <v>38</v>
      </c>
      <c r="E2881" t="s">
        <v>59</v>
      </c>
      <c r="F2881" t="s">
        <v>60</v>
      </c>
      <c r="G2881">
        <v>8.3000000000000007</v>
      </c>
      <c r="H2881" t="s">
        <v>41</v>
      </c>
      <c r="I2881" t="s">
        <v>42</v>
      </c>
      <c r="M2881">
        <f>VLOOKUP(H2881,'Stage Order'!$A$2:$B$8,2,FALSE)</f>
        <v>2</v>
      </c>
      <c r="N2881" t="str">
        <f t="shared" si="88"/>
        <v>2. 1-24 hours</v>
      </c>
      <c r="O2881" t="str">
        <f t="shared" si="89"/>
        <v>2025-12</v>
      </c>
    </row>
    <row r="2882" spans="1:15" x14ac:dyDescent="0.3">
      <c r="A2882" t="s">
        <v>6810</v>
      </c>
      <c r="B2882" t="s">
        <v>6811</v>
      </c>
      <c r="C2882" t="s">
        <v>37</v>
      </c>
      <c r="D2882" t="s">
        <v>29</v>
      </c>
      <c r="E2882" t="s">
        <v>45</v>
      </c>
      <c r="F2882" t="s">
        <v>55</v>
      </c>
      <c r="G2882">
        <v>1.1000000000000001</v>
      </c>
      <c r="H2882" t="s">
        <v>41</v>
      </c>
      <c r="I2882" t="s">
        <v>42</v>
      </c>
      <c r="M2882">
        <f>VLOOKUP(H2882,'Stage Order'!$A$2:$B$8,2,FALSE)</f>
        <v>2</v>
      </c>
      <c r="N2882" t="str">
        <f t="shared" ref="N2882:N2945" si="90">IF(G2882&lt;=1,"1. Under 1 hour",IF(G2882&lt;=24,"2. 1-24 hours",IF(G2882&lt;=72,"3. 1-3 days","4. Over 3 days")))</f>
        <v>2. 1-24 hours</v>
      </c>
      <c r="O2882" t="str">
        <f t="shared" ref="O2882:O2945" si="91">TEXT(B2882,"YYYY-MM")</f>
        <v>2025-09</v>
      </c>
    </row>
    <row r="2883" spans="1:15" x14ac:dyDescent="0.3">
      <c r="A2883" t="s">
        <v>6812</v>
      </c>
      <c r="B2883" t="s">
        <v>6813</v>
      </c>
      <c r="C2883" t="s">
        <v>58</v>
      </c>
      <c r="D2883" t="s">
        <v>38</v>
      </c>
      <c r="E2883" t="s">
        <v>45</v>
      </c>
      <c r="F2883" t="s">
        <v>55</v>
      </c>
      <c r="G2883">
        <v>2.0099999999999998</v>
      </c>
      <c r="H2883" t="s">
        <v>41</v>
      </c>
      <c r="I2883" t="s">
        <v>42</v>
      </c>
      <c r="M2883">
        <f>VLOOKUP(H2883,'Stage Order'!$A$2:$B$8,2,FALSE)</f>
        <v>2</v>
      </c>
      <c r="N2883" t="str">
        <f t="shared" si="90"/>
        <v>2. 1-24 hours</v>
      </c>
      <c r="O2883" t="str">
        <f t="shared" si="91"/>
        <v>2026-03</v>
      </c>
    </row>
    <row r="2884" spans="1:15" x14ac:dyDescent="0.3">
      <c r="A2884" t="s">
        <v>6814</v>
      </c>
      <c r="B2884" t="s">
        <v>6815</v>
      </c>
      <c r="C2884" t="s">
        <v>58</v>
      </c>
      <c r="D2884" t="s">
        <v>77</v>
      </c>
      <c r="E2884" t="s">
        <v>90</v>
      </c>
      <c r="F2884" t="s">
        <v>145</v>
      </c>
      <c r="G2884">
        <v>3.69</v>
      </c>
      <c r="H2884" t="s">
        <v>41</v>
      </c>
      <c r="I2884" t="s">
        <v>42</v>
      </c>
      <c r="M2884">
        <f>VLOOKUP(H2884,'Stage Order'!$A$2:$B$8,2,FALSE)</f>
        <v>2</v>
      </c>
      <c r="N2884" t="str">
        <f t="shared" si="90"/>
        <v>2. 1-24 hours</v>
      </c>
      <c r="O2884" t="str">
        <f t="shared" si="91"/>
        <v>2025-04</v>
      </c>
    </row>
    <row r="2885" spans="1:15" x14ac:dyDescent="0.3">
      <c r="A2885" t="s">
        <v>6816</v>
      </c>
      <c r="B2885" t="s">
        <v>6817</v>
      </c>
      <c r="C2885" t="s">
        <v>53</v>
      </c>
      <c r="D2885" t="s">
        <v>77</v>
      </c>
      <c r="E2885" t="s">
        <v>59</v>
      </c>
      <c r="F2885" t="s">
        <v>117</v>
      </c>
      <c r="G2885">
        <v>3.77</v>
      </c>
      <c r="H2885" t="s">
        <v>32</v>
      </c>
      <c r="I2885" t="s">
        <v>33</v>
      </c>
      <c r="K2885">
        <v>913.67</v>
      </c>
      <c r="L2885" t="s">
        <v>6818</v>
      </c>
      <c r="M2885">
        <f>VLOOKUP(H2885,'Stage Order'!$A$2:$B$8,2,FALSE)</f>
        <v>7</v>
      </c>
      <c r="N2885" t="str">
        <f t="shared" si="90"/>
        <v>2. 1-24 hours</v>
      </c>
      <c r="O2885" t="str">
        <f t="shared" si="91"/>
        <v>2025-02</v>
      </c>
    </row>
    <row r="2886" spans="1:15" x14ac:dyDescent="0.3">
      <c r="A2886" t="s">
        <v>6819</v>
      </c>
      <c r="B2886" t="s">
        <v>6820</v>
      </c>
      <c r="C2886" t="s">
        <v>125</v>
      </c>
      <c r="D2886" t="s">
        <v>54</v>
      </c>
      <c r="E2886" t="s">
        <v>30</v>
      </c>
      <c r="F2886" t="s">
        <v>82</v>
      </c>
      <c r="G2886">
        <v>0.42</v>
      </c>
      <c r="H2886" t="s">
        <v>41</v>
      </c>
      <c r="I2886" t="s">
        <v>42</v>
      </c>
      <c r="M2886">
        <f>VLOOKUP(H2886,'Stage Order'!$A$2:$B$8,2,FALSE)</f>
        <v>2</v>
      </c>
      <c r="N2886" t="str">
        <f t="shared" si="90"/>
        <v>1. Under 1 hour</v>
      </c>
      <c r="O2886" t="str">
        <f t="shared" si="91"/>
        <v>2025-06</v>
      </c>
    </row>
    <row r="2887" spans="1:15" x14ac:dyDescent="0.3">
      <c r="A2887" t="s">
        <v>6821</v>
      </c>
      <c r="B2887" t="s">
        <v>6822</v>
      </c>
      <c r="C2887" t="s">
        <v>37</v>
      </c>
      <c r="D2887" t="s">
        <v>77</v>
      </c>
      <c r="E2887" t="s">
        <v>59</v>
      </c>
      <c r="F2887" t="s">
        <v>137</v>
      </c>
      <c r="G2887">
        <v>2.79</v>
      </c>
      <c r="H2887" t="s">
        <v>146</v>
      </c>
      <c r="I2887" t="s">
        <v>48</v>
      </c>
      <c r="J2887" t="s">
        <v>98</v>
      </c>
      <c r="K2887">
        <v>893.99</v>
      </c>
      <c r="L2887" t="s">
        <v>6823</v>
      </c>
      <c r="M2887">
        <f>VLOOKUP(H2887,'Stage Order'!$A$2:$B$8,2,FALSE)</f>
        <v>5</v>
      </c>
      <c r="N2887" t="str">
        <f t="shared" si="90"/>
        <v>2. 1-24 hours</v>
      </c>
      <c r="O2887" t="str">
        <f t="shared" si="91"/>
        <v>2026-01</v>
      </c>
    </row>
    <row r="2888" spans="1:15" x14ac:dyDescent="0.3">
      <c r="A2888" t="s">
        <v>6824</v>
      </c>
      <c r="B2888" t="s">
        <v>6825</v>
      </c>
      <c r="C2888" t="s">
        <v>81</v>
      </c>
      <c r="D2888" t="s">
        <v>77</v>
      </c>
      <c r="E2888" t="s">
        <v>30</v>
      </c>
      <c r="F2888" t="s">
        <v>31</v>
      </c>
      <c r="G2888">
        <v>1.61</v>
      </c>
      <c r="H2888" t="s">
        <v>61</v>
      </c>
      <c r="I2888" t="s">
        <v>42</v>
      </c>
      <c r="M2888">
        <f>VLOOKUP(H2888,'Stage Order'!$A$2:$B$8,2,FALSE)</f>
        <v>1</v>
      </c>
      <c r="N2888" t="str">
        <f t="shared" si="90"/>
        <v>2. 1-24 hours</v>
      </c>
      <c r="O2888" t="str">
        <f t="shared" si="91"/>
        <v>2025-02</v>
      </c>
    </row>
    <row r="2889" spans="1:15" x14ac:dyDescent="0.3">
      <c r="A2889" t="s">
        <v>6826</v>
      </c>
      <c r="B2889" t="s">
        <v>6827</v>
      </c>
      <c r="C2889" t="s">
        <v>81</v>
      </c>
      <c r="D2889" t="s">
        <v>97</v>
      </c>
      <c r="E2889" t="s">
        <v>45</v>
      </c>
      <c r="F2889" t="s">
        <v>55</v>
      </c>
      <c r="G2889">
        <v>0.59</v>
      </c>
      <c r="H2889" t="s">
        <v>128</v>
      </c>
      <c r="I2889" t="s">
        <v>42</v>
      </c>
      <c r="M2889">
        <f>VLOOKUP(H2889,'Stage Order'!$A$2:$B$8,2,FALSE)</f>
        <v>3</v>
      </c>
      <c r="N2889" t="str">
        <f t="shared" si="90"/>
        <v>1. Under 1 hour</v>
      </c>
      <c r="O2889" t="str">
        <f t="shared" si="91"/>
        <v>2026-01</v>
      </c>
    </row>
    <row r="2890" spans="1:15" x14ac:dyDescent="0.3">
      <c r="A2890" t="s">
        <v>6828</v>
      </c>
      <c r="B2890" t="s">
        <v>6829</v>
      </c>
      <c r="C2890" t="s">
        <v>125</v>
      </c>
      <c r="D2890" t="s">
        <v>38</v>
      </c>
      <c r="E2890" t="s">
        <v>45</v>
      </c>
      <c r="F2890" t="s">
        <v>94</v>
      </c>
      <c r="G2890">
        <v>11.91</v>
      </c>
      <c r="H2890" t="s">
        <v>41</v>
      </c>
      <c r="I2890" t="s">
        <v>42</v>
      </c>
      <c r="M2890">
        <f>VLOOKUP(H2890,'Stage Order'!$A$2:$B$8,2,FALSE)</f>
        <v>2</v>
      </c>
      <c r="N2890" t="str">
        <f t="shared" si="90"/>
        <v>2. 1-24 hours</v>
      </c>
      <c r="O2890" t="str">
        <f t="shared" si="91"/>
        <v>2026-01</v>
      </c>
    </row>
    <row r="2891" spans="1:15" x14ac:dyDescent="0.3">
      <c r="A2891" t="s">
        <v>6830</v>
      </c>
      <c r="B2891" t="s">
        <v>6831</v>
      </c>
      <c r="C2891" t="s">
        <v>28</v>
      </c>
      <c r="D2891" t="s">
        <v>38</v>
      </c>
      <c r="E2891" t="s">
        <v>39</v>
      </c>
      <c r="F2891" t="s">
        <v>106</v>
      </c>
      <c r="G2891">
        <v>7.4</v>
      </c>
      <c r="H2891" t="s">
        <v>32</v>
      </c>
      <c r="I2891" t="s">
        <v>33</v>
      </c>
      <c r="K2891">
        <v>406.46</v>
      </c>
      <c r="L2891" t="s">
        <v>6832</v>
      </c>
      <c r="M2891">
        <f>VLOOKUP(H2891,'Stage Order'!$A$2:$B$8,2,FALSE)</f>
        <v>7</v>
      </c>
      <c r="N2891" t="str">
        <f t="shared" si="90"/>
        <v>2. 1-24 hours</v>
      </c>
      <c r="O2891" t="str">
        <f t="shared" si="91"/>
        <v>2025-02</v>
      </c>
    </row>
    <row r="2892" spans="1:15" x14ac:dyDescent="0.3">
      <c r="A2892" t="s">
        <v>6833</v>
      </c>
      <c r="B2892" t="s">
        <v>6834</v>
      </c>
      <c r="C2892" t="s">
        <v>53</v>
      </c>
      <c r="D2892" t="s">
        <v>54</v>
      </c>
      <c r="E2892" t="s">
        <v>45</v>
      </c>
      <c r="F2892" t="s">
        <v>55</v>
      </c>
      <c r="G2892">
        <v>2.23</v>
      </c>
      <c r="H2892" t="s">
        <v>32</v>
      </c>
      <c r="I2892" t="s">
        <v>33</v>
      </c>
      <c r="K2892">
        <v>568.1</v>
      </c>
      <c r="L2892" t="s">
        <v>6835</v>
      </c>
      <c r="M2892">
        <f>VLOOKUP(H2892,'Stage Order'!$A$2:$B$8,2,FALSE)</f>
        <v>7</v>
      </c>
      <c r="N2892" t="str">
        <f t="shared" si="90"/>
        <v>2. 1-24 hours</v>
      </c>
      <c r="O2892" t="str">
        <f t="shared" si="91"/>
        <v>2025-07</v>
      </c>
    </row>
    <row r="2893" spans="1:15" x14ac:dyDescent="0.3">
      <c r="A2893" t="s">
        <v>6836</v>
      </c>
      <c r="B2893" t="s">
        <v>6837</v>
      </c>
      <c r="C2893" t="s">
        <v>81</v>
      </c>
      <c r="D2893" t="s">
        <v>77</v>
      </c>
      <c r="E2893" t="s">
        <v>39</v>
      </c>
      <c r="F2893" t="s">
        <v>66</v>
      </c>
      <c r="G2893">
        <v>0.49</v>
      </c>
      <c r="H2893" t="s">
        <v>61</v>
      </c>
      <c r="I2893" t="s">
        <v>42</v>
      </c>
      <c r="M2893">
        <f>VLOOKUP(H2893,'Stage Order'!$A$2:$B$8,2,FALSE)</f>
        <v>1</v>
      </c>
      <c r="N2893" t="str">
        <f t="shared" si="90"/>
        <v>1. Under 1 hour</v>
      </c>
      <c r="O2893" t="str">
        <f t="shared" si="91"/>
        <v>2025-12</v>
      </c>
    </row>
    <row r="2894" spans="1:15" x14ac:dyDescent="0.3">
      <c r="A2894" t="s">
        <v>6838</v>
      </c>
      <c r="B2894" t="s">
        <v>6839</v>
      </c>
      <c r="C2894" t="s">
        <v>81</v>
      </c>
      <c r="D2894" t="s">
        <v>77</v>
      </c>
      <c r="E2894" t="s">
        <v>59</v>
      </c>
      <c r="F2894" t="s">
        <v>137</v>
      </c>
      <c r="G2894">
        <v>1.81</v>
      </c>
      <c r="H2894" t="s">
        <v>61</v>
      </c>
      <c r="I2894" t="s">
        <v>42</v>
      </c>
      <c r="M2894">
        <f>VLOOKUP(H2894,'Stage Order'!$A$2:$B$8,2,FALSE)</f>
        <v>1</v>
      </c>
      <c r="N2894" t="str">
        <f t="shared" si="90"/>
        <v>2. 1-24 hours</v>
      </c>
      <c r="O2894" t="str">
        <f t="shared" si="91"/>
        <v>2025-05</v>
      </c>
    </row>
    <row r="2895" spans="1:15" x14ac:dyDescent="0.3">
      <c r="A2895" t="s">
        <v>6840</v>
      </c>
      <c r="B2895" t="s">
        <v>6841</v>
      </c>
      <c r="C2895" t="s">
        <v>37</v>
      </c>
      <c r="D2895" t="s">
        <v>54</v>
      </c>
      <c r="E2895" t="s">
        <v>39</v>
      </c>
      <c r="F2895" t="s">
        <v>66</v>
      </c>
      <c r="G2895">
        <v>3.16</v>
      </c>
      <c r="H2895" t="s">
        <v>61</v>
      </c>
      <c r="I2895" t="s">
        <v>42</v>
      </c>
      <c r="M2895">
        <f>VLOOKUP(H2895,'Stage Order'!$A$2:$B$8,2,FALSE)</f>
        <v>1</v>
      </c>
      <c r="N2895" t="str">
        <f t="shared" si="90"/>
        <v>2. 1-24 hours</v>
      </c>
      <c r="O2895" t="str">
        <f t="shared" si="91"/>
        <v>2025-07</v>
      </c>
    </row>
    <row r="2896" spans="1:15" x14ac:dyDescent="0.3">
      <c r="A2896" t="s">
        <v>6842</v>
      </c>
      <c r="B2896" t="s">
        <v>6843</v>
      </c>
      <c r="C2896" t="s">
        <v>81</v>
      </c>
      <c r="D2896" t="s">
        <v>29</v>
      </c>
      <c r="E2896" t="s">
        <v>59</v>
      </c>
      <c r="F2896" t="s">
        <v>137</v>
      </c>
      <c r="G2896">
        <v>1.1499999999999999</v>
      </c>
      <c r="H2896" t="s">
        <v>61</v>
      </c>
      <c r="I2896" t="s">
        <v>42</v>
      </c>
      <c r="M2896">
        <f>VLOOKUP(H2896,'Stage Order'!$A$2:$B$8,2,FALSE)</f>
        <v>1</v>
      </c>
      <c r="N2896" t="str">
        <f t="shared" si="90"/>
        <v>2. 1-24 hours</v>
      </c>
      <c r="O2896" t="str">
        <f t="shared" si="91"/>
        <v>2025-12</v>
      </c>
    </row>
    <row r="2897" spans="1:15" x14ac:dyDescent="0.3">
      <c r="A2897" t="s">
        <v>6844</v>
      </c>
      <c r="B2897" t="s">
        <v>6845</v>
      </c>
      <c r="C2897" t="s">
        <v>76</v>
      </c>
      <c r="D2897" t="s">
        <v>54</v>
      </c>
      <c r="E2897" t="s">
        <v>59</v>
      </c>
      <c r="F2897" t="s">
        <v>60</v>
      </c>
      <c r="G2897">
        <v>1.55</v>
      </c>
      <c r="H2897" t="s">
        <v>146</v>
      </c>
      <c r="I2897" t="s">
        <v>48</v>
      </c>
      <c r="J2897" t="s">
        <v>98</v>
      </c>
      <c r="K2897">
        <v>515.95000000000005</v>
      </c>
      <c r="L2897" t="s">
        <v>6846</v>
      </c>
      <c r="M2897">
        <f>VLOOKUP(H2897,'Stage Order'!$A$2:$B$8,2,FALSE)</f>
        <v>5</v>
      </c>
      <c r="N2897" t="str">
        <f t="shared" si="90"/>
        <v>2. 1-24 hours</v>
      </c>
      <c r="O2897" t="str">
        <f t="shared" si="91"/>
        <v>2026-03</v>
      </c>
    </row>
    <row r="2898" spans="1:15" x14ac:dyDescent="0.3">
      <c r="A2898" t="s">
        <v>6847</v>
      </c>
      <c r="B2898" t="s">
        <v>6848</v>
      </c>
      <c r="C2898" t="s">
        <v>81</v>
      </c>
      <c r="D2898" t="s">
        <v>54</v>
      </c>
      <c r="E2898" t="s">
        <v>45</v>
      </c>
      <c r="F2898" t="s">
        <v>94</v>
      </c>
      <c r="G2898">
        <v>1.65</v>
      </c>
      <c r="H2898" t="s">
        <v>41</v>
      </c>
      <c r="I2898" t="s">
        <v>42</v>
      </c>
      <c r="M2898">
        <f>VLOOKUP(H2898,'Stage Order'!$A$2:$B$8,2,FALSE)</f>
        <v>2</v>
      </c>
      <c r="N2898" t="str">
        <f t="shared" si="90"/>
        <v>2. 1-24 hours</v>
      </c>
      <c r="O2898" t="str">
        <f t="shared" si="91"/>
        <v>2026-01</v>
      </c>
    </row>
    <row r="2899" spans="1:15" x14ac:dyDescent="0.3">
      <c r="A2899" t="s">
        <v>6849</v>
      </c>
      <c r="B2899" t="s">
        <v>6850</v>
      </c>
      <c r="C2899" t="s">
        <v>37</v>
      </c>
      <c r="D2899" t="s">
        <v>77</v>
      </c>
      <c r="E2899" t="s">
        <v>90</v>
      </c>
      <c r="F2899" t="s">
        <v>145</v>
      </c>
      <c r="G2899">
        <v>1.42</v>
      </c>
      <c r="H2899" t="s">
        <v>41</v>
      </c>
      <c r="I2899" t="s">
        <v>42</v>
      </c>
      <c r="M2899">
        <f>VLOOKUP(H2899,'Stage Order'!$A$2:$B$8,2,FALSE)</f>
        <v>2</v>
      </c>
      <c r="N2899" t="str">
        <f t="shared" si="90"/>
        <v>2. 1-24 hours</v>
      </c>
      <c r="O2899" t="str">
        <f t="shared" si="91"/>
        <v>2025-04</v>
      </c>
    </row>
    <row r="2900" spans="1:15" x14ac:dyDescent="0.3">
      <c r="A2900" t="s">
        <v>6851</v>
      </c>
      <c r="B2900" t="s">
        <v>6852</v>
      </c>
      <c r="C2900" t="s">
        <v>76</v>
      </c>
      <c r="D2900" t="s">
        <v>29</v>
      </c>
      <c r="E2900" t="s">
        <v>59</v>
      </c>
      <c r="F2900" t="s">
        <v>137</v>
      </c>
      <c r="G2900">
        <v>2.25</v>
      </c>
      <c r="H2900" t="s">
        <v>138</v>
      </c>
      <c r="I2900" t="s">
        <v>48</v>
      </c>
      <c r="J2900" t="s">
        <v>49</v>
      </c>
      <c r="K2900">
        <v>658</v>
      </c>
      <c r="L2900" t="s">
        <v>6853</v>
      </c>
      <c r="M2900">
        <f>VLOOKUP(H2900,'Stage Order'!$A$2:$B$8,2,FALSE)</f>
        <v>6</v>
      </c>
      <c r="N2900" t="str">
        <f t="shared" si="90"/>
        <v>2. 1-24 hours</v>
      </c>
      <c r="O2900" t="str">
        <f t="shared" si="91"/>
        <v>2026-02</v>
      </c>
    </row>
    <row r="2901" spans="1:15" x14ac:dyDescent="0.3">
      <c r="A2901" t="s">
        <v>6854</v>
      </c>
      <c r="B2901" t="s">
        <v>6855</v>
      </c>
      <c r="C2901" t="s">
        <v>37</v>
      </c>
      <c r="D2901" t="s">
        <v>77</v>
      </c>
      <c r="E2901" t="s">
        <v>39</v>
      </c>
      <c r="F2901" t="s">
        <v>66</v>
      </c>
      <c r="G2901">
        <v>64.05</v>
      </c>
      <c r="H2901" t="s">
        <v>41</v>
      </c>
      <c r="I2901" t="s">
        <v>42</v>
      </c>
      <c r="M2901">
        <f>VLOOKUP(H2901,'Stage Order'!$A$2:$B$8,2,FALSE)</f>
        <v>2</v>
      </c>
      <c r="N2901" t="str">
        <f t="shared" si="90"/>
        <v>3. 1-3 days</v>
      </c>
      <c r="O2901" t="str">
        <f t="shared" si="91"/>
        <v>2025-05</v>
      </c>
    </row>
    <row r="2902" spans="1:15" x14ac:dyDescent="0.3">
      <c r="A2902" t="s">
        <v>6856</v>
      </c>
      <c r="B2902" t="s">
        <v>6857</v>
      </c>
      <c r="C2902" t="s">
        <v>125</v>
      </c>
      <c r="D2902" t="s">
        <v>54</v>
      </c>
      <c r="E2902" t="s">
        <v>45</v>
      </c>
      <c r="F2902" t="s">
        <v>55</v>
      </c>
      <c r="G2902">
        <v>0.74</v>
      </c>
      <c r="H2902" t="s">
        <v>41</v>
      </c>
      <c r="I2902" t="s">
        <v>42</v>
      </c>
      <c r="M2902">
        <f>VLOOKUP(H2902,'Stage Order'!$A$2:$B$8,2,FALSE)</f>
        <v>2</v>
      </c>
      <c r="N2902" t="str">
        <f t="shared" si="90"/>
        <v>1. Under 1 hour</v>
      </c>
      <c r="O2902" t="str">
        <f t="shared" si="91"/>
        <v>2025-01</v>
      </c>
    </row>
    <row r="2903" spans="1:15" x14ac:dyDescent="0.3">
      <c r="A2903" t="s">
        <v>6858</v>
      </c>
      <c r="B2903" t="s">
        <v>6859</v>
      </c>
      <c r="C2903" t="s">
        <v>53</v>
      </c>
      <c r="D2903" t="s">
        <v>54</v>
      </c>
      <c r="E2903" t="s">
        <v>90</v>
      </c>
      <c r="F2903" t="s">
        <v>112</v>
      </c>
      <c r="G2903">
        <v>2.4900000000000002</v>
      </c>
      <c r="H2903" t="s">
        <v>61</v>
      </c>
      <c r="I2903" t="s">
        <v>42</v>
      </c>
      <c r="M2903">
        <f>VLOOKUP(H2903,'Stage Order'!$A$2:$B$8,2,FALSE)</f>
        <v>1</v>
      </c>
      <c r="N2903" t="str">
        <f t="shared" si="90"/>
        <v>2. 1-24 hours</v>
      </c>
      <c r="O2903" t="str">
        <f t="shared" si="91"/>
        <v>2026-02</v>
      </c>
    </row>
    <row r="2904" spans="1:15" x14ac:dyDescent="0.3">
      <c r="A2904" t="s">
        <v>6860</v>
      </c>
      <c r="B2904" t="s">
        <v>6861</v>
      </c>
      <c r="C2904" t="s">
        <v>53</v>
      </c>
      <c r="D2904" t="s">
        <v>77</v>
      </c>
      <c r="E2904" t="s">
        <v>45</v>
      </c>
      <c r="F2904" t="s">
        <v>55</v>
      </c>
      <c r="G2904">
        <v>0.63</v>
      </c>
      <c r="H2904" t="s">
        <v>41</v>
      </c>
      <c r="I2904" t="s">
        <v>42</v>
      </c>
      <c r="M2904">
        <f>VLOOKUP(H2904,'Stage Order'!$A$2:$B$8,2,FALSE)</f>
        <v>2</v>
      </c>
      <c r="N2904" t="str">
        <f t="shared" si="90"/>
        <v>1. Under 1 hour</v>
      </c>
      <c r="O2904" t="str">
        <f t="shared" si="91"/>
        <v>2025-12</v>
      </c>
    </row>
    <row r="2905" spans="1:15" x14ac:dyDescent="0.3">
      <c r="A2905" t="s">
        <v>6862</v>
      </c>
      <c r="B2905" t="s">
        <v>6863</v>
      </c>
      <c r="C2905" t="s">
        <v>28</v>
      </c>
      <c r="D2905" t="s">
        <v>38</v>
      </c>
      <c r="E2905" t="s">
        <v>59</v>
      </c>
      <c r="F2905" t="s">
        <v>60</v>
      </c>
      <c r="G2905">
        <v>25.52</v>
      </c>
      <c r="H2905" t="s">
        <v>41</v>
      </c>
      <c r="I2905" t="s">
        <v>42</v>
      </c>
      <c r="M2905">
        <f>VLOOKUP(H2905,'Stage Order'!$A$2:$B$8,2,FALSE)</f>
        <v>2</v>
      </c>
      <c r="N2905" t="str">
        <f t="shared" si="90"/>
        <v>3. 1-3 days</v>
      </c>
      <c r="O2905" t="str">
        <f t="shared" si="91"/>
        <v>2025-05</v>
      </c>
    </row>
    <row r="2906" spans="1:15" x14ac:dyDescent="0.3">
      <c r="A2906" t="s">
        <v>6864</v>
      </c>
      <c r="B2906" t="s">
        <v>6865</v>
      </c>
      <c r="C2906" t="s">
        <v>81</v>
      </c>
      <c r="D2906" t="s">
        <v>29</v>
      </c>
      <c r="E2906" t="s">
        <v>59</v>
      </c>
      <c r="F2906" t="s">
        <v>60</v>
      </c>
      <c r="G2906">
        <v>9.0399999999999991</v>
      </c>
      <c r="H2906" t="s">
        <v>61</v>
      </c>
      <c r="I2906" t="s">
        <v>42</v>
      </c>
      <c r="M2906">
        <f>VLOOKUP(H2906,'Stage Order'!$A$2:$B$8,2,FALSE)</f>
        <v>1</v>
      </c>
      <c r="N2906" t="str">
        <f t="shared" si="90"/>
        <v>2. 1-24 hours</v>
      </c>
      <c r="O2906" t="str">
        <f t="shared" si="91"/>
        <v>2026-03</v>
      </c>
    </row>
    <row r="2907" spans="1:15" x14ac:dyDescent="0.3">
      <c r="A2907" t="s">
        <v>6866</v>
      </c>
      <c r="B2907" t="s">
        <v>6867</v>
      </c>
      <c r="C2907" t="s">
        <v>53</v>
      </c>
      <c r="D2907" t="s">
        <v>77</v>
      </c>
      <c r="E2907" t="s">
        <v>45</v>
      </c>
      <c r="F2907" t="s">
        <v>46</v>
      </c>
      <c r="G2907">
        <v>1</v>
      </c>
      <c r="H2907" t="s">
        <v>41</v>
      </c>
      <c r="I2907" t="s">
        <v>42</v>
      </c>
      <c r="M2907">
        <f>VLOOKUP(H2907,'Stage Order'!$A$2:$B$8,2,FALSE)</f>
        <v>2</v>
      </c>
      <c r="N2907" t="str">
        <f t="shared" si="90"/>
        <v>1. Under 1 hour</v>
      </c>
      <c r="O2907" t="str">
        <f t="shared" si="91"/>
        <v>2025-12</v>
      </c>
    </row>
    <row r="2908" spans="1:15" x14ac:dyDescent="0.3">
      <c r="A2908" t="s">
        <v>6868</v>
      </c>
      <c r="B2908" t="s">
        <v>6869</v>
      </c>
      <c r="C2908" t="s">
        <v>81</v>
      </c>
      <c r="D2908" t="s">
        <v>29</v>
      </c>
      <c r="E2908" t="s">
        <v>30</v>
      </c>
      <c r="F2908" t="s">
        <v>78</v>
      </c>
      <c r="G2908">
        <v>88.05</v>
      </c>
      <c r="H2908" t="s">
        <v>41</v>
      </c>
      <c r="I2908" t="s">
        <v>42</v>
      </c>
      <c r="M2908">
        <f>VLOOKUP(H2908,'Stage Order'!$A$2:$B$8,2,FALSE)</f>
        <v>2</v>
      </c>
      <c r="N2908" t="str">
        <f t="shared" si="90"/>
        <v>4. Over 3 days</v>
      </c>
      <c r="O2908" t="str">
        <f t="shared" si="91"/>
        <v>2026-01</v>
      </c>
    </row>
    <row r="2909" spans="1:15" x14ac:dyDescent="0.3">
      <c r="A2909" t="s">
        <v>6870</v>
      </c>
      <c r="B2909" t="s">
        <v>6871</v>
      </c>
      <c r="C2909" t="s">
        <v>125</v>
      </c>
      <c r="D2909" t="s">
        <v>77</v>
      </c>
      <c r="E2909" t="s">
        <v>90</v>
      </c>
      <c r="F2909" t="s">
        <v>112</v>
      </c>
      <c r="G2909">
        <v>15.3</v>
      </c>
      <c r="H2909" t="s">
        <v>47</v>
      </c>
      <c r="I2909" t="s">
        <v>48</v>
      </c>
      <c r="J2909" t="s">
        <v>98</v>
      </c>
      <c r="K2909">
        <v>1165.23</v>
      </c>
      <c r="L2909" t="s">
        <v>6872</v>
      </c>
      <c r="M2909">
        <f>VLOOKUP(H2909,'Stage Order'!$A$2:$B$8,2,FALSE)</f>
        <v>4</v>
      </c>
      <c r="N2909" t="str">
        <f t="shared" si="90"/>
        <v>2. 1-24 hours</v>
      </c>
      <c r="O2909" t="str">
        <f t="shared" si="91"/>
        <v>2025-06</v>
      </c>
    </row>
    <row r="2910" spans="1:15" x14ac:dyDescent="0.3">
      <c r="A2910" t="s">
        <v>6873</v>
      </c>
      <c r="B2910" t="s">
        <v>6874</v>
      </c>
      <c r="C2910" t="s">
        <v>125</v>
      </c>
      <c r="D2910" t="s">
        <v>77</v>
      </c>
      <c r="E2910" t="s">
        <v>39</v>
      </c>
      <c r="F2910" t="s">
        <v>106</v>
      </c>
      <c r="G2910">
        <v>21.65</v>
      </c>
      <c r="H2910" t="s">
        <v>41</v>
      </c>
      <c r="I2910" t="s">
        <v>42</v>
      </c>
      <c r="M2910">
        <f>VLOOKUP(H2910,'Stage Order'!$A$2:$B$8,2,FALSE)</f>
        <v>2</v>
      </c>
      <c r="N2910" t="str">
        <f t="shared" si="90"/>
        <v>2. 1-24 hours</v>
      </c>
      <c r="O2910" t="str">
        <f t="shared" si="91"/>
        <v>2025-07</v>
      </c>
    </row>
    <row r="2911" spans="1:15" x14ac:dyDescent="0.3">
      <c r="A2911" t="s">
        <v>6875</v>
      </c>
      <c r="B2911" t="s">
        <v>6876</v>
      </c>
      <c r="C2911" t="s">
        <v>58</v>
      </c>
      <c r="D2911" t="s">
        <v>29</v>
      </c>
      <c r="E2911" t="s">
        <v>90</v>
      </c>
      <c r="F2911" t="s">
        <v>112</v>
      </c>
      <c r="G2911">
        <v>5.94</v>
      </c>
      <c r="H2911" t="s">
        <v>41</v>
      </c>
      <c r="I2911" t="s">
        <v>42</v>
      </c>
      <c r="M2911">
        <f>VLOOKUP(H2911,'Stage Order'!$A$2:$B$8,2,FALSE)</f>
        <v>2</v>
      </c>
      <c r="N2911" t="str">
        <f t="shared" si="90"/>
        <v>2. 1-24 hours</v>
      </c>
      <c r="O2911" t="str">
        <f t="shared" si="91"/>
        <v>2025-03</v>
      </c>
    </row>
    <row r="2912" spans="1:15" x14ac:dyDescent="0.3">
      <c r="A2912" t="s">
        <v>6877</v>
      </c>
      <c r="B2912" t="s">
        <v>6878</v>
      </c>
      <c r="C2912" t="s">
        <v>58</v>
      </c>
      <c r="D2912" t="s">
        <v>97</v>
      </c>
      <c r="E2912" t="s">
        <v>30</v>
      </c>
      <c r="F2912" t="s">
        <v>82</v>
      </c>
      <c r="G2912">
        <v>1.94</v>
      </c>
      <c r="H2912" t="s">
        <v>41</v>
      </c>
      <c r="I2912" t="s">
        <v>42</v>
      </c>
      <c r="M2912">
        <f>VLOOKUP(H2912,'Stage Order'!$A$2:$B$8,2,FALSE)</f>
        <v>2</v>
      </c>
      <c r="N2912" t="str">
        <f t="shared" si="90"/>
        <v>2. 1-24 hours</v>
      </c>
      <c r="O2912" t="str">
        <f t="shared" si="91"/>
        <v>2025-07</v>
      </c>
    </row>
    <row r="2913" spans="1:15" x14ac:dyDescent="0.3">
      <c r="A2913" t="s">
        <v>6879</v>
      </c>
      <c r="B2913" t="s">
        <v>6880</v>
      </c>
      <c r="C2913" t="s">
        <v>125</v>
      </c>
      <c r="D2913" t="s">
        <v>29</v>
      </c>
      <c r="E2913" t="s">
        <v>30</v>
      </c>
      <c r="F2913" t="s">
        <v>78</v>
      </c>
      <c r="G2913">
        <v>0.78</v>
      </c>
      <c r="H2913" t="s">
        <v>61</v>
      </c>
      <c r="I2913" t="s">
        <v>42</v>
      </c>
      <c r="M2913">
        <f>VLOOKUP(H2913,'Stage Order'!$A$2:$B$8,2,FALSE)</f>
        <v>1</v>
      </c>
      <c r="N2913" t="str">
        <f t="shared" si="90"/>
        <v>1. Under 1 hour</v>
      </c>
      <c r="O2913" t="str">
        <f t="shared" si="91"/>
        <v>2025-11</v>
      </c>
    </row>
    <row r="2914" spans="1:15" x14ac:dyDescent="0.3">
      <c r="A2914" t="s">
        <v>6881</v>
      </c>
      <c r="B2914" t="s">
        <v>6882</v>
      </c>
      <c r="C2914" t="s">
        <v>125</v>
      </c>
      <c r="D2914" t="s">
        <v>29</v>
      </c>
      <c r="E2914" t="s">
        <v>59</v>
      </c>
      <c r="F2914" t="s">
        <v>60</v>
      </c>
      <c r="G2914">
        <v>1.22</v>
      </c>
      <c r="H2914" t="s">
        <v>41</v>
      </c>
      <c r="I2914" t="s">
        <v>42</v>
      </c>
      <c r="M2914">
        <f>VLOOKUP(H2914,'Stage Order'!$A$2:$B$8,2,FALSE)</f>
        <v>2</v>
      </c>
      <c r="N2914" t="str">
        <f t="shared" si="90"/>
        <v>2. 1-24 hours</v>
      </c>
      <c r="O2914" t="str">
        <f t="shared" si="91"/>
        <v>2026-04</v>
      </c>
    </row>
    <row r="2915" spans="1:15" x14ac:dyDescent="0.3">
      <c r="A2915" t="s">
        <v>6883</v>
      </c>
      <c r="B2915" t="s">
        <v>6884</v>
      </c>
      <c r="C2915" t="s">
        <v>53</v>
      </c>
      <c r="D2915" t="s">
        <v>77</v>
      </c>
      <c r="E2915" t="s">
        <v>30</v>
      </c>
      <c r="F2915" t="s">
        <v>78</v>
      </c>
      <c r="G2915">
        <v>2.68</v>
      </c>
      <c r="H2915" t="s">
        <v>41</v>
      </c>
      <c r="I2915" t="s">
        <v>42</v>
      </c>
      <c r="M2915">
        <f>VLOOKUP(H2915,'Stage Order'!$A$2:$B$8,2,FALSE)</f>
        <v>2</v>
      </c>
      <c r="N2915" t="str">
        <f t="shared" si="90"/>
        <v>2. 1-24 hours</v>
      </c>
      <c r="O2915" t="str">
        <f t="shared" si="91"/>
        <v>2025-12</v>
      </c>
    </row>
    <row r="2916" spans="1:15" x14ac:dyDescent="0.3">
      <c r="A2916" t="s">
        <v>6885</v>
      </c>
      <c r="B2916" t="s">
        <v>6886</v>
      </c>
      <c r="C2916" t="s">
        <v>125</v>
      </c>
      <c r="D2916" t="s">
        <v>77</v>
      </c>
      <c r="E2916" t="s">
        <v>45</v>
      </c>
      <c r="F2916" t="s">
        <v>46</v>
      </c>
      <c r="G2916">
        <v>1.68</v>
      </c>
      <c r="H2916" t="s">
        <v>41</v>
      </c>
      <c r="I2916" t="s">
        <v>42</v>
      </c>
      <c r="M2916">
        <f>VLOOKUP(H2916,'Stage Order'!$A$2:$B$8,2,FALSE)</f>
        <v>2</v>
      </c>
      <c r="N2916" t="str">
        <f t="shared" si="90"/>
        <v>2. 1-24 hours</v>
      </c>
      <c r="O2916" t="str">
        <f t="shared" si="91"/>
        <v>2025-07</v>
      </c>
    </row>
    <row r="2917" spans="1:15" x14ac:dyDescent="0.3">
      <c r="A2917" t="s">
        <v>6887</v>
      </c>
      <c r="B2917" t="s">
        <v>6888</v>
      </c>
      <c r="C2917" t="s">
        <v>81</v>
      </c>
      <c r="D2917" t="s">
        <v>77</v>
      </c>
      <c r="E2917" t="s">
        <v>45</v>
      </c>
      <c r="F2917" t="s">
        <v>55</v>
      </c>
      <c r="G2917">
        <v>4.78</v>
      </c>
      <c r="H2917" t="s">
        <v>146</v>
      </c>
      <c r="I2917" t="s">
        <v>48</v>
      </c>
      <c r="J2917" t="s">
        <v>742</v>
      </c>
      <c r="K2917">
        <v>1155.02</v>
      </c>
      <c r="L2917" t="s">
        <v>6889</v>
      </c>
      <c r="M2917">
        <f>VLOOKUP(H2917,'Stage Order'!$A$2:$B$8,2,FALSE)</f>
        <v>5</v>
      </c>
      <c r="N2917" t="str">
        <f t="shared" si="90"/>
        <v>2. 1-24 hours</v>
      </c>
      <c r="O2917" t="str">
        <f t="shared" si="91"/>
        <v>2025-07</v>
      </c>
    </row>
    <row r="2918" spans="1:15" x14ac:dyDescent="0.3">
      <c r="A2918" t="s">
        <v>6890</v>
      </c>
      <c r="B2918" t="s">
        <v>6891</v>
      </c>
      <c r="C2918" t="s">
        <v>53</v>
      </c>
      <c r="D2918" t="s">
        <v>29</v>
      </c>
      <c r="E2918" t="s">
        <v>59</v>
      </c>
      <c r="F2918" t="s">
        <v>60</v>
      </c>
      <c r="G2918">
        <v>2.64</v>
      </c>
      <c r="H2918" t="s">
        <v>32</v>
      </c>
      <c r="I2918" t="s">
        <v>33</v>
      </c>
      <c r="K2918">
        <v>697.11</v>
      </c>
      <c r="L2918" t="s">
        <v>6892</v>
      </c>
      <c r="M2918">
        <f>VLOOKUP(H2918,'Stage Order'!$A$2:$B$8,2,FALSE)</f>
        <v>7</v>
      </c>
      <c r="N2918" t="str">
        <f t="shared" si="90"/>
        <v>2. 1-24 hours</v>
      </c>
      <c r="O2918" t="str">
        <f t="shared" si="91"/>
        <v>2025-07</v>
      </c>
    </row>
    <row r="2919" spans="1:15" x14ac:dyDescent="0.3">
      <c r="A2919" t="s">
        <v>6893</v>
      </c>
      <c r="B2919" t="s">
        <v>6894</v>
      </c>
      <c r="C2919" t="s">
        <v>58</v>
      </c>
      <c r="D2919" t="s">
        <v>77</v>
      </c>
      <c r="E2919" t="s">
        <v>45</v>
      </c>
      <c r="F2919" t="s">
        <v>46</v>
      </c>
      <c r="G2919">
        <v>5.89</v>
      </c>
      <c r="H2919" t="s">
        <v>41</v>
      </c>
      <c r="I2919" t="s">
        <v>42</v>
      </c>
      <c r="M2919">
        <f>VLOOKUP(H2919,'Stage Order'!$A$2:$B$8,2,FALSE)</f>
        <v>2</v>
      </c>
      <c r="N2919" t="str">
        <f t="shared" si="90"/>
        <v>2. 1-24 hours</v>
      </c>
      <c r="O2919" t="str">
        <f t="shared" si="91"/>
        <v>2025-06</v>
      </c>
    </row>
    <row r="2920" spans="1:15" x14ac:dyDescent="0.3">
      <c r="A2920" t="s">
        <v>6895</v>
      </c>
      <c r="B2920" t="s">
        <v>6896</v>
      </c>
      <c r="C2920" t="s">
        <v>58</v>
      </c>
      <c r="D2920" t="s">
        <v>77</v>
      </c>
      <c r="E2920" t="s">
        <v>30</v>
      </c>
      <c r="F2920" t="s">
        <v>31</v>
      </c>
      <c r="G2920">
        <v>2.61</v>
      </c>
      <c r="H2920" t="s">
        <v>47</v>
      </c>
      <c r="I2920" t="s">
        <v>48</v>
      </c>
      <c r="J2920" t="s">
        <v>139</v>
      </c>
      <c r="K2920">
        <v>943.94</v>
      </c>
      <c r="L2920" t="s">
        <v>6897</v>
      </c>
      <c r="M2920">
        <f>VLOOKUP(H2920,'Stage Order'!$A$2:$B$8,2,FALSE)</f>
        <v>4</v>
      </c>
      <c r="N2920" t="str">
        <f t="shared" si="90"/>
        <v>2. 1-24 hours</v>
      </c>
      <c r="O2920" t="str">
        <f t="shared" si="91"/>
        <v>2025-12</v>
      </c>
    </row>
    <row r="2921" spans="1:15" x14ac:dyDescent="0.3">
      <c r="A2921" t="s">
        <v>6898</v>
      </c>
      <c r="B2921" t="s">
        <v>6899</v>
      </c>
      <c r="C2921" t="s">
        <v>28</v>
      </c>
      <c r="D2921" t="s">
        <v>29</v>
      </c>
      <c r="E2921" t="s">
        <v>90</v>
      </c>
      <c r="F2921" t="s">
        <v>145</v>
      </c>
      <c r="G2921">
        <v>13.91</v>
      </c>
      <c r="H2921" t="s">
        <v>47</v>
      </c>
      <c r="I2921" t="s">
        <v>48</v>
      </c>
      <c r="J2921" t="s">
        <v>139</v>
      </c>
      <c r="K2921">
        <v>555.52</v>
      </c>
      <c r="L2921" t="s">
        <v>6900</v>
      </c>
      <c r="M2921">
        <f>VLOOKUP(H2921,'Stage Order'!$A$2:$B$8,2,FALSE)</f>
        <v>4</v>
      </c>
      <c r="N2921" t="str">
        <f t="shared" si="90"/>
        <v>2. 1-24 hours</v>
      </c>
      <c r="O2921" t="str">
        <f t="shared" si="91"/>
        <v>2026-05</v>
      </c>
    </row>
    <row r="2922" spans="1:15" x14ac:dyDescent="0.3">
      <c r="A2922" t="s">
        <v>6901</v>
      </c>
      <c r="B2922" t="s">
        <v>6902</v>
      </c>
      <c r="C2922" t="s">
        <v>53</v>
      </c>
      <c r="D2922" t="s">
        <v>29</v>
      </c>
      <c r="E2922" t="s">
        <v>45</v>
      </c>
      <c r="F2922" t="s">
        <v>55</v>
      </c>
      <c r="G2922">
        <v>4.72</v>
      </c>
      <c r="H2922" t="s">
        <v>138</v>
      </c>
      <c r="I2922" t="s">
        <v>48</v>
      </c>
      <c r="J2922" t="s">
        <v>742</v>
      </c>
      <c r="K2922">
        <v>700.8</v>
      </c>
      <c r="L2922" t="s">
        <v>6903</v>
      </c>
      <c r="M2922">
        <f>VLOOKUP(H2922,'Stage Order'!$A$2:$B$8,2,FALSE)</f>
        <v>6</v>
      </c>
      <c r="N2922" t="str">
        <f t="shared" si="90"/>
        <v>2. 1-24 hours</v>
      </c>
      <c r="O2922" t="str">
        <f t="shared" si="91"/>
        <v>2026-01</v>
      </c>
    </row>
    <row r="2923" spans="1:15" x14ac:dyDescent="0.3">
      <c r="A2923" t="s">
        <v>6904</v>
      </c>
      <c r="B2923" t="s">
        <v>6905</v>
      </c>
      <c r="C2923" t="s">
        <v>81</v>
      </c>
      <c r="D2923" t="s">
        <v>54</v>
      </c>
      <c r="E2923" t="s">
        <v>90</v>
      </c>
      <c r="F2923" t="s">
        <v>145</v>
      </c>
      <c r="G2923">
        <v>12.21</v>
      </c>
      <c r="H2923" t="s">
        <v>41</v>
      </c>
      <c r="I2923" t="s">
        <v>42</v>
      </c>
      <c r="M2923">
        <f>VLOOKUP(H2923,'Stage Order'!$A$2:$B$8,2,FALSE)</f>
        <v>2</v>
      </c>
      <c r="N2923" t="str">
        <f t="shared" si="90"/>
        <v>2. 1-24 hours</v>
      </c>
      <c r="O2923" t="str">
        <f t="shared" si="91"/>
        <v>2025-02</v>
      </c>
    </row>
    <row r="2924" spans="1:15" x14ac:dyDescent="0.3">
      <c r="A2924" t="s">
        <v>6906</v>
      </c>
      <c r="B2924" t="s">
        <v>6907</v>
      </c>
      <c r="C2924" t="s">
        <v>125</v>
      </c>
      <c r="D2924" t="s">
        <v>38</v>
      </c>
      <c r="E2924" t="s">
        <v>39</v>
      </c>
      <c r="F2924" t="s">
        <v>106</v>
      </c>
      <c r="G2924">
        <v>7.23</v>
      </c>
      <c r="H2924" t="s">
        <v>146</v>
      </c>
      <c r="I2924" t="s">
        <v>48</v>
      </c>
      <c r="J2924" t="s">
        <v>49</v>
      </c>
      <c r="K2924">
        <v>421.71</v>
      </c>
      <c r="L2924" t="s">
        <v>6908</v>
      </c>
      <c r="M2924">
        <f>VLOOKUP(H2924,'Stage Order'!$A$2:$B$8,2,FALSE)</f>
        <v>5</v>
      </c>
      <c r="N2924" t="str">
        <f t="shared" si="90"/>
        <v>2. 1-24 hours</v>
      </c>
      <c r="O2924" t="str">
        <f t="shared" si="91"/>
        <v>2026-06</v>
      </c>
    </row>
    <row r="2925" spans="1:15" x14ac:dyDescent="0.3">
      <c r="A2925" t="s">
        <v>6909</v>
      </c>
      <c r="B2925" t="s">
        <v>6910</v>
      </c>
      <c r="C2925" t="s">
        <v>58</v>
      </c>
      <c r="D2925" t="s">
        <v>77</v>
      </c>
      <c r="E2925" t="s">
        <v>59</v>
      </c>
      <c r="F2925" t="s">
        <v>137</v>
      </c>
      <c r="G2925">
        <v>4.82</v>
      </c>
      <c r="H2925" t="s">
        <v>41</v>
      </c>
      <c r="I2925" t="s">
        <v>42</v>
      </c>
      <c r="M2925">
        <f>VLOOKUP(H2925,'Stage Order'!$A$2:$B$8,2,FALSE)</f>
        <v>2</v>
      </c>
      <c r="N2925" t="str">
        <f t="shared" si="90"/>
        <v>2. 1-24 hours</v>
      </c>
      <c r="O2925" t="str">
        <f t="shared" si="91"/>
        <v>2026-04</v>
      </c>
    </row>
    <row r="2926" spans="1:15" x14ac:dyDescent="0.3">
      <c r="A2926" t="s">
        <v>6911</v>
      </c>
      <c r="B2926" t="s">
        <v>6912</v>
      </c>
      <c r="C2926" t="s">
        <v>28</v>
      </c>
      <c r="D2926" t="s">
        <v>54</v>
      </c>
      <c r="E2926" t="s">
        <v>45</v>
      </c>
      <c r="F2926" t="s">
        <v>55</v>
      </c>
      <c r="G2926">
        <v>16.86</v>
      </c>
      <c r="H2926" t="s">
        <v>138</v>
      </c>
      <c r="I2926" t="s">
        <v>48</v>
      </c>
      <c r="J2926" t="s">
        <v>139</v>
      </c>
      <c r="K2926">
        <v>475.9</v>
      </c>
      <c r="L2926" t="s">
        <v>6913</v>
      </c>
      <c r="M2926">
        <f>VLOOKUP(H2926,'Stage Order'!$A$2:$B$8,2,FALSE)</f>
        <v>6</v>
      </c>
      <c r="N2926" t="str">
        <f t="shared" si="90"/>
        <v>2. 1-24 hours</v>
      </c>
      <c r="O2926" t="str">
        <f t="shared" si="91"/>
        <v>2025-03</v>
      </c>
    </row>
    <row r="2927" spans="1:15" x14ac:dyDescent="0.3">
      <c r="A2927" t="s">
        <v>6914</v>
      </c>
      <c r="B2927" t="s">
        <v>6915</v>
      </c>
      <c r="C2927" t="s">
        <v>58</v>
      </c>
      <c r="D2927" t="s">
        <v>54</v>
      </c>
      <c r="E2927" t="s">
        <v>90</v>
      </c>
      <c r="F2927" t="s">
        <v>91</v>
      </c>
      <c r="G2927">
        <v>1.59</v>
      </c>
      <c r="H2927" t="s">
        <v>61</v>
      </c>
      <c r="I2927" t="s">
        <v>42</v>
      </c>
      <c r="M2927">
        <f>VLOOKUP(H2927,'Stage Order'!$A$2:$B$8,2,FALSE)</f>
        <v>1</v>
      </c>
      <c r="N2927" t="str">
        <f t="shared" si="90"/>
        <v>2. 1-24 hours</v>
      </c>
      <c r="O2927" t="str">
        <f t="shared" si="91"/>
        <v>2025-03</v>
      </c>
    </row>
    <row r="2928" spans="1:15" x14ac:dyDescent="0.3">
      <c r="A2928" t="s">
        <v>6916</v>
      </c>
      <c r="B2928" t="s">
        <v>6917</v>
      </c>
      <c r="C2928" t="s">
        <v>58</v>
      </c>
      <c r="D2928" t="s">
        <v>38</v>
      </c>
      <c r="E2928" t="s">
        <v>45</v>
      </c>
      <c r="F2928" t="s">
        <v>46</v>
      </c>
      <c r="G2928">
        <v>2.86</v>
      </c>
      <c r="H2928" t="s">
        <v>41</v>
      </c>
      <c r="I2928" t="s">
        <v>42</v>
      </c>
      <c r="M2928">
        <f>VLOOKUP(H2928,'Stage Order'!$A$2:$B$8,2,FALSE)</f>
        <v>2</v>
      </c>
      <c r="N2928" t="str">
        <f t="shared" si="90"/>
        <v>2. 1-24 hours</v>
      </c>
      <c r="O2928" t="str">
        <f t="shared" si="91"/>
        <v>2025-02</v>
      </c>
    </row>
    <row r="2929" spans="1:15" x14ac:dyDescent="0.3">
      <c r="A2929" t="s">
        <v>6918</v>
      </c>
      <c r="B2929" t="s">
        <v>6919</v>
      </c>
      <c r="C2929" t="s">
        <v>37</v>
      </c>
      <c r="D2929" t="s">
        <v>77</v>
      </c>
      <c r="E2929" t="s">
        <v>45</v>
      </c>
      <c r="F2929" t="s">
        <v>46</v>
      </c>
      <c r="G2929">
        <v>1.2</v>
      </c>
      <c r="H2929" t="s">
        <v>41</v>
      </c>
      <c r="I2929" t="s">
        <v>42</v>
      </c>
      <c r="M2929">
        <f>VLOOKUP(H2929,'Stage Order'!$A$2:$B$8,2,FALSE)</f>
        <v>2</v>
      </c>
      <c r="N2929" t="str">
        <f t="shared" si="90"/>
        <v>2. 1-24 hours</v>
      </c>
      <c r="O2929" t="str">
        <f t="shared" si="91"/>
        <v>2025-02</v>
      </c>
    </row>
    <row r="2930" spans="1:15" x14ac:dyDescent="0.3">
      <c r="A2930" t="s">
        <v>6920</v>
      </c>
      <c r="B2930" t="s">
        <v>6921</v>
      </c>
      <c r="C2930" t="s">
        <v>53</v>
      </c>
      <c r="D2930" t="s">
        <v>77</v>
      </c>
      <c r="E2930" t="s">
        <v>90</v>
      </c>
      <c r="F2930" t="s">
        <v>112</v>
      </c>
      <c r="G2930">
        <v>12.72</v>
      </c>
      <c r="H2930" t="s">
        <v>41</v>
      </c>
      <c r="I2930" t="s">
        <v>42</v>
      </c>
      <c r="M2930">
        <f>VLOOKUP(H2930,'Stage Order'!$A$2:$B$8,2,FALSE)</f>
        <v>2</v>
      </c>
      <c r="N2930" t="str">
        <f t="shared" si="90"/>
        <v>2. 1-24 hours</v>
      </c>
      <c r="O2930" t="str">
        <f t="shared" si="91"/>
        <v>2026-06</v>
      </c>
    </row>
    <row r="2931" spans="1:15" x14ac:dyDescent="0.3">
      <c r="A2931" t="s">
        <v>6922</v>
      </c>
      <c r="B2931" t="s">
        <v>6923</v>
      </c>
      <c r="C2931" t="s">
        <v>81</v>
      </c>
      <c r="D2931" t="s">
        <v>77</v>
      </c>
      <c r="E2931" t="s">
        <v>30</v>
      </c>
      <c r="F2931" t="s">
        <v>82</v>
      </c>
      <c r="G2931">
        <v>5.81</v>
      </c>
      <c r="H2931" t="s">
        <v>61</v>
      </c>
      <c r="I2931" t="s">
        <v>42</v>
      </c>
      <c r="M2931">
        <f>VLOOKUP(H2931,'Stage Order'!$A$2:$B$8,2,FALSE)</f>
        <v>1</v>
      </c>
      <c r="N2931" t="str">
        <f t="shared" si="90"/>
        <v>2. 1-24 hours</v>
      </c>
      <c r="O2931" t="str">
        <f t="shared" si="91"/>
        <v>2026-05</v>
      </c>
    </row>
    <row r="2932" spans="1:15" x14ac:dyDescent="0.3">
      <c r="A2932" t="s">
        <v>6924</v>
      </c>
      <c r="B2932" t="s">
        <v>6925</v>
      </c>
      <c r="C2932" t="s">
        <v>125</v>
      </c>
      <c r="D2932" t="s">
        <v>77</v>
      </c>
      <c r="E2932" t="s">
        <v>45</v>
      </c>
      <c r="F2932" t="s">
        <v>46</v>
      </c>
      <c r="G2932">
        <v>0.49</v>
      </c>
      <c r="H2932" t="s">
        <v>32</v>
      </c>
      <c r="I2932" t="s">
        <v>33</v>
      </c>
      <c r="K2932">
        <v>1081.55</v>
      </c>
      <c r="L2932" t="s">
        <v>6926</v>
      </c>
      <c r="M2932">
        <f>VLOOKUP(H2932,'Stage Order'!$A$2:$B$8,2,FALSE)</f>
        <v>7</v>
      </c>
      <c r="N2932" t="str">
        <f t="shared" si="90"/>
        <v>1. Under 1 hour</v>
      </c>
      <c r="O2932" t="str">
        <f t="shared" si="91"/>
        <v>2025-11</v>
      </c>
    </row>
    <row r="2933" spans="1:15" x14ac:dyDescent="0.3">
      <c r="A2933" t="s">
        <v>6927</v>
      </c>
      <c r="B2933" t="s">
        <v>6928</v>
      </c>
      <c r="C2933" t="s">
        <v>53</v>
      </c>
      <c r="D2933" t="s">
        <v>29</v>
      </c>
      <c r="E2933" t="s">
        <v>39</v>
      </c>
      <c r="F2933" t="s">
        <v>106</v>
      </c>
      <c r="G2933">
        <v>0.92</v>
      </c>
      <c r="H2933" t="s">
        <v>32</v>
      </c>
      <c r="I2933" t="s">
        <v>33</v>
      </c>
      <c r="K2933">
        <v>649.84</v>
      </c>
      <c r="L2933" t="s">
        <v>6929</v>
      </c>
      <c r="M2933">
        <f>VLOOKUP(H2933,'Stage Order'!$A$2:$B$8,2,FALSE)</f>
        <v>7</v>
      </c>
      <c r="N2933" t="str">
        <f t="shared" si="90"/>
        <v>1. Under 1 hour</v>
      </c>
      <c r="O2933" t="str">
        <f t="shared" si="91"/>
        <v>2026-06</v>
      </c>
    </row>
    <row r="2934" spans="1:15" x14ac:dyDescent="0.3">
      <c r="A2934" t="s">
        <v>6930</v>
      </c>
      <c r="B2934" t="s">
        <v>6931</v>
      </c>
      <c r="C2934" t="s">
        <v>28</v>
      </c>
      <c r="D2934" t="s">
        <v>38</v>
      </c>
      <c r="E2934" t="s">
        <v>39</v>
      </c>
      <c r="F2934" t="s">
        <v>66</v>
      </c>
      <c r="G2934">
        <v>1.28</v>
      </c>
      <c r="H2934" t="s">
        <v>61</v>
      </c>
      <c r="I2934" t="s">
        <v>42</v>
      </c>
      <c r="M2934">
        <f>VLOOKUP(H2934,'Stage Order'!$A$2:$B$8,2,FALSE)</f>
        <v>1</v>
      </c>
      <c r="N2934" t="str">
        <f t="shared" si="90"/>
        <v>2. 1-24 hours</v>
      </c>
      <c r="O2934" t="str">
        <f t="shared" si="91"/>
        <v>2025-10</v>
      </c>
    </row>
    <row r="2935" spans="1:15" x14ac:dyDescent="0.3">
      <c r="A2935" t="s">
        <v>6932</v>
      </c>
      <c r="B2935" t="s">
        <v>6933</v>
      </c>
      <c r="C2935" t="s">
        <v>28</v>
      </c>
      <c r="D2935" t="s">
        <v>77</v>
      </c>
      <c r="E2935" t="s">
        <v>39</v>
      </c>
      <c r="F2935" t="s">
        <v>106</v>
      </c>
      <c r="G2935">
        <v>1.18</v>
      </c>
      <c r="H2935" t="s">
        <v>128</v>
      </c>
      <c r="I2935" t="s">
        <v>42</v>
      </c>
      <c r="M2935">
        <f>VLOOKUP(H2935,'Stage Order'!$A$2:$B$8,2,FALSE)</f>
        <v>3</v>
      </c>
      <c r="N2935" t="str">
        <f t="shared" si="90"/>
        <v>2. 1-24 hours</v>
      </c>
      <c r="O2935" t="str">
        <f t="shared" si="91"/>
        <v>2026-01</v>
      </c>
    </row>
    <row r="2936" spans="1:15" x14ac:dyDescent="0.3">
      <c r="A2936" t="s">
        <v>6934</v>
      </c>
      <c r="B2936" t="s">
        <v>6935</v>
      </c>
      <c r="C2936" t="s">
        <v>37</v>
      </c>
      <c r="D2936" t="s">
        <v>77</v>
      </c>
      <c r="E2936" t="s">
        <v>39</v>
      </c>
      <c r="F2936" t="s">
        <v>106</v>
      </c>
      <c r="G2936">
        <v>0.82</v>
      </c>
      <c r="H2936" t="s">
        <v>47</v>
      </c>
      <c r="I2936" t="s">
        <v>48</v>
      </c>
      <c r="J2936" t="s">
        <v>139</v>
      </c>
      <c r="K2936">
        <v>1153.21</v>
      </c>
      <c r="L2936" t="s">
        <v>6936</v>
      </c>
      <c r="M2936">
        <f>VLOOKUP(H2936,'Stage Order'!$A$2:$B$8,2,FALSE)</f>
        <v>4</v>
      </c>
      <c r="N2936" t="str">
        <f t="shared" si="90"/>
        <v>1. Under 1 hour</v>
      </c>
      <c r="O2936" t="str">
        <f t="shared" si="91"/>
        <v>2025-05</v>
      </c>
    </row>
    <row r="2937" spans="1:15" x14ac:dyDescent="0.3">
      <c r="A2937" t="s">
        <v>6937</v>
      </c>
      <c r="B2937" t="s">
        <v>6938</v>
      </c>
      <c r="C2937" t="s">
        <v>28</v>
      </c>
      <c r="D2937" t="s">
        <v>54</v>
      </c>
      <c r="E2937" t="s">
        <v>59</v>
      </c>
      <c r="F2937" t="s">
        <v>60</v>
      </c>
      <c r="G2937">
        <v>4.76</v>
      </c>
      <c r="H2937" t="s">
        <v>138</v>
      </c>
      <c r="I2937" t="s">
        <v>48</v>
      </c>
      <c r="J2937" t="s">
        <v>49</v>
      </c>
      <c r="K2937">
        <v>423.65</v>
      </c>
      <c r="L2937" t="s">
        <v>6939</v>
      </c>
      <c r="M2937">
        <f>VLOOKUP(H2937,'Stage Order'!$A$2:$B$8,2,FALSE)</f>
        <v>6</v>
      </c>
      <c r="N2937" t="str">
        <f t="shared" si="90"/>
        <v>2. 1-24 hours</v>
      </c>
      <c r="O2937" t="str">
        <f t="shared" si="91"/>
        <v>2025-02</v>
      </c>
    </row>
    <row r="2938" spans="1:15" x14ac:dyDescent="0.3">
      <c r="A2938" t="s">
        <v>6940</v>
      </c>
      <c r="B2938" t="s">
        <v>6941</v>
      </c>
      <c r="C2938" t="s">
        <v>28</v>
      </c>
      <c r="D2938" t="s">
        <v>38</v>
      </c>
      <c r="E2938" t="s">
        <v>45</v>
      </c>
      <c r="F2938" t="s">
        <v>94</v>
      </c>
      <c r="G2938">
        <v>1.42</v>
      </c>
      <c r="H2938" t="s">
        <v>41</v>
      </c>
      <c r="I2938" t="s">
        <v>42</v>
      </c>
      <c r="M2938">
        <f>VLOOKUP(H2938,'Stage Order'!$A$2:$B$8,2,FALSE)</f>
        <v>2</v>
      </c>
      <c r="N2938" t="str">
        <f t="shared" si="90"/>
        <v>2. 1-24 hours</v>
      </c>
      <c r="O2938" t="str">
        <f t="shared" si="91"/>
        <v>2025-06</v>
      </c>
    </row>
    <row r="2939" spans="1:15" x14ac:dyDescent="0.3">
      <c r="A2939" t="s">
        <v>6942</v>
      </c>
      <c r="B2939" t="s">
        <v>6943</v>
      </c>
      <c r="C2939" t="s">
        <v>37</v>
      </c>
      <c r="D2939" t="s">
        <v>77</v>
      </c>
      <c r="E2939" t="s">
        <v>39</v>
      </c>
      <c r="F2939" t="s">
        <v>40</v>
      </c>
      <c r="G2939">
        <v>3.42</v>
      </c>
      <c r="H2939" t="s">
        <v>138</v>
      </c>
      <c r="I2939" t="s">
        <v>48</v>
      </c>
      <c r="J2939" t="s">
        <v>49</v>
      </c>
      <c r="K2939">
        <v>905.26</v>
      </c>
      <c r="L2939" t="s">
        <v>6944</v>
      </c>
      <c r="M2939">
        <f>VLOOKUP(H2939,'Stage Order'!$A$2:$B$8,2,FALSE)</f>
        <v>6</v>
      </c>
      <c r="N2939" t="str">
        <f t="shared" si="90"/>
        <v>2. 1-24 hours</v>
      </c>
      <c r="O2939" t="str">
        <f t="shared" si="91"/>
        <v>2025-04</v>
      </c>
    </row>
    <row r="2940" spans="1:15" x14ac:dyDescent="0.3">
      <c r="A2940" t="s">
        <v>6945</v>
      </c>
      <c r="B2940" t="s">
        <v>6946</v>
      </c>
      <c r="C2940" t="s">
        <v>76</v>
      </c>
      <c r="D2940" t="s">
        <v>29</v>
      </c>
      <c r="E2940" t="s">
        <v>90</v>
      </c>
      <c r="F2940" t="s">
        <v>145</v>
      </c>
      <c r="G2940">
        <v>0.65</v>
      </c>
      <c r="H2940" t="s">
        <v>41</v>
      </c>
      <c r="I2940" t="s">
        <v>42</v>
      </c>
      <c r="M2940">
        <f>VLOOKUP(H2940,'Stage Order'!$A$2:$B$8,2,FALSE)</f>
        <v>2</v>
      </c>
      <c r="N2940" t="str">
        <f t="shared" si="90"/>
        <v>1. Under 1 hour</v>
      </c>
      <c r="O2940" t="str">
        <f t="shared" si="91"/>
        <v>2025-08</v>
      </c>
    </row>
    <row r="2941" spans="1:15" x14ac:dyDescent="0.3">
      <c r="A2941" t="s">
        <v>6947</v>
      </c>
      <c r="B2941" t="s">
        <v>6948</v>
      </c>
      <c r="C2941" t="s">
        <v>76</v>
      </c>
      <c r="D2941" t="s">
        <v>29</v>
      </c>
      <c r="E2941" t="s">
        <v>39</v>
      </c>
      <c r="F2941" t="s">
        <v>66</v>
      </c>
      <c r="G2941">
        <v>8.5500000000000007</v>
      </c>
      <c r="H2941" t="s">
        <v>41</v>
      </c>
      <c r="I2941" t="s">
        <v>42</v>
      </c>
      <c r="M2941">
        <f>VLOOKUP(H2941,'Stage Order'!$A$2:$B$8,2,FALSE)</f>
        <v>2</v>
      </c>
      <c r="N2941" t="str">
        <f t="shared" si="90"/>
        <v>2. 1-24 hours</v>
      </c>
      <c r="O2941" t="str">
        <f t="shared" si="91"/>
        <v>2026-06</v>
      </c>
    </row>
    <row r="2942" spans="1:15" x14ac:dyDescent="0.3">
      <c r="A2942" t="s">
        <v>6949</v>
      </c>
      <c r="B2942" t="s">
        <v>6950</v>
      </c>
      <c r="C2942" t="s">
        <v>53</v>
      </c>
      <c r="D2942" t="s">
        <v>54</v>
      </c>
      <c r="E2942" t="s">
        <v>90</v>
      </c>
      <c r="F2942" t="s">
        <v>91</v>
      </c>
      <c r="G2942">
        <v>2.48</v>
      </c>
      <c r="H2942" t="s">
        <v>47</v>
      </c>
      <c r="I2942" t="s">
        <v>48</v>
      </c>
      <c r="J2942" t="s">
        <v>98</v>
      </c>
      <c r="K2942">
        <v>574.87</v>
      </c>
      <c r="L2942" t="s">
        <v>6951</v>
      </c>
      <c r="M2942">
        <f>VLOOKUP(H2942,'Stage Order'!$A$2:$B$8,2,FALSE)</f>
        <v>4</v>
      </c>
      <c r="N2942" t="str">
        <f t="shared" si="90"/>
        <v>2. 1-24 hours</v>
      </c>
      <c r="O2942" t="str">
        <f t="shared" si="91"/>
        <v>2025-06</v>
      </c>
    </row>
    <row r="2943" spans="1:15" x14ac:dyDescent="0.3">
      <c r="A2943" t="s">
        <v>6952</v>
      </c>
      <c r="B2943" t="s">
        <v>6953</v>
      </c>
      <c r="C2943" t="s">
        <v>53</v>
      </c>
      <c r="D2943" t="s">
        <v>77</v>
      </c>
      <c r="E2943" t="s">
        <v>39</v>
      </c>
      <c r="F2943" t="s">
        <v>106</v>
      </c>
      <c r="G2943">
        <v>1.61</v>
      </c>
      <c r="H2943" t="s">
        <v>32</v>
      </c>
      <c r="I2943" t="s">
        <v>33</v>
      </c>
      <c r="K2943">
        <v>939.84</v>
      </c>
      <c r="L2943" t="s">
        <v>6954</v>
      </c>
      <c r="M2943">
        <f>VLOOKUP(H2943,'Stage Order'!$A$2:$B$8,2,FALSE)</f>
        <v>7</v>
      </c>
      <c r="N2943" t="str">
        <f t="shared" si="90"/>
        <v>2. 1-24 hours</v>
      </c>
      <c r="O2943" t="str">
        <f t="shared" si="91"/>
        <v>2025-06</v>
      </c>
    </row>
    <row r="2944" spans="1:15" x14ac:dyDescent="0.3">
      <c r="A2944" t="s">
        <v>6955</v>
      </c>
      <c r="B2944" t="s">
        <v>6956</v>
      </c>
      <c r="C2944" t="s">
        <v>58</v>
      </c>
      <c r="D2944" t="s">
        <v>29</v>
      </c>
      <c r="E2944" t="s">
        <v>30</v>
      </c>
      <c r="F2944" t="s">
        <v>78</v>
      </c>
      <c r="G2944">
        <v>5.62</v>
      </c>
      <c r="H2944" t="s">
        <v>47</v>
      </c>
      <c r="I2944" t="s">
        <v>48</v>
      </c>
      <c r="J2944" t="s">
        <v>139</v>
      </c>
      <c r="K2944">
        <v>693.94</v>
      </c>
      <c r="L2944" t="s">
        <v>6957</v>
      </c>
      <c r="M2944">
        <f>VLOOKUP(H2944,'Stage Order'!$A$2:$B$8,2,FALSE)</f>
        <v>4</v>
      </c>
      <c r="N2944" t="str">
        <f t="shared" si="90"/>
        <v>2. 1-24 hours</v>
      </c>
      <c r="O2944" t="str">
        <f t="shared" si="91"/>
        <v>2026-05</v>
      </c>
    </row>
    <row r="2945" spans="1:15" x14ac:dyDescent="0.3">
      <c r="A2945" t="s">
        <v>6958</v>
      </c>
      <c r="B2945" t="s">
        <v>6959</v>
      </c>
      <c r="C2945" t="s">
        <v>37</v>
      </c>
      <c r="D2945" t="s">
        <v>29</v>
      </c>
      <c r="E2945" t="s">
        <v>45</v>
      </c>
      <c r="F2945" t="s">
        <v>46</v>
      </c>
      <c r="G2945">
        <v>8.5399999999999991</v>
      </c>
      <c r="H2945" t="s">
        <v>138</v>
      </c>
      <c r="I2945" t="s">
        <v>48</v>
      </c>
      <c r="J2945" t="s">
        <v>139</v>
      </c>
      <c r="K2945">
        <v>675.04</v>
      </c>
      <c r="L2945" t="s">
        <v>6960</v>
      </c>
      <c r="M2945">
        <f>VLOOKUP(H2945,'Stage Order'!$A$2:$B$8,2,FALSE)</f>
        <v>6</v>
      </c>
      <c r="N2945" t="str">
        <f t="shared" si="90"/>
        <v>2. 1-24 hours</v>
      </c>
      <c r="O2945" t="str">
        <f t="shared" si="91"/>
        <v>2025-09</v>
      </c>
    </row>
    <row r="2946" spans="1:15" x14ac:dyDescent="0.3">
      <c r="A2946" t="s">
        <v>6961</v>
      </c>
      <c r="B2946" t="s">
        <v>6962</v>
      </c>
      <c r="C2946" t="s">
        <v>37</v>
      </c>
      <c r="D2946" t="s">
        <v>29</v>
      </c>
      <c r="E2946" t="s">
        <v>30</v>
      </c>
      <c r="F2946" t="s">
        <v>31</v>
      </c>
      <c r="G2946">
        <v>7.46</v>
      </c>
      <c r="H2946" t="s">
        <v>47</v>
      </c>
      <c r="I2946" t="s">
        <v>48</v>
      </c>
      <c r="J2946" t="s">
        <v>113</v>
      </c>
      <c r="K2946">
        <v>583.58000000000004</v>
      </c>
      <c r="L2946" t="s">
        <v>6963</v>
      </c>
      <c r="M2946">
        <f>VLOOKUP(H2946,'Stage Order'!$A$2:$B$8,2,FALSE)</f>
        <v>4</v>
      </c>
      <c r="N2946" t="str">
        <f t="shared" ref="N2946:N3009" si="92">IF(G2946&lt;=1,"1. Under 1 hour",IF(G2946&lt;=24,"2. 1-24 hours",IF(G2946&lt;=72,"3. 1-3 days","4. Over 3 days")))</f>
        <v>2. 1-24 hours</v>
      </c>
      <c r="O2946" t="str">
        <f t="shared" ref="O2946:O3009" si="93">TEXT(B2946,"YYYY-MM")</f>
        <v>2025-09</v>
      </c>
    </row>
    <row r="2947" spans="1:15" x14ac:dyDescent="0.3">
      <c r="A2947" t="s">
        <v>6964</v>
      </c>
      <c r="B2947" t="s">
        <v>6965</v>
      </c>
      <c r="C2947" t="s">
        <v>53</v>
      </c>
      <c r="D2947" t="s">
        <v>38</v>
      </c>
      <c r="E2947" t="s">
        <v>39</v>
      </c>
      <c r="F2947" t="s">
        <v>40</v>
      </c>
      <c r="G2947">
        <v>3.35</v>
      </c>
      <c r="H2947" t="s">
        <v>32</v>
      </c>
      <c r="I2947" t="s">
        <v>33</v>
      </c>
      <c r="K2947">
        <v>310.05</v>
      </c>
      <c r="L2947" t="s">
        <v>6966</v>
      </c>
      <c r="M2947">
        <f>VLOOKUP(H2947,'Stage Order'!$A$2:$B$8,2,FALSE)</f>
        <v>7</v>
      </c>
      <c r="N2947" t="str">
        <f t="shared" si="92"/>
        <v>2. 1-24 hours</v>
      </c>
      <c r="O2947" t="str">
        <f t="shared" si="93"/>
        <v>2025-08</v>
      </c>
    </row>
    <row r="2948" spans="1:15" x14ac:dyDescent="0.3">
      <c r="A2948" t="s">
        <v>6967</v>
      </c>
      <c r="B2948" t="s">
        <v>6968</v>
      </c>
      <c r="C2948" t="s">
        <v>37</v>
      </c>
      <c r="D2948" t="s">
        <v>54</v>
      </c>
      <c r="E2948" t="s">
        <v>30</v>
      </c>
      <c r="F2948" t="s">
        <v>78</v>
      </c>
      <c r="G2948">
        <v>0.63</v>
      </c>
      <c r="H2948" t="s">
        <v>41</v>
      </c>
      <c r="I2948" t="s">
        <v>42</v>
      </c>
      <c r="M2948">
        <f>VLOOKUP(H2948,'Stage Order'!$A$2:$B$8,2,FALSE)</f>
        <v>2</v>
      </c>
      <c r="N2948" t="str">
        <f t="shared" si="92"/>
        <v>1. Under 1 hour</v>
      </c>
      <c r="O2948" t="str">
        <f t="shared" si="93"/>
        <v>2025-10</v>
      </c>
    </row>
    <row r="2949" spans="1:15" x14ac:dyDescent="0.3">
      <c r="A2949" t="s">
        <v>6969</v>
      </c>
      <c r="B2949" t="s">
        <v>6970</v>
      </c>
      <c r="C2949" t="s">
        <v>37</v>
      </c>
      <c r="D2949" t="s">
        <v>77</v>
      </c>
      <c r="E2949" t="s">
        <v>45</v>
      </c>
      <c r="F2949" t="s">
        <v>46</v>
      </c>
      <c r="G2949">
        <v>3.37</v>
      </c>
      <c r="H2949" t="s">
        <v>41</v>
      </c>
      <c r="I2949" t="s">
        <v>42</v>
      </c>
      <c r="M2949">
        <f>VLOOKUP(H2949,'Stage Order'!$A$2:$B$8,2,FALSE)</f>
        <v>2</v>
      </c>
      <c r="N2949" t="str">
        <f t="shared" si="92"/>
        <v>2. 1-24 hours</v>
      </c>
      <c r="O2949" t="str">
        <f t="shared" si="93"/>
        <v>2026-04</v>
      </c>
    </row>
    <row r="2950" spans="1:15" x14ac:dyDescent="0.3">
      <c r="A2950" t="s">
        <v>6971</v>
      </c>
      <c r="B2950" t="s">
        <v>6972</v>
      </c>
      <c r="C2950" t="s">
        <v>58</v>
      </c>
      <c r="D2950" t="s">
        <v>77</v>
      </c>
      <c r="E2950" t="s">
        <v>45</v>
      </c>
      <c r="F2950" t="s">
        <v>94</v>
      </c>
      <c r="G2950">
        <v>1.81</v>
      </c>
      <c r="H2950" t="s">
        <v>41</v>
      </c>
      <c r="I2950" t="s">
        <v>42</v>
      </c>
      <c r="M2950">
        <f>VLOOKUP(H2950,'Stage Order'!$A$2:$B$8,2,FALSE)</f>
        <v>2</v>
      </c>
      <c r="N2950" t="str">
        <f t="shared" si="92"/>
        <v>2. 1-24 hours</v>
      </c>
      <c r="O2950" t="str">
        <f t="shared" si="93"/>
        <v>2025-08</v>
      </c>
    </row>
    <row r="2951" spans="1:15" x14ac:dyDescent="0.3">
      <c r="A2951" t="s">
        <v>6973</v>
      </c>
      <c r="B2951" t="s">
        <v>6974</v>
      </c>
      <c r="C2951" t="s">
        <v>58</v>
      </c>
      <c r="D2951" t="s">
        <v>29</v>
      </c>
      <c r="E2951" t="s">
        <v>59</v>
      </c>
      <c r="F2951" t="s">
        <v>117</v>
      </c>
      <c r="G2951">
        <v>3.19</v>
      </c>
      <c r="H2951" t="s">
        <v>41</v>
      </c>
      <c r="I2951" t="s">
        <v>42</v>
      </c>
      <c r="M2951">
        <f>VLOOKUP(H2951,'Stage Order'!$A$2:$B$8,2,FALSE)</f>
        <v>2</v>
      </c>
      <c r="N2951" t="str">
        <f t="shared" si="92"/>
        <v>2. 1-24 hours</v>
      </c>
      <c r="O2951" t="str">
        <f t="shared" si="93"/>
        <v>2025-03</v>
      </c>
    </row>
    <row r="2952" spans="1:15" x14ac:dyDescent="0.3">
      <c r="A2952" t="s">
        <v>6975</v>
      </c>
      <c r="B2952" t="s">
        <v>6976</v>
      </c>
      <c r="C2952" t="s">
        <v>81</v>
      </c>
      <c r="D2952" t="s">
        <v>77</v>
      </c>
      <c r="E2952" t="s">
        <v>45</v>
      </c>
      <c r="F2952" t="s">
        <v>46</v>
      </c>
      <c r="G2952">
        <v>1.85</v>
      </c>
      <c r="H2952" t="s">
        <v>41</v>
      </c>
      <c r="I2952" t="s">
        <v>42</v>
      </c>
      <c r="M2952">
        <f>VLOOKUP(H2952,'Stage Order'!$A$2:$B$8,2,FALSE)</f>
        <v>2</v>
      </c>
      <c r="N2952" t="str">
        <f t="shared" si="92"/>
        <v>2. 1-24 hours</v>
      </c>
      <c r="O2952" t="str">
        <f t="shared" si="93"/>
        <v>2026-02</v>
      </c>
    </row>
    <row r="2953" spans="1:15" x14ac:dyDescent="0.3">
      <c r="A2953" t="s">
        <v>6977</v>
      </c>
      <c r="B2953" t="s">
        <v>6978</v>
      </c>
      <c r="C2953" t="s">
        <v>125</v>
      </c>
      <c r="D2953" t="s">
        <v>29</v>
      </c>
      <c r="E2953" t="s">
        <v>39</v>
      </c>
      <c r="F2953" t="s">
        <v>66</v>
      </c>
      <c r="G2953">
        <v>34.28</v>
      </c>
      <c r="H2953" t="s">
        <v>61</v>
      </c>
      <c r="I2953" t="s">
        <v>42</v>
      </c>
      <c r="M2953">
        <f>VLOOKUP(H2953,'Stage Order'!$A$2:$B$8,2,FALSE)</f>
        <v>1</v>
      </c>
      <c r="N2953" t="str">
        <f t="shared" si="92"/>
        <v>3. 1-3 days</v>
      </c>
      <c r="O2953" t="str">
        <f t="shared" si="93"/>
        <v>2026-03</v>
      </c>
    </row>
    <row r="2954" spans="1:15" x14ac:dyDescent="0.3">
      <c r="A2954" t="s">
        <v>6979</v>
      </c>
      <c r="B2954" t="s">
        <v>822</v>
      </c>
      <c r="C2954" t="s">
        <v>37</v>
      </c>
      <c r="D2954" t="s">
        <v>29</v>
      </c>
      <c r="E2954" t="s">
        <v>45</v>
      </c>
      <c r="F2954" t="s">
        <v>94</v>
      </c>
      <c r="G2954">
        <v>3.84</v>
      </c>
      <c r="H2954" t="s">
        <v>47</v>
      </c>
      <c r="I2954" t="s">
        <v>48</v>
      </c>
      <c r="J2954" t="s">
        <v>139</v>
      </c>
      <c r="K2954">
        <v>753.09</v>
      </c>
      <c r="L2954" t="s">
        <v>6980</v>
      </c>
      <c r="M2954">
        <f>VLOOKUP(H2954,'Stage Order'!$A$2:$B$8,2,FALSE)</f>
        <v>4</v>
      </c>
      <c r="N2954" t="str">
        <f t="shared" si="92"/>
        <v>2. 1-24 hours</v>
      </c>
      <c r="O2954" t="str">
        <f t="shared" si="93"/>
        <v>2025-11</v>
      </c>
    </row>
    <row r="2955" spans="1:15" x14ac:dyDescent="0.3">
      <c r="A2955" t="s">
        <v>6981</v>
      </c>
      <c r="B2955" t="s">
        <v>6982</v>
      </c>
      <c r="C2955" t="s">
        <v>81</v>
      </c>
      <c r="D2955" t="s">
        <v>97</v>
      </c>
      <c r="E2955" t="s">
        <v>45</v>
      </c>
      <c r="F2955" t="s">
        <v>46</v>
      </c>
      <c r="G2955">
        <v>6.84</v>
      </c>
      <c r="H2955" t="s">
        <v>61</v>
      </c>
      <c r="I2955" t="s">
        <v>42</v>
      </c>
      <c r="M2955">
        <f>VLOOKUP(H2955,'Stage Order'!$A$2:$B$8,2,FALSE)</f>
        <v>1</v>
      </c>
      <c r="N2955" t="str">
        <f t="shared" si="92"/>
        <v>2. 1-24 hours</v>
      </c>
      <c r="O2955" t="str">
        <f t="shared" si="93"/>
        <v>2026-06</v>
      </c>
    </row>
    <row r="2956" spans="1:15" x14ac:dyDescent="0.3">
      <c r="A2956" t="s">
        <v>6983</v>
      </c>
      <c r="B2956" t="s">
        <v>6984</v>
      </c>
      <c r="C2956" t="s">
        <v>37</v>
      </c>
      <c r="D2956" t="s">
        <v>77</v>
      </c>
      <c r="E2956" t="s">
        <v>45</v>
      </c>
      <c r="F2956" t="s">
        <v>94</v>
      </c>
      <c r="G2956">
        <v>2.27</v>
      </c>
      <c r="H2956" t="s">
        <v>146</v>
      </c>
      <c r="I2956" t="s">
        <v>48</v>
      </c>
      <c r="J2956" t="s">
        <v>113</v>
      </c>
      <c r="K2956">
        <v>1124.97</v>
      </c>
      <c r="L2956" t="s">
        <v>6985</v>
      </c>
      <c r="M2956">
        <f>VLOOKUP(H2956,'Stage Order'!$A$2:$B$8,2,FALSE)</f>
        <v>5</v>
      </c>
      <c r="N2956" t="str">
        <f t="shared" si="92"/>
        <v>2. 1-24 hours</v>
      </c>
      <c r="O2956" t="str">
        <f t="shared" si="93"/>
        <v>2025-05</v>
      </c>
    </row>
    <row r="2957" spans="1:15" x14ac:dyDescent="0.3">
      <c r="A2957" t="s">
        <v>6986</v>
      </c>
      <c r="B2957" t="s">
        <v>6987</v>
      </c>
      <c r="C2957" t="s">
        <v>125</v>
      </c>
      <c r="D2957" t="s">
        <v>38</v>
      </c>
      <c r="E2957" t="s">
        <v>39</v>
      </c>
      <c r="F2957" t="s">
        <v>106</v>
      </c>
      <c r="G2957">
        <v>3.55</v>
      </c>
      <c r="H2957" t="s">
        <v>61</v>
      </c>
      <c r="I2957" t="s">
        <v>42</v>
      </c>
      <c r="M2957">
        <f>VLOOKUP(H2957,'Stage Order'!$A$2:$B$8,2,FALSE)</f>
        <v>1</v>
      </c>
      <c r="N2957" t="str">
        <f t="shared" si="92"/>
        <v>2. 1-24 hours</v>
      </c>
      <c r="O2957" t="str">
        <f t="shared" si="93"/>
        <v>2026-06</v>
      </c>
    </row>
    <row r="2958" spans="1:15" x14ac:dyDescent="0.3">
      <c r="A2958" t="s">
        <v>6988</v>
      </c>
      <c r="B2958" t="s">
        <v>6989</v>
      </c>
      <c r="C2958" t="s">
        <v>37</v>
      </c>
      <c r="D2958" t="s">
        <v>38</v>
      </c>
      <c r="E2958" t="s">
        <v>45</v>
      </c>
      <c r="F2958" t="s">
        <v>55</v>
      </c>
      <c r="G2958">
        <v>1.24</v>
      </c>
      <c r="H2958" t="s">
        <v>32</v>
      </c>
      <c r="I2958" t="s">
        <v>33</v>
      </c>
      <c r="K2958">
        <v>416.41</v>
      </c>
      <c r="L2958" t="s">
        <v>6990</v>
      </c>
      <c r="M2958">
        <f>VLOOKUP(H2958,'Stage Order'!$A$2:$B$8,2,FALSE)</f>
        <v>7</v>
      </c>
      <c r="N2958" t="str">
        <f t="shared" si="92"/>
        <v>2. 1-24 hours</v>
      </c>
      <c r="O2958" t="str">
        <f t="shared" si="93"/>
        <v>2025-11</v>
      </c>
    </row>
    <row r="2959" spans="1:15" x14ac:dyDescent="0.3">
      <c r="A2959" t="s">
        <v>6991</v>
      </c>
      <c r="B2959" t="s">
        <v>6992</v>
      </c>
      <c r="C2959" t="s">
        <v>53</v>
      </c>
      <c r="D2959" t="s">
        <v>29</v>
      </c>
      <c r="E2959" t="s">
        <v>59</v>
      </c>
      <c r="F2959" t="s">
        <v>60</v>
      </c>
      <c r="G2959">
        <v>8.11</v>
      </c>
      <c r="H2959" t="s">
        <v>41</v>
      </c>
      <c r="I2959" t="s">
        <v>42</v>
      </c>
      <c r="M2959">
        <f>VLOOKUP(H2959,'Stage Order'!$A$2:$B$8,2,FALSE)</f>
        <v>2</v>
      </c>
      <c r="N2959" t="str">
        <f t="shared" si="92"/>
        <v>2. 1-24 hours</v>
      </c>
      <c r="O2959" t="str">
        <f t="shared" si="93"/>
        <v>2025-10</v>
      </c>
    </row>
    <row r="2960" spans="1:15" x14ac:dyDescent="0.3">
      <c r="A2960" t="s">
        <v>6993</v>
      </c>
      <c r="B2960" t="s">
        <v>6994</v>
      </c>
      <c r="C2960" t="s">
        <v>76</v>
      </c>
      <c r="D2960" t="s">
        <v>54</v>
      </c>
      <c r="E2960" t="s">
        <v>45</v>
      </c>
      <c r="F2960" t="s">
        <v>55</v>
      </c>
      <c r="G2960">
        <v>0.89</v>
      </c>
      <c r="H2960" t="s">
        <v>32</v>
      </c>
      <c r="I2960" t="s">
        <v>33</v>
      </c>
      <c r="K2960">
        <v>499.92</v>
      </c>
      <c r="L2960" t="s">
        <v>6995</v>
      </c>
      <c r="M2960">
        <f>VLOOKUP(H2960,'Stage Order'!$A$2:$B$8,2,FALSE)</f>
        <v>7</v>
      </c>
      <c r="N2960" t="str">
        <f t="shared" si="92"/>
        <v>1. Under 1 hour</v>
      </c>
      <c r="O2960" t="str">
        <f t="shared" si="93"/>
        <v>2026-06</v>
      </c>
    </row>
    <row r="2961" spans="1:15" x14ac:dyDescent="0.3">
      <c r="A2961" t="s">
        <v>6996</v>
      </c>
      <c r="B2961" t="s">
        <v>6997</v>
      </c>
      <c r="C2961" t="s">
        <v>76</v>
      </c>
      <c r="D2961" t="s">
        <v>38</v>
      </c>
      <c r="E2961" t="s">
        <v>39</v>
      </c>
      <c r="F2961" t="s">
        <v>106</v>
      </c>
      <c r="G2961">
        <v>1.07</v>
      </c>
      <c r="H2961" t="s">
        <v>32</v>
      </c>
      <c r="I2961" t="s">
        <v>33</v>
      </c>
      <c r="K2961">
        <v>374.38</v>
      </c>
      <c r="L2961" t="s">
        <v>6998</v>
      </c>
      <c r="M2961">
        <f>VLOOKUP(H2961,'Stage Order'!$A$2:$B$8,2,FALSE)</f>
        <v>7</v>
      </c>
      <c r="N2961" t="str">
        <f t="shared" si="92"/>
        <v>2. 1-24 hours</v>
      </c>
      <c r="O2961" t="str">
        <f t="shared" si="93"/>
        <v>2026-01</v>
      </c>
    </row>
    <row r="2962" spans="1:15" x14ac:dyDescent="0.3">
      <c r="A2962" t="s">
        <v>6999</v>
      </c>
      <c r="B2962" t="s">
        <v>7000</v>
      </c>
      <c r="C2962" t="s">
        <v>76</v>
      </c>
      <c r="D2962" t="s">
        <v>38</v>
      </c>
      <c r="E2962" t="s">
        <v>59</v>
      </c>
      <c r="F2962" t="s">
        <v>60</v>
      </c>
      <c r="G2962">
        <v>8.18</v>
      </c>
      <c r="H2962" t="s">
        <v>41</v>
      </c>
      <c r="I2962" t="s">
        <v>42</v>
      </c>
      <c r="M2962">
        <f>VLOOKUP(H2962,'Stage Order'!$A$2:$B$8,2,FALSE)</f>
        <v>2</v>
      </c>
      <c r="N2962" t="str">
        <f t="shared" si="92"/>
        <v>2. 1-24 hours</v>
      </c>
      <c r="O2962" t="str">
        <f t="shared" si="93"/>
        <v>2025-09</v>
      </c>
    </row>
    <row r="2963" spans="1:15" x14ac:dyDescent="0.3">
      <c r="A2963" t="s">
        <v>7001</v>
      </c>
      <c r="B2963" t="s">
        <v>7002</v>
      </c>
      <c r="C2963" t="s">
        <v>81</v>
      </c>
      <c r="D2963" t="s">
        <v>54</v>
      </c>
      <c r="E2963" t="s">
        <v>39</v>
      </c>
      <c r="F2963" t="s">
        <v>40</v>
      </c>
      <c r="G2963">
        <v>1.73</v>
      </c>
      <c r="H2963" t="s">
        <v>61</v>
      </c>
      <c r="I2963" t="s">
        <v>42</v>
      </c>
      <c r="M2963">
        <f>VLOOKUP(H2963,'Stage Order'!$A$2:$B$8,2,FALSE)</f>
        <v>1</v>
      </c>
      <c r="N2963" t="str">
        <f t="shared" si="92"/>
        <v>2. 1-24 hours</v>
      </c>
      <c r="O2963" t="str">
        <f t="shared" si="93"/>
        <v>2025-08</v>
      </c>
    </row>
    <row r="2964" spans="1:15" x14ac:dyDescent="0.3">
      <c r="A2964" t="s">
        <v>7003</v>
      </c>
      <c r="B2964" t="s">
        <v>7004</v>
      </c>
      <c r="C2964" t="s">
        <v>28</v>
      </c>
      <c r="D2964" t="s">
        <v>54</v>
      </c>
      <c r="E2964" t="s">
        <v>30</v>
      </c>
      <c r="F2964" t="s">
        <v>82</v>
      </c>
      <c r="G2964">
        <v>2.84</v>
      </c>
      <c r="H2964" t="s">
        <v>41</v>
      </c>
      <c r="I2964" t="s">
        <v>42</v>
      </c>
      <c r="M2964">
        <f>VLOOKUP(H2964,'Stage Order'!$A$2:$B$8,2,FALSE)</f>
        <v>2</v>
      </c>
      <c r="N2964" t="str">
        <f t="shared" si="92"/>
        <v>2. 1-24 hours</v>
      </c>
      <c r="O2964" t="str">
        <f t="shared" si="93"/>
        <v>2025-12</v>
      </c>
    </row>
    <row r="2965" spans="1:15" x14ac:dyDescent="0.3">
      <c r="A2965" t="s">
        <v>7005</v>
      </c>
      <c r="B2965" t="s">
        <v>7006</v>
      </c>
      <c r="C2965" t="s">
        <v>28</v>
      </c>
      <c r="D2965" t="s">
        <v>77</v>
      </c>
      <c r="E2965" t="s">
        <v>30</v>
      </c>
      <c r="F2965" t="s">
        <v>82</v>
      </c>
      <c r="G2965">
        <v>5.77</v>
      </c>
      <c r="H2965" t="s">
        <v>41</v>
      </c>
      <c r="I2965" t="s">
        <v>42</v>
      </c>
      <c r="M2965">
        <f>VLOOKUP(H2965,'Stage Order'!$A$2:$B$8,2,FALSE)</f>
        <v>2</v>
      </c>
      <c r="N2965" t="str">
        <f t="shared" si="92"/>
        <v>2. 1-24 hours</v>
      </c>
      <c r="O2965" t="str">
        <f t="shared" si="93"/>
        <v>2025-03</v>
      </c>
    </row>
    <row r="2966" spans="1:15" x14ac:dyDescent="0.3">
      <c r="A2966" t="s">
        <v>7007</v>
      </c>
      <c r="B2966" t="s">
        <v>7008</v>
      </c>
      <c r="C2966" t="s">
        <v>58</v>
      </c>
      <c r="D2966" t="s">
        <v>77</v>
      </c>
      <c r="E2966" t="s">
        <v>39</v>
      </c>
      <c r="F2966" t="s">
        <v>66</v>
      </c>
      <c r="G2966">
        <v>7.92</v>
      </c>
      <c r="H2966" t="s">
        <v>146</v>
      </c>
      <c r="I2966" t="s">
        <v>48</v>
      </c>
      <c r="J2966" t="s">
        <v>98</v>
      </c>
      <c r="K2966">
        <v>1133.77</v>
      </c>
      <c r="L2966" t="s">
        <v>7009</v>
      </c>
      <c r="M2966">
        <f>VLOOKUP(H2966,'Stage Order'!$A$2:$B$8,2,FALSE)</f>
        <v>5</v>
      </c>
      <c r="N2966" t="str">
        <f t="shared" si="92"/>
        <v>2. 1-24 hours</v>
      </c>
      <c r="O2966" t="str">
        <f t="shared" si="93"/>
        <v>2025-08</v>
      </c>
    </row>
    <row r="2967" spans="1:15" x14ac:dyDescent="0.3">
      <c r="A2967" t="s">
        <v>7010</v>
      </c>
      <c r="B2967" t="s">
        <v>7011</v>
      </c>
      <c r="C2967" t="s">
        <v>58</v>
      </c>
      <c r="D2967" t="s">
        <v>29</v>
      </c>
      <c r="E2967" t="s">
        <v>30</v>
      </c>
      <c r="F2967" t="s">
        <v>78</v>
      </c>
      <c r="G2967">
        <v>3.71</v>
      </c>
      <c r="H2967" t="s">
        <v>61</v>
      </c>
      <c r="I2967" t="s">
        <v>42</v>
      </c>
      <c r="M2967">
        <f>VLOOKUP(H2967,'Stage Order'!$A$2:$B$8,2,FALSE)</f>
        <v>1</v>
      </c>
      <c r="N2967" t="str">
        <f t="shared" si="92"/>
        <v>2. 1-24 hours</v>
      </c>
      <c r="O2967" t="str">
        <f t="shared" si="93"/>
        <v>2025-05</v>
      </c>
    </row>
    <row r="2968" spans="1:15" x14ac:dyDescent="0.3">
      <c r="A2968" t="s">
        <v>7012</v>
      </c>
      <c r="B2968" t="s">
        <v>7013</v>
      </c>
      <c r="C2968" t="s">
        <v>125</v>
      </c>
      <c r="D2968" t="s">
        <v>54</v>
      </c>
      <c r="E2968" t="s">
        <v>39</v>
      </c>
      <c r="F2968" t="s">
        <v>66</v>
      </c>
      <c r="G2968">
        <v>2.88</v>
      </c>
      <c r="H2968" t="s">
        <v>41</v>
      </c>
      <c r="I2968" t="s">
        <v>42</v>
      </c>
      <c r="M2968">
        <f>VLOOKUP(H2968,'Stage Order'!$A$2:$B$8,2,FALSE)</f>
        <v>2</v>
      </c>
      <c r="N2968" t="str">
        <f t="shared" si="92"/>
        <v>2. 1-24 hours</v>
      </c>
      <c r="O2968" t="str">
        <f t="shared" si="93"/>
        <v>2025-10</v>
      </c>
    </row>
    <row r="2969" spans="1:15" x14ac:dyDescent="0.3">
      <c r="A2969" t="s">
        <v>7014</v>
      </c>
      <c r="B2969" t="s">
        <v>7015</v>
      </c>
      <c r="C2969" t="s">
        <v>81</v>
      </c>
      <c r="D2969" t="s">
        <v>38</v>
      </c>
      <c r="E2969" t="s">
        <v>59</v>
      </c>
      <c r="F2969" t="s">
        <v>137</v>
      </c>
      <c r="G2969">
        <v>3.33</v>
      </c>
      <c r="H2969" t="s">
        <v>47</v>
      </c>
      <c r="I2969" t="s">
        <v>48</v>
      </c>
      <c r="J2969" t="s">
        <v>98</v>
      </c>
      <c r="K2969">
        <v>399.9</v>
      </c>
      <c r="L2969" t="s">
        <v>7016</v>
      </c>
      <c r="M2969">
        <f>VLOOKUP(H2969,'Stage Order'!$A$2:$B$8,2,FALSE)</f>
        <v>4</v>
      </c>
      <c r="N2969" t="str">
        <f t="shared" si="92"/>
        <v>2. 1-24 hours</v>
      </c>
      <c r="O2969" t="str">
        <f t="shared" si="93"/>
        <v>2026-02</v>
      </c>
    </row>
    <row r="2970" spans="1:15" x14ac:dyDescent="0.3">
      <c r="A2970" t="s">
        <v>7017</v>
      </c>
      <c r="B2970" t="s">
        <v>7018</v>
      </c>
      <c r="C2970" t="s">
        <v>125</v>
      </c>
      <c r="D2970" t="s">
        <v>97</v>
      </c>
      <c r="E2970" t="s">
        <v>45</v>
      </c>
      <c r="F2970" t="s">
        <v>46</v>
      </c>
      <c r="G2970">
        <v>5.83</v>
      </c>
      <c r="H2970" t="s">
        <v>41</v>
      </c>
      <c r="I2970" t="s">
        <v>42</v>
      </c>
      <c r="M2970">
        <f>VLOOKUP(H2970,'Stage Order'!$A$2:$B$8,2,FALSE)</f>
        <v>2</v>
      </c>
      <c r="N2970" t="str">
        <f t="shared" si="92"/>
        <v>2. 1-24 hours</v>
      </c>
      <c r="O2970" t="str">
        <f t="shared" si="93"/>
        <v>2025-01</v>
      </c>
    </row>
    <row r="2971" spans="1:15" x14ac:dyDescent="0.3">
      <c r="A2971" t="s">
        <v>7019</v>
      </c>
      <c r="B2971" t="s">
        <v>7020</v>
      </c>
      <c r="C2971" t="s">
        <v>81</v>
      </c>
      <c r="D2971" t="s">
        <v>54</v>
      </c>
      <c r="E2971" t="s">
        <v>30</v>
      </c>
      <c r="F2971" t="s">
        <v>31</v>
      </c>
      <c r="G2971">
        <v>0.49</v>
      </c>
      <c r="H2971" t="s">
        <v>146</v>
      </c>
      <c r="I2971" t="s">
        <v>48</v>
      </c>
      <c r="J2971" t="s">
        <v>742</v>
      </c>
      <c r="K2971">
        <v>482.95</v>
      </c>
      <c r="L2971" t="s">
        <v>7021</v>
      </c>
      <c r="M2971">
        <f>VLOOKUP(H2971,'Stage Order'!$A$2:$B$8,2,FALSE)</f>
        <v>5</v>
      </c>
      <c r="N2971" t="str">
        <f t="shared" si="92"/>
        <v>1. Under 1 hour</v>
      </c>
      <c r="O2971" t="str">
        <f t="shared" si="93"/>
        <v>2025-06</v>
      </c>
    </row>
    <row r="2972" spans="1:15" x14ac:dyDescent="0.3">
      <c r="A2972" t="s">
        <v>7022</v>
      </c>
      <c r="B2972" t="s">
        <v>7023</v>
      </c>
      <c r="C2972" t="s">
        <v>81</v>
      </c>
      <c r="D2972" t="s">
        <v>77</v>
      </c>
      <c r="E2972" t="s">
        <v>45</v>
      </c>
      <c r="F2972" t="s">
        <v>46</v>
      </c>
      <c r="G2972">
        <v>1.46</v>
      </c>
      <c r="H2972" t="s">
        <v>41</v>
      </c>
      <c r="I2972" t="s">
        <v>42</v>
      </c>
      <c r="M2972">
        <f>VLOOKUP(H2972,'Stage Order'!$A$2:$B$8,2,FALSE)</f>
        <v>2</v>
      </c>
      <c r="N2972" t="str">
        <f t="shared" si="92"/>
        <v>2. 1-24 hours</v>
      </c>
      <c r="O2972" t="str">
        <f t="shared" si="93"/>
        <v>2026-05</v>
      </c>
    </row>
    <row r="2973" spans="1:15" x14ac:dyDescent="0.3">
      <c r="A2973" t="s">
        <v>7024</v>
      </c>
      <c r="B2973" t="s">
        <v>7025</v>
      </c>
      <c r="C2973" t="s">
        <v>58</v>
      </c>
      <c r="D2973" t="s">
        <v>29</v>
      </c>
      <c r="E2973" t="s">
        <v>45</v>
      </c>
      <c r="F2973" t="s">
        <v>55</v>
      </c>
      <c r="G2973">
        <v>0.66</v>
      </c>
      <c r="H2973" t="s">
        <v>47</v>
      </c>
      <c r="I2973" t="s">
        <v>48</v>
      </c>
      <c r="J2973" t="s">
        <v>98</v>
      </c>
      <c r="K2973">
        <v>568.79</v>
      </c>
      <c r="L2973" t="s">
        <v>7026</v>
      </c>
      <c r="M2973">
        <f>VLOOKUP(H2973,'Stage Order'!$A$2:$B$8,2,FALSE)</f>
        <v>4</v>
      </c>
      <c r="N2973" t="str">
        <f t="shared" si="92"/>
        <v>1. Under 1 hour</v>
      </c>
      <c r="O2973" t="str">
        <f t="shared" si="93"/>
        <v>2025-01</v>
      </c>
    </row>
    <row r="2974" spans="1:15" x14ac:dyDescent="0.3">
      <c r="A2974" t="s">
        <v>7027</v>
      </c>
      <c r="B2974" t="s">
        <v>7028</v>
      </c>
      <c r="C2974" t="s">
        <v>53</v>
      </c>
      <c r="D2974" t="s">
        <v>38</v>
      </c>
      <c r="E2974" t="s">
        <v>45</v>
      </c>
      <c r="F2974" t="s">
        <v>46</v>
      </c>
      <c r="G2974">
        <v>2.58</v>
      </c>
      <c r="H2974" t="s">
        <v>41</v>
      </c>
      <c r="I2974" t="s">
        <v>42</v>
      </c>
      <c r="M2974">
        <f>VLOOKUP(H2974,'Stage Order'!$A$2:$B$8,2,FALSE)</f>
        <v>2</v>
      </c>
      <c r="N2974" t="str">
        <f t="shared" si="92"/>
        <v>2. 1-24 hours</v>
      </c>
      <c r="O2974" t="str">
        <f t="shared" si="93"/>
        <v>2026-06</v>
      </c>
    </row>
    <row r="2975" spans="1:15" x14ac:dyDescent="0.3">
      <c r="A2975" t="s">
        <v>7029</v>
      </c>
      <c r="B2975" t="s">
        <v>7030</v>
      </c>
      <c r="C2975" t="s">
        <v>53</v>
      </c>
      <c r="D2975" t="s">
        <v>38</v>
      </c>
      <c r="E2975" t="s">
        <v>59</v>
      </c>
      <c r="F2975" t="s">
        <v>137</v>
      </c>
      <c r="G2975">
        <v>0.54</v>
      </c>
      <c r="H2975" t="s">
        <v>41</v>
      </c>
      <c r="I2975" t="s">
        <v>42</v>
      </c>
      <c r="M2975">
        <f>VLOOKUP(H2975,'Stage Order'!$A$2:$B$8,2,FALSE)</f>
        <v>2</v>
      </c>
      <c r="N2975" t="str">
        <f t="shared" si="92"/>
        <v>1. Under 1 hour</v>
      </c>
      <c r="O2975" t="str">
        <f t="shared" si="93"/>
        <v>2026-05</v>
      </c>
    </row>
    <row r="2976" spans="1:15" x14ac:dyDescent="0.3">
      <c r="A2976" t="s">
        <v>7031</v>
      </c>
      <c r="B2976" t="s">
        <v>7032</v>
      </c>
      <c r="C2976" t="s">
        <v>37</v>
      </c>
      <c r="D2976" t="s">
        <v>97</v>
      </c>
      <c r="E2976" t="s">
        <v>39</v>
      </c>
      <c r="F2976" t="s">
        <v>66</v>
      </c>
      <c r="G2976">
        <v>1.1499999999999999</v>
      </c>
      <c r="H2976" t="s">
        <v>61</v>
      </c>
      <c r="I2976" t="s">
        <v>42</v>
      </c>
      <c r="M2976">
        <f>VLOOKUP(H2976,'Stage Order'!$A$2:$B$8,2,FALSE)</f>
        <v>1</v>
      </c>
      <c r="N2976" t="str">
        <f t="shared" si="92"/>
        <v>2. 1-24 hours</v>
      </c>
      <c r="O2976" t="str">
        <f t="shared" si="93"/>
        <v>2026-03</v>
      </c>
    </row>
    <row r="2977" spans="1:15" x14ac:dyDescent="0.3">
      <c r="A2977" t="s">
        <v>7033</v>
      </c>
      <c r="B2977" t="s">
        <v>7034</v>
      </c>
      <c r="C2977" t="s">
        <v>37</v>
      </c>
      <c r="D2977" t="s">
        <v>97</v>
      </c>
      <c r="E2977" t="s">
        <v>90</v>
      </c>
      <c r="F2977" t="s">
        <v>145</v>
      </c>
      <c r="G2977">
        <v>3.52</v>
      </c>
      <c r="H2977" t="s">
        <v>61</v>
      </c>
      <c r="I2977" t="s">
        <v>42</v>
      </c>
      <c r="M2977">
        <f>VLOOKUP(H2977,'Stage Order'!$A$2:$B$8,2,FALSE)</f>
        <v>1</v>
      </c>
      <c r="N2977" t="str">
        <f t="shared" si="92"/>
        <v>2. 1-24 hours</v>
      </c>
      <c r="O2977" t="str">
        <f t="shared" si="93"/>
        <v>2025-09</v>
      </c>
    </row>
    <row r="2978" spans="1:15" x14ac:dyDescent="0.3">
      <c r="A2978" t="s">
        <v>7035</v>
      </c>
      <c r="B2978" t="s">
        <v>7036</v>
      </c>
      <c r="C2978" t="s">
        <v>58</v>
      </c>
      <c r="D2978" t="s">
        <v>77</v>
      </c>
      <c r="E2978" t="s">
        <v>30</v>
      </c>
      <c r="F2978" t="s">
        <v>78</v>
      </c>
      <c r="G2978">
        <v>5.81</v>
      </c>
      <c r="H2978" t="s">
        <v>61</v>
      </c>
      <c r="I2978" t="s">
        <v>42</v>
      </c>
      <c r="M2978">
        <f>VLOOKUP(H2978,'Stage Order'!$A$2:$B$8,2,FALSE)</f>
        <v>1</v>
      </c>
      <c r="N2978" t="str">
        <f t="shared" si="92"/>
        <v>2. 1-24 hours</v>
      </c>
      <c r="O2978" t="str">
        <f t="shared" si="93"/>
        <v>2025-06</v>
      </c>
    </row>
    <row r="2979" spans="1:15" x14ac:dyDescent="0.3">
      <c r="A2979" t="s">
        <v>7037</v>
      </c>
      <c r="B2979" t="s">
        <v>7038</v>
      </c>
      <c r="C2979" t="s">
        <v>28</v>
      </c>
      <c r="D2979" t="s">
        <v>29</v>
      </c>
      <c r="E2979" t="s">
        <v>39</v>
      </c>
      <c r="F2979" t="s">
        <v>66</v>
      </c>
      <c r="G2979">
        <v>6.89</v>
      </c>
      <c r="H2979" t="s">
        <v>138</v>
      </c>
      <c r="I2979" t="s">
        <v>48</v>
      </c>
      <c r="J2979" t="s">
        <v>98</v>
      </c>
      <c r="K2979">
        <v>712.72</v>
      </c>
      <c r="L2979" t="s">
        <v>7039</v>
      </c>
      <c r="M2979">
        <f>VLOOKUP(H2979,'Stage Order'!$A$2:$B$8,2,FALSE)</f>
        <v>6</v>
      </c>
      <c r="N2979" t="str">
        <f t="shared" si="92"/>
        <v>2. 1-24 hours</v>
      </c>
      <c r="O2979" t="str">
        <f t="shared" si="93"/>
        <v>2025-01</v>
      </c>
    </row>
    <row r="2980" spans="1:15" x14ac:dyDescent="0.3">
      <c r="A2980" t="s">
        <v>7040</v>
      </c>
      <c r="B2980" t="s">
        <v>7041</v>
      </c>
      <c r="C2980" t="s">
        <v>37</v>
      </c>
      <c r="D2980" t="s">
        <v>77</v>
      </c>
      <c r="E2980" t="s">
        <v>39</v>
      </c>
      <c r="F2980" t="s">
        <v>106</v>
      </c>
      <c r="G2980">
        <v>12.28</v>
      </c>
      <c r="H2980" t="s">
        <v>41</v>
      </c>
      <c r="I2980" t="s">
        <v>42</v>
      </c>
      <c r="M2980">
        <f>VLOOKUP(H2980,'Stage Order'!$A$2:$B$8,2,FALSE)</f>
        <v>2</v>
      </c>
      <c r="N2980" t="str">
        <f t="shared" si="92"/>
        <v>2. 1-24 hours</v>
      </c>
      <c r="O2980" t="str">
        <f t="shared" si="93"/>
        <v>2025-08</v>
      </c>
    </row>
    <row r="2981" spans="1:15" x14ac:dyDescent="0.3">
      <c r="A2981" t="s">
        <v>7042</v>
      </c>
      <c r="B2981" t="s">
        <v>7043</v>
      </c>
      <c r="C2981" t="s">
        <v>81</v>
      </c>
      <c r="D2981" t="s">
        <v>54</v>
      </c>
      <c r="E2981" t="s">
        <v>45</v>
      </c>
      <c r="F2981" t="s">
        <v>55</v>
      </c>
      <c r="G2981">
        <v>12.7</v>
      </c>
      <c r="H2981" t="s">
        <v>146</v>
      </c>
      <c r="I2981" t="s">
        <v>48</v>
      </c>
      <c r="J2981" t="s">
        <v>742</v>
      </c>
      <c r="K2981">
        <v>571.05999999999995</v>
      </c>
      <c r="L2981" t="s">
        <v>7044</v>
      </c>
      <c r="M2981">
        <f>VLOOKUP(H2981,'Stage Order'!$A$2:$B$8,2,FALSE)</f>
        <v>5</v>
      </c>
      <c r="N2981" t="str">
        <f t="shared" si="92"/>
        <v>2. 1-24 hours</v>
      </c>
      <c r="O2981" t="str">
        <f t="shared" si="93"/>
        <v>2026-01</v>
      </c>
    </row>
    <row r="2982" spans="1:15" x14ac:dyDescent="0.3">
      <c r="A2982" t="s">
        <v>7045</v>
      </c>
      <c r="B2982" t="s">
        <v>7046</v>
      </c>
      <c r="C2982" t="s">
        <v>58</v>
      </c>
      <c r="D2982" t="s">
        <v>38</v>
      </c>
      <c r="E2982" t="s">
        <v>59</v>
      </c>
      <c r="F2982" t="s">
        <v>137</v>
      </c>
      <c r="G2982">
        <v>4.47</v>
      </c>
      <c r="H2982" t="s">
        <v>41</v>
      </c>
      <c r="I2982" t="s">
        <v>42</v>
      </c>
      <c r="M2982">
        <f>VLOOKUP(H2982,'Stage Order'!$A$2:$B$8,2,FALSE)</f>
        <v>2</v>
      </c>
      <c r="N2982" t="str">
        <f t="shared" si="92"/>
        <v>2. 1-24 hours</v>
      </c>
      <c r="O2982" t="str">
        <f t="shared" si="93"/>
        <v>2025-09</v>
      </c>
    </row>
    <row r="2983" spans="1:15" x14ac:dyDescent="0.3">
      <c r="A2983" t="s">
        <v>7047</v>
      </c>
      <c r="B2983" t="s">
        <v>7048</v>
      </c>
      <c r="C2983" t="s">
        <v>37</v>
      </c>
      <c r="D2983" t="s">
        <v>77</v>
      </c>
      <c r="E2983" t="s">
        <v>39</v>
      </c>
      <c r="F2983" t="s">
        <v>106</v>
      </c>
      <c r="G2983">
        <v>2.16</v>
      </c>
      <c r="H2983" t="s">
        <v>61</v>
      </c>
      <c r="I2983" t="s">
        <v>42</v>
      </c>
      <c r="M2983">
        <f>VLOOKUP(H2983,'Stage Order'!$A$2:$B$8,2,FALSE)</f>
        <v>1</v>
      </c>
      <c r="N2983" t="str">
        <f t="shared" si="92"/>
        <v>2. 1-24 hours</v>
      </c>
      <c r="O2983" t="str">
        <f t="shared" si="93"/>
        <v>2025-06</v>
      </c>
    </row>
    <row r="2984" spans="1:15" x14ac:dyDescent="0.3">
      <c r="A2984" t="s">
        <v>7049</v>
      </c>
      <c r="B2984" t="s">
        <v>7050</v>
      </c>
      <c r="C2984" t="s">
        <v>28</v>
      </c>
      <c r="D2984" t="s">
        <v>54</v>
      </c>
      <c r="E2984" t="s">
        <v>59</v>
      </c>
      <c r="F2984" t="s">
        <v>117</v>
      </c>
      <c r="G2984">
        <v>2.15</v>
      </c>
      <c r="H2984" t="s">
        <v>32</v>
      </c>
      <c r="I2984" t="s">
        <v>33</v>
      </c>
      <c r="K2984">
        <v>474.86</v>
      </c>
      <c r="L2984" t="s">
        <v>7051</v>
      </c>
      <c r="M2984">
        <f>VLOOKUP(H2984,'Stage Order'!$A$2:$B$8,2,FALSE)</f>
        <v>7</v>
      </c>
      <c r="N2984" t="str">
        <f t="shared" si="92"/>
        <v>2. 1-24 hours</v>
      </c>
      <c r="O2984" t="str">
        <f t="shared" si="93"/>
        <v>2025-10</v>
      </c>
    </row>
    <row r="2985" spans="1:15" x14ac:dyDescent="0.3">
      <c r="A2985" t="s">
        <v>7052</v>
      </c>
      <c r="B2985" t="s">
        <v>7053</v>
      </c>
      <c r="C2985" t="s">
        <v>28</v>
      </c>
      <c r="D2985" t="s">
        <v>29</v>
      </c>
      <c r="E2985" t="s">
        <v>39</v>
      </c>
      <c r="F2985" t="s">
        <v>106</v>
      </c>
      <c r="G2985">
        <v>1.89</v>
      </c>
      <c r="H2985" t="s">
        <v>138</v>
      </c>
      <c r="I2985" t="s">
        <v>48</v>
      </c>
      <c r="J2985" t="s">
        <v>113</v>
      </c>
      <c r="K2985">
        <v>533.66</v>
      </c>
      <c r="L2985" t="s">
        <v>7054</v>
      </c>
      <c r="M2985">
        <f>VLOOKUP(H2985,'Stage Order'!$A$2:$B$8,2,FALSE)</f>
        <v>6</v>
      </c>
      <c r="N2985" t="str">
        <f t="shared" si="92"/>
        <v>2. 1-24 hours</v>
      </c>
      <c r="O2985" t="str">
        <f t="shared" si="93"/>
        <v>2025-05</v>
      </c>
    </row>
    <row r="2986" spans="1:15" x14ac:dyDescent="0.3">
      <c r="A2986" t="s">
        <v>7055</v>
      </c>
      <c r="B2986" t="s">
        <v>7056</v>
      </c>
      <c r="C2986" t="s">
        <v>28</v>
      </c>
      <c r="D2986" t="s">
        <v>54</v>
      </c>
      <c r="E2986" t="s">
        <v>45</v>
      </c>
      <c r="F2986" t="s">
        <v>55</v>
      </c>
      <c r="G2986">
        <v>6.91</v>
      </c>
      <c r="H2986" t="s">
        <v>47</v>
      </c>
      <c r="I2986" t="s">
        <v>48</v>
      </c>
      <c r="J2986" t="s">
        <v>49</v>
      </c>
      <c r="K2986">
        <v>576.30999999999995</v>
      </c>
      <c r="L2986" t="s">
        <v>7057</v>
      </c>
      <c r="M2986">
        <f>VLOOKUP(H2986,'Stage Order'!$A$2:$B$8,2,FALSE)</f>
        <v>4</v>
      </c>
      <c r="N2986" t="str">
        <f t="shared" si="92"/>
        <v>2. 1-24 hours</v>
      </c>
      <c r="O2986" t="str">
        <f t="shared" si="93"/>
        <v>2025-03</v>
      </c>
    </row>
    <row r="2987" spans="1:15" x14ac:dyDescent="0.3">
      <c r="A2987" t="s">
        <v>7058</v>
      </c>
      <c r="B2987" t="s">
        <v>7059</v>
      </c>
      <c r="C2987" t="s">
        <v>58</v>
      </c>
      <c r="D2987" t="s">
        <v>38</v>
      </c>
      <c r="E2987" t="s">
        <v>59</v>
      </c>
      <c r="F2987" t="s">
        <v>137</v>
      </c>
      <c r="G2987">
        <v>2.77</v>
      </c>
      <c r="H2987" t="s">
        <v>41</v>
      </c>
      <c r="I2987" t="s">
        <v>42</v>
      </c>
      <c r="M2987">
        <f>VLOOKUP(H2987,'Stage Order'!$A$2:$B$8,2,FALSE)</f>
        <v>2</v>
      </c>
      <c r="N2987" t="str">
        <f t="shared" si="92"/>
        <v>2. 1-24 hours</v>
      </c>
      <c r="O2987" t="str">
        <f t="shared" si="93"/>
        <v>2025-04</v>
      </c>
    </row>
    <row r="2988" spans="1:15" x14ac:dyDescent="0.3">
      <c r="A2988" t="s">
        <v>7060</v>
      </c>
      <c r="B2988" t="s">
        <v>7061</v>
      </c>
      <c r="C2988" t="s">
        <v>125</v>
      </c>
      <c r="D2988" t="s">
        <v>29</v>
      </c>
      <c r="E2988" t="s">
        <v>45</v>
      </c>
      <c r="F2988" t="s">
        <v>94</v>
      </c>
      <c r="G2988">
        <v>4.83</v>
      </c>
      <c r="H2988" t="s">
        <v>47</v>
      </c>
      <c r="I2988" t="s">
        <v>48</v>
      </c>
      <c r="J2988" t="s">
        <v>49</v>
      </c>
      <c r="K2988">
        <v>664.88</v>
      </c>
      <c r="L2988" t="s">
        <v>7062</v>
      </c>
      <c r="M2988">
        <f>VLOOKUP(H2988,'Stage Order'!$A$2:$B$8,2,FALSE)</f>
        <v>4</v>
      </c>
      <c r="N2988" t="str">
        <f t="shared" si="92"/>
        <v>2. 1-24 hours</v>
      </c>
      <c r="O2988" t="str">
        <f t="shared" si="93"/>
        <v>2025-08</v>
      </c>
    </row>
    <row r="2989" spans="1:15" x14ac:dyDescent="0.3">
      <c r="A2989" t="s">
        <v>7063</v>
      </c>
      <c r="B2989" t="s">
        <v>7064</v>
      </c>
      <c r="C2989" t="s">
        <v>37</v>
      </c>
      <c r="D2989" t="s">
        <v>29</v>
      </c>
      <c r="E2989" t="s">
        <v>90</v>
      </c>
      <c r="F2989" t="s">
        <v>112</v>
      </c>
      <c r="G2989">
        <v>10.41</v>
      </c>
      <c r="H2989" t="s">
        <v>41</v>
      </c>
      <c r="I2989" t="s">
        <v>42</v>
      </c>
      <c r="M2989">
        <f>VLOOKUP(H2989,'Stage Order'!$A$2:$B$8,2,FALSE)</f>
        <v>2</v>
      </c>
      <c r="N2989" t="str">
        <f t="shared" si="92"/>
        <v>2. 1-24 hours</v>
      </c>
      <c r="O2989" t="str">
        <f t="shared" si="93"/>
        <v>2026-02</v>
      </c>
    </row>
    <row r="2990" spans="1:15" x14ac:dyDescent="0.3">
      <c r="A2990" t="s">
        <v>7065</v>
      </c>
      <c r="B2990" t="s">
        <v>7066</v>
      </c>
      <c r="C2990" t="s">
        <v>125</v>
      </c>
      <c r="D2990" t="s">
        <v>38</v>
      </c>
      <c r="E2990" t="s">
        <v>59</v>
      </c>
      <c r="F2990" t="s">
        <v>137</v>
      </c>
      <c r="G2990">
        <v>1.65</v>
      </c>
      <c r="H2990" t="s">
        <v>41</v>
      </c>
      <c r="I2990" t="s">
        <v>42</v>
      </c>
      <c r="M2990">
        <f>VLOOKUP(H2990,'Stage Order'!$A$2:$B$8,2,FALSE)</f>
        <v>2</v>
      </c>
      <c r="N2990" t="str">
        <f t="shared" si="92"/>
        <v>2. 1-24 hours</v>
      </c>
      <c r="O2990" t="str">
        <f t="shared" si="93"/>
        <v>2026-05</v>
      </c>
    </row>
    <row r="2991" spans="1:15" x14ac:dyDescent="0.3">
      <c r="A2991" t="s">
        <v>7067</v>
      </c>
      <c r="B2991" t="s">
        <v>7068</v>
      </c>
      <c r="C2991" t="s">
        <v>53</v>
      </c>
      <c r="D2991" t="s">
        <v>54</v>
      </c>
      <c r="E2991" t="s">
        <v>59</v>
      </c>
      <c r="F2991" t="s">
        <v>60</v>
      </c>
      <c r="G2991">
        <v>5.34</v>
      </c>
      <c r="H2991" t="s">
        <v>32</v>
      </c>
      <c r="I2991" t="s">
        <v>33</v>
      </c>
      <c r="K2991">
        <v>551.99</v>
      </c>
      <c r="L2991" t="s">
        <v>7069</v>
      </c>
      <c r="M2991">
        <f>VLOOKUP(H2991,'Stage Order'!$A$2:$B$8,2,FALSE)</f>
        <v>7</v>
      </c>
      <c r="N2991" t="str">
        <f t="shared" si="92"/>
        <v>2. 1-24 hours</v>
      </c>
      <c r="O2991" t="str">
        <f t="shared" si="93"/>
        <v>2025-09</v>
      </c>
    </row>
    <row r="2992" spans="1:15" x14ac:dyDescent="0.3">
      <c r="A2992" t="s">
        <v>7070</v>
      </c>
      <c r="B2992" t="s">
        <v>7071</v>
      </c>
      <c r="C2992" t="s">
        <v>37</v>
      </c>
      <c r="D2992" t="s">
        <v>29</v>
      </c>
      <c r="E2992" t="s">
        <v>45</v>
      </c>
      <c r="F2992" t="s">
        <v>46</v>
      </c>
      <c r="G2992">
        <v>2.02</v>
      </c>
      <c r="H2992" t="s">
        <v>41</v>
      </c>
      <c r="I2992" t="s">
        <v>42</v>
      </c>
      <c r="M2992">
        <f>VLOOKUP(H2992,'Stage Order'!$A$2:$B$8,2,FALSE)</f>
        <v>2</v>
      </c>
      <c r="N2992" t="str">
        <f t="shared" si="92"/>
        <v>2. 1-24 hours</v>
      </c>
      <c r="O2992" t="str">
        <f t="shared" si="93"/>
        <v>2025-04</v>
      </c>
    </row>
    <row r="2993" spans="1:15" x14ac:dyDescent="0.3">
      <c r="A2993" t="s">
        <v>7072</v>
      </c>
      <c r="B2993" t="s">
        <v>7073</v>
      </c>
      <c r="C2993" t="s">
        <v>37</v>
      </c>
      <c r="D2993" t="s">
        <v>54</v>
      </c>
      <c r="E2993" t="s">
        <v>39</v>
      </c>
      <c r="F2993" t="s">
        <v>40</v>
      </c>
      <c r="G2993">
        <v>1.72</v>
      </c>
      <c r="H2993" t="s">
        <v>41</v>
      </c>
      <c r="I2993" t="s">
        <v>42</v>
      </c>
      <c r="M2993">
        <f>VLOOKUP(H2993,'Stage Order'!$A$2:$B$8,2,FALSE)</f>
        <v>2</v>
      </c>
      <c r="N2993" t="str">
        <f t="shared" si="92"/>
        <v>2. 1-24 hours</v>
      </c>
      <c r="O2993" t="str">
        <f t="shared" si="93"/>
        <v>2026-04</v>
      </c>
    </row>
    <row r="2994" spans="1:15" x14ac:dyDescent="0.3">
      <c r="A2994" t="s">
        <v>7074</v>
      </c>
      <c r="B2994" t="s">
        <v>7075</v>
      </c>
      <c r="C2994" t="s">
        <v>37</v>
      </c>
      <c r="D2994" t="s">
        <v>54</v>
      </c>
      <c r="E2994" t="s">
        <v>90</v>
      </c>
      <c r="F2994" t="s">
        <v>91</v>
      </c>
      <c r="G2994">
        <v>2.0099999999999998</v>
      </c>
      <c r="H2994" t="s">
        <v>41</v>
      </c>
      <c r="I2994" t="s">
        <v>42</v>
      </c>
      <c r="M2994">
        <f>VLOOKUP(H2994,'Stage Order'!$A$2:$B$8,2,FALSE)</f>
        <v>2</v>
      </c>
      <c r="N2994" t="str">
        <f t="shared" si="92"/>
        <v>2. 1-24 hours</v>
      </c>
      <c r="O2994" t="str">
        <f t="shared" si="93"/>
        <v>2026-06</v>
      </c>
    </row>
    <row r="2995" spans="1:15" x14ac:dyDescent="0.3">
      <c r="A2995" t="s">
        <v>7076</v>
      </c>
      <c r="B2995" t="s">
        <v>7077</v>
      </c>
      <c r="C2995" t="s">
        <v>76</v>
      </c>
      <c r="D2995" t="s">
        <v>38</v>
      </c>
      <c r="E2995" t="s">
        <v>59</v>
      </c>
      <c r="F2995" t="s">
        <v>137</v>
      </c>
      <c r="G2995">
        <v>8.9499999999999993</v>
      </c>
      <c r="H2995" t="s">
        <v>47</v>
      </c>
      <c r="I2995" t="s">
        <v>48</v>
      </c>
      <c r="J2995" t="s">
        <v>49</v>
      </c>
      <c r="K2995">
        <v>393.71</v>
      </c>
      <c r="L2995" t="s">
        <v>7078</v>
      </c>
      <c r="M2995">
        <f>VLOOKUP(H2995,'Stage Order'!$A$2:$B$8,2,FALSE)</f>
        <v>4</v>
      </c>
      <c r="N2995" t="str">
        <f t="shared" si="92"/>
        <v>2. 1-24 hours</v>
      </c>
      <c r="O2995" t="str">
        <f t="shared" si="93"/>
        <v>2025-05</v>
      </c>
    </row>
    <row r="2996" spans="1:15" x14ac:dyDescent="0.3">
      <c r="A2996" t="s">
        <v>7079</v>
      </c>
      <c r="B2996" t="s">
        <v>7080</v>
      </c>
      <c r="C2996" t="s">
        <v>37</v>
      </c>
      <c r="D2996" t="s">
        <v>54</v>
      </c>
      <c r="E2996" t="s">
        <v>59</v>
      </c>
      <c r="F2996" t="s">
        <v>60</v>
      </c>
      <c r="G2996">
        <v>4.58</v>
      </c>
      <c r="H2996" t="s">
        <v>41</v>
      </c>
      <c r="I2996" t="s">
        <v>42</v>
      </c>
      <c r="M2996">
        <f>VLOOKUP(H2996,'Stage Order'!$A$2:$B$8,2,FALSE)</f>
        <v>2</v>
      </c>
      <c r="N2996" t="str">
        <f t="shared" si="92"/>
        <v>2. 1-24 hours</v>
      </c>
      <c r="O2996" t="str">
        <f t="shared" si="93"/>
        <v>2026-02</v>
      </c>
    </row>
    <row r="2997" spans="1:15" x14ac:dyDescent="0.3">
      <c r="A2997" t="s">
        <v>7081</v>
      </c>
      <c r="B2997" t="s">
        <v>7082</v>
      </c>
      <c r="C2997" t="s">
        <v>125</v>
      </c>
      <c r="D2997" t="s">
        <v>77</v>
      </c>
      <c r="E2997" t="s">
        <v>39</v>
      </c>
      <c r="F2997" t="s">
        <v>40</v>
      </c>
      <c r="G2997">
        <v>2.8</v>
      </c>
      <c r="H2997" t="s">
        <v>128</v>
      </c>
      <c r="I2997" t="s">
        <v>42</v>
      </c>
      <c r="M2997">
        <f>VLOOKUP(H2997,'Stage Order'!$A$2:$B$8,2,FALSE)</f>
        <v>3</v>
      </c>
      <c r="N2997" t="str">
        <f t="shared" si="92"/>
        <v>2. 1-24 hours</v>
      </c>
      <c r="O2997" t="str">
        <f t="shared" si="93"/>
        <v>2025-03</v>
      </c>
    </row>
    <row r="2998" spans="1:15" x14ac:dyDescent="0.3">
      <c r="A2998" t="s">
        <v>7083</v>
      </c>
      <c r="B2998" t="s">
        <v>7084</v>
      </c>
      <c r="C2998" t="s">
        <v>53</v>
      </c>
      <c r="D2998" t="s">
        <v>29</v>
      </c>
      <c r="E2998" t="s">
        <v>30</v>
      </c>
      <c r="F2998" t="s">
        <v>82</v>
      </c>
      <c r="G2998">
        <v>2.69</v>
      </c>
      <c r="H2998" t="s">
        <v>32</v>
      </c>
      <c r="I2998" t="s">
        <v>33</v>
      </c>
      <c r="K2998">
        <v>767.67</v>
      </c>
      <c r="L2998" t="s">
        <v>7085</v>
      </c>
      <c r="M2998">
        <f>VLOOKUP(H2998,'Stage Order'!$A$2:$B$8,2,FALSE)</f>
        <v>7</v>
      </c>
      <c r="N2998" t="str">
        <f t="shared" si="92"/>
        <v>2. 1-24 hours</v>
      </c>
      <c r="O2998" t="str">
        <f t="shared" si="93"/>
        <v>2025-02</v>
      </c>
    </row>
    <row r="2999" spans="1:15" x14ac:dyDescent="0.3">
      <c r="A2999" t="s">
        <v>7086</v>
      </c>
      <c r="B2999" t="s">
        <v>7087</v>
      </c>
      <c r="C2999" t="s">
        <v>125</v>
      </c>
      <c r="D2999" t="s">
        <v>77</v>
      </c>
      <c r="E2999" t="s">
        <v>45</v>
      </c>
      <c r="F2999" t="s">
        <v>94</v>
      </c>
      <c r="G2999">
        <v>1.1599999999999999</v>
      </c>
      <c r="H2999" t="s">
        <v>32</v>
      </c>
      <c r="I2999" t="s">
        <v>33</v>
      </c>
      <c r="K2999">
        <v>984.53</v>
      </c>
      <c r="L2999" t="s">
        <v>7088</v>
      </c>
      <c r="M2999">
        <f>VLOOKUP(H2999,'Stage Order'!$A$2:$B$8,2,FALSE)</f>
        <v>7</v>
      </c>
      <c r="N2999" t="str">
        <f t="shared" si="92"/>
        <v>2. 1-24 hours</v>
      </c>
      <c r="O2999" t="str">
        <f t="shared" si="93"/>
        <v>2025-02</v>
      </c>
    </row>
    <row r="3000" spans="1:15" x14ac:dyDescent="0.3">
      <c r="A3000" t="s">
        <v>7089</v>
      </c>
      <c r="B3000" t="s">
        <v>7090</v>
      </c>
      <c r="C3000" t="s">
        <v>37</v>
      </c>
      <c r="D3000" t="s">
        <v>97</v>
      </c>
      <c r="E3000" t="s">
        <v>45</v>
      </c>
      <c r="F3000" t="s">
        <v>55</v>
      </c>
      <c r="G3000">
        <v>7.76</v>
      </c>
      <c r="H3000" t="s">
        <v>41</v>
      </c>
      <c r="I3000" t="s">
        <v>42</v>
      </c>
      <c r="M3000">
        <f>VLOOKUP(H3000,'Stage Order'!$A$2:$B$8,2,FALSE)</f>
        <v>2</v>
      </c>
      <c r="N3000" t="str">
        <f t="shared" si="92"/>
        <v>2. 1-24 hours</v>
      </c>
      <c r="O3000" t="str">
        <f t="shared" si="93"/>
        <v>2026-06</v>
      </c>
    </row>
    <row r="3001" spans="1:15" x14ac:dyDescent="0.3">
      <c r="A3001" t="s">
        <v>7091</v>
      </c>
      <c r="B3001" t="s">
        <v>7092</v>
      </c>
      <c r="C3001" t="s">
        <v>28</v>
      </c>
      <c r="D3001" t="s">
        <v>97</v>
      </c>
      <c r="E3001" t="s">
        <v>39</v>
      </c>
      <c r="F3001" t="s">
        <v>66</v>
      </c>
      <c r="G3001">
        <v>1.47</v>
      </c>
      <c r="H3001" t="s">
        <v>41</v>
      </c>
      <c r="I3001" t="s">
        <v>42</v>
      </c>
      <c r="M3001">
        <f>VLOOKUP(H3001,'Stage Order'!$A$2:$B$8,2,FALSE)</f>
        <v>2</v>
      </c>
      <c r="N3001" t="str">
        <f t="shared" si="92"/>
        <v>2. 1-24 hours</v>
      </c>
      <c r="O3001" t="str">
        <f t="shared" si="93"/>
        <v>2025-03</v>
      </c>
    </row>
    <row r="3002" spans="1:15" x14ac:dyDescent="0.3">
      <c r="A3002" t="s">
        <v>7093</v>
      </c>
      <c r="B3002" t="s">
        <v>7094</v>
      </c>
      <c r="C3002" t="s">
        <v>37</v>
      </c>
      <c r="D3002" t="s">
        <v>77</v>
      </c>
      <c r="E3002" t="s">
        <v>30</v>
      </c>
      <c r="F3002" t="s">
        <v>31</v>
      </c>
      <c r="G3002">
        <v>1.1000000000000001</v>
      </c>
      <c r="H3002" t="s">
        <v>138</v>
      </c>
      <c r="I3002" t="s">
        <v>48</v>
      </c>
      <c r="J3002" t="s">
        <v>113</v>
      </c>
      <c r="K3002">
        <v>1108.8900000000001</v>
      </c>
      <c r="L3002" t="s">
        <v>7095</v>
      </c>
      <c r="M3002">
        <f>VLOOKUP(H3002,'Stage Order'!$A$2:$B$8,2,FALSE)</f>
        <v>6</v>
      </c>
      <c r="N3002" t="str">
        <f t="shared" si="92"/>
        <v>2. 1-24 hours</v>
      </c>
      <c r="O3002" t="str">
        <f t="shared" si="93"/>
        <v>2025-08</v>
      </c>
    </row>
    <row r="3003" spans="1:15" x14ac:dyDescent="0.3">
      <c r="A3003" t="s">
        <v>7096</v>
      </c>
      <c r="B3003" t="s">
        <v>7097</v>
      </c>
      <c r="C3003" t="s">
        <v>37</v>
      </c>
      <c r="D3003" t="s">
        <v>97</v>
      </c>
      <c r="E3003" t="s">
        <v>39</v>
      </c>
      <c r="F3003" t="s">
        <v>40</v>
      </c>
      <c r="G3003">
        <v>3.05</v>
      </c>
      <c r="H3003" t="s">
        <v>61</v>
      </c>
      <c r="I3003" t="s">
        <v>42</v>
      </c>
      <c r="M3003">
        <f>VLOOKUP(H3003,'Stage Order'!$A$2:$B$8,2,FALSE)</f>
        <v>1</v>
      </c>
      <c r="N3003" t="str">
        <f t="shared" si="92"/>
        <v>2. 1-24 hours</v>
      </c>
      <c r="O3003" t="str">
        <f t="shared" si="93"/>
        <v>2025-11</v>
      </c>
    </row>
    <row r="3004" spans="1:15" x14ac:dyDescent="0.3">
      <c r="A3004" t="s">
        <v>7098</v>
      </c>
      <c r="B3004" t="s">
        <v>7099</v>
      </c>
      <c r="C3004" t="s">
        <v>37</v>
      </c>
      <c r="D3004" t="s">
        <v>77</v>
      </c>
      <c r="E3004" t="s">
        <v>45</v>
      </c>
      <c r="F3004" t="s">
        <v>94</v>
      </c>
      <c r="G3004">
        <v>0.7</v>
      </c>
      <c r="H3004" t="s">
        <v>32</v>
      </c>
      <c r="I3004" t="s">
        <v>33</v>
      </c>
      <c r="K3004">
        <v>1078.8800000000001</v>
      </c>
      <c r="L3004" t="s">
        <v>7100</v>
      </c>
      <c r="M3004">
        <f>VLOOKUP(H3004,'Stage Order'!$A$2:$B$8,2,FALSE)</f>
        <v>7</v>
      </c>
      <c r="N3004" t="str">
        <f t="shared" si="92"/>
        <v>1. Under 1 hour</v>
      </c>
      <c r="O3004" t="str">
        <f t="shared" si="93"/>
        <v>2026-06</v>
      </c>
    </row>
    <row r="3005" spans="1:15" x14ac:dyDescent="0.3">
      <c r="A3005" t="s">
        <v>7101</v>
      </c>
      <c r="B3005" t="s">
        <v>7102</v>
      </c>
      <c r="C3005" t="s">
        <v>37</v>
      </c>
      <c r="D3005" t="s">
        <v>29</v>
      </c>
      <c r="E3005" t="s">
        <v>30</v>
      </c>
      <c r="F3005" t="s">
        <v>82</v>
      </c>
      <c r="G3005">
        <v>0.63</v>
      </c>
      <c r="H3005" t="s">
        <v>41</v>
      </c>
      <c r="I3005" t="s">
        <v>42</v>
      </c>
      <c r="M3005">
        <f>VLOOKUP(H3005,'Stage Order'!$A$2:$B$8,2,FALSE)</f>
        <v>2</v>
      </c>
      <c r="N3005" t="str">
        <f t="shared" si="92"/>
        <v>1. Under 1 hour</v>
      </c>
      <c r="O3005" t="str">
        <f t="shared" si="93"/>
        <v>2026-02</v>
      </c>
    </row>
    <row r="3006" spans="1:15" x14ac:dyDescent="0.3">
      <c r="A3006" t="s">
        <v>7103</v>
      </c>
      <c r="B3006" t="s">
        <v>7104</v>
      </c>
      <c r="C3006" t="s">
        <v>58</v>
      </c>
      <c r="D3006" t="s">
        <v>77</v>
      </c>
      <c r="E3006" t="s">
        <v>30</v>
      </c>
      <c r="F3006" t="s">
        <v>82</v>
      </c>
      <c r="G3006">
        <v>1.05</v>
      </c>
      <c r="H3006" t="s">
        <v>41</v>
      </c>
      <c r="I3006" t="s">
        <v>42</v>
      </c>
      <c r="M3006">
        <f>VLOOKUP(H3006,'Stage Order'!$A$2:$B$8,2,FALSE)</f>
        <v>2</v>
      </c>
      <c r="N3006" t="str">
        <f t="shared" si="92"/>
        <v>2. 1-24 hours</v>
      </c>
      <c r="O3006" t="str">
        <f t="shared" si="93"/>
        <v>2025-09</v>
      </c>
    </row>
    <row r="3007" spans="1:15" x14ac:dyDescent="0.3">
      <c r="A3007" t="s">
        <v>7105</v>
      </c>
      <c r="B3007" t="s">
        <v>7106</v>
      </c>
      <c r="C3007" t="s">
        <v>125</v>
      </c>
      <c r="D3007" t="s">
        <v>77</v>
      </c>
      <c r="E3007" t="s">
        <v>45</v>
      </c>
      <c r="F3007" t="s">
        <v>46</v>
      </c>
      <c r="G3007">
        <v>6.87</v>
      </c>
      <c r="H3007" t="s">
        <v>61</v>
      </c>
      <c r="I3007" t="s">
        <v>42</v>
      </c>
      <c r="M3007">
        <f>VLOOKUP(H3007,'Stage Order'!$A$2:$B$8,2,FALSE)</f>
        <v>1</v>
      </c>
      <c r="N3007" t="str">
        <f t="shared" si="92"/>
        <v>2. 1-24 hours</v>
      </c>
      <c r="O3007" t="str">
        <f t="shared" si="93"/>
        <v>2026-04</v>
      </c>
    </row>
    <row r="3008" spans="1:15" x14ac:dyDescent="0.3">
      <c r="A3008" t="s">
        <v>7107</v>
      </c>
      <c r="B3008" t="s">
        <v>7108</v>
      </c>
      <c r="C3008" t="s">
        <v>125</v>
      </c>
      <c r="D3008" t="s">
        <v>97</v>
      </c>
      <c r="E3008" t="s">
        <v>45</v>
      </c>
      <c r="F3008" t="s">
        <v>94</v>
      </c>
      <c r="G3008">
        <v>5.87</v>
      </c>
      <c r="H3008" t="s">
        <v>61</v>
      </c>
      <c r="I3008" t="s">
        <v>42</v>
      </c>
      <c r="M3008">
        <f>VLOOKUP(H3008,'Stage Order'!$A$2:$B$8,2,FALSE)</f>
        <v>1</v>
      </c>
      <c r="N3008" t="str">
        <f t="shared" si="92"/>
        <v>2. 1-24 hours</v>
      </c>
      <c r="O3008" t="str">
        <f t="shared" si="93"/>
        <v>2025-05</v>
      </c>
    </row>
    <row r="3009" spans="1:15" x14ac:dyDescent="0.3">
      <c r="A3009" t="s">
        <v>7109</v>
      </c>
      <c r="B3009" t="s">
        <v>7110</v>
      </c>
      <c r="C3009" t="s">
        <v>58</v>
      </c>
      <c r="D3009" t="s">
        <v>77</v>
      </c>
      <c r="E3009" t="s">
        <v>45</v>
      </c>
      <c r="F3009" t="s">
        <v>46</v>
      </c>
      <c r="G3009">
        <v>3.44</v>
      </c>
      <c r="H3009" t="s">
        <v>41</v>
      </c>
      <c r="I3009" t="s">
        <v>42</v>
      </c>
      <c r="M3009">
        <f>VLOOKUP(H3009,'Stage Order'!$A$2:$B$8,2,FALSE)</f>
        <v>2</v>
      </c>
      <c r="N3009" t="str">
        <f t="shared" si="92"/>
        <v>2. 1-24 hours</v>
      </c>
      <c r="O3009" t="str">
        <f t="shared" si="93"/>
        <v>2025-05</v>
      </c>
    </row>
    <row r="3010" spans="1:15" x14ac:dyDescent="0.3">
      <c r="A3010" t="s">
        <v>7111</v>
      </c>
      <c r="B3010" t="s">
        <v>7112</v>
      </c>
      <c r="C3010" t="s">
        <v>58</v>
      </c>
      <c r="D3010" t="s">
        <v>29</v>
      </c>
      <c r="E3010" t="s">
        <v>30</v>
      </c>
      <c r="F3010" t="s">
        <v>31</v>
      </c>
      <c r="G3010">
        <v>9.6</v>
      </c>
      <c r="H3010" t="s">
        <v>41</v>
      </c>
      <c r="I3010" t="s">
        <v>42</v>
      </c>
      <c r="M3010">
        <f>VLOOKUP(H3010,'Stage Order'!$A$2:$B$8,2,FALSE)</f>
        <v>2</v>
      </c>
      <c r="N3010" t="str">
        <f t="shared" ref="N3010:N3073" si="94">IF(G3010&lt;=1,"1. Under 1 hour",IF(G3010&lt;=24,"2. 1-24 hours",IF(G3010&lt;=72,"3. 1-3 days","4. Over 3 days")))</f>
        <v>2. 1-24 hours</v>
      </c>
      <c r="O3010" t="str">
        <f t="shared" ref="O3010:O3073" si="95">TEXT(B3010,"YYYY-MM")</f>
        <v>2025-01</v>
      </c>
    </row>
    <row r="3011" spans="1:15" x14ac:dyDescent="0.3">
      <c r="A3011" t="s">
        <v>7113</v>
      </c>
      <c r="B3011" t="s">
        <v>7114</v>
      </c>
      <c r="C3011" t="s">
        <v>37</v>
      </c>
      <c r="D3011" t="s">
        <v>54</v>
      </c>
      <c r="E3011" t="s">
        <v>59</v>
      </c>
      <c r="F3011" t="s">
        <v>60</v>
      </c>
      <c r="G3011">
        <v>3.92</v>
      </c>
      <c r="H3011" t="s">
        <v>41</v>
      </c>
      <c r="I3011" t="s">
        <v>42</v>
      </c>
      <c r="M3011">
        <f>VLOOKUP(H3011,'Stage Order'!$A$2:$B$8,2,FALSE)</f>
        <v>2</v>
      </c>
      <c r="N3011" t="str">
        <f t="shared" si="94"/>
        <v>2. 1-24 hours</v>
      </c>
      <c r="O3011" t="str">
        <f t="shared" si="95"/>
        <v>2026-06</v>
      </c>
    </row>
    <row r="3012" spans="1:15" x14ac:dyDescent="0.3">
      <c r="A3012" t="s">
        <v>7115</v>
      </c>
      <c r="B3012" t="s">
        <v>7116</v>
      </c>
      <c r="C3012" t="s">
        <v>81</v>
      </c>
      <c r="D3012" t="s">
        <v>38</v>
      </c>
      <c r="E3012" t="s">
        <v>45</v>
      </c>
      <c r="F3012" t="s">
        <v>55</v>
      </c>
      <c r="G3012">
        <v>1.84</v>
      </c>
      <c r="H3012" t="s">
        <v>41</v>
      </c>
      <c r="I3012" t="s">
        <v>42</v>
      </c>
      <c r="M3012">
        <f>VLOOKUP(H3012,'Stage Order'!$A$2:$B$8,2,FALSE)</f>
        <v>2</v>
      </c>
      <c r="N3012" t="str">
        <f t="shared" si="94"/>
        <v>2. 1-24 hours</v>
      </c>
      <c r="O3012" t="str">
        <f t="shared" si="95"/>
        <v>2025-12</v>
      </c>
    </row>
    <row r="3013" spans="1:15" x14ac:dyDescent="0.3">
      <c r="A3013" t="s">
        <v>7117</v>
      </c>
      <c r="B3013" t="s">
        <v>7118</v>
      </c>
      <c r="C3013" t="s">
        <v>58</v>
      </c>
      <c r="D3013" t="s">
        <v>38</v>
      </c>
      <c r="E3013" t="s">
        <v>39</v>
      </c>
      <c r="F3013" t="s">
        <v>40</v>
      </c>
      <c r="G3013">
        <v>3.16</v>
      </c>
      <c r="H3013" t="s">
        <v>47</v>
      </c>
      <c r="I3013" t="s">
        <v>48</v>
      </c>
      <c r="J3013" t="s">
        <v>139</v>
      </c>
      <c r="K3013">
        <v>308.05</v>
      </c>
      <c r="L3013" t="s">
        <v>7119</v>
      </c>
      <c r="M3013">
        <f>VLOOKUP(H3013,'Stage Order'!$A$2:$B$8,2,FALSE)</f>
        <v>4</v>
      </c>
      <c r="N3013" t="str">
        <f t="shared" si="94"/>
        <v>2. 1-24 hours</v>
      </c>
      <c r="O3013" t="str">
        <f t="shared" si="95"/>
        <v>2025-02</v>
      </c>
    </row>
    <row r="3014" spans="1:15" x14ac:dyDescent="0.3">
      <c r="A3014" t="s">
        <v>7120</v>
      </c>
      <c r="B3014" t="s">
        <v>7121</v>
      </c>
      <c r="C3014" t="s">
        <v>58</v>
      </c>
      <c r="D3014" t="s">
        <v>29</v>
      </c>
      <c r="E3014" t="s">
        <v>39</v>
      </c>
      <c r="F3014" t="s">
        <v>66</v>
      </c>
      <c r="G3014">
        <v>16.72</v>
      </c>
      <c r="H3014" t="s">
        <v>41</v>
      </c>
      <c r="I3014" t="s">
        <v>42</v>
      </c>
      <c r="M3014">
        <f>VLOOKUP(H3014,'Stage Order'!$A$2:$B$8,2,FALSE)</f>
        <v>2</v>
      </c>
      <c r="N3014" t="str">
        <f t="shared" si="94"/>
        <v>2. 1-24 hours</v>
      </c>
      <c r="O3014" t="str">
        <f t="shared" si="95"/>
        <v>2025-05</v>
      </c>
    </row>
    <row r="3015" spans="1:15" x14ac:dyDescent="0.3">
      <c r="A3015" t="s">
        <v>7122</v>
      </c>
      <c r="B3015" t="s">
        <v>7123</v>
      </c>
      <c r="C3015" t="s">
        <v>58</v>
      </c>
      <c r="D3015" t="s">
        <v>77</v>
      </c>
      <c r="E3015" t="s">
        <v>45</v>
      </c>
      <c r="F3015" t="s">
        <v>55</v>
      </c>
      <c r="G3015">
        <v>3.63</v>
      </c>
      <c r="H3015" t="s">
        <v>41</v>
      </c>
      <c r="I3015" t="s">
        <v>42</v>
      </c>
      <c r="M3015">
        <f>VLOOKUP(H3015,'Stage Order'!$A$2:$B$8,2,FALSE)</f>
        <v>2</v>
      </c>
      <c r="N3015" t="str">
        <f t="shared" si="94"/>
        <v>2. 1-24 hours</v>
      </c>
      <c r="O3015" t="str">
        <f t="shared" si="95"/>
        <v>2026-05</v>
      </c>
    </row>
    <row r="3016" spans="1:15" x14ac:dyDescent="0.3">
      <c r="A3016" t="s">
        <v>7124</v>
      </c>
      <c r="B3016" t="s">
        <v>7125</v>
      </c>
      <c r="C3016" t="s">
        <v>58</v>
      </c>
      <c r="D3016" t="s">
        <v>54</v>
      </c>
      <c r="E3016" t="s">
        <v>59</v>
      </c>
      <c r="F3016" t="s">
        <v>137</v>
      </c>
      <c r="G3016">
        <v>4.99</v>
      </c>
      <c r="H3016" t="s">
        <v>61</v>
      </c>
      <c r="I3016" t="s">
        <v>42</v>
      </c>
      <c r="M3016">
        <f>VLOOKUP(H3016,'Stage Order'!$A$2:$B$8,2,FALSE)</f>
        <v>1</v>
      </c>
      <c r="N3016" t="str">
        <f t="shared" si="94"/>
        <v>2. 1-24 hours</v>
      </c>
      <c r="O3016" t="str">
        <f t="shared" si="95"/>
        <v>2025-06</v>
      </c>
    </row>
    <row r="3017" spans="1:15" x14ac:dyDescent="0.3">
      <c r="A3017" t="s">
        <v>7126</v>
      </c>
      <c r="B3017" t="s">
        <v>7127</v>
      </c>
      <c r="C3017" t="s">
        <v>37</v>
      </c>
      <c r="D3017" t="s">
        <v>54</v>
      </c>
      <c r="E3017" t="s">
        <v>30</v>
      </c>
      <c r="F3017" t="s">
        <v>31</v>
      </c>
      <c r="G3017">
        <v>2.11</v>
      </c>
      <c r="H3017" t="s">
        <v>32</v>
      </c>
      <c r="I3017" t="s">
        <v>33</v>
      </c>
      <c r="K3017">
        <v>561.37</v>
      </c>
      <c r="L3017" t="s">
        <v>7128</v>
      </c>
      <c r="M3017">
        <f>VLOOKUP(H3017,'Stage Order'!$A$2:$B$8,2,FALSE)</f>
        <v>7</v>
      </c>
      <c r="N3017" t="str">
        <f t="shared" si="94"/>
        <v>2. 1-24 hours</v>
      </c>
      <c r="O3017" t="str">
        <f t="shared" si="95"/>
        <v>2025-01</v>
      </c>
    </row>
    <row r="3018" spans="1:15" x14ac:dyDescent="0.3">
      <c r="A3018" t="s">
        <v>7129</v>
      </c>
      <c r="B3018" t="s">
        <v>7130</v>
      </c>
      <c r="C3018" t="s">
        <v>28</v>
      </c>
      <c r="D3018" t="s">
        <v>29</v>
      </c>
      <c r="E3018" t="s">
        <v>39</v>
      </c>
      <c r="F3018" t="s">
        <v>66</v>
      </c>
      <c r="G3018">
        <v>5.16</v>
      </c>
      <c r="H3018" t="s">
        <v>41</v>
      </c>
      <c r="I3018" t="s">
        <v>42</v>
      </c>
      <c r="M3018">
        <f>VLOOKUP(H3018,'Stage Order'!$A$2:$B$8,2,FALSE)</f>
        <v>2</v>
      </c>
      <c r="N3018" t="str">
        <f t="shared" si="94"/>
        <v>2. 1-24 hours</v>
      </c>
      <c r="O3018" t="str">
        <f t="shared" si="95"/>
        <v>2026-06</v>
      </c>
    </row>
    <row r="3019" spans="1:15" x14ac:dyDescent="0.3">
      <c r="A3019" t="s">
        <v>7131</v>
      </c>
      <c r="B3019" t="s">
        <v>7132</v>
      </c>
      <c r="C3019" t="s">
        <v>37</v>
      </c>
      <c r="D3019" t="s">
        <v>29</v>
      </c>
      <c r="E3019" t="s">
        <v>90</v>
      </c>
      <c r="F3019" t="s">
        <v>145</v>
      </c>
      <c r="G3019">
        <v>5.94</v>
      </c>
      <c r="H3019" t="s">
        <v>146</v>
      </c>
      <c r="I3019" t="s">
        <v>48</v>
      </c>
      <c r="J3019" t="s">
        <v>98</v>
      </c>
      <c r="K3019">
        <v>682.36</v>
      </c>
      <c r="L3019" t="s">
        <v>7133</v>
      </c>
      <c r="M3019">
        <f>VLOOKUP(H3019,'Stage Order'!$A$2:$B$8,2,FALSE)</f>
        <v>5</v>
      </c>
      <c r="N3019" t="str">
        <f t="shared" si="94"/>
        <v>2. 1-24 hours</v>
      </c>
      <c r="O3019" t="str">
        <f t="shared" si="95"/>
        <v>2025-04</v>
      </c>
    </row>
    <row r="3020" spans="1:15" x14ac:dyDescent="0.3">
      <c r="A3020" t="s">
        <v>7134</v>
      </c>
      <c r="B3020" t="s">
        <v>7135</v>
      </c>
      <c r="C3020" t="s">
        <v>37</v>
      </c>
      <c r="D3020" t="s">
        <v>29</v>
      </c>
      <c r="E3020" t="s">
        <v>45</v>
      </c>
      <c r="F3020" t="s">
        <v>46</v>
      </c>
      <c r="G3020">
        <v>0.87</v>
      </c>
      <c r="H3020" t="s">
        <v>32</v>
      </c>
      <c r="I3020" t="s">
        <v>33</v>
      </c>
      <c r="K3020">
        <v>738.17</v>
      </c>
      <c r="L3020" t="s">
        <v>7136</v>
      </c>
      <c r="M3020">
        <f>VLOOKUP(H3020,'Stage Order'!$A$2:$B$8,2,FALSE)</f>
        <v>7</v>
      </c>
      <c r="N3020" t="str">
        <f t="shared" si="94"/>
        <v>1. Under 1 hour</v>
      </c>
      <c r="O3020" t="str">
        <f t="shared" si="95"/>
        <v>2026-05</v>
      </c>
    </row>
    <row r="3021" spans="1:15" x14ac:dyDescent="0.3">
      <c r="A3021" t="s">
        <v>7137</v>
      </c>
      <c r="B3021" t="s">
        <v>7138</v>
      </c>
      <c r="C3021" t="s">
        <v>28</v>
      </c>
      <c r="D3021" t="s">
        <v>54</v>
      </c>
      <c r="E3021" t="s">
        <v>59</v>
      </c>
      <c r="F3021" t="s">
        <v>117</v>
      </c>
      <c r="G3021">
        <v>1.31</v>
      </c>
      <c r="H3021" t="s">
        <v>32</v>
      </c>
      <c r="I3021" t="s">
        <v>33</v>
      </c>
      <c r="K3021">
        <v>559.6</v>
      </c>
      <c r="L3021" t="s">
        <v>7139</v>
      </c>
      <c r="M3021">
        <f>VLOOKUP(H3021,'Stage Order'!$A$2:$B$8,2,FALSE)</f>
        <v>7</v>
      </c>
      <c r="N3021" t="str">
        <f t="shared" si="94"/>
        <v>2. 1-24 hours</v>
      </c>
      <c r="O3021" t="str">
        <f t="shared" si="95"/>
        <v>2026-06</v>
      </c>
    </row>
    <row r="3022" spans="1:15" x14ac:dyDescent="0.3">
      <c r="A3022" t="s">
        <v>7140</v>
      </c>
      <c r="B3022" t="s">
        <v>7141</v>
      </c>
      <c r="C3022" t="s">
        <v>58</v>
      </c>
      <c r="D3022" t="s">
        <v>38</v>
      </c>
      <c r="E3022" t="s">
        <v>59</v>
      </c>
      <c r="F3022" t="s">
        <v>137</v>
      </c>
      <c r="G3022">
        <v>7.13</v>
      </c>
      <c r="H3022" t="s">
        <v>138</v>
      </c>
      <c r="I3022" t="s">
        <v>48</v>
      </c>
      <c r="J3022" t="s">
        <v>113</v>
      </c>
      <c r="K3022">
        <v>421.26</v>
      </c>
      <c r="L3022" t="s">
        <v>7142</v>
      </c>
      <c r="M3022">
        <f>VLOOKUP(H3022,'Stage Order'!$A$2:$B$8,2,FALSE)</f>
        <v>6</v>
      </c>
      <c r="N3022" t="str">
        <f t="shared" si="94"/>
        <v>2. 1-24 hours</v>
      </c>
      <c r="O3022" t="str">
        <f t="shared" si="95"/>
        <v>2026-06</v>
      </c>
    </row>
    <row r="3023" spans="1:15" x14ac:dyDescent="0.3">
      <c r="A3023" t="s">
        <v>7143</v>
      </c>
      <c r="B3023" t="s">
        <v>7144</v>
      </c>
      <c r="C3023" t="s">
        <v>37</v>
      </c>
      <c r="D3023" t="s">
        <v>97</v>
      </c>
      <c r="E3023" t="s">
        <v>45</v>
      </c>
      <c r="F3023" t="s">
        <v>55</v>
      </c>
      <c r="G3023">
        <v>3.77</v>
      </c>
      <c r="H3023" t="s">
        <v>41</v>
      </c>
      <c r="I3023" t="s">
        <v>42</v>
      </c>
      <c r="M3023">
        <f>VLOOKUP(H3023,'Stage Order'!$A$2:$B$8,2,FALSE)</f>
        <v>2</v>
      </c>
      <c r="N3023" t="str">
        <f t="shared" si="94"/>
        <v>2. 1-24 hours</v>
      </c>
      <c r="O3023" t="str">
        <f t="shared" si="95"/>
        <v>2025-09</v>
      </c>
    </row>
    <row r="3024" spans="1:15" x14ac:dyDescent="0.3">
      <c r="A3024" t="s">
        <v>7145</v>
      </c>
      <c r="B3024" t="s">
        <v>7146</v>
      </c>
      <c r="C3024" t="s">
        <v>125</v>
      </c>
      <c r="D3024" t="s">
        <v>77</v>
      </c>
      <c r="E3024" t="s">
        <v>59</v>
      </c>
      <c r="F3024" t="s">
        <v>60</v>
      </c>
      <c r="G3024">
        <v>0.54</v>
      </c>
      <c r="H3024" t="s">
        <v>61</v>
      </c>
      <c r="I3024" t="s">
        <v>42</v>
      </c>
      <c r="M3024">
        <f>VLOOKUP(H3024,'Stage Order'!$A$2:$B$8,2,FALSE)</f>
        <v>1</v>
      </c>
      <c r="N3024" t="str">
        <f t="shared" si="94"/>
        <v>1. Under 1 hour</v>
      </c>
      <c r="O3024" t="str">
        <f t="shared" si="95"/>
        <v>2025-09</v>
      </c>
    </row>
    <row r="3025" spans="1:15" x14ac:dyDescent="0.3">
      <c r="A3025" t="s">
        <v>7147</v>
      </c>
      <c r="B3025" t="s">
        <v>7148</v>
      </c>
      <c r="C3025" t="s">
        <v>37</v>
      </c>
      <c r="D3025" t="s">
        <v>77</v>
      </c>
      <c r="E3025" t="s">
        <v>39</v>
      </c>
      <c r="F3025" t="s">
        <v>106</v>
      </c>
      <c r="G3025">
        <v>1.69</v>
      </c>
      <c r="H3025" t="s">
        <v>146</v>
      </c>
      <c r="I3025" t="s">
        <v>48</v>
      </c>
      <c r="J3025" t="s">
        <v>742</v>
      </c>
      <c r="K3025">
        <v>1077.2</v>
      </c>
      <c r="L3025" t="s">
        <v>7149</v>
      </c>
      <c r="M3025">
        <f>VLOOKUP(H3025,'Stage Order'!$A$2:$B$8,2,FALSE)</f>
        <v>5</v>
      </c>
      <c r="N3025" t="str">
        <f t="shared" si="94"/>
        <v>2. 1-24 hours</v>
      </c>
      <c r="O3025" t="str">
        <f t="shared" si="95"/>
        <v>2026-06</v>
      </c>
    </row>
    <row r="3026" spans="1:15" x14ac:dyDescent="0.3">
      <c r="A3026" t="s">
        <v>7150</v>
      </c>
      <c r="B3026" t="s">
        <v>7151</v>
      </c>
      <c r="C3026" t="s">
        <v>37</v>
      </c>
      <c r="D3026" t="s">
        <v>29</v>
      </c>
      <c r="E3026" t="s">
        <v>45</v>
      </c>
      <c r="F3026" t="s">
        <v>46</v>
      </c>
      <c r="G3026">
        <v>0.47</v>
      </c>
      <c r="H3026" t="s">
        <v>138</v>
      </c>
      <c r="I3026" t="s">
        <v>48</v>
      </c>
      <c r="J3026" t="s">
        <v>113</v>
      </c>
      <c r="K3026">
        <v>609.09</v>
      </c>
      <c r="L3026" t="s">
        <v>7152</v>
      </c>
      <c r="M3026">
        <f>VLOOKUP(H3026,'Stage Order'!$A$2:$B$8,2,FALSE)</f>
        <v>6</v>
      </c>
      <c r="N3026" t="str">
        <f t="shared" si="94"/>
        <v>1. Under 1 hour</v>
      </c>
      <c r="O3026" t="str">
        <f t="shared" si="95"/>
        <v>2026-02</v>
      </c>
    </row>
    <row r="3027" spans="1:15" x14ac:dyDescent="0.3">
      <c r="A3027" t="s">
        <v>7153</v>
      </c>
      <c r="B3027" t="s">
        <v>7154</v>
      </c>
      <c r="C3027" t="s">
        <v>125</v>
      </c>
      <c r="D3027" t="s">
        <v>77</v>
      </c>
      <c r="E3027" t="s">
        <v>90</v>
      </c>
      <c r="F3027" t="s">
        <v>112</v>
      </c>
      <c r="G3027">
        <v>5.67</v>
      </c>
      <c r="H3027" t="s">
        <v>61</v>
      </c>
      <c r="I3027" t="s">
        <v>42</v>
      </c>
      <c r="M3027">
        <f>VLOOKUP(H3027,'Stage Order'!$A$2:$B$8,2,FALSE)</f>
        <v>1</v>
      </c>
      <c r="N3027" t="str">
        <f t="shared" si="94"/>
        <v>2. 1-24 hours</v>
      </c>
      <c r="O3027" t="str">
        <f t="shared" si="95"/>
        <v>2025-07</v>
      </c>
    </row>
    <row r="3028" spans="1:15" x14ac:dyDescent="0.3">
      <c r="A3028" t="s">
        <v>7155</v>
      </c>
      <c r="B3028" t="s">
        <v>7156</v>
      </c>
      <c r="C3028" t="s">
        <v>81</v>
      </c>
      <c r="D3028" t="s">
        <v>38</v>
      </c>
      <c r="E3028" t="s">
        <v>59</v>
      </c>
      <c r="F3028" t="s">
        <v>117</v>
      </c>
      <c r="G3028">
        <v>3.89</v>
      </c>
      <c r="H3028" t="s">
        <v>41</v>
      </c>
      <c r="I3028" t="s">
        <v>42</v>
      </c>
      <c r="M3028">
        <f>VLOOKUP(H3028,'Stage Order'!$A$2:$B$8,2,FALSE)</f>
        <v>2</v>
      </c>
      <c r="N3028" t="str">
        <f t="shared" si="94"/>
        <v>2. 1-24 hours</v>
      </c>
      <c r="O3028" t="str">
        <f t="shared" si="95"/>
        <v>2025-09</v>
      </c>
    </row>
    <row r="3029" spans="1:15" x14ac:dyDescent="0.3">
      <c r="A3029" t="s">
        <v>7157</v>
      </c>
      <c r="B3029" t="s">
        <v>7158</v>
      </c>
      <c r="C3029" t="s">
        <v>37</v>
      </c>
      <c r="D3029" t="s">
        <v>54</v>
      </c>
      <c r="E3029" t="s">
        <v>45</v>
      </c>
      <c r="F3029" t="s">
        <v>94</v>
      </c>
      <c r="G3029">
        <v>4.07</v>
      </c>
      <c r="H3029" t="s">
        <v>128</v>
      </c>
      <c r="I3029" t="s">
        <v>42</v>
      </c>
      <c r="M3029">
        <f>VLOOKUP(H3029,'Stage Order'!$A$2:$B$8,2,FALSE)</f>
        <v>3</v>
      </c>
      <c r="N3029" t="str">
        <f t="shared" si="94"/>
        <v>2. 1-24 hours</v>
      </c>
      <c r="O3029" t="str">
        <f t="shared" si="95"/>
        <v>2026-01</v>
      </c>
    </row>
    <row r="3030" spans="1:15" x14ac:dyDescent="0.3">
      <c r="A3030" t="s">
        <v>7159</v>
      </c>
      <c r="B3030" t="s">
        <v>7160</v>
      </c>
      <c r="C3030" t="s">
        <v>53</v>
      </c>
      <c r="D3030" t="s">
        <v>54</v>
      </c>
      <c r="E3030" t="s">
        <v>45</v>
      </c>
      <c r="F3030" t="s">
        <v>94</v>
      </c>
      <c r="G3030">
        <v>9.49</v>
      </c>
      <c r="H3030" t="s">
        <v>61</v>
      </c>
      <c r="I3030" t="s">
        <v>42</v>
      </c>
      <c r="M3030">
        <f>VLOOKUP(H3030,'Stage Order'!$A$2:$B$8,2,FALSE)</f>
        <v>1</v>
      </c>
      <c r="N3030" t="str">
        <f t="shared" si="94"/>
        <v>2. 1-24 hours</v>
      </c>
      <c r="O3030" t="str">
        <f t="shared" si="95"/>
        <v>2025-05</v>
      </c>
    </row>
    <row r="3031" spans="1:15" x14ac:dyDescent="0.3">
      <c r="A3031" t="s">
        <v>7161</v>
      </c>
      <c r="B3031" t="s">
        <v>7162</v>
      </c>
      <c r="C3031" t="s">
        <v>58</v>
      </c>
      <c r="D3031" t="s">
        <v>77</v>
      </c>
      <c r="E3031" t="s">
        <v>30</v>
      </c>
      <c r="F3031" t="s">
        <v>78</v>
      </c>
      <c r="G3031">
        <v>1.98</v>
      </c>
      <c r="H3031" t="s">
        <v>61</v>
      </c>
      <c r="I3031" t="s">
        <v>42</v>
      </c>
      <c r="M3031">
        <f>VLOOKUP(H3031,'Stage Order'!$A$2:$B$8,2,FALSE)</f>
        <v>1</v>
      </c>
      <c r="N3031" t="str">
        <f t="shared" si="94"/>
        <v>2. 1-24 hours</v>
      </c>
      <c r="O3031" t="str">
        <f t="shared" si="95"/>
        <v>2025-03</v>
      </c>
    </row>
    <row r="3032" spans="1:15" x14ac:dyDescent="0.3">
      <c r="A3032" t="s">
        <v>7163</v>
      </c>
      <c r="B3032" t="s">
        <v>7164</v>
      </c>
      <c r="C3032" t="s">
        <v>81</v>
      </c>
      <c r="D3032" t="s">
        <v>54</v>
      </c>
      <c r="E3032" t="s">
        <v>45</v>
      </c>
      <c r="F3032" t="s">
        <v>55</v>
      </c>
      <c r="G3032">
        <v>2.0499999999999998</v>
      </c>
      <c r="H3032" t="s">
        <v>41</v>
      </c>
      <c r="I3032" t="s">
        <v>42</v>
      </c>
      <c r="M3032">
        <f>VLOOKUP(H3032,'Stage Order'!$A$2:$B$8,2,FALSE)</f>
        <v>2</v>
      </c>
      <c r="N3032" t="str">
        <f t="shared" si="94"/>
        <v>2. 1-24 hours</v>
      </c>
      <c r="O3032" t="str">
        <f t="shared" si="95"/>
        <v>2025-02</v>
      </c>
    </row>
    <row r="3033" spans="1:15" x14ac:dyDescent="0.3">
      <c r="A3033" t="s">
        <v>7165</v>
      </c>
      <c r="B3033" t="s">
        <v>7166</v>
      </c>
      <c r="C3033" t="s">
        <v>53</v>
      </c>
      <c r="D3033" t="s">
        <v>38</v>
      </c>
      <c r="E3033" t="s">
        <v>39</v>
      </c>
      <c r="F3033" t="s">
        <v>40</v>
      </c>
      <c r="G3033">
        <v>4.42</v>
      </c>
      <c r="H3033" t="s">
        <v>128</v>
      </c>
      <c r="I3033" t="s">
        <v>42</v>
      </c>
      <c r="M3033">
        <f>VLOOKUP(H3033,'Stage Order'!$A$2:$B$8,2,FALSE)</f>
        <v>3</v>
      </c>
      <c r="N3033" t="str">
        <f t="shared" si="94"/>
        <v>2. 1-24 hours</v>
      </c>
      <c r="O3033" t="str">
        <f t="shared" si="95"/>
        <v>2025-05</v>
      </c>
    </row>
    <row r="3034" spans="1:15" x14ac:dyDescent="0.3">
      <c r="A3034" t="s">
        <v>7167</v>
      </c>
      <c r="B3034" t="s">
        <v>7168</v>
      </c>
      <c r="C3034" t="s">
        <v>76</v>
      </c>
      <c r="D3034" t="s">
        <v>77</v>
      </c>
      <c r="E3034" t="s">
        <v>45</v>
      </c>
      <c r="F3034" t="s">
        <v>46</v>
      </c>
      <c r="G3034">
        <v>0.79</v>
      </c>
      <c r="H3034" t="s">
        <v>41</v>
      </c>
      <c r="I3034" t="s">
        <v>42</v>
      </c>
      <c r="M3034">
        <f>VLOOKUP(H3034,'Stage Order'!$A$2:$B$8,2,FALSE)</f>
        <v>2</v>
      </c>
      <c r="N3034" t="str">
        <f t="shared" si="94"/>
        <v>1. Under 1 hour</v>
      </c>
      <c r="O3034" t="str">
        <f t="shared" si="95"/>
        <v>2026-04</v>
      </c>
    </row>
    <row r="3035" spans="1:15" x14ac:dyDescent="0.3">
      <c r="A3035" t="s">
        <v>7169</v>
      </c>
      <c r="B3035" t="s">
        <v>7170</v>
      </c>
      <c r="C3035" t="s">
        <v>28</v>
      </c>
      <c r="D3035" t="s">
        <v>29</v>
      </c>
      <c r="E3035" t="s">
        <v>45</v>
      </c>
      <c r="F3035" t="s">
        <v>46</v>
      </c>
      <c r="G3035">
        <v>1.1399999999999999</v>
      </c>
      <c r="H3035" t="s">
        <v>128</v>
      </c>
      <c r="I3035" t="s">
        <v>42</v>
      </c>
      <c r="M3035">
        <f>VLOOKUP(H3035,'Stage Order'!$A$2:$B$8,2,FALSE)</f>
        <v>3</v>
      </c>
      <c r="N3035" t="str">
        <f t="shared" si="94"/>
        <v>2. 1-24 hours</v>
      </c>
      <c r="O3035" t="str">
        <f t="shared" si="95"/>
        <v>2026-04</v>
      </c>
    </row>
    <row r="3036" spans="1:15" x14ac:dyDescent="0.3">
      <c r="A3036" t="s">
        <v>7171</v>
      </c>
      <c r="B3036" t="s">
        <v>7172</v>
      </c>
      <c r="C3036" t="s">
        <v>125</v>
      </c>
      <c r="D3036" t="s">
        <v>29</v>
      </c>
      <c r="E3036" t="s">
        <v>90</v>
      </c>
      <c r="F3036" t="s">
        <v>91</v>
      </c>
      <c r="G3036">
        <v>1.71</v>
      </c>
      <c r="H3036" t="s">
        <v>41</v>
      </c>
      <c r="I3036" t="s">
        <v>42</v>
      </c>
      <c r="M3036">
        <f>VLOOKUP(H3036,'Stage Order'!$A$2:$B$8,2,FALSE)</f>
        <v>2</v>
      </c>
      <c r="N3036" t="str">
        <f t="shared" si="94"/>
        <v>2. 1-24 hours</v>
      </c>
      <c r="O3036" t="str">
        <f t="shared" si="95"/>
        <v>2025-11</v>
      </c>
    </row>
    <row r="3037" spans="1:15" x14ac:dyDescent="0.3">
      <c r="A3037" t="s">
        <v>7173</v>
      </c>
      <c r="B3037" t="s">
        <v>7174</v>
      </c>
      <c r="C3037" t="s">
        <v>37</v>
      </c>
      <c r="D3037" t="s">
        <v>54</v>
      </c>
      <c r="E3037" t="s">
        <v>59</v>
      </c>
      <c r="F3037" t="s">
        <v>137</v>
      </c>
      <c r="G3037">
        <v>11.52</v>
      </c>
      <c r="H3037" t="s">
        <v>138</v>
      </c>
      <c r="I3037" t="s">
        <v>48</v>
      </c>
      <c r="J3037" t="s">
        <v>98</v>
      </c>
      <c r="K3037">
        <v>529.41999999999996</v>
      </c>
      <c r="L3037" t="s">
        <v>7175</v>
      </c>
      <c r="M3037">
        <f>VLOOKUP(H3037,'Stage Order'!$A$2:$B$8,2,FALSE)</f>
        <v>6</v>
      </c>
      <c r="N3037" t="str">
        <f t="shared" si="94"/>
        <v>2. 1-24 hours</v>
      </c>
      <c r="O3037" t="str">
        <f t="shared" si="95"/>
        <v>2025-03</v>
      </c>
    </row>
    <row r="3038" spans="1:15" x14ac:dyDescent="0.3">
      <c r="A3038" t="s">
        <v>7176</v>
      </c>
      <c r="B3038" t="s">
        <v>7177</v>
      </c>
      <c r="C3038" t="s">
        <v>81</v>
      </c>
      <c r="D3038" t="s">
        <v>29</v>
      </c>
      <c r="E3038" t="s">
        <v>59</v>
      </c>
      <c r="F3038" t="s">
        <v>137</v>
      </c>
      <c r="G3038">
        <v>1.89</v>
      </c>
      <c r="H3038" t="s">
        <v>61</v>
      </c>
      <c r="I3038" t="s">
        <v>42</v>
      </c>
      <c r="M3038">
        <f>VLOOKUP(H3038,'Stage Order'!$A$2:$B$8,2,FALSE)</f>
        <v>1</v>
      </c>
      <c r="N3038" t="str">
        <f t="shared" si="94"/>
        <v>2. 1-24 hours</v>
      </c>
      <c r="O3038" t="str">
        <f t="shared" si="95"/>
        <v>2025-07</v>
      </c>
    </row>
    <row r="3039" spans="1:15" x14ac:dyDescent="0.3">
      <c r="A3039" t="s">
        <v>7178</v>
      </c>
      <c r="B3039" t="s">
        <v>7179</v>
      </c>
      <c r="C3039" t="s">
        <v>53</v>
      </c>
      <c r="D3039" t="s">
        <v>54</v>
      </c>
      <c r="E3039" t="s">
        <v>45</v>
      </c>
      <c r="F3039" t="s">
        <v>55</v>
      </c>
      <c r="G3039">
        <v>1.36</v>
      </c>
      <c r="H3039" t="s">
        <v>138</v>
      </c>
      <c r="I3039" t="s">
        <v>48</v>
      </c>
      <c r="J3039" t="s">
        <v>139</v>
      </c>
      <c r="K3039">
        <v>482.09</v>
      </c>
      <c r="L3039" t="s">
        <v>7180</v>
      </c>
      <c r="M3039">
        <f>VLOOKUP(H3039,'Stage Order'!$A$2:$B$8,2,FALSE)</f>
        <v>6</v>
      </c>
      <c r="N3039" t="str">
        <f t="shared" si="94"/>
        <v>2. 1-24 hours</v>
      </c>
      <c r="O3039" t="str">
        <f t="shared" si="95"/>
        <v>2026-06</v>
      </c>
    </row>
    <row r="3040" spans="1:15" x14ac:dyDescent="0.3">
      <c r="A3040" t="s">
        <v>7181</v>
      </c>
      <c r="B3040" t="s">
        <v>7182</v>
      </c>
      <c r="C3040" t="s">
        <v>53</v>
      </c>
      <c r="D3040" t="s">
        <v>38</v>
      </c>
      <c r="E3040" t="s">
        <v>59</v>
      </c>
      <c r="F3040" t="s">
        <v>60</v>
      </c>
      <c r="G3040">
        <v>1.23</v>
      </c>
      <c r="H3040" t="s">
        <v>47</v>
      </c>
      <c r="I3040" t="s">
        <v>48</v>
      </c>
      <c r="J3040" t="s">
        <v>113</v>
      </c>
      <c r="K3040">
        <v>353.42</v>
      </c>
      <c r="L3040" t="s">
        <v>7183</v>
      </c>
      <c r="M3040">
        <f>VLOOKUP(H3040,'Stage Order'!$A$2:$B$8,2,FALSE)</f>
        <v>4</v>
      </c>
      <c r="N3040" t="str">
        <f t="shared" si="94"/>
        <v>2. 1-24 hours</v>
      </c>
      <c r="O3040" t="str">
        <f t="shared" si="95"/>
        <v>2025-03</v>
      </c>
    </row>
    <row r="3041" spans="1:15" x14ac:dyDescent="0.3">
      <c r="A3041" t="s">
        <v>7184</v>
      </c>
      <c r="B3041" t="s">
        <v>7185</v>
      </c>
      <c r="C3041" t="s">
        <v>37</v>
      </c>
      <c r="D3041" t="s">
        <v>54</v>
      </c>
      <c r="E3041" t="s">
        <v>90</v>
      </c>
      <c r="F3041" t="s">
        <v>145</v>
      </c>
      <c r="G3041">
        <v>1.71</v>
      </c>
      <c r="H3041" t="s">
        <v>41</v>
      </c>
      <c r="I3041" t="s">
        <v>42</v>
      </c>
      <c r="M3041">
        <f>VLOOKUP(H3041,'Stage Order'!$A$2:$B$8,2,FALSE)</f>
        <v>2</v>
      </c>
      <c r="N3041" t="str">
        <f t="shared" si="94"/>
        <v>2. 1-24 hours</v>
      </c>
      <c r="O3041" t="str">
        <f t="shared" si="95"/>
        <v>2025-06</v>
      </c>
    </row>
    <row r="3042" spans="1:15" x14ac:dyDescent="0.3">
      <c r="A3042" t="s">
        <v>7186</v>
      </c>
      <c r="B3042" t="s">
        <v>7187</v>
      </c>
      <c r="C3042" t="s">
        <v>125</v>
      </c>
      <c r="D3042" t="s">
        <v>77</v>
      </c>
      <c r="E3042" t="s">
        <v>90</v>
      </c>
      <c r="F3042" t="s">
        <v>112</v>
      </c>
      <c r="G3042">
        <v>3.1</v>
      </c>
      <c r="H3042" t="s">
        <v>41</v>
      </c>
      <c r="I3042" t="s">
        <v>42</v>
      </c>
      <c r="M3042">
        <f>VLOOKUP(H3042,'Stage Order'!$A$2:$B$8,2,FALSE)</f>
        <v>2</v>
      </c>
      <c r="N3042" t="str">
        <f t="shared" si="94"/>
        <v>2. 1-24 hours</v>
      </c>
      <c r="O3042" t="str">
        <f t="shared" si="95"/>
        <v>2025-08</v>
      </c>
    </row>
    <row r="3043" spans="1:15" x14ac:dyDescent="0.3">
      <c r="A3043" t="s">
        <v>7188</v>
      </c>
      <c r="B3043" t="s">
        <v>7189</v>
      </c>
      <c r="C3043" t="s">
        <v>37</v>
      </c>
      <c r="D3043" t="s">
        <v>38</v>
      </c>
      <c r="E3043" t="s">
        <v>39</v>
      </c>
      <c r="F3043" t="s">
        <v>40</v>
      </c>
      <c r="G3043">
        <v>3.27</v>
      </c>
      <c r="H3043" t="s">
        <v>41</v>
      </c>
      <c r="I3043" t="s">
        <v>42</v>
      </c>
      <c r="M3043">
        <f>VLOOKUP(H3043,'Stage Order'!$A$2:$B$8,2,FALSE)</f>
        <v>2</v>
      </c>
      <c r="N3043" t="str">
        <f t="shared" si="94"/>
        <v>2. 1-24 hours</v>
      </c>
      <c r="O3043" t="str">
        <f t="shared" si="95"/>
        <v>2025-07</v>
      </c>
    </row>
    <row r="3044" spans="1:15" x14ac:dyDescent="0.3">
      <c r="A3044" t="s">
        <v>7190</v>
      </c>
      <c r="B3044" t="s">
        <v>7191</v>
      </c>
      <c r="C3044" t="s">
        <v>125</v>
      </c>
      <c r="D3044" t="s">
        <v>38</v>
      </c>
      <c r="E3044" t="s">
        <v>90</v>
      </c>
      <c r="F3044" t="s">
        <v>91</v>
      </c>
      <c r="G3044">
        <v>2.4300000000000002</v>
      </c>
      <c r="H3044" t="s">
        <v>146</v>
      </c>
      <c r="I3044" t="s">
        <v>48</v>
      </c>
      <c r="J3044" t="s">
        <v>742</v>
      </c>
      <c r="K3044">
        <v>299.98</v>
      </c>
      <c r="L3044" t="s">
        <v>7192</v>
      </c>
      <c r="M3044">
        <f>VLOOKUP(H3044,'Stage Order'!$A$2:$B$8,2,FALSE)</f>
        <v>5</v>
      </c>
      <c r="N3044" t="str">
        <f t="shared" si="94"/>
        <v>2. 1-24 hours</v>
      </c>
      <c r="O3044" t="str">
        <f t="shared" si="95"/>
        <v>2025-08</v>
      </c>
    </row>
    <row r="3045" spans="1:15" x14ac:dyDescent="0.3">
      <c r="A3045" t="s">
        <v>7193</v>
      </c>
      <c r="B3045" t="s">
        <v>7194</v>
      </c>
      <c r="C3045" t="s">
        <v>125</v>
      </c>
      <c r="D3045" t="s">
        <v>38</v>
      </c>
      <c r="E3045" t="s">
        <v>59</v>
      </c>
      <c r="F3045" t="s">
        <v>60</v>
      </c>
      <c r="G3045">
        <v>2.96</v>
      </c>
      <c r="H3045" t="s">
        <v>41</v>
      </c>
      <c r="I3045" t="s">
        <v>42</v>
      </c>
      <c r="M3045">
        <f>VLOOKUP(H3045,'Stage Order'!$A$2:$B$8,2,FALSE)</f>
        <v>2</v>
      </c>
      <c r="N3045" t="str">
        <f t="shared" si="94"/>
        <v>2. 1-24 hours</v>
      </c>
      <c r="O3045" t="str">
        <f t="shared" si="95"/>
        <v>2025-03</v>
      </c>
    </row>
    <row r="3046" spans="1:15" x14ac:dyDescent="0.3">
      <c r="A3046" t="s">
        <v>7195</v>
      </c>
      <c r="B3046" t="s">
        <v>7196</v>
      </c>
      <c r="C3046" t="s">
        <v>58</v>
      </c>
      <c r="D3046" t="s">
        <v>54</v>
      </c>
      <c r="E3046" t="s">
        <v>39</v>
      </c>
      <c r="F3046" t="s">
        <v>40</v>
      </c>
      <c r="G3046">
        <v>9.73</v>
      </c>
      <c r="H3046" t="s">
        <v>41</v>
      </c>
      <c r="I3046" t="s">
        <v>42</v>
      </c>
      <c r="M3046">
        <f>VLOOKUP(H3046,'Stage Order'!$A$2:$B$8,2,FALSE)</f>
        <v>2</v>
      </c>
      <c r="N3046" t="str">
        <f t="shared" si="94"/>
        <v>2. 1-24 hours</v>
      </c>
      <c r="O3046" t="str">
        <f t="shared" si="95"/>
        <v>2025-06</v>
      </c>
    </row>
    <row r="3047" spans="1:15" x14ac:dyDescent="0.3">
      <c r="A3047" t="s">
        <v>7197</v>
      </c>
      <c r="B3047" t="s">
        <v>7198</v>
      </c>
      <c r="C3047" t="s">
        <v>37</v>
      </c>
      <c r="D3047" t="s">
        <v>77</v>
      </c>
      <c r="E3047" t="s">
        <v>59</v>
      </c>
      <c r="F3047" t="s">
        <v>117</v>
      </c>
      <c r="G3047">
        <v>2.08</v>
      </c>
      <c r="H3047" t="s">
        <v>41</v>
      </c>
      <c r="I3047" t="s">
        <v>42</v>
      </c>
      <c r="M3047">
        <f>VLOOKUP(H3047,'Stage Order'!$A$2:$B$8,2,FALSE)</f>
        <v>2</v>
      </c>
      <c r="N3047" t="str">
        <f t="shared" si="94"/>
        <v>2. 1-24 hours</v>
      </c>
      <c r="O3047" t="str">
        <f t="shared" si="95"/>
        <v>2025-07</v>
      </c>
    </row>
    <row r="3048" spans="1:15" x14ac:dyDescent="0.3">
      <c r="A3048" t="s">
        <v>7199</v>
      </c>
      <c r="B3048" t="s">
        <v>7200</v>
      </c>
      <c r="C3048" t="s">
        <v>37</v>
      </c>
      <c r="D3048" t="s">
        <v>77</v>
      </c>
      <c r="E3048" t="s">
        <v>45</v>
      </c>
      <c r="F3048" t="s">
        <v>94</v>
      </c>
      <c r="G3048">
        <v>15.68</v>
      </c>
      <c r="H3048" t="s">
        <v>47</v>
      </c>
      <c r="I3048" t="s">
        <v>48</v>
      </c>
      <c r="J3048" t="s">
        <v>742</v>
      </c>
      <c r="K3048">
        <v>912.32</v>
      </c>
      <c r="L3048" t="s">
        <v>7201</v>
      </c>
      <c r="M3048">
        <f>VLOOKUP(H3048,'Stage Order'!$A$2:$B$8,2,FALSE)</f>
        <v>4</v>
      </c>
      <c r="N3048" t="str">
        <f t="shared" si="94"/>
        <v>2. 1-24 hours</v>
      </c>
      <c r="O3048" t="str">
        <f t="shared" si="95"/>
        <v>2025-08</v>
      </c>
    </row>
    <row r="3049" spans="1:15" x14ac:dyDescent="0.3">
      <c r="A3049" t="s">
        <v>7202</v>
      </c>
      <c r="B3049" t="s">
        <v>7203</v>
      </c>
      <c r="C3049" t="s">
        <v>76</v>
      </c>
      <c r="D3049" t="s">
        <v>97</v>
      </c>
      <c r="E3049" t="s">
        <v>39</v>
      </c>
      <c r="F3049" t="s">
        <v>40</v>
      </c>
      <c r="G3049">
        <v>3.1</v>
      </c>
      <c r="H3049" t="s">
        <v>41</v>
      </c>
      <c r="I3049" t="s">
        <v>42</v>
      </c>
      <c r="M3049">
        <f>VLOOKUP(H3049,'Stage Order'!$A$2:$B$8,2,FALSE)</f>
        <v>2</v>
      </c>
      <c r="N3049" t="str">
        <f t="shared" si="94"/>
        <v>2. 1-24 hours</v>
      </c>
      <c r="O3049" t="str">
        <f t="shared" si="95"/>
        <v>2025-09</v>
      </c>
    </row>
    <row r="3050" spans="1:15" x14ac:dyDescent="0.3">
      <c r="A3050" t="s">
        <v>7204</v>
      </c>
      <c r="B3050" t="s">
        <v>7205</v>
      </c>
      <c r="C3050" t="s">
        <v>28</v>
      </c>
      <c r="D3050" t="s">
        <v>38</v>
      </c>
      <c r="E3050" t="s">
        <v>30</v>
      </c>
      <c r="F3050" t="s">
        <v>78</v>
      </c>
      <c r="G3050">
        <v>1.53</v>
      </c>
      <c r="H3050" t="s">
        <v>41</v>
      </c>
      <c r="I3050" t="s">
        <v>42</v>
      </c>
      <c r="M3050">
        <f>VLOOKUP(H3050,'Stage Order'!$A$2:$B$8,2,FALSE)</f>
        <v>2</v>
      </c>
      <c r="N3050" t="str">
        <f t="shared" si="94"/>
        <v>2. 1-24 hours</v>
      </c>
      <c r="O3050" t="str">
        <f t="shared" si="95"/>
        <v>2026-05</v>
      </c>
    </row>
    <row r="3051" spans="1:15" x14ac:dyDescent="0.3">
      <c r="A3051" t="s">
        <v>7206</v>
      </c>
      <c r="B3051" t="s">
        <v>7207</v>
      </c>
      <c r="C3051" t="s">
        <v>76</v>
      </c>
      <c r="D3051" t="s">
        <v>54</v>
      </c>
      <c r="E3051" t="s">
        <v>39</v>
      </c>
      <c r="F3051" t="s">
        <v>40</v>
      </c>
      <c r="G3051">
        <v>2.56</v>
      </c>
      <c r="H3051" t="s">
        <v>32</v>
      </c>
      <c r="I3051" t="s">
        <v>33</v>
      </c>
      <c r="K3051">
        <v>584.25</v>
      </c>
      <c r="L3051" t="s">
        <v>7208</v>
      </c>
      <c r="M3051">
        <f>VLOOKUP(H3051,'Stage Order'!$A$2:$B$8,2,FALSE)</f>
        <v>7</v>
      </c>
      <c r="N3051" t="str">
        <f t="shared" si="94"/>
        <v>2. 1-24 hours</v>
      </c>
      <c r="O3051" t="str">
        <f t="shared" si="95"/>
        <v>2026-06</v>
      </c>
    </row>
    <row r="3052" spans="1:15" x14ac:dyDescent="0.3">
      <c r="A3052" t="s">
        <v>7209</v>
      </c>
      <c r="B3052" t="s">
        <v>7210</v>
      </c>
      <c r="C3052" t="s">
        <v>53</v>
      </c>
      <c r="D3052" t="s">
        <v>54</v>
      </c>
      <c r="E3052" t="s">
        <v>90</v>
      </c>
      <c r="F3052" t="s">
        <v>91</v>
      </c>
      <c r="G3052">
        <v>1.5</v>
      </c>
      <c r="H3052" t="s">
        <v>41</v>
      </c>
      <c r="I3052" t="s">
        <v>42</v>
      </c>
      <c r="M3052">
        <f>VLOOKUP(H3052,'Stage Order'!$A$2:$B$8,2,FALSE)</f>
        <v>2</v>
      </c>
      <c r="N3052" t="str">
        <f t="shared" si="94"/>
        <v>2. 1-24 hours</v>
      </c>
      <c r="O3052" t="str">
        <f t="shared" si="95"/>
        <v>2025-04</v>
      </c>
    </row>
    <row r="3053" spans="1:15" x14ac:dyDescent="0.3">
      <c r="A3053" t="s">
        <v>7211</v>
      </c>
      <c r="B3053" t="s">
        <v>7212</v>
      </c>
      <c r="C3053" t="s">
        <v>58</v>
      </c>
      <c r="D3053" t="s">
        <v>38</v>
      </c>
      <c r="E3053" t="s">
        <v>39</v>
      </c>
      <c r="F3053" t="s">
        <v>106</v>
      </c>
      <c r="G3053">
        <v>2.0299999999999998</v>
      </c>
      <c r="H3053" t="s">
        <v>41</v>
      </c>
      <c r="I3053" t="s">
        <v>42</v>
      </c>
      <c r="M3053">
        <f>VLOOKUP(H3053,'Stage Order'!$A$2:$B$8,2,FALSE)</f>
        <v>2</v>
      </c>
      <c r="N3053" t="str">
        <f t="shared" si="94"/>
        <v>2. 1-24 hours</v>
      </c>
      <c r="O3053" t="str">
        <f t="shared" si="95"/>
        <v>2025-05</v>
      </c>
    </row>
    <row r="3054" spans="1:15" x14ac:dyDescent="0.3">
      <c r="A3054" t="s">
        <v>7213</v>
      </c>
      <c r="B3054" t="s">
        <v>7214</v>
      </c>
      <c r="C3054" t="s">
        <v>125</v>
      </c>
      <c r="D3054" t="s">
        <v>54</v>
      </c>
      <c r="E3054" t="s">
        <v>59</v>
      </c>
      <c r="F3054" t="s">
        <v>60</v>
      </c>
      <c r="G3054">
        <v>0.78</v>
      </c>
      <c r="H3054" t="s">
        <v>41</v>
      </c>
      <c r="I3054" t="s">
        <v>42</v>
      </c>
      <c r="M3054">
        <f>VLOOKUP(H3054,'Stage Order'!$A$2:$B$8,2,FALSE)</f>
        <v>2</v>
      </c>
      <c r="N3054" t="str">
        <f t="shared" si="94"/>
        <v>1. Under 1 hour</v>
      </c>
      <c r="O3054" t="str">
        <f t="shared" si="95"/>
        <v>2025-11</v>
      </c>
    </row>
    <row r="3055" spans="1:15" x14ac:dyDescent="0.3">
      <c r="A3055" t="s">
        <v>7215</v>
      </c>
      <c r="B3055" t="s">
        <v>7216</v>
      </c>
      <c r="C3055" t="s">
        <v>125</v>
      </c>
      <c r="D3055" t="s">
        <v>54</v>
      </c>
      <c r="E3055" t="s">
        <v>59</v>
      </c>
      <c r="F3055" t="s">
        <v>117</v>
      </c>
      <c r="G3055">
        <v>3.85</v>
      </c>
      <c r="H3055" t="s">
        <v>138</v>
      </c>
      <c r="I3055" t="s">
        <v>48</v>
      </c>
      <c r="J3055" t="s">
        <v>113</v>
      </c>
      <c r="K3055">
        <v>535.01</v>
      </c>
      <c r="L3055" t="s">
        <v>7217</v>
      </c>
      <c r="M3055">
        <f>VLOOKUP(H3055,'Stage Order'!$A$2:$B$8,2,FALSE)</f>
        <v>6</v>
      </c>
      <c r="N3055" t="str">
        <f t="shared" si="94"/>
        <v>2. 1-24 hours</v>
      </c>
      <c r="O3055" t="str">
        <f t="shared" si="95"/>
        <v>2026-06</v>
      </c>
    </row>
    <row r="3056" spans="1:15" x14ac:dyDescent="0.3">
      <c r="A3056" t="s">
        <v>7218</v>
      </c>
      <c r="B3056" t="s">
        <v>7219</v>
      </c>
      <c r="C3056" t="s">
        <v>81</v>
      </c>
      <c r="D3056" t="s">
        <v>77</v>
      </c>
      <c r="E3056" t="s">
        <v>59</v>
      </c>
      <c r="F3056" t="s">
        <v>117</v>
      </c>
      <c r="G3056">
        <v>4.1900000000000004</v>
      </c>
      <c r="H3056" t="s">
        <v>61</v>
      </c>
      <c r="I3056" t="s">
        <v>42</v>
      </c>
      <c r="M3056">
        <f>VLOOKUP(H3056,'Stage Order'!$A$2:$B$8,2,FALSE)</f>
        <v>1</v>
      </c>
      <c r="N3056" t="str">
        <f t="shared" si="94"/>
        <v>2. 1-24 hours</v>
      </c>
      <c r="O3056" t="str">
        <f t="shared" si="95"/>
        <v>2025-09</v>
      </c>
    </row>
    <row r="3057" spans="1:15" x14ac:dyDescent="0.3">
      <c r="A3057" t="s">
        <v>7220</v>
      </c>
      <c r="B3057" t="s">
        <v>7221</v>
      </c>
      <c r="C3057" t="s">
        <v>76</v>
      </c>
      <c r="D3057" t="s">
        <v>29</v>
      </c>
      <c r="E3057" t="s">
        <v>45</v>
      </c>
      <c r="F3057" t="s">
        <v>94</v>
      </c>
      <c r="G3057">
        <v>2.61</v>
      </c>
      <c r="H3057" t="s">
        <v>138</v>
      </c>
      <c r="I3057" t="s">
        <v>48</v>
      </c>
      <c r="J3057" t="s">
        <v>139</v>
      </c>
      <c r="K3057">
        <v>578.6</v>
      </c>
      <c r="L3057" t="s">
        <v>7222</v>
      </c>
      <c r="M3057">
        <f>VLOOKUP(H3057,'Stage Order'!$A$2:$B$8,2,FALSE)</f>
        <v>6</v>
      </c>
      <c r="N3057" t="str">
        <f t="shared" si="94"/>
        <v>2. 1-24 hours</v>
      </c>
      <c r="O3057" t="str">
        <f t="shared" si="95"/>
        <v>2026-03</v>
      </c>
    </row>
    <row r="3058" spans="1:15" x14ac:dyDescent="0.3">
      <c r="A3058" t="s">
        <v>7223</v>
      </c>
      <c r="B3058" t="s">
        <v>7224</v>
      </c>
      <c r="C3058" t="s">
        <v>37</v>
      </c>
      <c r="D3058" t="s">
        <v>54</v>
      </c>
      <c r="E3058" t="s">
        <v>59</v>
      </c>
      <c r="F3058" t="s">
        <v>117</v>
      </c>
      <c r="G3058">
        <v>1.3</v>
      </c>
      <c r="H3058" t="s">
        <v>32</v>
      </c>
      <c r="I3058" t="s">
        <v>33</v>
      </c>
      <c r="K3058">
        <v>537.23</v>
      </c>
      <c r="L3058" t="s">
        <v>7225</v>
      </c>
      <c r="M3058">
        <f>VLOOKUP(H3058,'Stage Order'!$A$2:$B$8,2,FALSE)</f>
        <v>7</v>
      </c>
      <c r="N3058" t="str">
        <f t="shared" si="94"/>
        <v>2. 1-24 hours</v>
      </c>
      <c r="O3058" t="str">
        <f t="shared" si="95"/>
        <v>2025-10</v>
      </c>
    </row>
    <row r="3059" spans="1:15" x14ac:dyDescent="0.3">
      <c r="A3059" t="s">
        <v>7226</v>
      </c>
      <c r="B3059" t="s">
        <v>7227</v>
      </c>
      <c r="C3059" t="s">
        <v>125</v>
      </c>
      <c r="D3059" t="s">
        <v>77</v>
      </c>
      <c r="E3059" t="s">
        <v>45</v>
      </c>
      <c r="F3059" t="s">
        <v>55</v>
      </c>
      <c r="G3059">
        <v>4.67</v>
      </c>
      <c r="H3059" t="s">
        <v>41</v>
      </c>
      <c r="I3059" t="s">
        <v>42</v>
      </c>
      <c r="M3059">
        <f>VLOOKUP(H3059,'Stage Order'!$A$2:$B$8,2,FALSE)</f>
        <v>2</v>
      </c>
      <c r="N3059" t="str">
        <f t="shared" si="94"/>
        <v>2. 1-24 hours</v>
      </c>
      <c r="O3059" t="str">
        <f t="shared" si="95"/>
        <v>2026-01</v>
      </c>
    </row>
    <row r="3060" spans="1:15" x14ac:dyDescent="0.3">
      <c r="A3060" t="s">
        <v>7228</v>
      </c>
      <c r="B3060" t="s">
        <v>7229</v>
      </c>
      <c r="C3060" t="s">
        <v>58</v>
      </c>
      <c r="D3060" t="s">
        <v>29</v>
      </c>
      <c r="E3060" t="s">
        <v>59</v>
      </c>
      <c r="F3060" t="s">
        <v>60</v>
      </c>
      <c r="G3060">
        <v>3.1</v>
      </c>
      <c r="H3060" t="s">
        <v>41</v>
      </c>
      <c r="I3060" t="s">
        <v>42</v>
      </c>
      <c r="M3060">
        <f>VLOOKUP(H3060,'Stage Order'!$A$2:$B$8,2,FALSE)</f>
        <v>2</v>
      </c>
      <c r="N3060" t="str">
        <f t="shared" si="94"/>
        <v>2. 1-24 hours</v>
      </c>
      <c r="O3060" t="str">
        <f t="shared" si="95"/>
        <v>2025-04</v>
      </c>
    </row>
    <row r="3061" spans="1:15" x14ac:dyDescent="0.3">
      <c r="A3061" t="s">
        <v>7230</v>
      </c>
      <c r="B3061" t="s">
        <v>7231</v>
      </c>
      <c r="C3061" t="s">
        <v>28</v>
      </c>
      <c r="D3061" t="s">
        <v>54</v>
      </c>
      <c r="E3061" t="s">
        <v>45</v>
      </c>
      <c r="F3061" t="s">
        <v>46</v>
      </c>
      <c r="G3061">
        <v>3.97</v>
      </c>
      <c r="H3061" t="s">
        <v>32</v>
      </c>
      <c r="I3061" t="s">
        <v>33</v>
      </c>
      <c r="K3061">
        <v>435.34</v>
      </c>
      <c r="L3061" t="s">
        <v>7232</v>
      </c>
      <c r="M3061">
        <f>VLOOKUP(H3061,'Stage Order'!$A$2:$B$8,2,FALSE)</f>
        <v>7</v>
      </c>
      <c r="N3061" t="str">
        <f t="shared" si="94"/>
        <v>2. 1-24 hours</v>
      </c>
      <c r="O3061" t="str">
        <f t="shared" si="95"/>
        <v>2026-04</v>
      </c>
    </row>
    <row r="3062" spans="1:15" x14ac:dyDescent="0.3">
      <c r="A3062" t="s">
        <v>7233</v>
      </c>
      <c r="B3062" t="s">
        <v>7234</v>
      </c>
      <c r="C3062" t="s">
        <v>58</v>
      </c>
      <c r="D3062" t="s">
        <v>77</v>
      </c>
      <c r="E3062" t="s">
        <v>90</v>
      </c>
      <c r="F3062" t="s">
        <v>112</v>
      </c>
      <c r="G3062">
        <v>0.5</v>
      </c>
      <c r="H3062" t="s">
        <v>61</v>
      </c>
      <c r="I3062" t="s">
        <v>42</v>
      </c>
      <c r="M3062">
        <f>VLOOKUP(H3062,'Stage Order'!$A$2:$B$8,2,FALSE)</f>
        <v>1</v>
      </c>
      <c r="N3062" t="str">
        <f t="shared" si="94"/>
        <v>1. Under 1 hour</v>
      </c>
      <c r="O3062" t="str">
        <f t="shared" si="95"/>
        <v>2025-07</v>
      </c>
    </row>
    <row r="3063" spans="1:15" x14ac:dyDescent="0.3">
      <c r="A3063" t="s">
        <v>7235</v>
      </c>
      <c r="B3063" t="s">
        <v>7236</v>
      </c>
      <c r="C3063" t="s">
        <v>53</v>
      </c>
      <c r="D3063" t="s">
        <v>54</v>
      </c>
      <c r="E3063" t="s">
        <v>59</v>
      </c>
      <c r="F3063" t="s">
        <v>60</v>
      </c>
      <c r="G3063">
        <v>4.2699999999999996</v>
      </c>
      <c r="H3063" t="s">
        <v>146</v>
      </c>
      <c r="I3063" t="s">
        <v>48</v>
      </c>
      <c r="J3063" t="s">
        <v>49</v>
      </c>
      <c r="K3063">
        <v>433.09</v>
      </c>
      <c r="L3063" t="s">
        <v>7237</v>
      </c>
      <c r="M3063">
        <f>VLOOKUP(H3063,'Stage Order'!$A$2:$B$8,2,FALSE)</f>
        <v>5</v>
      </c>
      <c r="N3063" t="str">
        <f t="shared" si="94"/>
        <v>2. 1-24 hours</v>
      </c>
      <c r="O3063" t="str">
        <f t="shared" si="95"/>
        <v>2026-01</v>
      </c>
    </row>
    <row r="3064" spans="1:15" x14ac:dyDescent="0.3">
      <c r="A3064" t="s">
        <v>7238</v>
      </c>
      <c r="B3064" t="s">
        <v>7239</v>
      </c>
      <c r="C3064" t="s">
        <v>125</v>
      </c>
      <c r="D3064" t="s">
        <v>77</v>
      </c>
      <c r="E3064" t="s">
        <v>39</v>
      </c>
      <c r="F3064" t="s">
        <v>40</v>
      </c>
      <c r="G3064">
        <v>6.49</v>
      </c>
      <c r="H3064" t="s">
        <v>41</v>
      </c>
      <c r="I3064" t="s">
        <v>42</v>
      </c>
      <c r="M3064">
        <f>VLOOKUP(H3064,'Stage Order'!$A$2:$B$8,2,FALSE)</f>
        <v>2</v>
      </c>
      <c r="N3064" t="str">
        <f t="shared" si="94"/>
        <v>2. 1-24 hours</v>
      </c>
      <c r="O3064" t="str">
        <f t="shared" si="95"/>
        <v>2026-04</v>
      </c>
    </row>
    <row r="3065" spans="1:15" x14ac:dyDescent="0.3">
      <c r="A3065" t="s">
        <v>7240</v>
      </c>
      <c r="B3065" t="s">
        <v>7241</v>
      </c>
      <c r="C3065" t="s">
        <v>28</v>
      </c>
      <c r="D3065" t="s">
        <v>97</v>
      </c>
      <c r="E3065" t="s">
        <v>59</v>
      </c>
      <c r="F3065" t="s">
        <v>60</v>
      </c>
      <c r="G3065">
        <v>2.67</v>
      </c>
      <c r="H3065" t="s">
        <v>146</v>
      </c>
      <c r="I3065" t="s">
        <v>48</v>
      </c>
      <c r="J3065" t="s">
        <v>139</v>
      </c>
      <c r="K3065">
        <v>1353.76</v>
      </c>
      <c r="L3065" t="s">
        <v>7242</v>
      </c>
      <c r="M3065">
        <f>VLOOKUP(H3065,'Stage Order'!$A$2:$B$8,2,FALSE)</f>
        <v>5</v>
      </c>
      <c r="N3065" t="str">
        <f t="shared" si="94"/>
        <v>2. 1-24 hours</v>
      </c>
      <c r="O3065" t="str">
        <f t="shared" si="95"/>
        <v>2026-04</v>
      </c>
    </row>
    <row r="3066" spans="1:15" x14ac:dyDescent="0.3">
      <c r="A3066" t="s">
        <v>7243</v>
      </c>
      <c r="B3066" t="s">
        <v>7244</v>
      </c>
      <c r="C3066" t="s">
        <v>53</v>
      </c>
      <c r="D3066" t="s">
        <v>97</v>
      </c>
      <c r="E3066" t="s">
        <v>90</v>
      </c>
      <c r="F3066" t="s">
        <v>112</v>
      </c>
      <c r="G3066">
        <v>5.38</v>
      </c>
      <c r="H3066" t="s">
        <v>41</v>
      </c>
      <c r="I3066" t="s">
        <v>42</v>
      </c>
      <c r="M3066">
        <f>VLOOKUP(H3066,'Stage Order'!$A$2:$B$8,2,FALSE)</f>
        <v>2</v>
      </c>
      <c r="N3066" t="str">
        <f t="shared" si="94"/>
        <v>2. 1-24 hours</v>
      </c>
      <c r="O3066" t="str">
        <f t="shared" si="95"/>
        <v>2026-04</v>
      </c>
    </row>
    <row r="3067" spans="1:15" x14ac:dyDescent="0.3">
      <c r="A3067" t="s">
        <v>7245</v>
      </c>
      <c r="B3067" t="s">
        <v>7246</v>
      </c>
      <c r="C3067" t="s">
        <v>125</v>
      </c>
      <c r="D3067" t="s">
        <v>29</v>
      </c>
      <c r="E3067" t="s">
        <v>59</v>
      </c>
      <c r="F3067" t="s">
        <v>137</v>
      </c>
      <c r="G3067">
        <v>2.16</v>
      </c>
      <c r="H3067" t="s">
        <v>41</v>
      </c>
      <c r="I3067" t="s">
        <v>42</v>
      </c>
      <c r="M3067">
        <f>VLOOKUP(H3067,'Stage Order'!$A$2:$B$8,2,FALSE)</f>
        <v>2</v>
      </c>
      <c r="N3067" t="str">
        <f t="shared" si="94"/>
        <v>2. 1-24 hours</v>
      </c>
      <c r="O3067" t="str">
        <f t="shared" si="95"/>
        <v>2026-01</v>
      </c>
    </row>
    <row r="3068" spans="1:15" x14ac:dyDescent="0.3">
      <c r="A3068" t="s">
        <v>7247</v>
      </c>
      <c r="B3068" t="s">
        <v>7248</v>
      </c>
      <c r="C3068" t="s">
        <v>58</v>
      </c>
      <c r="D3068" t="s">
        <v>54</v>
      </c>
      <c r="E3068" t="s">
        <v>45</v>
      </c>
      <c r="F3068" t="s">
        <v>94</v>
      </c>
      <c r="G3068">
        <v>3.76</v>
      </c>
      <c r="H3068" t="s">
        <v>32</v>
      </c>
      <c r="I3068" t="s">
        <v>33</v>
      </c>
      <c r="K3068">
        <v>566.16999999999996</v>
      </c>
      <c r="L3068" t="s">
        <v>7249</v>
      </c>
      <c r="M3068">
        <f>VLOOKUP(H3068,'Stage Order'!$A$2:$B$8,2,FALSE)</f>
        <v>7</v>
      </c>
      <c r="N3068" t="str">
        <f t="shared" si="94"/>
        <v>2. 1-24 hours</v>
      </c>
      <c r="O3068" t="str">
        <f t="shared" si="95"/>
        <v>2025-09</v>
      </c>
    </row>
    <row r="3069" spans="1:15" x14ac:dyDescent="0.3">
      <c r="A3069" t="s">
        <v>7250</v>
      </c>
      <c r="B3069" t="s">
        <v>7251</v>
      </c>
      <c r="C3069" t="s">
        <v>58</v>
      </c>
      <c r="D3069" t="s">
        <v>77</v>
      </c>
      <c r="E3069" t="s">
        <v>59</v>
      </c>
      <c r="F3069" t="s">
        <v>60</v>
      </c>
      <c r="G3069">
        <v>3.46</v>
      </c>
      <c r="H3069" t="s">
        <v>47</v>
      </c>
      <c r="I3069" t="s">
        <v>48</v>
      </c>
      <c r="J3069" t="s">
        <v>139</v>
      </c>
      <c r="K3069">
        <v>874.11</v>
      </c>
      <c r="L3069" t="s">
        <v>7252</v>
      </c>
      <c r="M3069">
        <f>VLOOKUP(H3069,'Stage Order'!$A$2:$B$8,2,FALSE)</f>
        <v>4</v>
      </c>
      <c r="N3069" t="str">
        <f t="shared" si="94"/>
        <v>2. 1-24 hours</v>
      </c>
      <c r="O3069" t="str">
        <f t="shared" si="95"/>
        <v>2025-04</v>
      </c>
    </row>
    <row r="3070" spans="1:15" x14ac:dyDescent="0.3">
      <c r="A3070" t="s">
        <v>7253</v>
      </c>
      <c r="B3070" t="s">
        <v>7254</v>
      </c>
      <c r="C3070" t="s">
        <v>53</v>
      </c>
      <c r="D3070" t="s">
        <v>54</v>
      </c>
      <c r="E3070" t="s">
        <v>45</v>
      </c>
      <c r="F3070" t="s">
        <v>94</v>
      </c>
      <c r="G3070">
        <v>1.79</v>
      </c>
      <c r="H3070" t="s">
        <v>138</v>
      </c>
      <c r="I3070" t="s">
        <v>48</v>
      </c>
      <c r="J3070" t="s">
        <v>139</v>
      </c>
      <c r="K3070">
        <v>457.95</v>
      </c>
      <c r="L3070" t="s">
        <v>7255</v>
      </c>
      <c r="M3070">
        <f>VLOOKUP(H3070,'Stage Order'!$A$2:$B$8,2,FALSE)</f>
        <v>6</v>
      </c>
      <c r="N3070" t="str">
        <f t="shared" si="94"/>
        <v>2. 1-24 hours</v>
      </c>
      <c r="O3070" t="str">
        <f t="shared" si="95"/>
        <v>2026-05</v>
      </c>
    </row>
    <row r="3071" spans="1:15" x14ac:dyDescent="0.3">
      <c r="A3071" t="s">
        <v>7256</v>
      </c>
      <c r="B3071" t="s">
        <v>7257</v>
      </c>
      <c r="C3071" t="s">
        <v>58</v>
      </c>
      <c r="D3071" t="s">
        <v>38</v>
      </c>
      <c r="E3071" t="s">
        <v>39</v>
      </c>
      <c r="F3071" t="s">
        <v>106</v>
      </c>
      <c r="G3071">
        <v>16.510000000000002</v>
      </c>
      <c r="H3071" t="s">
        <v>32</v>
      </c>
      <c r="I3071" t="s">
        <v>33</v>
      </c>
      <c r="K3071">
        <v>330.33</v>
      </c>
      <c r="L3071" t="s">
        <v>7258</v>
      </c>
      <c r="M3071">
        <f>VLOOKUP(H3071,'Stage Order'!$A$2:$B$8,2,FALSE)</f>
        <v>7</v>
      </c>
      <c r="N3071" t="str">
        <f t="shared" si="94"/>
        <v>2. 1-24 hours</v>
      </c>
      <c r="O3071" t="str">
        <f t="shared" si="95"/>
        <v>2025-12</v>
      </c>
    </row>
    <row r="3072" spans="1:15" x14ac:dyDescent="0.3">
      <c r="A3072" t="s">
        <v>7259</v>
      </c>
      <c r="B3072" t="s">
        <v>7260</v>
      </c>
      <c r="C3072" t="s">
        <v>125</v>
      </c>
      <c r="D3072" t="s">
        <v>77</v>
      </c>
      <c r="E3072" t="s">
        <v>39</v>
      </c>
      <c r="F3072" t="s">
        <v>66</v>
      </c>
      <c r="G3072">
        <v>0.39</v>
      </c>
      <c r="H3072" t="s">
        <v>61</v>
      </c>
      <c r="I3072" t="s">
        <v>42</v>
      </c>
      <c r="M3072">
        <f>VLOOKUP(H3072,'Stage Order'!$A$2:$B$8,2,FALSE)</f>
        <v>1</v>
      </c>
      <c r="N3072" t="str">
        <f t="shared" si="94"/>
        <v>1. Under 1 hour</v>
      </c>
      <c r="O3072" t="str">
        <f t="shared" si="95"/>
        <v>2025-05</v>
      </c>
    </row>
    <row r="3073" spans="1:15" x14ac:dyDescent="0.3">
      <c r="A3073" t="s">
        <v>7261</v>
      </c>
      <c r="B3073" t="s">
        <v>7262</v>
      </c>
      <c r="C3073" t="s">
        <v>125</v>
      </c>
      <c r="D3073" t="s">
        <v>97</v>
      </c>
      <c r="E3073" t="s">
        <v>45</v>
      </c>
      <c r="F3073" t="s">
        <v>94</v>
      </c>
      <c r="G3073">
        <v>13.72</v>
      </c>
      <c r="H3073" t="s">
        <v>61</v>
      </c>
      <c r="I3073" t="s">
        <v>42</v>
      </c>
      <c r="M3073">
        <f>VLOOKUP(H3073,'Stage Order'!$A$2:$B$8,2,FALSE)</f>
        <v>1</v>
      </c>
      <c r="N3073" t="str">
        <f t="shared" si="94"/>
        <v>2. 1-24 hours</v>
      </c>
      <c r="O3073" t="str">
        <f t="shared" si="95"/>
        <v>2025-06</v>
      </c>
    </row>
    <row r="3074" spans="1:15" x14ac:dyDescent="0.3">
      <c r="A3074" t="s">
        <v>7263</v>
      </c>
      <c r="B3074" t="s">
        <v>7264</v>
      </c>
      <c r="C3074" t="s">
        <v>125</v>
      </c>
      <c r="D3074" t="s">
        <v>29</v>
      </c>
      <c r="E3074" t="s">
        <v>45</v>
      </c>
      <c r="F3074" t="s">
        <v>46</v>
      </c>
      <c r="G3074">
        <v>14.29</v>
      </c>
      <c r="H3074" t="s">
        <v>128</v>
      </c>
      <c r="I3074" t="s">
        <v>42</v>
      </c>
      <c r="M3074">
        <f>VLOOKUP(H3074,'Stage Order'!$A$2:$B$8,2,FALSE)</f>
        <v>3</v>
      </c>
      <c r="N3074" t="str">
        <f t="shared" ref="N3074:N3137" si="96">IF(G3074&lt;=1,"1. Under 1 hour",IF(G3074&lt;=24,"2. 1-24 hours",IF(G3074&lt;=72,"3. 1-3 days","4. Over 3 days")))</f>
        <v>2. 1-24 hours</v>
      </c>
      <c r="O3074" t="str">
        <f t="shared" ref="O3074:O3137" si="97">TEXT(B3074,"YYYY-MM")</f>
        <v>2025-05</v>
      </c>
    </row>
    <row r="3075" spans="1:15" x14ac:dyDescent="0.3">
      <c r="A3075" t="s">
        <v>7265</v>
      </c>
      <c r="B3075" t="s">
        <v>7266</v>
      </c>
      <c r="C3075" t="s">
        <v>58</v>
      </c>
      <c r="D3075" t="s">
        <v>54</v>
      </c>
      <c r="E3075" t="s">
        <v>39</v>
      </c>
      <c r="F3075" t="s">
        <v>66</v>
      </c>
      <c r="G3075">
        <v>4.41</v>
      </c>
      <c r="H3075" t="s">
        <v>41</v>
      </c>
      <c r="I3075" t="s">
        <v>42</v>
      </c>
      <c r="M3075">
        <f>VLOOKUP(H3075,'Stage Order'!$A$2:$B$8,2,FALSE)</f>
        <v>2</v>
      </c>
      <c r="N3075" t="str">
        <f t="shared" si="96"/>
        <v>2. 1-24 hours</v>
      </c>
      <c r="O3075" t="str">
        <f t="shared" si="97"/>
        <v>2025-03</v>
      </c>
    </row>
    <row r="3076" spans="1:15" x14ac:dyDescent="0.3">
      <c r="A3076" t="s">
        <v>7267</v>
      </c>
      <c r="B3076" t="s">
        <v>7268</v>
      </c>
      <c r="C3076" t="s">
        <v>81</v>
      </c>
      <c r="D3076" t="s">
        <v>97</v>
      </c>
      <c r="E3076" t="s">
        <v>39</v>
      </c>
      <c r="F3076" t="s">
        <v>40</v>
      </c>
      <c r="G3076">
        <v>2.56</v>
      </c>
      <c r="H3076" t="s">
        <v>61</v>
      </c>
      <c r="I3076" t="s">
        <v>42</v>
      </c>
      <c r="M3076">
        <f>VLOOKUP(H3076,'Stage Order'!$A$2:$B$8,2,FALSE)</f>
        <v>1</v>
      </c>
      <c r="N3076" t="str">
        <f t="shared" si="96"/>
        <v>2. 1-24 hours</v>
      </c>
      <c r="O3076" t="str">
        <f t="shared" si="97"/>
        <v>2025-10</v>
      </c>
    </row>
    <row r="3077" spans="1:15" x14ac:dyDescent="0.3">
      <c r="A3077" t="s">
        <v>7269</v>
      </c>
      <c r="B3077" t="s">
        <v>7270</v>
      </c>
      <c r="C3077" t="s">
        <v>53</v>
      </c>
      <c r="D3077" t="s">
        <v>54</v>
      </c>
      <c r="E3077" t="s">
        <v>39</v>
      </c>
      <c r="F3077" t="s">
        <v>66</v>
      </c>
      <c r="G3077">
        <v>3.57</v>
      </c>
      <c r="H3077" t="s">
        <v>41</v>
      </c>
      <c r="I3077" t="s">
        <v>42</v>
      </c>
      <c r="M3077">
        <f>VLOOKUP(H3077,'Stage Order'!$A$2:$B$8,2,FALSE)</f>
        <v>2</v>
      </c>
      <c r="N3077" t="str">
        <f t="shared" si="96"/>
        <v>2. 1-24 hours</v>
      </c>
      <c r="O3077" t="str">
        <f t="shared" si="97"/>
        <v>2026-05</v>
      </c>
    </row>
    <row r="3078" spans="1:15" x14ac:dyDescent="0.3">
      <c r="A3078" t="s">
        <v>7271</v>
      </c>
      <c r="B3078" t="s">
        <v>7272</v>
      </c>
      <c r="C3078" t="s">
        <v>53</v>
      </c>
      <c r="D3078" t="s">
        <v>54</v>
      </c>
      <c r="E3078" t="s">
        <v>39</v>
      </c>
      <c r="F3078" t="s">
        <v>106</v>
      </c>
      <c r="G3078">
        <v>10.98</v>
      </c>
      <c r="H3078" t="s">
        <v>47</v>
      </c>
      <c r="I3078" t="s">
        <v>48</v>
      </c>
      <c r="J3078" t="s">
        <v>49</v>
      </c>
      <c r="K3078">
        <v>558.44000000000005</v>
      </c>
      <c r="L3078" t="s">
        <v>7273</v>
      </c>
      <c r="M3078">
        <f>VLOOKUP(H3078,'Stage Order'!$A$2:$B$8,2,FALSE)</f>
        <v>4</v>
      </c>
      <c r="N3078" t="str">
        <f t="shared" si="96"/>
        <v>2. 1-24 hours</v>
      </c>
      <c r="O3078" t="str">
        <f t="shared" si="97"/>
        <v>2026-03</v>
      </c>
    </row>
    <row r="3079" spans="1:15" x14ac:dyDescent="0.3">
      <c r="A3079" t="s">
        <v>7274</v>
      </c>
      <c r="B3079" t="s">
        <v>7275</v>
      </c>
      <c r="C3079" t="s">
        <v>125</v>
      </c>
      <c r="D3079" t="s">
        <v>29</v>
      </c>
      <c r="E3079" t="s">
        <v>59</v>
      </c>
      <c r="F3079" t="s">
        <v>117</v>
      </c>
      <c r="G3079">
        <v>1.9</v>
      </c>
      <c r="H3079" t="s">
        <v>41</v>
      </c>
      <c r="I3079" t="s">
        <v>42</v>
      </c>
      <c r="M3079">
        <f>VLOOKUP(H3079,'Stage Order'!$A$2:$B$8,2,FALSE)</f>
        <v>2</v>
      </c>
      <c r="N3079" t="str">
        <f t="shared" si="96"/>
        <v>2. 1-24 hours</v>
      </c>
      <c r="O3079" t="str">
        <f t="shared" si="97"/>
        <v>2025-10</v>
      </c>
    </row>
    <row r="3080" spans="1:15" x14ac:dyDescent="0.3">
      <c r="A3080" t="s">
        <v>7276</v>
      </c>
      <c r="B3080" t="s">
        <v>7277</v>
      </c>
      <c r="C3080" t="s">
        <v>58</v>
      </c>
      <c r="D3080" t="s">
        <v>54</v>
      </c>
      <c r="E3080" t="s">
        <v>39</v>
      </c>
      <c r="F3080" t="s">
        <v>106</v>
      </c>
      <c r="G3080">
        <v>2.54</v>
      </c>
      <c r="H3080" t="s">
        <v>128</v>
      </c>
      <c r="I3080" t="s">
        <v>42</v>
      </c>
      <c r="M3080">
        <f>VLOOKUP(H3080,'Stage Order'!$A$2:$B$8,2,FALSE)</f>
        <v>3</v>
      </c>
      <c r="N3080" t="str">
        <f t="shared" si="96"/>
        <v>2. 1-24 hours</v>
      </c>
      <c r="O3080" t="str">
        <f t="shared" si="97"/>
        <v>2025-03</v>
      </c>
    </row>
    <row r="3081" spans="1:15" x14ac:dyDescent="0.3">
      <c r="A3081" t="s">
        <v>7278</v>
      </c>
      <c r="B3081" t="s">
        <v>7279</v>
      </c>
      <c r="C3081" t="s">
        <v>125</v>
      </c>
      <c r="D3081" t="s">
        <v>77</v>
      </c>
      <c r="E3081" t="s">
        <v>45</v>
      </c>
      <c r="F3081" t="s">
        <v>94</v>
      </c>
      <c r="G3081">
        <v>1.88</v>
      </c>
      <c r="H3081" t="s">
        <v>146</v>
      </c>
      <c r="I3081" t="s">
        <v>48</v>
      </c>
      <c r="J3081" t="s">
        <v>98</v>
      </c>
      <c r="K3081">
        <v>974.69</v>
      </c>
      <c r="L3081" t="s">
        <v>7280</v>
      </c>
      <c r="M3081">
        <f>VLOOKUP(H3081,'Stage Order'!$A$2:$B$8,2,FALSE)</f>
        <v>5</v>
      </c>
      <c r="N3081" t="str">
        <f t="shared" si="96"/>
        <v>2. 1-24 hours</v>
      </c>
      <c r="O3081" t="str">
        <f t="shared" si="97"/>
        <v>2026-06</v>
      </c>
    </row>
    <row r="3082" spans="1:15" x14ac:dyDescent="0.3">
      <c r="A3082" t="s">
        <v>7281</v>
      </c>
      <c r="B3082" t="s">
        <v>7282</v>
      </c>
      <c r="C3082" t="s">
        <v>37</v>
      </c>
      <c r="D3082" t="s">
        <v>77</v>
      </c>
      <c r="E3082" t="s">
        <v>39</v>
      </c>
      <c r="F3082" t="s">
        <v>66</v>
      </c>
      <c r="G3082">
        <v>3.11</v>
      </c>
      <c r="H3082" t="s">
        <v>41</v>
      </c>
      <c r="I3082" t="s">
        <v>42</v>
      </c>
      <c r="M3082">
        <f>VLOOKUP(H3082,'Stage Order'!$A$2:$B$8,2,FALSE)</f>
        <v>2</v>
      </c>
      <c r="N3082" t="str">
        <f t="shared" si="96"/>
        <v>2. 1-24 hours</v>
      </c>
      <c r="O3082" t="str">
        <f t="shared" si="97"/>
        <v>2026-02</v>
      </c>
    </row>
    <row r="3083" spans="1:15" x14ac:dyDescent="0.3">
      <c r="A3083" t="s">
        <v>7283</v>
      </c>
      <c r="B3083" t="s">
        <v>7284</v>
      </c>
      <c r="C3083" t="s">
        <v>125</v>
      </c>
      <c r="D3083" t="s">
        <v>29</v>
      </c>
      <c r="E3083" t="s">
        <v>39</v>
      </c>
      <c r="F3083" t="s">
        <v>106</v>
      </c>
      <c r="G3083">
        <v>10.08</v>
      </c>
      <c r="H3083" t="s">
        <v>138</v>
      </c>
      <c r="I3083" t="s">
        <v>48</v>
      </c>
      <c r="J3083" t="s">
        <v>113</v>
      </c>
      <c r="K3083">
        <v>705.96</v>
      </c>
      <c r="L3083" t="s">
        <v>7285</v>
      </c>
      <c r="M3083">
        <f>VLOOKUP(H3083,'Stage Order'!$A$2:$B$8,2,FALSE)</f>
        <v>6</v>
      </c>
      <c r="N3083" t="str">
        <f t="shared" si="96"/>
        <v>2. 1-24 hours</v>
      </c>
      <c r="O3083" t="str">
        <f t="shared" si="97"/>
        <v>2025-03</v>
      </c>
    </row>
    <row r="3084" spans="1:15" x14ac:dyDescent="0.3">
      <c r="A3084" t="s">
        <v>7286</v>
      </c>
      <c r="B3084" t="s">
        <v>7287</v>
      </c>
      <c r="C3084" t="s">
        <v>58</v>
      </c>
      <c r="D3084" t="s">
        <v>54</v>
      </c>
      <c r="E3084" t="s">
        <v>45</v>
      </c>
      <c r="F3084" t="s">
        <v>55</v>
      </c>
      <c r="G3084">
        <v>4.53</v>
      </c>
      <c r="H3084" t="s">
        <v>128</v>
      </c>
      <c r="I3084" t="s">
        <v>42</v>
      </c>
      <c r="M3084">
        <f>VLOOKUP(H3084,'Stage Order'!$A$2:$B$8,2,FALSE)</f>
        <v>3</v>
      </c>
      <c r="N3084" t="str">
        <f t="shared" si="96"/>
        <v>2. 1-24 hours</v>
      </c>
      <c r="O3084" t="str">
        <f t="shared" si="97"/>
        <v>2025-01</v>
      </c>
    </row>
    <row r="3085" spans="1:15" x14ac:dyDescent="0.3">
      <c r="A3085" t="s">
        <v>7288</v>
      </c>
      <c r="B3085" t="s">
        <v>7289</v>
      </c>
      <c r="C3085" t="s">
        <v>37</v>
      </c>
      <c r="D3085" t="s">
        <v>29</v>
      </c>
      <c r="E3085" t="s">
        <v>45</v>
      </c>
      <c r="F3085" t="s">
        <v>94</v>
      </c>
      <c r="G3085">
        <v>7.33</v>
      </c>
      <c r="H3085" t="s">
        <v>47</v>
      </c>
      <c r="I3085" t="s">
        <v>48</v>
      </c>
      <c r="J3085" t="s">
        <v>113</v>
      </c>
      <c r="K3085">
        <v>627.1</v>
      </c>
      <c r="L3085" t="s">
        <v>7290</v>
      </c>
      <c r="M3085">
        <f>VLOOKUP(H3085,'Stage Order'!$A$2:$B$8,2,FALSE)</f>
        <v>4</v>
      </c>
      <c r="N3085" t="str">
        <f t="shared" si="96"/>
        <v>2. 1-24 hours</v>
      </c>
      <c r="O3085" t="str">
        <f t="shared" si="97"/>
        <v>2026-01</v>
      </c>
    </row>
    <row r="3086" spans="1:15" x14ac:dyDescent="0.3">
      <c r="A3086" t="s">
        <v>7291</v>
      </c>
      <c r="B3086" t="s">
        <v>7292</v>
      </c>
      <c r="C3086" t="s">
        <v>37</v>
      </c>
      <c r="D3086" t="s">
        <v>29</v>
      </c>
      <c r="E3086" t="s">
        <v>30</v>
      </c>
      <c r="F3086" t="s">
        <v>31</v>
      </c>
      <c r="G3086">
        <v>9.06</v>
      </c>
      <c r="H3086" t="s">
        <v>41</v>
      </c>
      <c r="I3086" t="s">
        <v>42</v>
      </c>
      <c r="M3086">
        <f>VLOOKUP(H3086,'Stage Order'!$A$2:$B$8,2,FALSE)</f>
        <v>2</v>
      </c>
      <c r="N3086" t="str">
        <f t="shared" si="96"/>
        <v>2. 1-24 hours</v>
      </c>
      <c r="O3086" t="str">
        <f t="shared" si="97"/>
        <v>2026-02</v>
      </c>
    </row>
    <row r="3087" spans="1:15" x14ac:dyDescent="0.3">
      <c r="A3087" t="s">
        <v>7293</v>
      </c>
      <c r="B3087" t="s">
        <v>7294</v>
      </c>
      <c r="C3087" t="s">
        <v>37</v>
      </c>
      <c r="D3087" t="s">
        <v>97</v>
      </c>
      <c r="E3087" t="s">
        <v>30</v>
      </c>
      <c r="F3087" t="s">
        <v>78</v>
      </c>
      <c r="G3087">
        <v>0.99</v>
      </c>
      <c r="H3087" t="s">
        <v>41</v>
      </c>
      <c r="I3087" t="s">
        <v>42</v>
      </c>
      <c r="M3087">
        <f>VLOOKUP(H3087,'Stage Order'!$A$2:$B$8,2,FALSE)</f>
        <v>2</v>
      </c>
      <c r="N3087" t="str">
        <f t="shared" si="96"/>
        <v>1. Under 1 hour</v>
      </c>
      <c r="O3087" t="str">
        <f t="shared" si="97"/>
        <v>2025-08</v>
      </c>
    </row>
    <row r="3088" spans="1:15" x14ac:dyDescent="0.3">
      <c r="A3088" t="s">
        <v>7295</v>
      </c>
      <c r="B3088" t="s">
        <v>7296</v>
      </c>
      <c r="C3088" t="s">
        <v>81</v>
      </c>
      <c r="D3088" t="s">
        <v>29</v>
      </c>
      <c r="E3088" t="s">
        <v>59</v>
      </c>
      <c r="F3088" t="s">
        <v>137</v>
      </c>
      <c r="G3088">
        <v>2.2599999999999998</v>
      </c>
      <c r="H3088" t="s">
        <v>41</v>
      </c>
      <c r="I3088" t="s">
        <v>42</v>
      </c>
      <c r="M3088">
        <f>VLOOKUP(H3088,'Stage Order'!$A$2:$B$8,2,FALSE)</f>
        <v>2</v>
      </c>
      <c r="N3088" t="str">
        <f t="shared" si="96"/>
        <v>2. 1-24 hours</v>
      </c>
      <c r="O3088" t="str">
        <f t="shared" si="97"/>
        <v>2026-03</v>
      </c>
    </row>
    <row r="3089" spans="1:15" x14ac:dyDescent="0.3">
      <c r="A3089" t="s">
        <v>7297</v>
      </c>
      <c r="B3089" t="s">
        <v>7298</v>
      </c>
      <c r="C3089" t="s">
        <v>58</v>
      </c>
      <c r="D3089" t="s">
        <v>97</v>
      </c>
      <c r="E3089" t="s">
        <v>45</v>
      </c>
      <c r="F3089" t="s">
        <v>94</v>
      </c>
      <c r="G3089">
        <v>3.92</v>
      </c>
      <c r="H3089" t="s">
        <v>61</v>
      </c>
      <c r="I3089" t="s">
        <v>42</v>
      </c>
      <c r="M3089">
        <f>VLOOKUP(H3089,'Stage Order'!$A$2:$B$8,2,FALSE)</f>
        <v>1</v>
      </c>
      <c r="N3089" t="str">
        <f t="shared" si="96"/>
        <v>2. 1-24 hours</v>
      </c>
      <c r="O3089" t="str">
        <f t="shared" si="97"/>
        <v>2026-06</v>
      </c>
    </row>
    <row r="3090" spans="1:15" x14ac:dyDescent="0.3">
      <c r="A3090" t="s">
        <v>7299</v>
      </c>
      <c r="B3090" t="s">
        <v>7300</v>
      </c>
      <c r="C3090" t="s">
        <v>125</v>
      </c>
      <c r="D3090" t="s">
        <v>29</v>
      </c>
      <c r="E3090" t="s">
        <v>45</v>
      </c>
      <c r="F3090" t="s">
        <v>46</v>
      </c>
      <c r="G3090">
        <v>0.33</v>
      </c>
      <c r="H3090" t="s">
        <v>61</v>
      </c>
      <c r="I3090" t="s">
        <v>42</v>
      </c>
      <c r="M3090">
        <f>VLOOKUP(H3090,'Stage Order'!$A$2:$B$8,2,FALSE)</f>
        <v>1</v>
      </c>
      <c r="N3090" t="str">
        <f t="shared" si="96"/>
        <v>1. Under 1 hour</v>
      </c>
      <c r="O3090" t="str">
        <f t="shared" si="97"/>
        <v>2025-03</v>
      </c>
    </row>
    <row r="3091" spans="1:15" x14ac:dyDescent="0.3">
      <c r="A3091" t="s">
        <v>7301</v>
      </c>
      <c r="B3091" t="s">
        <v>7302</v>
      </c>
      <c r="C3091" t="s">
        <v>81</v>
      </c>
      <c r="D3091" t="s">
        <v>54</v>
      </c>
      <c r="E3091" t="s">
        <v>59</v>
      </c>
      <c r="F3091" t="s">
        <v>117</v>
      </c>
      <c r="G3091">
        <v>1.33</v>
      </c>
      <c r="H3091" t="s">
        <v>41</v>
      </c>
      <c r="I3091" t="s">
        <v>42</v>
      </c>
      <c r="M3091">
        <f>VLOOKUP(H3091,'Stage Order'!$A$2:$B$8,2,FALSE)</f>
        <v>2</v>
      </c>
      <c r="N3091" t="str">
        <f t="shared" si="96"/>
        <v>2. 1-24 hours</v>
      </c>
      <c r="O3091" t="str">
        <f t="shared" si="97"/>
        <v>2025-07</v>
      </c>
    </row>
    <row r="3092" spans="1:15" x14ac:dyDescent="0.3">
      <c r="A3092" t="s">
        <v>7303</v>
      </c>
      <c r="B3092" t="s">
        <v>7304</v>
      </c>
      <c r="C3092" t="s">
        <v>37</v>
      </c>
      <c r="D3092" t="s">
        <v>97</v>
      </c>
      <c r="E3092" t="s">
        <v>39</v>
      </c>
      <c r="F3092" t="s">
        <v>40</v>
      </c>
      <c r="G3092">
        <v>0.27</v>
      </c>
      <c r="H3092" t="s">
        <v>138</v>
      </c>
      <c r="I3092" t="s">
        <v>48</v>
      </c>
      <c r="J3092" t="s">
        <v>113</v>
      </c>
      <c r="K3092">
        <v>1290.77</v>
      </c>
      <c r="L3092" t="s">
        <v>7305</v>
      </c>
      <c r="M3092">
        <f>VLOOKUP(H3092,'Stage Order'!$A$2:$B$8,2,FALSE)</f>
        <v>6</v>
      </c>
      <c r="N3092" t="str">
        <f t="shared" si="96"/>
        <v>1. Under 1 hour</v>
      </c>
      <c r="O3092" t="str">
        <f t="shared" si="97"/>
        <v>2026-05</v>
      </c>
    </row>
    <row r="3093" spans="1:15" x14ac:dyDescent="0.3">
      <c r="A3093" t="s">
        <v>7306</v>
      </c>
      <c r="B3093" t="s">
        <v>7307</v>
      </c>
      <c r="C3093" t="s">
        <v>125</v>
      </c>
      <c r="D3093" t="s">
        <v>97</v>
      </c>
      <c r="E3093" t="s">
        <v>39</v>
      </c>
      <c r="F3093" t="s">
        <v>106</v>
      </c>
      <c r="G3093">
        <v>2.9</v>
      </c>
      <c r="H3093" t="s">
        <v>138</v>
      </c>
      <c r="I3093" t="s">
        <v>48</v>
      </c>
      <c r="J3093" t="s">
        <v>113</v>
      </c>
      <c r="K3093">
        <v>1368.88</v>
      </c>
      <c r="L3093" t="s">
        <v>7308</v>
      </c>
      <c r="M3093">
        <f>VLOOKUP(H3093,'Stage Order'!$A$2:$B$8,2,FALSE)</f>
        <v>6</v>
      </c>
      <c r="N3093" t="str">
        <f t="shared" si="96"/>
        <v>2. 1-24 hours</v>
      </c>
      <c r="O3093" t="str">
        <f t="shared" si="97"/>
        <v>2025-04</v>
      </c>
    </row>
    <row r="3094" spans="1:15" x14ac:dyDescent="0.3">
      <c r="A3094" t="s">
        <v>7309</v>
      </c>
      <c r="B3094" t="s">
        <v>7310</v>
      </c>
      <c r="C3094" t="s">
        <v>76</v>
      </c>
      <c r="D3094" t="s">
        <v>77</v>
      </c>
      <c r="E3094" t="s">
        <v>45</v>
      </c>
      <c r="F3094" t="s">
        <v>55</v>
      </c>
      <c r="G3094">
        <v>4.6900000000000004</v>
      </c>
      <c r="H3094" t="s">
        <v>41</v>
      </c>
      <c r="I3094" t="s">
        <v>42</v>
      </c>
      <c r="M3094">
        <f>VLOOKUP(H3094,'Stage Order'!$A$2:$B$8,2,FALSE)</f>
        <v>2</v>
      </c>
      <c r="N3094" t="str">
        <f t="shared" si="96"/>
        <v>2. 1-24 hours</v>
      </c>
      <c r="O3094" t="str">
        <f t="shared" si="97"/>
        <v>2025-05</v>
      </c>
    </row>
    <row r="3095" spans="1:15" x14ac:dyDescent="0.3">
      <c r="A3095" t="s">
        <v>7311</v>
      </c>
      <c r="B3095" t="s">
        <v>7312</v>
      </c>
      <c r="C3095" t="s">
        <v>58</v>
      </c>
      <c r="D3095" t="s">
        <v>29</v>
      </c>
      <c r="E3095" t="s">
        <v>45</v>
      </c>
      <c r="F3095" t="s">
        <v>46</v>
      </c>
      <c r="G3095">
        <v>2.5299999999999998</v>
      </c>
      <c r="H3095" t="s">
        <v>138</v>
      </c>
      <c r="I3095" t="s">
        <v>48</v>
      </c>
      <c r="J3095" t="s">
        <v>98</v>
      </c>
      <c r="K3095">
        <v>774.36</v>
      </c>
      <c r="L3095" t="s">
        <v>7313</v>
      </c>
      <c r="M3095">
        <f>VLOOKUP(H3095,'Stage Order'!$A$2:$B$8,2,FALSE)</f>
        <v>6</v>
      </c>
      <c r="N3095" t="str">
        <f t="shared" si="96"/>
        <v>2. 1-24 hours</v>
      </c>
      <c r="O3095" t="str">
        <f t="shared" si="97"/>
        <v>2026-02</v>
      </c>
    </row>
    <row r="3096" spans="1:15" x14ac:dyDescent="0.3">
      <c r="A3096" t="s">
        <v>7314</v>
      </c>
      <c r="B3096" t="s">
        <v>7315</v>
      </c>
      <c r="C3096" t="s">
        <v>76</v>
      </c>
      <c r="D3096" t="s">
        <v>77</v>
      </c>
      <c r="E3096" t="s">
        <v>39</v>
      </c>
      <c r="F3096" t="s">
        <v>106</v>
      </c>
      <c r="G3096">
        <v>2.37</v>
      </c>
      <c r="H3096" t="s">
        <v>138</v>
      </c>
      <c r="I3096" t="s">
        <v>48</v>
      </c>
      <c r="J3096" t="s">
        <v>742</v>
      </c>
      <c r="K3096">
        <v>863.64</v>
      </c>
      <c r="L3096" t="s">
        <v>7316</v>
      </c>
      <c r="M3096">
        <f>VLOOKUP(H3096,'Stage Order'!$A$2:$B$8,2,FALSE)</f>
        <v>6</v>
      </c>
      <c r="N3096" t="str">
        <f t="shared" si="96"/>
        <v>2. 1-24 hours</v>
      </c>
      <c r="O3096" t="str">
        <f t="shared" si="97"/>
        <v>2026-05</v>
      </c>
    </row>
    <row r="3097" spans="1:15" x14ac:dyDescent="0.3">
      <c r="A3097" t="s">
        <v>7317</v>
      </c>
      <c r="B3097" t="s">
        <v>7318</v>
      </c>
      <c r="C3097" t="s">
        <v>58</v>
      </c>
      <c r="D3097" t="s">
        <v>54</v>
      </c>
      <c r="E3097" t="s">
        <v>90</v>
      </c>
      <c r="F3097" t="s">
        <v>91</v>
      </c>
      <c r="G3097">
        <v>2.08</v>
      </c>
      <c r="H3097" t="s">
        <v>41</v>
      </c>
      <c r="I3097" t="s">
        <v>42</v>
      </c>
      <c r="M3097">
        <f>VLOOKUP(H3097,'Stage Order'!$A$2:$B$8,2,FALSE)</f>
        <v>2</v>
      </c>
      <c r="N3097" t="str">
        <f t="shared" si="96"/>
        <v>2. 1-24 hours</v>
      </c>
      <c r="O3097" t="str">
        <f t="shared" si="97"/>
        <v>2025-11</v>
      </c>
    </row>
    <row r="3098" spans="1:15" x14ac:dyDescent="0.3">
      <c r="A3098" t="s">
        <v>7319</v>
      </c>
      <c r="B3098" t="s">
        <v>7320</v>
      </c>
      <c r="C3098" t="s">
        <v>125</v>
      </c>
      <c r="D3098" t="s">
        <v>38</v>
      </c>
      <c r="E3098" t="s">
        <v>59</v>
      </c>
      <c r="F3098" t="s">
        <v>117</v>
      </c>
      <c r="G3098">
        <v>21.74</v>
      </c>
      <c r="H3098" t="s">
        <v>41</v>
      </c>
      <c r="I3098" t="s">
        <v>42</v>
      </c>
      <c r="M3098">
        <f>VLOOKUP(H3098,'Stage Order'!$A$2:$B$8,2,FALSE)</f>
        <v>2</v>
      </c>
      <c r="N3098" t="str">
        <f t="shared" si="96"/>
        <v>2. 1-24 hours</v>
      </c>
      <c r="O3098" t="str">
        <f t="shared" si="97"/>
        <v>2026-03</v>
      </c>
    </row>
    <row r="3099" spans="1:15" x14ac:dyDescent="0.3">
      <c r="A3099" t="s">
        <v>7321</v>
      </c>
      <c r="B3099" t="s">
        <v>7322</v>
      </c>
      <c r="C3099" t="s">
        <v>28</v>
      </c>
      <c r="D3099" t="s">
        <v>29</v>
      </c>
      <c r="E3099" t="s">
        <v>59</v>
      </c>
      <c r="F3099" t="s">
        <v>117</v>
      </c>
      <c r="G3099">
        <v>0.81</v>
      </c>
      <c r="H3099" t="s">
        <v>32</v>
      </c>
      <c r="I3099" t="s">
        <v>33</v>
      </c>
      <c r="K3099">
        <v>760.37</v>
      </c>
      <c r="L3099" t="s">
        <v>7323</v>
      </c>
      <c r="M3099">
        <f>VLOOKUP(H3099,'Stage Order'!$A$2:$B$8,2,FALSE)</f>
        <v>7</v>
      </c>
      <c r="N3099" t="str">
        <f t="shared" si="96"/>
        <v>1. Under 1 hour</v>
      </c>
      <c r="O3099" t="str">
        <f t="shared" si="97"/>
        <v>2025-01</v>
      </c>
    </row>
    <row r="3100" spans="1:15" x14ac:dyDescent="0.3">
      <c r="A3100" t="s">
        <v>7324</v>
      </c>
      <c r="B3100" t="s">
        <v>7325</v>
      </c>
      <c r="C3100" t="s">
        <v>58</v>
      </c>
      <c r="D3100" t="s">
        <v>38</v>
      </c>
      <c r="E3100" t="s">
        <v>59</v>
      </c>
      <c r="F3100" t="s">
        <v>60</v>
      </c>
      <c r="G3100">
        <v>1.99</v>
      </c>
      <c r="H3100" t="s">
        <v>32</v>
      </c>
      <c r="I3100" t="s">
        <v>33</v>
      </c>
      <c r="K3100">
        <v>326.33</v>
      </c>
      <c r="L3100" t="s">
        <v>7326</v>
      </c>
      <c r="M3100">
        <f>VLOOKUP(H3100,'Stage Order'!$A$2:$B$8,2,FALSE)</f>
        <v>7</v>
      </c>
      <c r="N3100" t="str">
        <f t="shared" si="96"/>
        <v>2. 1-24 hours</v>
      </c>
      <c r="O3100" t="str">
        <f t="shared" si="97"/>
        <v>2025-09</v>
      </c>
    </row>
    <row r="3101" spans="1:15" x14ac:dyDescent="0.3">
      <c r="A3101" t="s">
        <v>7327</v>
      </c>
      <c r="B3101" t="s">
        <v>7328</v>
      </c>
      <c r="C3101" t="s">
        <v>37</v>
      </c>
      <c r="D3101" t="s">
        <v>54</v>
      </c>
      <c r="E3101" t="s">
        <v>39</v>
      </c>
      <c r="F3101" t="s">
        <v>40</v>
      </c>
      <c r="G3101">
        <v>7.76</v>
      </c>
      <c r="H3101" t="s">
        <v>41</v>
      </c>
      <c r="I3101" t="s">
        <v>42</v>
      </c>
      <c r="M3101">
        <f>VLOOKUP(H3101,'Stage Order'!$A$2:$B$8,2,FALSE)</f>
        <v>2</v>
      </c>
      <c r="N3101" t="str">
        <f t="shared" si="96"/>
        <v>2. 1-24 hours</v>
      </c>
      <c r="O3101" t="str">
        <f t="shared" si="97"/>
        <v>2026-01</v>
      </c>
    </row>
    <row r="3102" spans="1:15" x14ac:dyDescent="0.3">
      <c r="A3102" t="s">
        <v>7329</v>
      </c>
      <c r="B3102" t="s">
        <v>7330</v>
      </c>
      <c r="C3102" t="s">
        <v>81</v>
      </c>
      <c r="D3102" t="s">
        <v>77</v>
      </c>
      <c r="E3102" t="s">
        <v>59</v>
      </c>
      <c r="F3102" t="s">
        <v>60</v>
      </c>
      <c r="G3102">
        <v>1.34</v>
      </c>
      <c r="H3102" t="s">
        <v>128</v>
      </c>
      <c r="I3102" t="s">
        <v>42</v>
      </c>
      <c r="M3102">
        <f>VLOOKUP(H3102,'Stage Order'!$A$2:$B$8,2,FALSE)</f>
        <v>3</v>
      </c>
      <c r="N3102" t="str">
        <f t="shared" si="96"/>
        <v>2. 1-24 hours</v>
      </c>
      <c r="O3102" t="str">
        <f t="shared" si="97"/>
        <v>2026-04</v>
      </c>
    </row>
    <row r="3103" spans="1:15" x14ac:dyDescent="0.3">
      <c r="A3103" t="s">
        <v>7331</v>
      </c>
      <c r="B3103" t="s">
        <v>7332</v>
      </c>
      <c r="C3103" t="s">
        <v>28</v>
      </c>
      <c r="D3103" t="s">
        <v>29</v>
      </c>
      <c r="E3103" t="s">
        <v>45</v>
      </c>
      <c r="F3103" t="s">
        <v>55</v>
      </c>
      <c r="G3103">
        <v>6.99</v>
      </c>
      <c r="H3103" t="s">
        <v>41</v>
      </c>
      <c r="I3103" t="s">
        <v>42</v>
      </c>
      <c r="M3103">
        <f>VLOOKUP(H3103,'Stage Order'!$A$2:$B$8,2,FALSE)</f>
        <v>2</v>
      </c>
      <c r="N3103" t="str">
        <f t="shared" si="96"/>
        <v>2. 1-24 hours</v>
      </c>
      <c r="O3103" t="str">
        <f t="shared" si="97"/>
        <v>2025-08</v>
      </c>
    </row>
    <row r="3104" spans="1:15" x14ac:dyDescent="0.3">
      <c r="A3104" t="s">
        <v>7333</v>
      </c>
      <c r="B3104" t="s">
        <v>7334</v>
      </c>
      <c r="C3104" t="s">
        <v>76</v>
      </c>
      <c r="D3104" t="s">
        <v>38</v>
      </c>
      <c r="E3104" t="s">
        <v>30</v>
      </c>
      <c r="F3104" t="s">
        <v>82</v>
      </c>
      <c r="G3104">
        <v>1.83</v>
      </c>
      <c r="H3104" t="s">
        <v>47</v>
      </c>
      <c r="I3104" t="s">
        <v>48</v>
      </c>
      <c r="J3104" t="s">
        <v>139</v>
      </c>
      <c r="K3104">
        <v>354.15</v>
      </c>
      <c r="L3104" t="s">
        <v>7335</v>
      </c>
      <c r="M3104">
        <f>VLOOKUP(H3104,'Stage Order'!$A$2:$B$8,2,FALSE)</f>
        <v>4</v>
      </c>
      <c r="N3104" t="str">
        <f t="shared" si="96"/>
        <v>2. 1-24 hours</v>
      </c>
      <c r="O3104" t="str">
        <f t="shared" si="97"/>
        <v>2026-02</v>
      </c>
    </row>
    <row r="3105" spans="1:15" x14ac:dyDescent="0.3">
      <c r="A3105" t="s">
        <v>7336</v>
      </c>
      <c r="B3105" t="s">
        <v>7337</v>
      </c>
      <c r="C3105" t="s">
        <v>53</v>
      </c>
      <c r="D3105" t="s">
        <v>29</v>
      </c>
      <c r="E3105" t="s">
        <v>45</v>
      </c>
      <c r="F3105" t="s">
        <v>94</v>
      </c>
      <c r="G3105">
        <v>4.03</v>
      </c>
      <c r="H3105" t="s">
        <v>32</v>
      </c>
      <c r="I3105" t="s">
        <v>33</v>
      </c>
      <c r="K3105">
        <v>682.02</v>
      </c>
      <c r="L3105" t="s">
        <v>7338</v>
      </c>
      <c r="M3105">
        <f>VLOOKUP(H3105,'Stage Order'!$A$2:$B$8,2,FALSE)</f>
        <v>7</v>
      </c>
      <c r="N3105" t="str">
        <f t="shared" si="96"/>
        <v>2. 1-24 hours</v>
      </c>
      <c r="O3105" t="str">
        <f t="shared" si="97"/>
        <v>2026-05</v>
      </c>
    </row>
    <row r="3106" spans="1:15" x14ac:dyDescent="0.3">
      <c r="A3106" t="s">
        <v>7339</v>
      </c>
      <c r="B3106" t="s">
        <v>7340</v>
      </c>
      <c r="C3106" t="s">
        <v>37</v>
      </c>
      <c r="D3106" t="s">
        <v>97</v>
      </c>
      <c r="E3106" t="s">
        <v>59</v>
      </c>
      <c r="F3106" t="s">
        <v>60</v>
      </c>
      <c r="G3106">
        <v>3.71</v>
      </c>
      <c r="H3106" t="s">
        <v>138</v>
      </c>
      <c r="I3106" t="s">
        <v>48</v>
      </c>
      <c r="J3106" t="s">
        <v>742</v>
      </c>
      <c r="K3106">
        <v>1230.06</v>
      </c>
      <c r="L3106" t="s">
        <v>7341</v>
      </c>
      <c r="M3106">
        <f>VLOOKUP(H3106,'Stage Order'!$A$2:$B$8,2,FALSE)</f>
        <v>6</v>
      </c>
      <c r="N3106" t="str">
        <f t="shared" si="96"/>
        <v>2. 1-24 hours</v>
      </c>
      <c r="O3106" t="str">
        <f t="shared" si="97"/>
        <v>2025-03</v>
      </c>
    </row>
    <row r="3107" spans="1:15" x14ac:dyDescent="0.3">
      <c r="A3107" t="s">
        <v>7342</v>
      </c>
      <c r="B3107" t="s">
        <v>7343</v>
      </c>
      <c r="C3107" t="s">
        <v>81</v>
      </c>
      <c r="D3107" t="s">
        <v>54</v>
      </c>
      <c r="E3107" t="s">
        <v>39</v>
      </c>
      <c r="F3107" t="s">
        <v>40</v>
      </c>
      <c r="G3107">
        <v>14.17</v>
      </c>
      <c r="H3107" t="s">
        <v>61</v>
      </c>
      <c r="I3107" t="s">
        <v>42</v>
      </c>
      <c r="M3107">
        <f>VLOOKUP(H3107,'Stage Order'!$A$2:$B$8,2,FALSE)</f>
        <v>1</v>
      </c>
      <c r="N3107" t="str">
        <f t="shared" si="96"/>
        <v>2. 1-24 hours</v>
      </c>
      <c r="O3107" t="str">
        <f t="shared" si="97"/>
        <v>2025-03</v>
      </c>
    </row>
    <row r="3108" spans="1:15" x14ac:dyDescent="0.3">
      <c r="A3108" t="s">
        <v>7344</v>
      </c>
      <c r="B3108" t="s">
        <v>7345</v>
      </c>
      <c r="C3108" t="s">
        <v>125</v>
      </c>
      <c r="D3108" t="s">
        <v>38</v>
      </c>
      <c r="E3108" t="s">
        <v>39</v>
      </c>
      <c r="F3108" t="s">
        <v>66</v>
      </c>
      <c r="G3108">
        <v>1.18</v>
      </c>
      <c r="H3108" t="s">
        <v>61</v>
      </c>
      <c r="I3108" t="s">
        <v>42</v>
      </c>
      <c r="M3108">
        <f>VLOOKUP(H3108,'Stage Order'!$A$2:$B$8,2,FALSE)</f>
        <v>1</v>
      </c>
      <c r="N3108" t="str">
        <f t="shared" si="96"/>
        <v>2. 1-24 hours</v>
      </c>
      <c r="O3108" t="str">
        <f t="shared" si="97"/>
        <v>2026-06</v>
      </c>
    </row>
    <row r="3109" spans="1:15" x14ac:dyDescent="0.3">
      <c r="A3109" t="s">
        <v>7346</v>
      </c>
      <c r="B3109" t="s">
        <v>7347</v>
      </c>
      <c r="C3109" t="s">
        <v>28</v>
      </c>
      <c r="D3109" t="s">
        <v>54</v>
      </c>
      <c r="E3109" t="s">
        <v>30</v>
      </c>
      <c r="F3109" t="s">
        <v>78</v>
      </c>
      <c r="G3109">
        <v>3.67</v>
      </c>
      <c r="H3109" t="s">
        <v>32</v>
      </c>
      <c r="I3109" t="s">
        <v>33</v>
      </c>
      <c r="K3109">
        <v>585.78</v>
      </c>
      <c r="L3109" t="s">
        <v>7348</v>
      </c>
      <c r="M3109">
        <f>VLOOKUP(H3109,'Stage Order'!$A$2:$B$8,2,FALSE)</f>
        <v>7</v>
      </c>
      <c r="N3109" t="str">
        <f t="shared" si="96"/>
        <v>2. 1-24 hours</v>
      </c>
      <c r="O3109" t="str">
        <f t="shared" si="97"/>
        <v>2025-08</v>
      </c>
    </row>
    <row r="3110" spans="1:15" x14ac:dyDescent="0.3">
      <c r="A3110" t="s">
        <v>7349</v>
      </c>
      <c r="B3110" t="s">
        <v>7350</v>
      </c>
      <c r="C3110" t="s">
        <v>37</v>
      </c>
      <c r="D3110" t="s">
        <v>54</v>
      </c>
      <c r="E3110" t="s">
        <v>39</v>
      </c>
      <c r="F3110" t="s">
        <v>106</v>
      </c>
      <c r="G3110">
        <v>0.16</v>
      </c>
      <c r="H3110" t="s">
        <v>41</v>
      </c>
      <c r="I3110" t="s">
        <v>42</v>
      </c>
      <c r="M3110">
        <f>VLOOKUP(H3110,'Stage Order'!$A$2:$B$8,2,FALSE)</f>
        <v>2</v>
      </c>
      <c r="N3110" t="str">
        <f t="shared" si="96"/>
        <v>1. Under 1 hour</v>
      </c>
      <c r="O3110" t="str">
        <f t="shared" si="97"/>
        <v>2025-03</v>
      </c>
    </row>
    <row r="3111" spans="1:15" x14ac:dyDescent="0.3">
      <c r="A3111" t="s">
        <v>7351</v>
      </c>
      <c r="B3111" t="s">
        <v>7352</v>
      </c>
      <c r="C3111" t="s">
        <v>37</v>
      </c>
      <c r="D3111" t="s">
        <v>77</v>
      </c>
      <c r="E3111" t="s">
        <v>39</v>
      </c>
      <c r="F3111" t="s">
        <v>40</v>
      </c>
      <c r="G3111">
        <v>1.75</v>
      </c>
      <c r="H3111" t="s">
        <v>32</v>
      </c>
      <c r="I3111" t="s">
        <v>33</v>
      </c>
      <c r="K3111">
        <v>833.09</v>
      </c>
      <c r="L3111" t="s">
        <v>7353</v>
      </c>
      <c r="M3111">
        <f>VLOOKUP(H3111,'Stage Order'!$A$2:$B$8,2,FALSE)</f>
        <v>7</v>
      </c>
      <c r="N3111" t="str">
        <f t="shared" si="96"/>
        <v>2. 1-24 hours</v>
      </c>
      <c r="O3111" t="str">
        <f t="shared" si="97"/>
        <v>2026-01</v>
      </c>
    </row>
    <row r="3112" spans="1:15" x14ac:dyDescent="0.3">
      <c r="A3112" t="s">
        <v>7354</v>
      </c>
      <c r="B3112" t="s">
        <v>7355</v>
      </c>
      <c r="C3112" t="s">
        <v>58</v>
      </c>
      <c r="D3112" t="s">
        <v>54</v>
      </c>
      <c r="E3112" t="s">
        <v>90</v>
      </c>
      <c r="F3112" t="s">
        <v>145</v>
      </c>
      <c r="G3112">
        <v>1.56</v>
      </c>
      <c r="H3112" t="s">
        <v>61</v>
      </c>
      <c r="I3112" t="s">
        <v>42</v>
      </c>
      <c r="M3112">
        <f>VLOOKUP(H3112,'Stage Order'!$A$2:$B$8,2,FALSE)</f>
        <v>1</v>
      </c>
      <c r="N3112" t="str">
        <f t="shared" si="96"/>
        <v>2. 1-24 hours</v>
      </c>
      <c r="O3112" t="str">
        <f t="shared" si="97"/>
        <v>2025-08</v>
      </c>
    </row>
    <row r="3113" spans="1:15" x14ac:dyDescent="0.3">
      <c r="A3113" t="s">
        <v>7356</v>
      </c>
      <c r="B3113" t="s">
        <v>7357</v>
      </c>
      <c r="C3113" t="s">
        <v>37</v>
      </c>
      <c r="D3113" t="s">
        <v>97</v>
      </c>
      <c r="E3113" t="s">
        <v>39</v>
      </c>
      <c r="F3113" t="s">
        <v>40</v>
      </c>
      <c r="G3113">
        <v>1.2</v>
      </c>
      <c r="H3113" t="s">
        <v>41</v>
      </c>
      <c r="I3113" t="s">
        <v>42</v>
      </c>
      <c r="M3113">
        <f>VLOOKUP(H3113,'Stage Order'!$A$2:$B$8,2,FALSE)</f>
        <v>2</v>
      </c>
      <c r="N3113" t="str">
        <f t="shared" si="96"/>
        <v>2. 1-24 hours</v>
      </c>
      <c r="O3113" t="str">
        <f t="shared" si="97"/>
        <v>2025-05</v>
      </c>
    </row>
    <row r="3114" spans="1:15" x14ac:dyDescent="0.3">
      <c r="A3114" t="s">
        <v>7358</v>
      </c>
      <c r="B3114" t="s">
        <v>7359</v>
      </c>
      <c r="C3114" t="s">
        <v>125</v>
      </c>
      <c r="D3114" t="s">
        <v>29</v>
      </c>
      <c r="E3114" t="s">
        <v>90</v>
      </c>
      <c r="F3114" t="s">
        <v>91</v>
      </c>
      <c r="G3114">
        <v>3.87</v>
      </c>
      <c r="H3114" t="s">
        <v>61</v>
      </c>
      <c r="I3114" t="s">
        <v>42</v>
      </c>
      <c r="M3114">
        <f>VLOOKUP(H3114,'Stage Order'!$A$2:$B$8,2,FALSE)</f>
        <v>1</v>
      </c>
      <c r="N3114" t="str">
        <f t="shared" si="96"/>
        <v>2. 1-24 hours</v>
      </c>
      <c r="O3114" t="str">
        <f t="shared" si="97"/>
        <v>2025-12</v>
      </c>
    </row>
    <row r="3115" spans="1:15" x14ac:dyDescent="0.3">
      <c r="A3115" t="s">
        <v>7360</v>
      </c>
      <c r="B3115" t="s">
        <v>7361</v>
      </c>
      <c r="C3115" t="s">
        <v>58</v>
      </c>
      <c r="D3115" t="s">
        <v>97</v>
      </c>
      <c r="E3115" t="s">
        <v>59</v>
      </c>
      <c r="F3115" t="s">
        <v>117</v>
      </c>
      <c r="G3115">
        <v>0.83</v>
      </c>
      <c r="H3115" t="s">
        <v>61</v>
      </c>
      <c r="I3115" t="s">
        <v>42</v>
      </c>
      <c r="M3115">
        <f>VLOOKUP(H3115,'Stage Order'!$A$2:$B$8,2,FALSE)</f>
        <v>1</v>
      </c>
      <c r="N3115" t="str">
        <f t="shared" si="96"/>
        <v>1. Under 1 hour</v>
      </c>
      <c r="O3115" t="str">
        <f t="shared" si="97"/>
        <v>2025-01</v>
      </c>
    </row>
    <row r="3116" spans="1:15" x14ac:dyDescent="0.3">
      <c r="A3116" t="s">
        <v>7362</v>
      </c>
      <c r="B3116" t="s">
        <v>7363</v>
      </c>
      <c r="C3116" t="s">
        <v>53</v>
      </c>
      <c r="D3116" t="s">
        <v>97</v>
      </c>
      <c r="E3116" t="s">
        <v>59</v>
      </c>
      <c r="F3116" t="s">
        <v>60</v>
      </c>
      <c r="G3116">
        <v>2.4300000000000002</v>
      </c>
      <c r="H3116" t="s">
        <v>32</v>
      </c>
      <c r="I3116" t="s">
        <v>33</v>
      </c>
      <c r="K3116">
        <v>1236.92</v>
      </c>
      <c r="L3116" t="s">
        <v>7364</v>
      </c>
      <c r="M3116">
        <f>VLOOKUP(H3116,'Stage Order'!$A$2:$B$8,2,FALSE)</f>
        <v>7</v>
      </c>
      <c r="N3116" t="str">
        <f t="shared" si="96"/>
        <v>2. 1-24 hours</v>
      </c>
      <c r="O3116" t="str">
        <f t="shared" si="97"/>
        <v>2025-10</v>
      </c>
    </row>
    <row r="3117" spans="1:15" x14ac:dyDescent="0.3">
      <c r="A3117" t="s">
        <v>7365</v>
      </c>
      <c r="B3117" t="s">
        <v>7366</v>
      </c>
      <c r="C3117" t="s">
        <v>53</v>
      </c>
      <c r="D3117" t="s">
        <v>54</v>
      </c>
      <c r="E3117" t="s">
        <v>45</v>
      </c>
      <c r="F3117" t="s">
        <v>55</v>
      </c>
      <c r="G3117">
        <v>2.36</v>
      </c>
      <c r="H3117" t="s">
        <v>41</v>
      </c>
      <c r="I3117" t="s">
        <v>42</v>
      </c>
      <c r="M3117">
        <f>VLOOKUP(H3117,'Stage Order'!$A$2:$B$8,2,FALSE)</f>
        <v>2</v>
      </c>
      <c r="N3117" t="str">
        <f t="shared" si="96"/>
        <v>2. 1-24 hours</v>
      </c>
      <c r="O3117" t="str">
        <f t="shared" si="97"/>
        <v>2026-03</v>
      </c>
    </row>
    <row r="3118" spans="1:15" x14ac:dyDescent="0.3">
      <c r="A3118" t="s">
        <v>7367</v>
      </c>
      <c r="B3118" t="s">
        <v>7368</v>
      </c>
      <c r="C3118" t="s">
        <v>37</v>
      </c>
      <c r="D3118" t="s">
        <v>77</v>
      </c>
      <c r="E3118" t="s">
        <v>90</v>
      </c>
      <c r="F3118" t="s">
        <v>91</v>
      </c>
      <c r="G3118">
        <v>4.96</v>
      </c>
      <c r="H3118" t="s">
        <v>41</v>
      </c>
      <c r="I3118" t="s">
        <v>42</v>
      </c>
      <c r="M3118">
        <f>VLOOKUP(H3118,'Stage Order'!$A$2:$B$8,2,FALSE)</f>
        <v>2</v>
      </c>
      <c r="N3118" t="str">
        <f t="shared" si="96"/>
        <v>2. 1-24 hours</v>
      </c>
      <c r="O3118" t="str">
        <f t="shared" si="97"/>
        <v>2025-07</v>
      </c>
    </row>
    <row r="3119" spans="1:15" x14ac:dyDescent="0.3">
      <c r="A3119" t="s">
        <v>7369</v>
      </c>
      <c r="B3119" t="s">
        <v>7370</v>
      </c>
      <c r="C3119" t="s">
        <v>58</v>
      </c>
      <c r="D3119" t="s">
        <v>29</v>
      </c>
      <c r="E3119" t="s">
        <v>90</v>
      </c>
      <c r="F3119" t="s">
        <v>91</v>
      </c>
      <c r="G3119">
        <v>4.3</v>
      </c>
      <c r="H3119" t="s">
        <v>138</v>
      </c>
      <c r="I3119" t="s">
        <v>48</v>
      </c>
      <c r="J3119" t="s">
        <v>113</v>
      </c>
      <c r="K3119">
        <v>562.82000000000005</v>
      </c>
      <c r="L3119" t="s">
        <v>7371</v>
      </c>
      <c r="M3119">
        <f>VLOOKUP(H3119,'Stage Order'!$A$2:$B$8,2,FALSE)</f>
        <v>6</v>
      </c>
      <c r="N3119" t="str">
        <f t="shared" si="96"/>
        <v>2. 1-24 hours</v>
      </c>
      <c r="O3119" t="str">
        <f t="shared" si="97"/>
        <v>2025-05</v>
      </c>
    </row>
    <row r="3120" spans="1:15" x14ac:dyDescent="0.3">
      <c r="A3120" t="s">
        <v>7372</v>
      </c>
      <c r="B3120" t="s">
        <v>7373</v>
      </c>
      <c r="C3120" t="s">
        <v>125</v>
      </c>
      <c r="D3120" t="s">
        <v>97</v>
      </c>
      <c r="E3120" t="s">
        <v>39</v>
      </c>
      <c r="F3120" t="s">
        <v>40</v>
      </c>
      <c r="G3120">
        <v>3.33</v>
      </c>
      <c r="H3120" t="s">
        <v>41</v>
      </c>
      <c r="I3120" t="s">
        <v>42</v>
      </c>
      <c r="M3120">
        <f>VLOOKUP(H3120,'Stage Order'!$A$2:$B$8,2,FALSE)</f>
        <v>2</v>
      </c>
      <c r="N3120" t="str">
        <f t="shared" si="96"/>
        <v>2. 1-24 hours</v>
      </c>
      <c r="O3120" t="str">
        <f t="shared" si="97"/>
        <v>2025-11</v>
      </c>
    </row>
    <row r="3121" spans="1:15" x14ac:dyDescent="0.3">
      <c r="A3121" t="s">
        <v>7374</v>
      </c>
      <c r="B3121" t="s">
        <v>7375</v>
      </c>
      <c r="C3121" t="s">
        <v>28</v>
      </c>
      <c r="D3121" t="s">
        <v>77</v>
      </c>
      <c r="E3121" t="s">
        <v>90</v>
      </c>
      <c r="F3121" t="s">
        <v>112</v>
      </c>
      <c r="G3121">
        <v>6.27</v>
      </c>
      <c r="H3121" t="s">
        <v>32</v>
      </c>
      <c r="I3121" t="s">
        <v>33</v>
      </c>
      <c r="K3121">
        <v>1185.78</v>
      </c>
      <c r="L3121" t="s">
        <v>7376</v>
      </c>
      <c r="M3121">
        <f>VLOOKUP(H3121,'Stage Order'!$A$2:$B$8,2,FALSE)</f>
        <v>7</v>
      </c>
      <c r="N3121" t="str">
        <f t="shared" si="96"/>
        <v>2. 1-24 hours</v>
      </c>
      <c r="O3121" t="str">
        <f t="shared" si="97"/>
        <v>2026-04</v>
      </c>
    </row>
    <row r="3122" spans="1:15" x14ac:dyDescent="0.3">
      <c r="A3122" t="s">
        <v>7377</v>
      </c>
      <c r="B3122" t="s">
        <v>7378</v>
      </c>
      <c r="C3122" t="s">
        <v>37</v>
      </c>
      <c r="D3122" t="s">
        <v>54</v>
      </c>
      <c r="E3122" t="s">
        <v>30</v>
      </c>
      <c r="F3122" t="s">
        <v>31</v>
      </c>
      <c r="G3122">
        <v>1.36</v>
      </c>
      <c r="H3122" t="s">
        <v>61</v>
      </c>
      <c r="I3122" t="s">
        <v>42</v>
      </c>
      <c r="M3122">
        <f>VLOOKUP(H3122,'Stage Order'!$A$2:$B$8,2,FALSE)</f>
        <v>1</v>
      </c>
      <c r="N3122" t="str">
        <f t="shared" si="96"/>
        <v>2. 1-24 hours</v>
      </c>
      <c r="O3122" t="str">
        <f t="shared" si="97"/>
        <v>2026-02</v>
      </c>
    </row>
    <row r="3123" spans="1:15" x14ac:dyDescent="0.3">
      <c r="A3123" t="s">
        <v>7379</v>
      </c>
      <c r="B3123" t="s">
        <v>7380</v>
      </c>
      <c r="C3123" t="s">
        <v>53</v>
      </c>
      <c r="D3123" t="s">
        <v>54</v>
      </c>
      <c r="E3123" t="s">
        <v>39</v>
      </c>
      <c r="F3123" t="s">
        <v>40</v>
      </c>
      <c r="G3123">
        <v>4.17</v>
      </c>
      <c r="H3123" t="s">
        <v>32</v>
      </c>
      <c r="I3123" t="s">
        <v>33</v>
      </c>
      <c r="K3123">
        <v>474.99</v>
      </c>
      <c r="L3123" t="s">
        <v>7381</v>
      </c>
      <c r="M3123">
        <f>VLOOKUP(H3123,'Stage Order'!$A$2:$B$8,2,FALSE)</f>
        <v>7</v>
      </c>
      <c r="N3123" t="str">
        <f t="shared" si="96"/>
        <v>2. 1-24 hours</v>
      </c>
      <c r="O3123" t="str">
        <f t="shared" si="97"/>
        <v>2025-03</v>
      </c>
    </row>
    <row r="3124" spans="1:15" x14ac:dyDescent="0.3">
      <c r="A3124" t="s">
        <v>7382</v>
      </c>
      <c r="B3124" t="s">
        <v>7383</v>
      </c>
      <c r="C3124" t="s">
        <v>37</v>
      </c>
      <c r="D3124" t="s">
        <v>97</v>
      </c>
      <c r="E3124" t="s">
        <v>59</v>
      </c>
      <c r="F3124" t="s">
        <v>117</v>
      </c>
      <c r="G3124">
        <v>0.67</v>
      </c>
      <c r="H3124" t="s">
        <v>32</v>
      </c>
      <c r="I3124" t="s">
        <v>33</v>
      </c>
      <c r="K3124">
        <v>1361.69</v>
      </c>
      <c r="L3124" t="s">
        <v>7384</v>
      </c>
      <c r="M3124">
        <f>VLOOKUP(H3124,'Stage Order'!$A$2:$B$8,2,FALSE)</f>
        <v>7</v>
      </c>
      <c r="N3124" t="str">
        <f t="shared" si="96"/>
        <v>1. Under 1 hour</v>
      </c>
      <c r="O3124" t="str">
        <f t="shared" si="97"/>
        <v>2025-09</v>
      </c>
    </row>
    <row r="3125" spans="1:15" x14ac:dyDescent="0.3">
      <c r="A3125" t="s">
        <v>7385</v>
      </c>
      <c r="B3125" t="s">
        <v>7386</v>
      </c>
      <c r="C3125" t="s">
        <v>58</v>
      </c>
      <c r="D3125" t="s">
        <v>38</v>
      </c>
      <c r="E3125" t="s">
        <v>45</v>
      </c>
      <c r="F3125" t="s">
        <v>46</v>
      </c>
      <c r="G3125">
        <v>0.67</v>
      </c>
      <c r="H3125" t="s">
        <v>41</v>
      </c>
      <c r="I3125" t="s">
        <v>42</v>
      </c>
      <c r="M3125">
        <f>VLOOKUP(H3125,'Stage Order'!$A$2:$B$8,2,FALSE)</f>
        <v>2</v>
      </c>
      <c r="N3125" t="str">
        <f t="shared" si="96"/>
        <v>1. Under 1 hour</v>
      </c>
      <c r="O3125" t="str">
        <f t="shared" si="97"/>
        <v>2025-11</v>
      </c>
    </row>
    <row r="3126" spans="1:15" x14ac:dyDescent="0.3">
      <c r="A3126" t="s">
        <v>7387</v>
      </c>
      <c r="B3126" t="s">
        <v>7388</v>
      </c>
      <c r="C3126" t="s">
        <v>37</v>
      </c>
      <c r="D3126" t="s">
        <v>38</v>
      </c>
      <c r="E3126" t="s">
        <v>90</v>
      </c>
      <c r="F3126" t="s">
        <v>112</v>
      </c>
      <c r="G3126">
        <v>5.13</v>
      </c>
      <c r="H3126" t="s">
        <v>47</v>
      </c>
      <c r="I3126" t="s">
        <v>48</v>
      </c>
      <c r="J3126" t="s">
        <v>113</v>
      </c>
      <c r="K3126">
        <v>307.51</v>
      </c>
      <c r="L3126" t="s">
        <v>7389</v>
      </c>
      <c r="M3126">
        <f>VLOOKUP(H3126,'Stage Order'!$A$2:$B$8,2,FALSE)</f>
        <v>4</v>
      </c>
      <c r="N3126" t="str">
        <f t="shared" si="96"/>
        <v>2. 1-24 hours</v>
      </c>
      <c r="O3126" t="str">
        <f t="shared" si="97"/>
        <v>2025-11</v>
      </c>
    </row>
    <row r="3127" spans="1:15" x14ac:dyDescent="0.3">
      <c r="A3127" t="s">
        <v>7390</v>
      </c>
      <c r="B3127" t="s">
        <v>7391</v>
      </c>
      <c r="C3127" t="s">
        <v>125</v>
      </c>
      <c r="D3127" t="s">
        <v>38</v>
      </c>
      <c r="E3127" t="s">
        <v>45</v>
      </c>
      <c r="F3127" t="s">
        <v>94</v>
      </c>
      <c r="G3127">
        <v>3.18</v>
      </c>
      <c r="H3127" t="s">
        <v>138</v>
      </c>
      <c r="I3127" t="s">
        <v>48</v>
      </c>
      <c r="J3127" t="s">
        <v>113</v>
      </c>
      <c r="K3127">
        <v>327.20999999999998</v>
      </c>
      <c r="L3127" t="s">
        <v>7392</v>
      </c>
      <c r="M3127">
        <f>VLOOKUP(H3127,'Stage Order'!$A$2:$B$8,2,FALSE)</f>
        <v>6</v>
      </c>
      <c r="N3127" t="str">
        <f t="shared" si="96"/>
        <v>2. 1-24 hours</v>
      </c>
      <c r="O3127" t="str">
        <f t="shared" si="97"/>
        <v>2025-01</v>
      </c>
    </row>
    <row r="3128" spans="1:15" x14ac:dyDescent="0.3">
      <c r="A3128" t="s">
        <v>7393</v>
      </c>
      <c r="B3128" t="s">
        <v>7394</v>
      </c>
      <c r="C3128" t="s">
        <v>37</v>
      </c>
      <c r="D3128" t="s">
        <v>38</v>
      </c>
      <c r="E3128" t="s">
        <v>45</v>
      </c>
      <c r="F3128" t="s">
        <v>55</v>
      </c>
      <c r="G3128">
        <v>1.26</v>
      </c>
      <c r="H3128" t="s">
        <v>41</v>
      </c>
      <c r="I3128" t="s">
        <v>42</v>
      </c>
      <c r="M3128">
        <f>VLOOKUP(H3128,'Stage Order'!$A$2:$B$8,2,FALSE)</f>
        <v>2</v>
      </c>
      <c r="N3128" t="str">
        <f t="shared" si="96"/>
        <v>2. 1-24 hours</v>
      </c>
      <c r="O3128" t="str">
        <f t="shared" si="97"/>
        <v>2025-06</v>
      </c>
    </row>
    <row r="3129" spans="1:15" x14ac:dyDescent="0.3">
      <c r="A3129" t="s">
        <v>7395</v>
      </c>
      <c r="B3129" t="s">
        <v>7396</v>
      </c>
      <c r="C3129" t="s">
        <v>53</v>
      </c>
      <c r="D3129" t="s">
        <v>29</v>
      </c>
      <c r="E3129" t="s">
        <v>45</v>
      </c>
      <c r="F3129" t="s">
        <v>55</v>
      </c>
      <c r="G3129">
        <v>4.0999999999999996</v>
      </c>
      <c r="H3129" t="s">
        <v>41</v>
      </c>
      <c r="I3129" t="s">
        <v>42</v>
      </c>
      <c r="M3129">
        <f>VLOOKUP(H3129,'Stage Order'!$A$2:$B$8,2,FALSE)</f>
        <v>2</v>
      </c>
      <c r="N3129" t="str">
        <f t="shared" si="96"/>
        <v>2. 1-24 hours</v>
      </c>
      <c r="O3129" t="str">
        <f t="shared" si="97"/>
        <v>2025-12</v>
      </c>
    </row>
    <row r="3130" spans="1:15" x14ac:dyDescent="0.3">
      <c r="A3130" t="s">
        <v>7397</v>
      </c>
      <c r="B3130" t="s">
        <v>7398</v>
      </c>
      <c r="C3130" t="s">
        <v>53</v>
      </c>
      <c r="D3130" t="s">
        <v>54</v>
      </c>
      <c r="E3130" t="s">
        <v>39</v>
      </c>
      <c r="F3130" t="s">
        <v>66</v>
      </c>
      <c r="G3130">
        <v>4.08</v>
      </c>
      <c r="H3130" t="s">
        <v>32</v>
      </c>
      <c r="I3130" t="s">
        <v>33</v>
      </c>
      <c r="K3130">
        <v>559.95000000000005</v>
      </c>
      <c r="L3130" t="s">
        <v>7399</v>
      </c>
      <c r="M3130">
        <f>VLOOKUP(H3130,'Stage Order'!$A$2:$B$8,2,FALSE)</f>
        <v>7</v>
      </c>
      <c r="N3130" t="str">
        <f t="shared" si="96"/>
        <v>2. 1-24 hours</v>
      </c>
      <c r="O3130" t="str">
        <f t="shared" si="97"/>
        <v>2025-05</v>
      </c>
    </row>
    <row r="3131" spans="1:15" x14ac:dyDescent="0.3">
      <c r="A3131" t="s">
        <v>7400</v>
      </c>
      <c r="B3131" t="s">
        <v>7401</v>
      </c>
      <c r="C3131" t="s">
        <v>58</v>
      </c>
      <c r="D3131" t="s">
        <v>29</v>
      </c>
      <c r="E3131" t="s">
        <v>39</v>
      </c>
      <c r="F3131" t="s">
        <v>66</v>
      </c>
      <c r="G3131">
        <v>2.2799999999999998</v>
      </c>
      <c r="H3131" t="s">
        <v>41</v>
      </c>
      <c r="I3131" t="s">
        <v>42</v>
      </c>
      <c r="M3131">
        <f>VLOOKUP(H3131,'Stage Order'!$A$2:$B$8,2,FALSE)</f>
        <v>2</v>
      </c>
      <c r="N3131" t="str">
        <f t="shared" si="96"/>
        <v>2. 1-24 hours</v>
      </c>
      <c r="O3131" t="str">
        <f t="shared" si="97"/>
        <v>2025-04</v>
      </c>
    </row>
    <row r="3132" spans="1:15" x14ac:dyDescent="0.3">
      <c r="A3132" t="s">
        <v>7402</v>
      </c>
      <c r="B3132" t="s">
        <v>7403</v>
      </c>
      <c r="C3132" t="s">
        <v>58</v>
      </c>
      <c r="D3132" t="s">
        <v>97</v>
      </c>
      <c r="E3132" t="s">
        <v>59</v>
      </c>
      <c r="F3132" t="s">
        <v>60</v>
      </c>
      <c r="G3132">
        <v>3.37</v>
      </c>
      <c r="H3132" t="s">
        <v>32</v>
      </c>
      <c r="I3132" t="s">
        <v>33</v>
      </c>
      <c r="K3132">
        <v>1428.93</v>
      </c>
      <c r="L3132" t="s">
        <v>7404</v>
      </c>
      <c r="M3132">
        <f>VLOOKUP(H3132,'Stage Order'!$A$2:$B$8,2,FALSE)</f>
        <v>7</v>
      </c>
      <c r="N3132" t="str">
        <f t="shared" si="96"/>
        <v>2. 1-24 hours</v>
      </c>
      <c r="O3132" t="str">
        <f t="shared" si="97"/>
        <v>2026-04</v>
      </c>
    </row>
    <row r="3133" spans="1:15" x14ac:dyDescent="0.3">
      <c r="A3133" t="s">
        <v>7405</v>
      </c>
      <c r="B3133" t="s">
        <v>7406</v>
      </c>
      <c r="C3133" t="s">
        <v>125</v>
      </c>
      <c r="D3133" t="s">
        <v>54</v>
      </c>
      <c r="E3133" t="s">
        <v>90</v>
      </c>
      <c r="F3133" t="s">
        <v>145</v>
      </c>
      <c r="G3133">
        <v>2.27</v>
      </c>
      <c r="H3133" t="s">
        <v>61</v>
      </c>
      <c r="I3133" t="s">
        <v>42</v>
      </c>
      <c r="M3133">
        <f>VLOOKUP(H3133,'Stage Order'!$A$2:$B$8,2,FALSE)</f>
        <v>1</v>
      </c>
      <c r="N3133" t="str">
        <f t="shared" si="96"/>
        <v>2. 1-24 hours</v>
      </c>
      <c r="O3133" t="str">
        <f t="shared" si="97"/>
        <v>2025-04</v>
      </c>
    </row>
    <row r="3134" spans="1:15" x14ac:dyDescent="0.3">
      <c r="A3134" t="s">
        <v>7407</v>
      </c>
      <c r="B3134" t="s">
        <v>7408</v>
      </c>
      <c r="C3134" t="s">
        <v>53</v>
      </c>
      <c r="D3134" t="s">
        <v>54</v>
      </c>
      <c r="E3134" t="s">
        <v>39</v>
      </c>
      <c r="F3134" t="s">
        <v>66</v>
      </c>
      <c r="G3134">
        <v>4.33</v>
      </c>
      <c r="H3134" t="s">
        <v>41</v>
      </c>
      <c r="I3134" t="s">
        <v>42</v>
      </c>
      <c r="M3134">
        <f>VLOOKUP(H3134,'Stage Order'!$A$2:$B$8,2,FALSE)</f>
        <v>2</v>
      </c>
      <c r="N3134" t="str">
        <f t="shared" si="96"/>
        <v>2. 1-24 hours</v>
      </c>
      <c r="O3134" t="str">
        <f t="shared" si="97"/>
        <v>2025-09</v>
      </c>
    </row>
    <row r="3135" spans="1:15" x14ac:dyDescent="0.3">
      <c r="A3135" t="s">
        <v>7409</v>
      </c>
      <c r="B3135" t="s">
        <v>7410</v>
      </c>
      <c r="C3135" t="s">
        <v>81</v>
      </c>
      <c r="D3135" t="s">
        <v>29</v>
      </c>
      <c r="E3135" t="s">
        <v>45</v>
      </c>
      <c r="F3135" t="s">
        <v>55</v>
      </c>
      <c r="G3135">
        <v>3.72</v>
      </c>
      <c r="H3135" t="s">
        <v>61</v>
      </c>
      <c r="I3135" t="s">
        <v>42</v>
      </c>
      <c r="M3135">
        <f>VLOOKUP(H3135,'Stage Order'!$A$2:$B$8,2,FALSE)</f>
        <v>1</v>
      </c>
      <c r="N3135" t="str">
        <f t="shared" si="96"/>
        <v>2. 1-24 hours</v>
      </c>
      <c r="O3135" t="str">
        <f t="shared" si="97"/>
        <v>2025-12</v>
      </c>
    </row>
    <row r="3136" spans="1:15" x14ac:dyDescent="0.3">
      <c r="A3136" t="s">
        <v>7411</v>
      </c>
      <c r="B3136" t="s">
        <v>7412</v>
      </c>
      <c r="C3136" t="s">
        <v>58</v>
      </c>
      <c r="D3136" t="s">
        <v>97</v>
      </c>
      <c r="E3136" t="s">
        <v>30</v>
      </c>
      <c r="F3136" t="s">
        <v>82</v>
      </c>
      <c r="G3136">
        <v>2.52</v>
      </c>
      <c r="H3136" t="s">
        <v>41</v>
      </c>
      <c r="I3136" t="s">
        <v>42</v>
      </c>
      <c r="M3136">
        <f>VLOOKUP(H3136,'Stage Order'!$A$2:$B$8,2,FALSE)</f>
        <v>2</v>
      </c>
      <c r="N3136" t="str">
        <f t="shared" si="96"/>
        <v>2. 1-24 hours</v>
      </c>
      <c r="O3136" t="str">
        <f t="shared" si="97"/>
        <v>2025-12</v>
      </c>
    </row>
    <row r="3137" spans="1:15" x14ac:dyDescent="0.3">
      <c r="A3137" t="s">
        <v>7413</v>
      </c>
      <c r="B3137" t="s">
        <v>7414</v>
      </c>
      <c r="C3137" t="s">
        <v>58</v>
      </c>
      <c r="D3137" t="s">
        <v>54</v>
      </c>
      <c r="E3137" t="s">
        <v>45</v>
      </c>
      <c r="F3137" t="s">
        <v>46</v>
      </c>
      <c r="G3137">
        <v>2.0499999999999998</v>
      </c>
      <c r="H3137" t="s">
        <v>61</v>
      </c>
      <c r="I3137" t="s">
        <v>42</v>
      </c>
      <c r="M3137">
        <f>VLOOKUP(H3137,'Stage Order'!$A$2:$B$8,2,FALSE)</f>
        <v>1</v>
      </c>
      <c r="N3137" t="str">
        <f t="shared" si="96"/>
        <v>2. 1-24 hours</v>
      </c>
      <c r="O3137" t="str">
        <f t="shared" si="97"/>
        <v>2025-05</v>
      </c>
    </row>
    <row r="3138" spans="1:15" x14ac:dyDescent="0.3">
      <c r="A3138" t="s">
        <v>7415</v>
      </c>
      <c r="B3138" t="s">
        <v>7416</v>
      </c>
      <c r="C3138" t="s">
        <v>37</v>
      </c>
      <c r="D3138" t="s">
        <v>54</v>
      </c>
      <c r="E3138" t="s">
        <v>30</v>
      </c>
      <c r="F3138" t="s">
        <v>31</v>
      </c>
      <c r="G3138">
        <v>1.66</v>
      </c>
      <c r="H3138" t="s">
        <v>41</v>
      </c>
      <c r="I3138" t="s">
        <v>42</v>
      </c>
      <c r="M3138">
        <f>VLOOKUP(H3138,'Stage Order'!$A$2:$B$8,2,FALSE)</f>
        <v>2</v>
      </c>
      <c r="N3138" t="str">
        <f t="shared" ref="N3138:N3201" si="98">IF(G3138&lt;=1,"1. Under 1 hour",IF(G3138&lt;=24,"2. 1-24 hours",IF(G3138&lt;=72,"3. 1-3 days","4. Over 3 days")))</f>
        <v>2. 1-24 hours</v>
      </c>
      <c r="O3138" t="str">
        <f t="shared" ref="O3138:O3201" si="99">TEXT(B3138,"YYYY-MM")</f>
        <v>2026-04</v>
      </c>
    </row>
    <row r="3139" spans="1:15" x14ac:dyDescent="0.3">
      <c r="A3139" t="s">
        <v>7417</v>
      </c>
      <c r="B3139" t="s">
        <v>7418</v>
      </c>
      <c r="C3139" t="s">
        <v>58</v>
      </c>
      <c r="D3139" t="s">
        <v>77</v>
      </c>
      <c r="E3139" t="s">
        <v>39</v>
      </c>
      <c r="F3139" t="s">
        <v>66</v>
      </c>
      <c r="G3139">
        <v>1.94</v>
      </c>
      <c r="H3139" t="s">
        <v>41</v>
      </c>
      <c r="I3139" t="s">
        <v>42</v>
      </c>
      <c r="M3139">
        <f>VLOOKUP(H3139,'Stage Order'!$A$2:$B$8,2,FALSE)</f>
        <v>2</v>
      </c>
      <c r="N3139" t="str">
        <f t="shared" si="98"/>
        <v>2. 1-24 hours</v>
      </c>
      <c r="O3139" t="str">
        <f t="shared" si="99"/>
        <v>2025-07</v>
      </c>
    </row>
    <row r="3140" spans="1:15" x14ac:dyDescent="0.3">
      <c r="A3140" t="s">
        <v>7419</v>
      </c>
      <c r="B3140" t="s">
        <v>7420</v>
      </c>
      <c r="C3140" t="s">
        <v>53</v>
      </c>
      <c r="D3140" t="s">
        <v>97</v>
      </c>
      <c r="E3140" t="s">
        <v>45</v>
      </c>
      <c r="F3140" t="s">
        <v>94</v>
      </c>
      <c r="G3140">
        <v>1.55</v>
      </c>
      <c r="H3140" t="s">
        <v>32</v>
      </c>
      <c r="I3140" t="s">
        <v>33</v>
      </c>
      <c r="K3140">
        <v>1407.39</v>
      </c>
      <c r="L3140" t="s">
        <v>7421</v>
      </c>
      <c r="M3140">
        <f>VLOOKUP(H3140,'Stage Order'!$A$2:$B$8,2,FALSE)</f>
        <v>7</v>
      </c>
      <c r="N3140" t="str">
        <f t="shared" si="98"/>
        <v>2. 1-24 hours</v>
      </c>
      <c r="O3140" t="str">
        <f t="shared" si="99"/>
        <v>2025-12</v>
      </c>
    </row>
    <row r="3141" spans="1:15" x14ac:dyDescent="0.3">
      <c r="A3141" t="s">
        <v>7422</v>
      </c>
      <c r="B3141" t="s">
        <v>7423</v>
      </c>
      <c r="C3141" t="s">
        <v>37</v>
      </c>
      <c r="D3141" t="s">
        <v>54</v>
      </c>
      <c r="E3141" t="s">
        <v>39</v>
      </c>
      <c r="F3141" t="s">
        <v>106</v>
      </c>
      <c r="G3141">
        <v>3.08</v>
      </c>
      <c r="H3141" t="s">
        <v>41</v>
      </c>
      <c r="I3141" t="s">
        <v>42</v>
      </c>
      <c r="M3141">
        <f>VLOOKUP(H3141,'Stage Order'!$A$2:$B$8,2,FALSE)</f>
        <v>2</v>
      </c>
      <c r="N3141" t="str">
        <f t="shared" si="98"/>
        <v>2. 1-24 hours</v>
      </c>
      <c r="O3141" t="str">
        <f t="shared" si="99"/>
        <v>2025-04</v>
      </c>
    </row>
    <row r="3142" spans="1:15" x14ac:dyDescent="0.3">
      <c r="A3142" t="s">
        <v>7424</v>
      </c>
      <c r="B3142" t="s">
        <v>7425</v>
      </c>
      <c r="C3142" t="s">
        <v>28</v>
      </c>
      <c r="D3142" t="s">
        <v>54</v>
      </c>
      <c r="E3142" t="s">
        <v>90</v>
      </c>
      <c r="F3142" t="s">
        <v>145</v>
      </c>
      <c r="G3142">
        <v>2.0699999999999998</v>
      </c>
      <c r="H3142" t="s">
        <v>41</v>
      </c>
      <c r="I3142" t="s">
        <v>42</v>
      </c>
      <c r="M3142">
        <f>VLOOKUP(H3142,'Stage Order'!$A$2:$B$8,2,FALSE)</f>
        <v>2</v>
      </c>
      <c r="N3142" t="str">
        <f t="shared" si="98"/>
        <v>2. 1-24 hours</v>
      </c>
      <c r="O3142" t="str">
        <f t="shared" si="99"/>
        <v>2025-03</v>
      </c>
    </row>
    <row r="3143" spans="1:15" x14ac:dyDescent="0.3">
      <c r="A3143" t="s">
        <v>7426</v>
      </c>
      <c r="B3143" t="s">
        <v>7427</v>
      </c>
      <c r="C3143" t="s">
        <v>37</v>
      </c>
      <c r="D3143" t="s">
        <v>77</v>
      </c>
      <c r="E3143" t="s">
        <v>45</v>
      </c>
      <c r="F3143" t="s">
        <v>94</v>
      </c>
      <c r="G3143">
        <v>2.0499999999999998</v>
      </c>
      <c r="H3143" t="s">
        <v>41</v>
      </c>
      <c r="I3143" t="s">
        <v>42</v>
      </c>
      <c r="M3143">
        <f>VLOOKUP(H3143,'Stage Order'!$A$2:$B$8,2,FALSE)</f>
        <v>2</v>
      </c>
      <c r="N3143" t="str">
        <f t="shared" si="98"/>
        <v>2. 1-24 hours</v>
      </c>
      <c r="O3143" t="str">
        <f t="shared" si="99"/>
        <v>2025-01</v>
      </c>
    </row>
    <row r="3144" spans="1:15" x14ac:dyDescent="0.3">
      <c r="A3144" t="s">
        <v>7428</v>
      </c>
      <c r="B3144" t="s">
        <v>7429</v>
      </c>
      <c r="C3144" t="s">
        <v>37</v>
      </c>
      <c r="D3144" t="s">
        <v>54</v>
      </c>
      <c r="E3144" t="s">
        <v>90</v>
      </c>
      <c r="F3144" t="s">
        <v>91</v>
      </c>
      <c r="G3144">
        <v>1.24</v>
      </c>
      <c r="H3144" t="s">
        <v>61</v>
      </c>
      <c r="I3144" t="s">
        <v>42</v>
      </c>
      <c r="M3144">
        <f>VLOOKUP(H3144,'Stage Order'!$A$2:$B$8,2,FALSE)</f>
        <v>1</v>
      </c>
      <c r="N3144" t="str">
        <f t="shared" si="98"/>
        <v>2. 1-24 hours</v>
      </c>
      <c r="O3144" t="str">
        <f t="shared" si="99"/>
        <v>2025-04</v>
      </c>
    </row>
    <row r="3145" spans="1:15" x14ac:dyDescent="0.3">
      <c r="A3145" t="s">
        <v>7430</v>
      </c>
      <c r="B3145" t="s">
        <v>7431</v>
      </c>
      <c r="C3145" t="s">
        <v>125</v>
      </c>
      <c r="D3145" t="s">
        <v>77</v>
      </c>
      <c r="E3145" t="s">
        <v>59</v>
      </c>
      <c r="F3145" t="s">
        <v>60</v>
      </c>
      <c r="G3145">
        <v>10.87</v>
      </c>
      <c r="H3145" t="s">
        <v>41</v>
      </c>
      <c r="I3145" t="s">
        <v>42</v>
      </c>
      <c r="M3145">
        <f>VLOOKUP(H3145,'Stage Order'!$A$2:$B$8,2,FALSE)</f>
        <v>2</v>
      </c>
      <c r="N3145" t="str">
        <f t="shared" si="98"/>
        <v>2. 1-24 hours</v>
      </c>
      <c r="O3145" t="str">
        <f t="shared" si="99"/>
        <v>2026-05</v>
      </c>
    </row>
    <row r="3146" spans="1:15" x14ac:dyDescent="0.3">
      <c r="A3146" t="s">
        <v>7432</v>
      </c>
      <c r="B3146" t="s">
        <v>7433</v>
      </c>
      <c r="C3146" t="s">
        <v>53</v>
      </c>
      <c r="D3146" t="s">
        <v>97</v>
      </c>
      <c r="E3146" t="s">
        <v>59</v>
      </c>
      <c r="F3146" t="s">
        <v>60</v>
      </c>
      <c r="G3146">
        <v>3.58</v>
      </c>
      <c r="H3146" t="s">
        <v>41</v>
      </c>
      <c r="I3146" t="s">
        <v>42</v>
      </c>
      <c r="M3146">
        <f>VLOOKUP(H3146,'Stage Order'!$A$2:$B$8,2,FALSE)</f>
        <v>2</v>
      </c>
      <c r="N3146" t="str">
        <f t="shared" si="98"/>
        <v>2. 1-24 hours</v>
      </c>
      <c r="O3146" t="str">
        <f t="shared" si="99"/>
        <v>2025-02</v>
      </c>
    </row>
    <row r="3147" spans="1:15" x14ac:dyDescent="0.3">
      <c r="A3147" t="s">
        <v>7434</v>
      </c>
      <c r="B3147" t="s">
        <v>7435</v>
      </c>
      <c r="C3147" t="s">
        <v>125</v>
      </c>
      <c r="D3147" t="s">
        <v>77</v>
      </c>
      <c r="E3147" t="s">
        <v>45</v>
      </c>
      <c r="F3147" t="s">
        <v>55</v>
      </c>
      <c r="G3147">
        <v>0.73</v>
      </c>
      <c r="H3147" t="s">
        <v>61</v>
      </c>
      <c r="I3147" t="s">
        <v>42</v>
      </c>
      <c r="M3147">
        <f>VLOOKUP(H3147,'Stage Order'!$A$2:$B$8,2,FALSE)</f>
        <v>1</v>
      </c>
      <c r="N3147" t="str">
        <f t="shared" si="98"/>
        <v>1. Under 1 hour</v>
      </c>
      <c r="O3147" t="str">
        <f t="shared" si="99"/>
        <v>2025-11</v>
      </c>
    </row>
    <row r="3148" spans="1:15" x14ac:dyDescent="0.3">
      <c r="A3148" t="s">
        <v>7436</v>
      </c>
      <c r="B3148" t="s">
        <v>7437</v>
      </c>
      <c r="C3148" t="s">
        <v>81</v>
      </c>
      <c r="D3148" t="s">
        <v>97</v>
      </c>
      <c r="E3148" t="s">
        <v>30</v>
      </c>
      <c r="F3148" t="s">
        <v>31</v>
      </c>
      <c r="G3148">
        <v>3.22</v>
      </c>
      <c r="H3148" t="s">
        <v>41</v>
      </c>
      <c r="I3148" t="s">
        <v>42</v>
      </c>
      <c r="M3148">
        <f>VLOOKUP(H3148,'Stage Order'!$A$2:$B$8,2,FALSE)</f>
        <v>2</v>
      </c>
      <c r="N3148" t="str">
        <f t="shared" si="98"/>
        <v>2. 1-24 hours</v>
      </c>
      <c r="O3148" t="str">
        <f t="shared" si="99"/>
        <v>2026-04</v>
      </c>
    </row>
    <row r="3149" spans="1:15" x14ac:dyDescent="0.3">
      <c r="A3149" t="s">
        <v>7438</v>
      </c>
      <c r="B3149" t="s">
        <v>7439</v>
      </c>
      <c r="C3149" t="s">
        <v>37</v>
      </c>
      <c r="D3149" t="s">
        <v>29</v>
      </c>
      <c r="E3149" t="s">
        <v>39</v>
      </c>
      <c r="F3149" t="s">
        <v>106</v>
      </c>
      <c r="G3149">
        <v>0.81</v>
      </c>
      <c r="H3149" t="s">
        <v>32</v>
      </c>
      <c r="I3149" t="s">
        <v>33</v>
      </c>
      <c r="K3149">
        <v>566.09</v>
      </c>
      <c r="L3149" t="s">
        <v>7440</v>
      </c>
      <c r="M3149">
        <f>VLOOKUP(H3149,'Stage Order'!$A$2:$B$8,2,FALSE)</f>
        <v>7</v>
      </c>
      <c r="N3149" t="str">
        <f t="shared" si="98"/>
        <v>1. Under 1 hour</v>
      </c>
      <c r="O3149" t="str">
        <f t="shared" si="99"/>
        <v>2026-01</v>
      </c>
    </row>
    <row r="3150" spans="1:15" x14ac:dyDescent="0.3">
      <c r="A3150" t="s">
        <v>7441</v>
      </c>
      <c r="B3150" t="s">
        <v>7442</v>
      </c>
      <c r="C3150" t="s">
        <v>53</v>
      </c>
      <c r="D3150" t="s">
        <v>77</v>
      </c>
      <c r="E3150" t="s">
        <v>59</v>
      </c>
      <c r="F3150" t="s">
        <v>137</v>
      </c>
      <c r="G3150">
        <v>2.39</v>
      </c>
      <c r="H3150" t="s">
        <v>32</v>
      </c>
      <c r="I3150" t="s">
        <v>33</v>
      </c>
      <c r="K3150">
        <v>857.98</v>
      </c>
      <c r="L3150" t="s">
        <v>7443</v>
      </c>
      <c r="M3150">
        <f>VLOOKUP(H3150,'Stage Order'!$A$2:$B$8,2,FALSE)</f>
        <v>7</v>
      </c>
      <c r="N3150" t="str">
        <f t="shared" si="98"/>
        <v>2. 1-24 hours</v>
      </c>
      <c r="O3150" t="str">
        <f t="shared" si="99"/>
        <v>2025-02</v>
      </c>
    </row>
    <row r="3151" spans="1:15" x14ac:dyDescent="0.3">
      <c r="A3151" t="s">
        <v>7444</v>
      </c>
      <c r="B3151" t="s">
        <v>7445</v>
      </c>
      <c r="C3151" t="s">
        <v>58</v>
      </c>
      <c r="D3151" t="s">
        <v>77</v>
      </c>
      <c r="E3151" t="s">
        <v>39</v>
      </c>
      <c r="F3151" t="s">
        <v>106</v>
      </c>
      <c r="G3151">
        <v>7.16</v>
      </c>
      <c r="H3151" t="s">
        <v>41</v>
      </c>
      <c r="I3151" t="s">
        <v>42</v>
      </c>
      <c r="M3151">
        <f>VLOOKUP(H3151,'Stage Order'!$A$2:$B$8,2,FALSE)</f>
        <v>2</v>
      </c>
      <c r="N3151" t="str">
        <f t="shared" si="98"/>
        <v>2. 1-24 hours</v>
      </c>
      <c r="O3151" t="str">
        <f t="shared" si="99"/>
        <v>2025-04</v>
      </c>
    </row>
    <row r="3152" spans="1:15" x14ac:dyDescent="0.3">
      <c r="A3152" t="s">
        <v>7446</v>
      </c>
      <c r="B3152" t="s">
        <v>7447</v>
      </c>
      <c r="C3152" t="s">
        <v>53</v>
      </c>
      <c r="D3152" t="s">
        <v>29</v>
      </c>
      <c r="E3152" t="s">
        <v>45</v>
      </c>
      <c r="F3152" t="s">
        <v>94</v>
      </c>
      <c r="G3152">
        <v>1.06</v>
      </c>
      <c r="H3152" t="s">
        <v>61</v>
      </c>
      <c r="I3152" t="s">
        <v>42</v>
      </c>
      <c r="M3152">
        <f>VLOOKUP(H3152,'Stage Order'!$A$2:$B$8,2,FALSE)</f>
        <v>1</v>
      </c>
      <c r="N3152" t="str">
        <f t="shared" si="98"/>
        <v>2. 1-24 hours</v>
      </c>
      <c r="O3152" t="str">
        <f t="shared" si="99"/>
        <v>2025-09</v>
      </c>
    </row>
    <row r="3153" spans="1:15" x14ac:dyDescent="0.3">
      <c r="A3153" t="s">
        <v>7448</v>
      </c>
      <c r="B3153" t="s">
        <v>7449</v>
      </c>
      <c r="C3153" t="s">
        <v>37</v>
      </c>
      <c r="D3153" t="s">
        <v>54</v>
      </c>
      <c r="E3153" t="s">
        <v>45</v>
      </c>
      <c r="F3153" t="s">
        <v>55</v>
      </c>
      <c r="G3153">
        <v>1.97</v>
      </c>
      <c r="H3153" t="s">
        <v>41</v>
      </c>
      <c r="I3153" t="s">
        <v>42</v>
      </c>
      <c r="M3153">
        <f>VLOOKUP(H3153,'Stage Order'!$A$2:$B$8,2,FALSE)</f>
        <v>2</v>
      </c>
      <c r="N3153" t="str">
        <f t="shared" si="98"/>
        <v>2. 1-24 hours</v>
      </c>
      <c r="O3153" t="str">
        <f t="shared" si="99"/>
        <v>2025-09</v>
      </c>
    </row>
    <row r="3154" spans="1:15" x14ac:dyDescent="0.3">
      <c r="A3154" t="s">
        <v>7450</v>
      </c>
      <c r="B3154" t="s">
        <v>7451</v>
      </c>
      <c r="C3154" t="s">
        <v>125</v>
      </c>
      <c r="D3154" t="s">
        <v>38</v>
      </c>
      <c r="E3154" t="s">
        <v>39</v>
      </c>
      <c r="F3154" t="s">
        <v>40</v>
      </c>
      <c r="G3154">
        <v>4.33</v>
      </c>
      <c r="H3154" t="s">
        <v>138</v>
      </c>
      <c r="I3154" t="s">
        <v>48</v>
      </c>
      <c r="J3154" t="s">
        <v>139</v>
      </c>
      <c r="K3154">
        <v>385.41</v>
      </c>
      <c r="L3154" t="s">
        <v>7452</v>
      </c>
      <c r="M3154">
        <f>VLOOKUP(H3154,'Stage Order'!$A$2:$B$8,2,FALSE)</f>
        <v>6</v>
      </c>
      <c r="N3154" t="str">
        <f t="shared" si="98"/>
        <v>2. 1-24 hours</v>
      </c>
      <c r="O3154" t="str">
        <f t="shared" si="99"/>
        <v>2025-12</v>
      </c>
    </row>
    <row r="3155" spans="1:15" x14ac:dyDescent="0.3">
      <c r="A3155" t="s">
        <v>7453</v>
      </c>
      <c r="B3155" t="s">
        <v>7454</v>
      </c>
      <c r="C3155" t="s">
        <v>37</v>
      </c>
      <c r="D3155" t="s">
        <v>29</v>
      </c>
      <c r="E3155" t="s">
        <v>59</v>
      </c>
      <c r="F3155" t="s">
        <v>137</v>
      </c>
      <c r="G3155">
        <v>1.48</v>
      </c>
      <c r="H3155" t="s">
        <v>47</v>
      </c>
      <c r="I3155" t="s">
        <v>48</v>
      </c>
      <c r="J3155" t="s">
        <v>98</v>
      </c>
      <c r="K3155">
        <v>565.91999999999996</v>
      </c>
      <c r="L3155" t="s">
        <v>7455</v>
      </c>
      <c r="M3155">
        <f>VLOOKUP(H3155,'Stage Order'!$A$2:$B$8,2,FALSE)</f>
        <v>4</v>
      </c>
      <c r="N3155" t="str">
        <f t="shared" si="98"/>
        <v>2. 1-24 hours</v>
      </c>
      <c r="O3155" t="str">
        <f t="shared" si="99"/>
        <v>2026-06</v>
      </c>
    </row>
    <row r="3156" spans="1:15" x14ac:dyDescent="0.3">
      <c r="A3156" t="s">
        <v>7456</v>
      </c>
      <c r="B3156" t="s">
        <v>7457</v>
      </c>
      <c r="C3156" t="s">
        <v>37</v>
      </c>
      <c r="D3156" t="s">
        <v>54</v>
      </c>
      <c r="E3156" t="s">
        <v>59</v>
      </c>
      <c r="F3156" t="s">
        <v>60</v>
      </c>
      <c r="G3156">
        <v>0.7</v>
      </c>
      <c r="H3156" t="s">
        <v>41</v>
      </c>
      <c r="I3156" t="s">
        <v>42</v>
      </c>
      <c r="M3156">
        <f>VLOOKUP(H3156,'Stage Order'!$A$2:$B$8,2,FALSE)</f>
        <v>2</v>
      </c>
      <c r="N3156" t="str">
        <f t="shared" si="98"/>
        <v>1. Under 1 hour</v>
      </c>
      <c r="O3156" t="str">
        <f t="shared" si="99"/>
        <v>2025-05</v>
      </c>
    </row>
    <row r="3157" spans="1:15" x14ac:dyDescent="0.3">
      <c r="A3157" t="s">
        <v>7458</v>
      </c>
      <c r="B3157" t="s">
        <v>7459</v>
      </c>
      <c r="C3157" t="s">
        <v>125</v>
      </c>
      <c r="D3157" t="s">
        <v>54</v>
      </c>
      <c r="E3157" t="s">
        <v>59</v>
      </c>
      <c r="F3157" t="s">
        <v>117</v>
      </c>
      <c r="G3157">
        <v>1.1299999999999999</v>
      </c>
      <c r="H3157" t="s">
        <v>41</v>
      </c>
      <c r="I3157" t="s">
        <v>42</v>
      </c>
      <c r="M3157">
        <f>VLOOKUP(H3157,'Stage Order'!$A$2:$B$8,2,FALSE)</f>
        <v>2</v>
      </c>
      <c r="N3157" t="str">
        <f t="shared" si="98"/>
        <v>2. 1-24 hours</v>
      </c>
      <c r="O3157" t="str">
        <f t="shared" si="99"/>
        <v>2026-03</v>
      </c>
    </row>
    <row r="3158" spans="1:15" x14ac:dyDescent="0.3">
      <c r="A3158" t="s">
        <v>7460</v>
      </c>
      <c r="B3158" t="s">
        <v>7461</v>
      </c>
      <c r="C3158" t="s">
        <v>37</v>
      </c>
      <c r="D3158" t="s">
        <v>29</v>
      </c>
      <c r="E3158" t="s">
        <v>59</v>
      </c>
      <c r="F3158" t="s">
        <v>60</v>
      </c>
      <c r="G3158">
        <v>7</v>
      </c>
      <c r="H3158" t="s">
        <v>41</v>
      </c>
      <c r="I3158" t="s">
        <v>42</v>
      </c>
      <c r="M3158">
        <f>VLOOKUP(H3158,'Stage Order'!$A$2:$B$8,2,FALSE)</f>
        <v>2</v>
      </c>
      <c r="N3158" t="str">
        <f t="shared" si="98"/>
        <v>2. 1-24 hours</v>
      </c>
      <c r="O3158" t="str">
        <f t="shared" si="99"/>
        <v>2026-03</v>
      </c>
    </row>
    <row r="3159" spans="1:15" x14ac:dyDescent="0.3">
      <c r="A3159" t="s">
        <v>7462</v>
      </c>
      <c r="B3159" t="s">
        <v>7463</v>
      </c>
      <c r="C3159" t="s">
        <v>58</v>
      </c>
      <c r="D3159" t="s">
        <v>77</v>
      </c>
      <c r="E3159" t="s">
        <v>45</v>
      </c>
      <c r="F3159" t="s">
        <v>46</v>
      </c>
      <c r="G3159">
        <v>18.43</v>
      </c>
      <c r="H3159" t="s">
        <v>41</v>
      </c>
      <c r="I3159" t="s">
        <v>42</v>
      </c>
      <c r="M3159">
        <f>VLOOKUP(H3159,'Stage Order'!$A$2:$B$8,2,FALSE)</f>
        <v>2</v>
      </c>
      <c r="N3159" t="str">
        <f t="shared" si="98"/>
        <v>2. 1-24 hours</v>
      </c>
      <c r="O3159" t="str">
        <f t="shared" si="99"/>
        <v>2025-11</v>
      </c>
    </row>
    <row r="3160" spans="1:15" x14ac:dyDescent="0.3">
      <c r="A3160" t="s">
        <v>7464</v>
      </c>
      <c r="B3160" t="s">
        <v>7465</v>
      </c>
      <c r="C3160" t="s">
        <v>125</v>
      </c>
      <c r="D3160" t="s">
        <v>29</v>
      </c>
      <c r="E3160" t="s">
        <v>59</v>
      </c>
      <c r="F3160" t="s">
        <v>117</v>
      </c>
      <c r="G3160">
        <v>2.38</v>
      </c>
      <c r="H3160" t="s">
        <v>32</v>
      </c>
      <c r="I3160" t="s">
        <v>33</v>
      </c>
      <c r="K3160">
        <v>648.07000000000005</v>
      </c>
      <c r="L3160" t="s">
        <v>7466</v>
      </c>
      <c r="M3160">
        <f>VLOOKUP(H3160,'Stage Order'!$A$2:$B$8,2,FALSE)</f>
        <v>7</v>
      </c>
      <c r="N3160" t="str">
        <f t="shared" si="98"/>
        <v>2. 1-24 hours</v>
      </c>
      <c r="O3160" t="str">
        <f t="shared" si="99"/>
        <v>2025-11</v>
      </c>
    </row>
    <row r="3161" spans="1:15" x14ac:dyDescent="0.3">
      <c r="A3161" t="s">
        <v>7467</v>
      </c>
      <c r="B3161" t="s">
        <v>7468</v>
      </c>
      <c r="C3161" t="s">
        <v>58</v>
      </c>
      <c r="D3161" t="s">
        <v>29</v>
      </c>
      <c r="E3161" t="s">
        <v>90</v>
      </c>
      <c r="F3161" t="s">
        <v>112</v>
      </c>
      <c r="G3161">
        <v>2.71</v>
      </c>
      <c r="H3161" t="s">
        <v>61</v>
      </c>
      <c r="I3161" t="s">
        <v>42</v>
      </c>
      <c r="M3161">
        <f>VLOOKUP(H3161,'Stage Order'!$A$2:$B$8,2,FALSE)</f>
        <v>1</v>
      </c>
      <c r="N3161" t="str">
        <f t="shared" si="98"/>
        <v>2. 1-24 hours</v>
      </c>
      <c r="O3161" t="str">
        <f t="shared" si="99"/>
        <v>2025-02</v>
      </c>
    </row>
    <row r="3162" spans="1:15" x14ac:dyDescent="0.3">
      <c r="A3162" t="s">
        <v>7469</v>
      </c>
      <c r="B3162" t="s">
        <v>7470</v>
      </c>
      <c r="C3162" t="s">
        <v>125</v>
      </c>
      <c r="D3162" t="s">
        <v>54</v>
      </c>
      <c r="E3162" t="s">
        <v>90</v>
      </c>
      <c r="F3162" t="s">
        <v>91</v>
      </c>
      <c r="G3162">
        <v>11.39</v>
      </c>
      <c r="H3162" t="s">
        <v>41</v>
      </c>
      <c r="I3162" t="s">
        <v>42</v>
      </c>
      <c r="M3162">
        <f>VLOOKUP(H3162,'Stage Order'!$A$2:$B$8,2,FALSE)</f>
        <v>2</v>
      </c>
      <c r="N3162" t="str">
        <f t="shared" si="98"/>
        <v>2. 1-24 hours</v>
      </c>
      <c r="O3162" t="str">
        <f t="shared" si="99"/>
        <v>2026-05</v>
      </c>
    </row>
    <row r="3163" spans="1:15" x14ac:dyDescent="0.3">
      <c r="A3163" t="s">
        <v>7471</v>
      </c>
      <c r="B3163" t="s">
        <v>7472</v>
      </c>
      <c r="C3163" t="s">
        <v>125</v>
      </c>
      <c r="D3163" t="s">
        <v>29</v>
      </c>
      <c r="E3163" t="s">
        <v>45</v>
      </c>
      <c r="F3163" t="s">
        <v>94</v>
      </c>
      <c r="G3163">
        <v>6.99</v>
      </c>
      <c r="H3163" t="s">
        <v>41</v>
      </c>
      <c r="I3163" t="s">
        <v>42</v>
      </c>
      <c r="M3163">
        <f>VLOOKUP(H3163,'Stage Order'!$A$2:$B$8,2,FALSE)</f>
        <v>2</v>
      </c>
      <c r="N3163" t="str">
        <f t="shared" si="98"/>
        <v>2. 1-24 hours</v>
      </c>
      <c r="O3163" t="str">
        <f t="shared" si="99"/>
        <v>2026-05</v>
      </c>
    </row>
    <row r="3164" spans="1:15" x14ac:dyDescent="0.3">
      <c r="A3164" t="s">
        <v>7473</v>
      </c>
      <c r="B3164" t="s">
        <v>7474</v>
      </c>
      <c r="C3164" t="s">
        <v>125</v>
      </c>
      <c r="D3164" t="s">
        <v>29</v>
      </c>
      <c r="E3164" t="s">
        <v>39</v>
      </c>
      <c r="F3164" t="s">
        <v>40</v>
      </c>
      <c r="G3164">
        <v>5.17</v>
      </c>
      <c r="H3164" t="s">
        <v>47</v>
      </c>
      <c r="I3164" t="s">
        <v>48</v>
      </c>
      <c r="J3164" t="s">
        <v>139</v>
      </c>
      <c r="K3164">
        <v>534.76</v>
      </c>
      <c r="L3164" t="s">
        <v>7475</v>
      </c>
      <c r="M3164">
        <f>VLOOKUP(H3164,'Stage Order'!$A$2:$B$8,2,FALSE)</f>
        <v>4</v>
      </c>
      <c r="N3164" t="str">
        <f t="shared" si="98"/>
        <v>2. 1-24 hours</v>
      </c>
      <c r="O3164" t="str">
        <f t="shared" si="99"/>
        <v>2025-08</v>
      </c>
    </row>
    <row r="3165" spans="1:15" x14ac:dyDescent="0.3">
      <c r="A3165" t="s">
        <v>7476</v>
      </c>
      <c r="B3165" t="s">
        <v>7477</v>
      </c>
      <c r="C3165" t="s">
        <v>125</v>
      </c>
      <c r="D3165" t="s">
        <v>97</v>
      </c>
      <c r="E3165" t="s">
        <v>45</v>
      </c>
      <c r="F3165" t="s">
        <v>46</v>
      </c>
      <c r="G3165">
        <v>4.3</v>
      </c>
      <c r="H3165" t="s">
        <v>146</v>
      </c>
      <c r="I3165" t="s">
        <v>48</v>
      </c>
      <c r="J3165" t="s">
        <v>98</v>
      </c>
      <c r="K3165">
        <v>1352.61</v>
      </c>
      <c r="L3165" t="s">
        <v>7478</v>
      </c>
      <c r="M3165">
        <f>VLOOKUP(H3165,'Stage Order'!$A$2:$B$8,2,FALSE)</f>
        <v>5</v>
      </c>
      <c r="N3165" t="str">
        <f t="shared" si="98"/>
        <v>2. 1-24 hours</v>
      </c>
      <c r="O3165" t="str">
        <f t="shared" si="99"/>
        <v>2026-02</v>
      </c>
    </row>
    <row r="3166" spans="1:15" x14ac:dyDescent="0.3">
      <c r="A3166" t="s">
        <v>7479</v>
      </c>
      <c r="B3166" t="s">
        <v>7480</v>
      </c>
      <c r="C3166" t="s">
        <v>53</v>
      </c>
      <c r="D3166" t="s">
        <v>38</v>
      </c>
      <c r="E3166" t="s">
        <v>45</v>
      </c>
      <c r="F3166" t="s">
        <v>55</v>
      </c>
      <c r="G3166">
        <v>3.76</v>
      </c>
      <c r="H3166" t="s">
        <v>138</v>
      </c>
      <c r="I3166" t="s">
        <v>48</v>
      </c>
      <c r="J3166" t="s">
        <v>742</v>
      </c>
      <c r="K3166">
        <v>322.45999999999998</v>
      </c>
      <c r="L3166" t="s">
        <v>7481</v>
      </c>
      <c r="M3166">
        <f>VLOOKUP(H3166,'Stage Order'!$A$2:$B$8,2,FALSE)</f>
        <v>6</v>
      </c>
      <c r="N3166" t="str">
        <f t="shared" si="98"/>
        <v>2. 1-24 hours</v>
      </c>
      <c r="O3166" t="str">
        <f t="shared" si="99"/>
        <v>2026-06</v>
      </c>
    </row>
    <row r="3167" spans="1:15" x14ac:dyDescent="0.3">
      <c r="A3167" t="s">
        <v>7482</v>
      </c>
      <c r="B3167" t="s">
        <v>7483</v>
      </c>
      <c r="C3167" t="s">
        <v>37</v>
      </c>
      <c r="D3167" t="s">
        <v>54</v>
      </c>
      <c r="E3167" t="s">
        <v>59</v>
      </c>
      <c r="F3167" t="s">
        <v>60</v>
      </c>
      <c r="G3167">
        <v>1.9</v>
      </c>
      <c r="H3167" t="s">
        <v>47</v>
      </c>
      <c r="I3167" t="s">
        <v>48</v>
      </c>
      <c r="J3167" t="s">
        <v>98</v>
      </c>
      <c r="K3167">
        <v>591.96</v>
      </c>
      <c r="L3167" t="s">
        <v>7484</v>
      </c>
      <c r="M3167">
        <f>VLOOKUP(H3167,'Stage Order'!$A$2:$B$8,2,FALSE)</f>
        <v>4</v>
      </c>
      <c r="N3167" t="str">
        <f t="shared" si="98"/>
        <v>2. 1-24 hours</v>
      </c>
      <c r="O3167" t="str">
        <f t="shared" si="99"/>
        <v>2025-12</v>
      </c>
    </row>
    <row r="3168" spans="1:15" x14ac:dyDescent="0.3">
      <c r="A3168" t="s">
        <v>7485</v>
      </c>
      <c r="B3168" t="s">
        <v>7486</v>
      </c>
      <c r="C3168" t="s">
        <v>58</v>
      </c>
      <c r="D3168" t="s">
        <v>29</v>
      </c>
      <c r="E3168" t="s">
        <v>45</v>
      </c>
      <c r="F3168" t="s">
        <v>46</v>
      </c>
      <c r="G3168">
        <v>4.09</v>
      </c>
      <c r="H3168" t="s">
        <v>61</v>
      </c>
      <c r="I3168" t="s">
        <v>42</v>
      </c>
      <c r="M3168">
        <f>VLOOKUP(H3168,'Stage Order'!$A$2:$B$8,2,FALSE)</f>
        <v>1</v>
      </c>
      <c r="N3168" t="str">
        <f t="shared" si="98"/>
        <v>2. 1-24 hours</v>
      </c>
      <c r="O3168" t="str">
        <f t="shared" si="99"/>
        <v>2026-03</v>
      </c>
    </row>
    <row r="3169" spans="1:15" x14ac:dyDescent="0.3">
      <c r="A3169" t="s">
        <v>7487</v>
      </c>
      <c r="B3169" t="s">
        <v>7488</v>
      </c>
      <c r="C3169" t="s">
        <v>53</v>
      </c>
      <c r="D3169" t="s">
        <v>29</v>
      </c>
      <c r="E3169" t="s">
        <v>39</v>
      </c>
      <c r="F3169" t="s">
        <v>40</v>
      </c>
      <c r="G3169">
        <v>10.72</v>
      </c>
      <c r="H3169" t="s">
        <v>41</v>
      </c>
      <c r="I3169" t="s">
        <v>42</v>
      </c>
      <c r="M3169">
        <f>VLOOKUP(H3169,'Stage Order'!$A$2:$B$8,2,FALSE)</f>
        <v>2</v>
      </c>
      <c r="N3169" t="str">
        <f t="shared" si="98"/>
        <v>2. 1-24 hours</v>
      </c>
      <c r="O3169" t="str">
        <f t="shared" si="99"/>
        <v>2025-04</v>
      </c>
    </row>
    <row r="3170" spans="1:15" x14ac:dyDescent="0.3">
      <c r="A3170" t="s">
        <v>7489</v>
      </c>
      <c r="B3170" t="s">
        <v>7490</v>
      </c>
      <c r="C3170" t="s">
        <v>76</v>
      </c>
      <c r="D3170" t="s">
        <v>54</v>
      </c>
      <c r="E3170" t="s">
        <v>90</v>
      </c>
      <c r="F3170" t="s">
        <v>91</v>
      </c>
      <c r="G3170">
        <v>3.29</v>
      </c>
      <c r="H3170" t="s">
        <v>138</v>
      </c>
      <c r="I3170" t="s">
        <v>48</v>
      </c>
      <c r="J3170" t="s">
        <v>113</v>
      </c>
      <c r="K3170">
        <v>472.67</v>
      </c>
      <c r="L3170" t="s">
        <v>7491</v>
      </c>
      <c r="M3170">
        <f>VLOOKUP(H3170,'Stage Order'!$A$2:$B$8,2,FALSE)</f>
        <v>6</v>
      </c>
      <c r="N3170" t="str">
        <f t="shared" si="98"/>
        <v>2. 1-24 hours</v>
      </c>
      <c r="O3170" t="str">
        <f t="shared" si="99"/>
        <v>2026-05</v>
      </c>
    </row>
    <row r="3171" spans="1:15" x14ac:dyDescent="0.3">
      <c r="A3171" t="s">
        <v>7492</v>
      </c>
      <c r="B3171" t="s">
        <v>7493</v>
      </c>
      <c r="C3171" t="s">
        <v>58</v>
      </c>
      <c r="D3171" t="s">
        <v>29</v>
      </c>
      <c r="E3171" t="s">
        <v>59</v>
      </c>
      <c r="F3171" t="s">
        <v>137</v>
      </c>
      <c r="G3171">
        <v>6.32</v>
      </c>
      <c r="H3171" t="s">
        <v>41</v>
      </c>
      <c r="I3171" t="s">
        <v>42</v>
      </c>
      <c r="M3171">
        <f>VLOOKUP(H3171,'Stage Order'!$A$2:$B$8,2,FALSE)</f>
        <v>2</v>
      </c>
      <c r="N3171" t="str">
        <f t="shared" si="98"/>
        <v>2. 1-24 hours</v>
      </c>
      <c r="O3171" t="str">
        <f t="shared" si="99"/>
        <v>2026-04</v>
      </c>
    </row>
    <row r="3172" spans="1:15" x14ac:dyDescent="0.3">
      <c r="A3172" t="s">
        <v>7494</v>
      </c>
      <c r="B3172" t="s">
        <v>7495</v>
      </c>
      <c r="C3172" t="s">
        <v>28</v>
      </c>
      <c r="D3172" t="s">
        <v>97</v>
      </c>
      <c r="E3172" t="s">
        <v>30</v>
      </c>
      <c r="F3172" t="s">
        <v>31</v>
      </c>
      <c r="G3172">
        <v>0.61</v>
      </c>
      <c r="H3172" t="s">
        <v>41</v>
      </c>
      <c r="I3172" t="s">
        <v>42</v>
      </c>
      <c r="M3172">
        <f>VLOOKUP(H3172,'Stage Order'!$A$2:$B$8,2,FALSE)</f>
        <v>2</v>
      </c>
      <c r="N3172" t="str">
        <f t="shared" si="98"/>
        <v>1. Under 1 hour</v>
      </c>
      <c r="O3172" t="str">
        <f t="shared" si="99"/>
        <v>2025-03</v>
      </c>
    </row>
    <row r="3173" spans="1:15" x14ac:dyDescent="0.3">
      <c r="A3173" t="s">
        <v>7496</v>
      </c>
      <c r="B3173" t="s">
        <v>7497</v>
      </c>
      <c r="C3173" t="s">
        <v>76</v>
      </c>
      <c r="D3173" t="s">
        <v>77</v>
      </c>
      <c r="E3173" t="s">
        <v>30</v>
      </c>
      <c r="F3173" t="s">
        <v>78</v>
      </c>
      <c r="G3173">
        <v>2.63</v>
      </c>
      <c r="H3173" t="s">
        <v>61</v>
      </c>
      <c r="I3173" t="s">
        <v>42</v>
      </c>
      <c r="M3173">
        <f>VLOOKUP(H3173,'Stage Order'!$A$2:$B$8,2,FALSE)</f>
        <v>1</v>
      </c>
      <c r="N3173" t="str">
        <f t="shared" si="98"/>
        <v>2. 1-24 hours</v>
      </c>
      <c r="O3173" t="str">
        <f t="shared" si="99"/>
        <v>2025-12</v>
      </c>
    </row>
    <row r="3174" spans="1:15" x14ac:dyDescent="0.3">
      <c r="A3174" t="s">
        <v>7498</v>
      </c>
      <c r="B3174" t="s">
        <v>7499</v>
      </c>
      <c r="C3174" t="s">
        <v>37</v>
      </c>
      <c r="D3174" t="s">
        <v>38</v>
      </c>
      <c r="E3174" t="s">
        <v>39</v>
      </c>
      <c r="F3174" t="s">
        <v>66</v>
      </c>
      <c r="G3174">
        <v>1.21</v>
      </c>
      <c r="H3174" t="s">
        <v>61</v>
      </c>
      <c r="I3174" t="s">
        <v>42</v>
      </c>
      <c r="M3174">
        <f>VLOOKUP(H3174,'Stage Order'!$A$2:$B$8,2,FALSE)</f>
        <v>1</v>
      </c>
      <c r="N3174" t="str">
        <f t="shared" si="98"/>
        <v>2. 1-24 hours</v>
      </c>
      <c r="O3174" t="str">
        <f t="shared" si="99"/>
        <v>2025-07</v>
      </c>
    </row>
    <row r="3175" spans="1:15" x14ac:dyDescent="0.3">
      <c r="A3175" t="s">
        <v>7500</v>
      </c>
      <c r="B3175" t="s">
        <v>7501</v>
      </c>
      <c r="C3175" t="s">
        <v>58</v>
      </c>
      <c r="D3175" t="s">
        <v>29</v>
      </c>
      <c r="E3175" t="s">
        <v>39</v>
      </c>
      <c r="F3175" t="s">
        <v>106</v>
      </c>
      <c r="G3175">
        <v>7.63</v>
      </c>
      <c r="H3175" t="s">
        <v>32</v>
      </c>
      <c r="I3175" t="s">
        <v>33</v>
      </c>
      <c r="K3175">
        <v>646.48</v>
      </c>
      <c r="L3175" t="s">
        <v>7502</v>
      </c>
      <c r="M3175">
        <f>VLOOKUP(H3175,'Stage Order'!$A$2:$B$8,2,FALSE)</f>
        <v>7</v>
      </c>
      <c r="N3175" t="str">
        <f t="shared" si="98"/>
        <v>2. 1-24 hours</v>
      </c>
      <c r="O3175" t="str">
        <f t="shared" si="99"/>
        <v>2025-05</v>
      </c>
    </row>
    <row r="3176" spans="1:15" x14ac:dyDescent="0.3">
      <c r="A3176" t="s">
        <v>7503</v>
      </c>
      <c r="B3176" t="s">
        <v>7504</v>
      </c>
      <c r="C3176" t="s">
        <v>37</v>
      </c>
      <c r="D3176" t="s">
        <v>29</v>
      </c>
      <c r="E3176" t="s">
        <v>39</v>
      </c>
      <c r="F3176" t="s">
        <v>106</v>
      </c>
      <c r="G3176">
        <v>5.66</v>
      </c>
      <c r="H3176" t="s">
        <v>32</v>
      </c>
      <c r="I3176" t="s">
        <v>33</v>
      </c>
      <c r="K3176">
        <v>706.4</v>
      </c>
      <c r="L3176" t="s">
        <v>7505</v>
      </c>
      <c r="M3176">
        <f>VLOOKUP(H3176,'Stage Order'!$A$2:$B$8,2,FALSE)</f>
        <v>7</v>
      </c>
      <c r="N3176" t="str">
        <f t="shared" si="98"/>
        <v>2. 1-24 hours</v>
      </c>
      <c r="O3176" t="str">
        <f t="shared" si="99"/>
        <v>2026-05</v>
      </c>
    </row>
    <row r="3177" spans="1:15" x14ac:dyDescent="0.3">
      <c r="A3177" t="s">
        <v>7506</v>
      </c>
      <c r="B3177" t="s">
        <v>7507</v>
      </c>
      <c r="C3177" t="s">
        <v>28</v>
      </c>
      <c r="D3177" t="s">
        <v>77</v>
      </c>
      <c r="E3177" t="s">
        <v>59</v>
      </c>
      <c r="F3177" t="s">
        <v>117</v>
      </c>
      <c r="G3177">
        <v>1.01</v>
      </c>
      <c r="H3177" t="s">
        <v>32</v>
      </c>
      <c r="I3177" t="s">
        <v>33</v>
      </c>
      <c r="K3177">
        <v>1088.33</v>
      </c>
      <c r="L3177" t="s">
        <v>7508</v>
      </c>
      <c r="M3177">
        <f>VLOOKUP(H3177,'Stage Order'!$A$2:$B$8,2,FALSE)</f>
        <v>7</v>
      </c>
      <c r="N3177" t="str">
        <f t="shared" si="98"/>
        <v>2. 1-24 hours</v>
      </c>
      <c r="O3177" t="str">
        <f t="shared" si="99"/>
        <v>2025-09</v>
      </c>
    </row>
    <row r="3178" spans="1:15" x14ac:dyDescent="0.3">
      <c r="A3178" t="s">
        <v>7509</v>
      </c>
      <c r="B3178" t="s">
        <v>7510</v>
      </c>
      <c r="C3178" t="s">
        <v>58</v>
      </c>
      <c r="D3178" t="s">
        <v>29</v>
      </c>
      <c r="E3178" t="s">
        <v>45</v>
      </c>
      <c r="F3178" t="s">
        <v>94</v>
      </c>
      <c r="G3178">
        <v>6.75</v>
      </c>
      <c r="H3178" t="s">
        <v>138</v>
      </c>
      <c r="I3178" t="s">
        <v>48</v>
      </c>
      <c r="J3178" t="s">
        <v>139</v>
      </c>
      <c r="K3178">
        <v>570.85</v>
      </c>
      <c r="L3178" t="s">
        <v>7511</v>
      </c>
      <c r="M3178">
        <f>VLOOKUP(H3178,'Stage Order'!$A$2:$B$8,2,FALSE)</f>
        <v>6</v>
      </c>
      <c r="N3178" t="str">
        <f t="shared" si="98"/>
        <v>2. 1-24 hours</v>
      </c>
      <c r="O3178" t="str">
        <f t="shared" si="99"/>
        <v>2025-03</v>
      </c>
    </row>
    <row r="3179" spans="1:15" x14ac:dyDescent="0.3">
      <c r="A3179" t="s">
        <v>7512</v>
      </c>
      <c r="B3179" t="s">
        <v>7513</v>
      </c>
      <c r="C3179" t="s">
        <v>58</v>
      </c>
      <c r="D3179" t="s">
        <v>38</v>
      </c>
      <c r="E3179" t="s">
        <v>59</v>
      </c>
      <c r="F3179" t="s">
        <v>60</v>
      </c>
      <c r="G3179">
        <v>23.74</v>
      </c>
      <c r="H3179" t="s">
        <v>41</v>
      </c>
      <c r="I3179" t="s">
        <v>42</v>
      </c>
      <c r="M3179">
        <f>VLOOKUP(H3179,'Stage Order'!$A$2:$B$8,2,FALSE)</f>
        <v>2</v>
      </c>
      <c r="N3179" t="str">
        <f t="shared" si="98"/>
        <v>2. 1-24 hours</v>
      </c>
      <c r="O3179" t="str">
        <f t="shared" si="99"/>
        <v>2026-01</v>
      </c>
    </row>
    <row r="3180" spans="1:15" x14ac:dyDescent="0.3">
      <c r="A3180" t="s">
        <v>7514</v>
      </c>
      <c r="B3180" t="s">
        <v>7515</v>
      </c>
      <c r="C3180" t="s">
        <v>37</v>
      </c>
      <c r="D3180" t="s">
        <v>77</v>
      </c>
      <c r="E3180" t="s">
        <v>45</v>
      </c>
      <c r="F3180" t="s">
        <v>46</v>
      </c>
      <c r="G3180">
        <v>1.81</v>
      </c>
      <c r="H3180" t="s">
        <v>41</v>
      </c>
      <c r="I3180" t="s">
        <v>42</v>
      </c>
      <c r="M3180">
        <f>VLOOKUP(H3180,'Stage Order'!$A$2:$B$8,2,FALSE)</f>
        <v>2</v>
      </c>
      <c r="N3180" t="str">
        <f t="shared" si="98"/>
        <v>2. 1-24 hours</v>
      </c>
      <c r="O3180" t="str">
        <f t="shared" si="99"/>
        <v>2025-09</v>
      </c>
    </row>
    <row r="3181" spans="1:15" x14ac:dyDescent="0.3">
      <c r="A3181" t="s">
        <v>7516</v>
      </c>
      <c r="B3181" t="s">
        <v>7517</v>
      </c>
      <c r="C3181" t="s">
        <v>37</v>
      </c>
      <c r="D3181" t="s">
        <v>29</v>
      </c>
      <c r="E3181" t="s">
        <v>30</v>
      </c>
      <c r="F3181" t="s">
        <v>82</v>
      </c>
      <c r="G3181">
        <v>3.74</v>
      </c>
      <c r="H3181" t="s">
        <v>61</v>
      </c>
      <c r="I3181" t="s">
        <v>42</v>
      </c>
      <c r="M3181">
        <f>VLOOKUP(H3181,'Stage Order'!$A$2:$B$8,2,FALSE)</f>
        <v>1</v>
      </c>
      <c r="N3181" t="str">
        <f t="shared" si="98"/>
        <v>2. 1-24 hours</v>
      </c>
      <c r="O3181" t="str">
        <f t="shared" si="99"/>
        <v>2025-07</v>
      </c>
    </row>
    <row r="3182" spans="1:15" x14ac:dyDescent="0.3">
      <c r="A3182" t="s">
        <v>7518</v>
      </c>
      <c r="B3182" t="s">
        <v>7519</v>
      </c>
      <c r="C3182" t="s">
        <v>125</v>
      </c>
      <c r="D3182" t="s">
        <v>97</v>
      </c>
      <c r="E3182" t="s">
        <v>45</v>
      </c>
      <c r="F3182" t="s">
        <v>46</v>
      </c>
      <c r="G3182">
        <v>2.99</v>
      </c>
      <c r="H3182" t="s">
        <v>32</v>
      </c>
      <c r="I3182" t="s">
        <v>33</v>
      </c>
      <c r="K3182">
        <v>1237.9000000000001</v>
      </c>
      <c r="L3182" t="s">
        <v>7520</v>
      </c>
      <c r="M3182">
        <f>VLOOKUP(H3182,'Stage Order'!$A$2:$B$8,2,FALSE)</f>
        <v>7</v>
      </c>
      <c r="N3182" t="str">
        <f t="shared" si="98"/>
        <v>2. 1-24 hours</v>
      </c>
      <c r="O3182" t="str">
        <f t="shared" si="99"/>
        <v>2026-03</v>
      </c>
    </row>
    <row r="3183" spans="1:15" x14ac:dyDescent="0.3">
      <c r="A3183" t="s">
        <v>7521</v>
      </c>
      <c r="B3183" t="s">
        <v>7522</v>
      </c>
      <c r="C3183" t="s">
        <v>76</v>
      </c>
      <c r="D3183" t="s">
        <v>54</v>
      </c>
      <c r="E3183" t="s">
        <v>59</v>
      </c>
      <c r="F3183" t="s">
        <v>137</v>
      </c>
      <c r="G3183">
        <v>2.4900000000000002</v>
      </c>
      <c r="H3183" t="s">
        <v>41</v>
      </c>
      <c r="I3183" t="s">
        <v>42</v>
      </c>
      <c r="M3183">
        <f>VLOOKUP(H3183,'Stage Order'!$A$2:$B$8,2,FALSE)</f>
        <v>2</v>
      </c>
      <c r="N3183" t="str">
        <f t="shared" si="98"/>
        <v>2. 1-24 hours</v>
      </c>
      <c r="O3183" t="str">
        <f t="shared" si="99"/>
        <v>2026-04</v>
      </c>
    </row>
    <row r="3184" spans="1:15" x14ac:dyDescent="0.3">
      <c r="A3184" t="s">
        <v>7523</v>
      </c>
      <c r="B3184" t="s">
        <v>7524</v>
      </c>
      <c r="C3184" t="s">
        <v>58</v>
      </c>
      <c r="D3184" t="s">
        <v>38</v>
      </c>
      <c r="E3184" t="s">
        <v>45</v>
      </c>
      <c r="F3184" t="s">
        <v>55</v>
      </c>
      <c r="G3184">
        <v>1.42</v>
      </c>
      <c r="H3184" t="s">
        <v>41</v>
      </c>
      <c r="I3184" t="s">
        <v>42</v>
      </c>
      <c r="M3184">
        <f>VLOOKUP(H3184,'Stage Order'!$A$2:$B$8,2,FALSE)</f>
        <v>2</v>
      </c>
      <c r="N3184" t="str">
        <f t="shared" si="98"/>
        <v>2. 1-24 hours</v>
      </c>
      <c r="O3184" t="str">
        <f t="shared" si="99"/>
        <v>2025-06</v>
      </c>
    </row>
    <row r="3185" spans="1:15" x14ac:dyDescent="0.3">
      <c r="A3185" t="s">
        <v>7525</v>
      </c>
      <c r="B3185" t="s">
        <v>7526</v>
      </c>
      <c r="C3185" t="s">
        <v>125</v>
      </c>
      <c r="D3185" t="s">
        <v>29</v>
      </c>
      <c r="E3185" t="s">
        <v>90</v>
      </c>
      <c r="F3185" t="s">
        <v>112</v>
      </c>
      <c r="G3185">
        <v>9.4</v>
      </c>
      <c r="H3185" t="s">
        <v>41</v>
      </c>
      <c r="I3185" t="s">
        <v>42</v>
      </c>
      <c r="M3185">
        <f>VLOOKUP(H3185,'Stage Order'!$A$2:$B$8,2,FALSE)</f>
        <v>2</v>
      </c>
      <c r="N3185" t="str">
        <f t="shared" si="98"/>
        <v>2. 1-24 hours</v>
      </c>
      <c r="O3185" t="str">
        <f t="shared" si="99"/>
        <v>2025-09</v>
      </c>
    </row>
    <row r="3186" spans="1:15" x14ac:dyDescent="0.3">
      <c r="A3186" t="s">
        <v>7527</v>
      </c>
      <c r="B3186" t="s">
        <v>7528</v>
      </c>
      <c r="C3186" t="s">
        <v>37</v>
      </c>
      <c r="D3186" t="s">
        <v>54</v>
      </c>
      <c r="E3186" t="s">
        <v>59</v>
      </c>
      <c r="F3186" t="s">
        <v>60</v>
      </c>
      <c r="G3186">
        <v>2.14</v>
      </c>
      <c r="H3186" t="s">
        <v>146</v>
      </c>
      <c r="I3186" t="s">
        <v>48</v>
      </c>
      <c r="J3186" t="s">
        <v>139</v>
      </c>
      <c r="K3186">
        <v>424.5</v>
      </c>
      <c r="L3186" t="s">
        <v>7529</v>
      </c>
      <c r="M3186">
        <f>VLOOKUP(H3186,'Stage Order'!$A$2:$B$8,2,FALSE)</f>
        <v>5</v>
      </c>
      <c r="N3186" t="str">
        <f t="shared" si="98"/>
        <v>2. 1-24 hours</v>
      </c>
      <c r="O3186" t="str">
        <f t="shared" si="99"/>
        <v>2026-01</v>
      </c>
    </row>
    <row r="3187" spans="1:15" x14ac:dyDescent="0.3">
      <c r="A3187" t="s">
        <v>7530</v>
      </c>
      <c r="B3187" t="s">
        <v>7531</v>
      </c>
      <c r="C3187" t="s">
        <v>37</v>
      </c>
      <c r="D3187" t="s">
        <v>38</v>
      </c>
      <c r="E3187" t="s">
        <v>59</v>
      </c>
      <c r="F3187" t="s">
        <v>137</v>
      </c>
      <c r="G3187">
        <v>1.9</v>
      </c>
      <c r="H3187" t="s">
        <v>41</v>
      </c>
      <c r="I3187" t="s">
        <v>42</v>
      </c>
      <c r="M3187">
        <f>VLOOKUP(H3187,'Stage Order'!$A$2:$B$8,2,FALSE)</f>
        <v>2</v>
      </c>
      <c r="N3187" t="str">
        <f t="shared" si="98"/>
        <v>2. 1-24 hours</v>
      </c>
      <c r="O3187" t="str">
        <f t="shared" si="99"/>
        <v>2025-07</v>
      </c>
    </row>
    <row r="3188" spans="1:15" x14ac:dyDescent="0.3">
      <c r="A3188" t="s">
        <v>7532</v>
      </c>
      <c r="B3188" t="s">
        <v>7533</v>
      </c>
      <c r="C3188" t="s">
        <v>81</v>
      </c>
      <c r="D3188" t="s">
        <v>29</v>
      </c>
      <c r="E3188" t="s">
        <v>30</v>
      </c>
      <c r="F3188" t="s">
        <v>82</v>
      </c>
      <c r="G3188">
        <v>3.59</v>
      </c>
      <c r="H3188" t="s">
        <v>61</v>
      </c>
      <c r="I3188" t="s">
        <v>42</v>
      </c>
      <c r="M3188">
        <f>VLOOKUP(H3188,'Stage Order'!$A$2:$B$8,2,FALSE)</f>
        <v>1</v>
      </c>
      <c r="N3188" t="str">
        <f t="shared" si="98"/>
        <v>2. 1-24 hours</v>
      </c>
      <c r="O3188" t="str">
        <f t="shared" si="99"/>
        <v>2026-01</v>
      </c>
    </row>
    <row r="3189" spans="1:15" x14ac:dyDescent="0.3">
      <c r="A3189" t="s">
        <v>7534</v>
      </c>
      <c r="B3189" t="s">
        <v>7535</v>
      </c>
      <c r="C3189" t="s">
        <v>37</v>
      </c>
      <c r="D3189" t="s">
        <v>77</v>
      </c>
      <c r="E3189" t="s">
        <v>59</v>
      </c>
      <c r="F3189" t="s">
        <v>117</v>
      </c>
      <c r="G3189">
        <v>3.14</v>
      </c>
      <c r="H3189" t="s">
        <v>32</v>
      </c>
      <c r="I3189" t="s">
        <v>33</v>
      </c>
      <c r="K3189">
        <v>887.77</v>
      </c>
      <c r="L3189" t="s">
        <v>7536</v>
      </c>
      <c r="M3189">
        <f>VLOOKUP(H3189,'Stage Order'!$A$2:$B$8,2,FALSE)</f>
        <v>7</v>
      </c>
      <c r="N3189" t="str">
        <f t="shared" si="98"/>
        <v>2. 1-24 hours</v>
      </c>
      <c r="O3189" t="str">
        <f t="shared" si="99"/>
        <v>2025-06</v>
      </c>
    </row>
    <row r="3190" spans="1:15" x14ac:dyDescent="0.3">
      <c r="A3190" t="s">
        <v>7537</v>
      </c>
      <c r="B3190" t="s">
        <v>7538</v>
      </c>
      <c r="C3190" t="s">
        <v>37</v>
      </c>
      <c r="D3190" t="s">
        <v>29</v>
      </c>
      <c r="E3190" t="s">
        <v>90</v>
      </c>
      <c r="F3190" t="s">
        <v>112</v>
      </c>
      <c r="G3190">
        <v>6.39</v>
      </c>
      <c r="H3190" t="s">
        <v>32</v>
      </c>
      <c r="I3190" t="s">
        <v>33</v>
      </c>
      <c r="K3190">
        <v>757.97</v>
      </c>
      <c r="L3190" t="s">
        <v>7539</v>
      </c>
      <c r="M3190">
        <f>VLOOKUP(H3190,'Stage Order'!$A$2:$B$8,2,FALSE)</f>
        <v>7</v>
      </c>
      <c r="N3190" t="str">
        <f t="shared" si="98"/>
        <v>2. 1-24 hours</v>
      </c>
      <c r="O3190" t="str">
        <f t="shared" si="99"/>
        <v>2025-12</v>
      </c>
    </row>
    <row r="3191" spans="1:15" x14ac:dyDescent="0.3">
      <c r="A3191" t="s">
        <v>7540</v>
      </c>
      <c r="B3191" t="s">
        <v>7541</v>
      </c>
      <c r="C3191" t="s">
        <v>125</v>
      </c>
      <c r="D3191" t="s">
        <v>29</v>
      </c>
      <c r="E3191" t="s">
        <v>45</v>
      </c>
      <c r="F3191" t="s">
        <v>55</v>
      </c>
      <c r="G3191">
        <v>0.89</v>
      </c>
      <c r="H3191" t="s">
        <v>146</v>
      </c>
      <c r="I3191" t="s">
        <v>48</v>
      </c>
      <c r="J3191" t="s">
        <v>113</v>
      </c>
      <c r="K3191">
        <v>528.76</v>
      </c>
      <c r="L3191" t="s">
        <v>7542</v>
      </c>
      <c r="M3191">
        <f>VLOOKUP(H3191,'Stage Order'!$A$2:$B$8,2,FALSE)</f>
        <v>5</v>
      </c>
      <c r="N3191" t="str">
        <f t="shared" si="98"/>
        <v>1. Under 1 hour</v>
      </c>
      <c r="O3191" t="str">
        <f t="shared" si="99"/>
        <v>2025-12</v>
      </c>
    </row>
    <row r="3192" spans="1:15" x14ac:dyDescent="0.3">
      <c r="A3192" t="s">
        <v>7543</v>
      </c>
      <c r="B3192" t="s">
        <v>7544</v>
      </c>
      <c r="C3192" t="s">
        <v>37</v>
      </c>
      <c r="D3192" t="s">
        <v>38</v>
      </c>
      <c r="E3192" t="s">
        <v>39</v>
      </c>
      <c r="F3192" t="s">
        <v>66</v>
      </c>
      <c r="G3192">
        <v>2.6</v>
      </c>
      <c r="H3192" t="s">
        <v>41</v>
      </c>
      <c r="I3192" t="s">
        <v>42</v>
      </c>
      <c r="M3192">
        <f>VLOOKUP(H3192,'Stage Order'!$A$2:$B$8,2,FALSE)</f>
        <v>2</v>
      </c>
      <c r="N3192" t="str">
        <f t="shared" si="98"/>
        <v>2. 1-24 hours</v>
      </c>
      <c r="O3192" t="str">
        <f t="shared" si="99"/>
        <v>2026-05</v>
      </c>
    </row>
    <row r="3193" spans="1:15" x14ac:dyDescent="0.3">
      <c r="A3193" t="s">
        <v>7545</v>
      </c>
      <c r="B3193" t="s">
        <v>7546</v>
      </c>
      <c r="C3193" t="s">
        <v>125</v>
      </c>
      <c r="D3193" t="s">
        <v>77</v>
      </c>
      <c r="E3193" t="s">
        <v>90</v>
      </c>
      <c r="F3193" t="s">
        <v>112</v>
      </c>
      <c r="G3193">
        <v>2.19</v>
      </c>
      <c r="H3193" t="s">
        <v>41</v>
      </c>
      <c r="I3193" t="s">
        <v>42</v>
      </c>
      <c r="M3193">
        <f>VLOOKUP(H3193,'Stage Order'!$A$2:$B$8,2,FALSE)</f>
        <v>2</v>
      </c>
      <c r="N3193" t="str">
        <f t="shared" si="98"/>
        <v>2. 1-24 hours</v>
      </c>
      <c r="O3193" t="str">
        <f t="shared" si="99"/>
        <v>2025-04</v>
      </c>
    </row>
    <row r="3194" spans="1:15" x14ac:dyDescent="0.3">
      <c r="A3194" t="s">
        <v>7547</v>
      </c>
      <c r="B3194" t="s">
        <v>7548</v>
      </c>
      <c r="C3194" t="s">
        <v>81</v>
      </c>
      <c r="D3194" t="s">
        <v>77</v>
      </c>
      <c r="E3194" t="s">
        <v>30</v>
      </c>
      <c r="F3194" t="s">
        <v>31</v>
      </c>
      <c r="G3194">
        <v>8.85</v>
      </c>
      <c r="H3194" t="s">
        <v>61</v>
      </c>
      <c r="I3194" t="s">
        <v>42</v>
      </c>
      <c r="M3194">
        <f>VLOOKUP(H3194,'Stage Order'!$A$2:$B$8,2,FALSE)</f>
        <v>1</v>
      </c>
      <c r="N3194" t="str">
        <f t="shared" si="98"/>
        <v>2. 1-24 hours</v>
      </c>
      <c r="O3194" t="str">
        <f t="shared" si="99"/>
        <v>2025-04</v>
      </c>
    </row>
    <row r="3195" spans="1:15" x14ac:dyDescent="0.3">
      <c r="A3195" t="s">
        <v>7549</v>
      </c>
      <c r="B3195" t="s">
        <v>7550</v>
      </c>
      <c r="C3195" t="s">
        <v>53</v>
      </c>
      <c r="D3195" t="s">
        <v>29</v>
      </c>
      <c r="E3195" t="s">
        <v>90</v>
      </c>
      <c r="F3195" t="s">
        <v>91</v>
      </c>
      <c r="G3195">
        <v>2.36</v>
      </c>
      <c r="H3195" t="s">
        <v>138</v>
      </c>
      <c r="I3195" t="s">
        <v>48</v>
      </c>
      <c r="J3195" t="s">
        <v>113</v>
      </c>
      <c r="K3195">
        <v>542.15</v>
      </c>
      <c r="L3195" t="s">
        <v>7551</v>
      </c>
      <c r="M3195">
        <f>VLOOKUP(H3195,'Stage Order'!$A$2:$B$8,2,FALSE)</f>
        <v>6</v>
      </c>
      <c r="N3195" t="str">
        <f t="shared" si="98"/>
        <v>2. 1-24 hours</v>
      </c>
      <c r="O3195" t="str">
        <f t="shared" si="99"/>
        <v>2025-02</v>
      </c>
    </row>
    <row r="3196" spans="1:15" x14ac:dyDescent="0.3">
      <c r="A3196" t="s">
        <v>7552</v>
      </c>
      <c r="B3196" t="s">
        <v>7553</v>
      </c>
      <c r="C3196" t="s">
        <v>58</v>
      </c>
      <c r="D3196" t="s">
        <v>29</v>
      </c>
      <c r="E3196" t="s">
        <v>39</v>
      </c>
      <c r="F3196" t="s">
        <v>106</v>
      </c>
      <c r="G3196">
        <v>1.8</v>
      </c>
      <c r="H3196" t="s">
        <v>41</v>
      </c>
      <c r="I3196" t="s">
        <v>42</v>
      </c>
      <c r="M3196">
        <f>VLOOKUP(H3196,'Stage Order'!$A$2:$B$8,2,FALSE)</f>
        <v>2</v>
      </c>
      <c r="N3196" t="str">
        <f t="shared" si="98"/>
        <v>2. 1-24 hours</v>
      </c>
      <c r="O3196" t="str">
        <f t="shared" si="99"/>
        <v>2025-08</v>
      </c>
    </row>
    <row r="3197" spans="1:15" x14ac:dyDescent="0.3">
      <c r="A3197" t="s">
        <v>7554</v>
      </c>
      <c r="B3197" t="s">
        <v>7555</v>
      </c>
      <c r="C3197" t="s">
        <v>37</v>
      </c>
      <c r="D3197" t="s">
        <v>54</v>
      </c>
      <c r="E3197" t="s">
        <v>39</v>
      </c>
      <c r="F3197" t="s">
        <v>40</v>
      </c>
      <c r="G3197">
        <v>0.43</v>
      </c>
      <c r="H3197" t="s">
        <v>138</v>
      </c>
      <c r="I3197" t="s">
        <v>48</v>
      </c>
      <c r="J3197" t="s">
        <v>113</v>
      </c>
      <c r="K3197">
        <v>512.76</v>
      </c>
      <c r="L3197" t="s">
        <v>7556</v>
      </c>
      <c r="M3197">
        <f>VLOOKUP(H3197,'Stage Order'!$A$2:$B$8,2,FALSE)</f>
        <v>6</v>
      </c>
      <c r="N3197" t="str">
        <f t="shared" si="98"/>
        <v>1. Under 1 hour</v>
      </c>
      <c r="O3197" t="str">
        <f t="shared" si="99"/>
        <v>2026-03</v>
      </c>
    </row>
    <row r="3198" spans="1:15" x14ac:dyDescent="0.3">
      <c r="A3198" t="s">
        <v>7557</v>
      </c>
      <c r="B3198" t="s">
        <v>7558</v>
      </c>
      <c r="C3198" t="s">
        <v>81</v>
      </c>
      <c r="D3198" t="s">
        <v>38</v>
      </c>
      <c r="E3198" t="s">
        <v>59</v>
      </c>
      <c r="F3198" t="s">
        <v>117</v>
      </c>
      <c r="G3198">
        <v>18.32</v>
      </c>
      <c r="H3198" t="s">
        <v>61</v>
      </c>
      <c r="I3198" t="s">
        <v>42</v>
      </c>
      <c r="M3198">
        <f>VLOOKUP(H3198,'Stage Order'!$A$2:$B$8,2,FALSE)</f>
        <v>1</v>
      </c>
      <c r="N3198" t="str">
        <f t="shared" si="98"/>
        <v>2. 1-24 hours</v>
      </c>
      <c r="O3198" t="str">
        <f t="shared" si="99"/>
        <v>2026-04</v>
      </c>
    </row>
    <row r="3199" spans="1:15" x14ac:dyDescent="0.3">
      <c r="A3199" t="s">
        <v>7559</v>
      </c>
      <c r="B3199" t="s">
        <v>7560</v>
      </c>
      <c r="C3199" t="s">
        <v>76</v>
      </c>
      <c r="D3199" t="s">
        <v>29</v>
      </c>
      <c r="E3199" t="s">
        <v>45</v>
      </c>
      <c r="F3199" t="s">
        <v>46</v>
      </c>
      <c r="G3199">
        <v>7.2</v>
      </c>
      <c r="H3199" t="s">
        <v>41</v>
      </c>
      <c r="I3199" t="s">
        <v>42</v>
      </c>
      <c r="M3199">
        <f>VLOOKUP(H3199,'Stage Order'!$A$2:$B$8,2,FALSE)</f>
        <v>2</v>
      </c>
      <c r="N3199" t="str">
        <f t="shared" si="98"/>
        <v>2. 1-24 hours</v>
      </c>
      <c r="O3199" t="str">
        <f t="shared" si="99"/>
        <v>2025-02</v>
      </c>
    </row>
    <row r="3200" spans="1:15" x14ac:dyDescent="0.3">
      <c r="A3200" t="s">
        <v>7561</v>
      </c>
      <c r="B3200" t="s">
        <v>7562</v>
      </c>
      <c r="C3200" t="s">
        <v>81</v>
      </c>
      <c r="D3200" t="s">
        <v>29</v>
      </c>
      <c r="E3200" t="s">
        <v>45</v>
      </c>
      <c r="F3200" t="s">
        <v>55</v>
      </c>
      <c r="G3200">
        <v>3.68</v>
      </c>
      <c r="H3200" t="s">
        <v>41</v>
      </c>
      <c r="I3200" t="s">
        <v>42</v>
      </c>
      <c r="M3200">
        <f>VLOOKUP(H3200,'Stage Order'!$A$2:$B$8,2,FALSE)</f>
        <v>2</v>
      </c>
      <c r="N3200" t="str">
        <f t="shared" si="98"/>
        <v>2. 1-24 hours</v>
      </c>
      <c r="O3200" t="str">
        <f t="shared" si="99"/>
        <v>2025-01</v>
      </c>
    </row>
    <row r="3201" spans="1:15" x14ac:dyDescent="0.3">
      <c r="A3201" t="s">
        <v>7563</v>
      </c>
      <c r="B3201" t="s">
        <v>7564</v>
      </c>
      <c r="C3201" t="s">
        <v>58</v>
      </c>
      <c r="D3201" t="s">
        <v>38</v>
      </c>
      <c r="E3201" t="s">
        <v>39</v>
      </c>
      <c r="F3201" t="s">
        <v>106</v>
      </c>
      <c r="G3201">
        <v>7.08</v>
      </c>
      <c r="H3201" t="s">
        <v>47</v>
      </c>
      <c r="I3201" t="s">
        <v>48</v>
      </c>
      <c r="J3201" t="s">
        <v>139</v>
      </c>
      <c r="K3201">
        <v>343.8</v>
      </c>
      <c r="L3201" t="s">
        <v>7565</v>
      </c>
      <c r="M3201">
        <f>VLOOKUP(H3201,'Stage Order'!$A$2:$B$8,2,FALSE)</f>
        <v>4</v>
      </c>
      <c r="N3201" t="str">
        <f t="shared" si="98"/>
        <v>2. 1-24 hours</v>
      </c>
      <c r="O3201" t="str">
        <f t="shared" si="99"/>
        <v>2025-07</v>
      </c>
    </row>
    <row r="3202" spans="1:15" x14ac:dyDescent="0.3">
      <c r="A3202" t="s">
        <v>7566</v>
      </c>
      <c r="B3202" t="s">
        <v>7567</v>
      </c>
      <c r="C3202" t="s">
        <v>125</v>
      </c>
      <c r="D3202" t="s">
        <v>77</v>
      </c>
      <c r="E3202" t="s">
        <v>90</v>
      </c>
      <c r="F3202" t="s">
        <v>145</v>
      </c>
      <c r="G3202">
        <v>2</v>
      </c>
      <c r="H3202" t="s">
        <v>41</v>
      </c>
      <c r="I3202" t="s">
        <v>42</v>
      </c>
      <c r="M3202">
        <f>VLOOKUP(H3202,'Stage Order'!$A$2:$B$8,2,FALSE)</f>
        <v>2</v>
      </c>
      <c r="N3202" t="str">
        <f t="shared" ref="N3202:N3265" si="100">IF(G3202&lt;=1,"1. Under 1 hour",IF(G3202&lt;=24,"2. 1-24 hours",IF(G3202&lt;=72,"3. 1-3 days","4. Over 3 days")))</f>
        <v>2. 1-24 hours</v>
      </c>
      <c r="O3202" t="str">
        <f t="shared" ref="O3202:O3265" si="101">TEXT(B3202,"YYYY-MM")</f>
        <v>2026-04</v>
      </c>
    </row>
    <row r="3203" spans="1:15" x14ac:dyDescent="0.3">
      <c r="A3203" t="s">
        <v>7568</v>
      </c>
      <c r="B3203" t="s">
        <v>7569</v>
      </c>
      <c r="C3203" t="s">
        <v>76</v>
      </c>
      <c r="D3203" t="s">
        <v>29</v>
      </c>
      <c r="E3203" t="s">
        <v>45</v>
      </c>
      <c r="F3203" t="s">
        <v>46</v>
      </c>
      <c r="G3203">
        <v>1.25</v>
      </c>
      <c r="H3203" t="s">
        <v>32</v>
      </c>
      <c r="I3203" t="s">
        <v>33</v>
      </c>
      <c r="K3203">
        <v>589.91</v>
      </c>
      <c r="L3203" t="s">
        <v>7570</v>
      </c>
      <c r="M3203">
        <f>VLOOKUP(H3203,'Stage Order'!$A$2:$B$8,2,FALSE)</f>
        <v>7</v>
      </c>
      <c r="N3203" t="str">
        <f t="shared" si="100"/>
        <v>2. 1-24 hours</v>
      </c>
      <c r="O3203" t="str">
        <f t="shared" si="101"/>
        <v>2025-06</v>
      </c>
    </row>
    <row r="3204" spans="1:15" x14ac:dyDescent="0.3">
      <c r="A3204" t="s">
        <v>7571</v>
      </c>
      <c r="B3204" t="s">
        <v>7572</v>
      </c>
      <c r="C3204" t="s">
        <v>28</v>
      </c>
      <c r="D3204" t="s">
        <v>54</v>
      </c>
      <c r="E3204" t="s">
        <v>45</v>
      </c>
      <c r="F3204" t="s">
        <v>46</v>
      </c>
      <c r="G3204">
        <v>0.69</v>
      </c>
      <c r="H3204" t="s">
        <v>32</v>
      </c>
      <c r="I3204" t="s">
        <v>33</v>
      </c>
      <c r="K3204">
        <v>423.41</v>
      </c>
      <c r="L3204" t="s">
        <v>7573</v>
      </c>
      <c r="M3204">
        <f>VLOOKUP(H3204,'Stage Order'!$A$2:$B$8,2,FALSE)</f>
        <v>7</v>
      </c>
      <c r="N3204" t="str">
        <f t="shared" si="100"/>
        <v>1. Under 1 hour</v>
      </c>
      <c r="O3204" t="str">
        <f t="shared" si="101"/>
        <v>2025-07</v>
      </c>
    </row>
    <row r="3205" spans="1:15" x14ac:dyDescent="0.3">
      <c r="A3205" t="s">
        <v>7574</v>
      </c>
      <c r="B3205" t="s">
        <v>7575</v>
      </c>
      <c r="C3205" t="s">
        <v>53</v>
      </c>
      <c r="D3205" t="s">
        <v>97</v>
      </c>
      <c r="E3205" t="s">
        <v>45</v>
      </c>
      <c r="F3205" t="s">
        <v>94</v>
      </c>
      <c r="G3205">
        <v>1.96</v>
      </c>
      <c r="H3205" t="s">
        <v>32</v>
      </c>
      <c r="I3205" t="s">
        <v>33</v>
      </c>
      <c r="K3205">
        <v>1225.8699999999999</v>
      </c>
      <c r="L3205" t="s">
        <v>7576</v>
      </c>
      <c r="M3205">
        <f>VLOOKUP(H3205,'Stage Order'!$A$2:$B$8,2,FALSE)</f>
        <v>7</v>
      </c>
      <c r="N3205" t="str">
        <f t="shared" si="100"/>
        <v>2. 1-24 hours</v>
      </c>
      <c r="O3205" t="str">
        <f t="shared" si="101"/>
        <v>2025-08</v>
      </c>
    </row>
    <row r="3206" spans="1:15" x14ac:dyDescent="0.3">
      <c r="A3206" t="s">
        <v>7577</v>
      </c>
      <c r="B3206" t="s">
        <v>7578</v>
      </c>
      <c r="C3206" t="s">
        <v>37</v>
      </c>
      <c r="D3206" t="s">
        <v>38</v>
      </c>
      <c r="E3206" t="s">
        <v>45</v>
      </c>
      <c r="F3206" t="s">
        <v>94</v>
      </c>
      <c r="G3206">
        <v>8.83</v>
      </c>
      <c r="H3206" t="s">
        <v>41</v>
      </c>
      <c r="I3206" t="s">
        <v>42</v>
      </c>
      <c r="M3206">
        <f>VLOOKUP(H3206,'Stage Order'!$A$2:$B$8,2,FALSE)</f>
        <v>2</v>
      </c>
      <c r="N3206" t="str">
        <f t="shared" si="100"/>
        <v>2. 1-24 hours</v>
      </c>
      <c r="O3206" t="str">
        <f t="shared" si="101"/>
        <v>2025-03</v>
      </c>
    </row>
    <row r="3207" spans="1:15" x14ac:dyDescent="0.3">
      <c r="A3207" t="s">
        <v>7579</v>
      </c>
      <c r="B3207" t="s">
        <v>7580</v>
      </c>
      <c r="C3207" t="s">
        <v>28</v>
      </c>
      <c r="D3207" t="s">
        <v>54</v>
      </c>
      <c r="E3207" t="s">
        <v>59</v>
      </c>
      <c r="F3207" t="s">
        <v>60</v>
      </c>
      <c r="G3207">
        <v>2.99</v>
      </c>
      <c r="H3207" t="s">
        <v>41</v>
      </c>
      <c r="I3207" t="s">
        <v>42</v>
      </c>
      <c r="M3207">
        <f>VLOOKUP(H3207,'Stage Order'!$A$2:$B$8,2,FALSE)</f>
        <v>2</v>
      </c>
      <c r="N3207" t="str">
        <f t="shared" si="100"/>
        <v>2. 1-24 hours</v>
      </c>
      <c r="O3207" t="str">
        <f t="shared" si="101"/>
        <v>2025-07</v>
      </c>
    </row>
    <row r="3208" spans="1:15" x14ac:dyDescent="0.3">
      <c r="A3208" t="s">
        <v>7581</v>
      </c>
      <c r="B3208" t="s">
        <v>7582</v>
      </c>
      <c r="C3208" t="s">
        <v>81</v>
      </c>
      <c r="D3208" t="s">
        <v>77</v>
      </c>
      <c r="E3208" t="s">
        <v>90</v>
      </c>
      <c r="F3208" t="s">
        <v>112</v>
      </c>
      <c r="G3208">
        <v>1.42</v>
      </c>
      <c r="H3208" t="s">
        <v>41</v>
      </c>
      <c r="I3208" t="s">
        <v>42</v>
      </c>
      <c r="M3208">
        <f>VLOOKUP(H3208,'Stage Order'!$A$2:$B$8,2,FALSE)</f>
        <v>2</v>
      </c>
      <c r="N3208" t="str">
        <f t="shared" si="100"/>
        <v>2. 1-24 hours</v>
      </c>
      <c r="O3208" t="str">
        <f t="shared" si="101"/>
        <v>2025-10</v>
      </c>
    </row>
    <row r="3209" spans="1:15" x14ac:dyDescent="0.3">
      <c r="A3209" t="s">
        <v>7583</v>
      </c>
      <c r="B3209" t="s">
        <v>7584</v>
      </c>
      <c r="C3209" t="s">
        <v>37</v>
      </c>
      <c r="D3209" t="s">
        <v>29</v>
      </c>
      <c r="E3209" t="s">
        <v>59</v>
      </c>
      <c r="F3209" t="s">
        <v>137</v>
      </c>
      <c r="G3209">
        <v>4.6500000000000004</v>
      </c>
      <c r="H3209" t="s">
        <v>41</v>
      </c>
      <c r="I3209" t="s">
        <v>42</v>
      </c>
      <c r="M3209">
        <f>VLOOKUP(H3209,'Stage Order'!$A$2:$B$8,2,FALSE)</f>
        <v>2</v>
      </c>
      <c r="N3209" t="str">
        <f t="shared" si="100"/>
        <v>2. 1-24 hours</v>
      </c>
      <c r="O3209" t="str">
        <f t="shared" si="101"/>
        <v>2026-04</v>
      </c>
    </row>
    <row r="3210" spans="1:15" x14ac:dyDescent="0.3">
      <c r="A3210" t="s">
        <v>7585</v>
      </c>
      <c r="B3210" t="s">
        <v>7586</v>
      </c>
      <c r="C3210" t="s">
        <v>37</v>
      </c>
      <c r="D3210" t="s">
        <v>38</v>
      </c>
      <c r="E3210" t="s">
        <v>30</v>
      </c>
      <c r="F3210" t="s">
        <v>78</v>
      </c>
      <c r="G3210">
        <v>4.49</v>
      </c>
      <c r="H3210" t="s">
        <v>47</v>
      </c>
      <c r="I3210" t="s">
        <v>48</v>
      </c>
      <c r="J3210" t="s">
        <v>113</v>
      </c>
      <c r="K3210">
        <v>363.04</v>
      </c>
      <c r="L3210" t="s">
        <v>7587</v>
      </c>
      <c r="M3210">
        <f>VLOOKUP(H3210,'Stage Order'!$A$2:$B$8,2,FALSE)</f>
        <v>4</v>
      </c>
      <c r="N3210" t="str">
        <f t="shared" si="100"/>
        <v>2. 1-24 hours</v>
      </c>
      <c r="O3210" t="str">
        <f t="shared" si="101"/>
        <v>2025-10</v>
      </c>
    </row>
    <row r="3211" spans="1:15" x14ac:dyDescent="0.3">
      <c r="A3211" t="s">
        <v>7588</v>
      </c>
      <c r="B3211" t="s">
        <v>7589</v>
      </c>
      <c r="C3211" t="s">
        <v>37</v>
      </c>
      <c r="D3211" t="s">
        <v>54</v>
      </c>
      <c r="E3211" t="s">
        <v>30</v>
      </c>
      <c r="F3211" t="s">
        <v>31</v>
      </c>
      <c r="G3211">
        <v>2.31</v>
      </c>
      <c r="H3211" t="s">
        <v>41</v>
      </c>
      <c r="I3211" t="s">
        <v>42</v>
      </c>
      <c r="M3211">
        <f>VLOOKUP(H3211,'Stage Order'!$A$2:$B$8,2,FALSE)</f>
        <v>2</v>
      </c>
      <c r="N3211" t="str">
        <f t="shared" si="100"/>
        <v>2. 1-24 hours</v>
      </c>
      <c r="O3211" t="str">
        <f t="shared" si="101"/>
        <v>2025-02</v>
      </c>
    </row>
    <row r="3212" spans="1:15" x14ac:dyDescent="0.3">
      <c r="A3212" t="s">
        <v>7590</v>
      </c>
      <c r="B3212" t="s">
        <v>7591</v>
      </c>
      <c r="C3212" t="s">
        <v>37</v>
      </c>
      <c r="D3212" t="s">
        <v>38</v>
      </c>
      <c r="E3212" t="s">
        <v>39</v>
      </c>
      <c r="F3212" t="s">
        <v>106</v>
      </c>
      <c r="G3212">
        <v>8.89</v>
      </c>
      <c r="H3212" t="s">
        <v>47</v>
      </c>
      <c r="I3212" t="s">
        <v>48</v>
      </c>
      <c r="J3212" t="s">
        <v>49</v>
      </c>
      <c r="K3212">
        <v>315.14999999999998</v>
      </c>
      <c r="L3212" t="s">
        <v>7592</v>
      </c>
      <c r="M3212">
        <f>VLOOKUP(H3212,'Stage Order'!$A$2:$B$8,2,FALSE)</f>
        <v>4</v>
      </c>
      <c r="N3212" t="str">
        <f t="shared" si="100"/>
        <v>2. 1-24 hours</v>
      </c>
      <c r="O3212" t="str">
        <f t="shared" si="101"/>
        <v>2025-09</v>
      </c>
    </row>
    <row r="3213" spans="1:15" x14ac:dyDescent="0.3">
      <c r="A3213" t="s">
        <v>7593</v>
      </c>
      <c r="B3213" t="s">
        <v>7594</v>
      </c>
      <c r="C3213" t="s">
        <v>58</v>
      </c>
      <c r="D3213" t="s">
        <v>97</v>
      </c>
      <c r="E3213" t="s">
        <v>39</v>
      </c>
      <c r="F3213" t="s">
        <v>40</v>
      </c>
      <c r="G3213">
        <v>3.89</v>
      </c>
      <c r="H3213" t="s">
        <v>41</v>
      </c>
      <c r="I3213" t="s">
        <v>42</v>
      </c>
      <c r="M3213">
        <f>VLOOKUP(H3213,'Stage Order'!$A$2:$B$8,2,FALSE)</f>
        <v>2</v>
      </c>
      <c r="N3213" t="str">
        <f t="shared" si="100"/>
        <v>2. 1-24 hours</v>
      </c>
      <c r="O3213" t="str">
        <f t="shared" si="101"/>
        <v>2025-05</v>
      </c>
    </row>
    <row r="3214" spans="1:15" x14ac:dyDescent="0.3">
      <c r="A3214" t="s">
        <v>7595</v>
      </c>
      <c r="B3214" t="s">
        <v>7596</v>
      </c>
      <c r="C3214" t="s">
        <v>37</v>
      </c>
      <c r="D3214" t="s">
        <v>97</v>
      </c>
      <c r="E3214" t="s">
        <v>59</v>
      </c>
      <c r="F3214" t="s">
        <v>60</v>
      </c>
      <c r="G3214">
        <v>1.99</v>
      </c>
      <c r="H3214" t="s">
        <v>61</v>
      </c>
      <c r="I3214" t="s">
        <v>42</v>
      </c>
      <c r="M3214">
        <f>VLOOKUP(H3214,'Stage Order'!$A$2:$B$8,2,FALSE)</f>
        <v>1</v>
      </c>
      <c r="N3214" t="str">
        <f t="shared" si="100"/>
        <v>2. 1-24 hours</v>
      </c>
      <c r="O3214" t="str">
        <f t="shared" si="101"/>
        <v>2026-04</v>
      </c>
    </row>
    <row r="3215" spans="1:15" x14ac:dyDescent="0.3">
      <c r="A3215" t="s">
        <v>7597</v>
      </c>
      <c r="B3215" t="s">
        <v>7598</v>
      </c>
      <c r="C3215" t="s">
        <v>37</v>
      </c>
      <c r="D3215" t="s">
        <v>54</v>
      </c>
      <c r="E3215" t="s">
        <v>45</v>
      </c>
      <c r="F3215" t="s">
        <v>94</v>
      </c>
      <c r="G3215">
        <v>8.0500000000000007</v>
      </c>
      <c r="H3215" t="s">
        <v>47</v>
      </c>
      <c r="I3215" t="s">
        <v>48</v>
      </c>
      <c r="J3215" t="s">
        <v>139</v>
      </c>
      <c r="K3215">
        <v>563.69000000000005</v>
      </c>
      <c r="L3215" t="s">
        <v>7599</v>
      </c>
      <c r="M3215">
        <f>VLOOKUP(H3215,'Stage Order'!$A$2:$B$8,2,FALSE)</f>
        <v>4</v>
      </c>
      <c r="N3215" t="str">
        <f t="shared" si="100"/>
        <v>2. 1-24 hours</v>
      </c>
      <c r="O3215" t="str">
        <f t="shared" si="101"/>
        <v>2026-02</v>
      </c>
    </row>
    <row r="3216" spans="1:15" x14ac:dyDescent="0.3">
      <c r="A3216" t="s">
        <v>7600</v>
      </c>
      <c r="B3216" t="s">
        <v>7601</v>
      </c>
      <c r="C3216" t="s">
        <v>58</v>
      </c>
      <c r="D3216" t="s">
        <v>77</v>
      </c>
      <c r="E3216" t="s">
        <v>59</v>
      </c>
      <c r="F3216" t="s">
        <v>117</v>
      </c>
      <c r="G3216">
        <v>0.68</v>
      </c>
      <c r="H3216" t="s">
        <v>32</v>
      </c>
      <c r="I3216" t="s">
        <v>33</v>
      </c>
      <c r="K3216">
        <v>876.52</v>
      </c>
      <c r="L3216" t="s">
        <v>7602</v>
      </c>
      <c r="M3216">
        <f>VLOOKUP(H3216,'Stage Order'!$A$2:$B$8,2,FALSE)</f>
        <v>7</v>
      </c>
      <c r="N3216" t="str">
        <f t="shared" si="100"/>
        <v>1. Under 1 hour</v>
      </c>
      <c r="O3216" t="str">
        <f t="shared" si="101"/>
        <v>2026-03</v>
      </c>
    </row>
    <row r="3217" spans="1:15" x14ac:dyDescent="0.3">
      <c r="A3217" t="s">
        <v>7603</v>
      </c>
      <c r="B3217" t="s">
        <v>7604</v>
      </c>
      <c r="C3217" t="s">
        <v>76</v>
      </c>
      <c r="D3217" t="s">
        <v>77</v>
      </c>
      <c r="E3217" t="s">
        <v>39</v>
      </c>
      <c r="F3217" t="s">
        <v>40</v>
      </c>
      <c r="G3217">
        <v>2.2400000000000002</v>
      </c>
      <c r="H3217" t="s">
        <v>32</v>
      </c>
      <c r="I3217" t="s">
        <v>33</v>
      </c>
      <c r="K3217">
        <v>868.8</v>
      </c>
      <c r="L3217" t="s">
        <v>7605</v>
      </c>
      <c r="M3217">
        <f>VLOOKUP(H3217,'Stage Order'!$A$2:$B$8,2,FALSE)</f>
        <v>7</v>
      </c>
      <c r="N3217" t="str">
        <f t="shared" si="100"/>
        <v>2. 1-24 hours</v>
      </c>
      <c r="O3217" t="str">
        <f t="shared" si="101"/>
        <v>2026-02</v>
      </c>
    </row>
    <row r="3218" spans="1:15" x14ac:dyDescent="0.3">
      <c r="A3218" t="s">
        <v>7606</v>
      </c>
      <c r="B3218" t="s">
        <v>7607</v>
      </c>
      <c r="C3218" t="s">
        <v>58</v>
      </c>
      <c r="D3218" t="s">
        <v>54</v>
      </c>
      <c r="E3218" t="s">
        <v>59</v>
      </c>
      <c r="F3218" t="s">
        <v>137</v>
      </c>
      <c r="G3218">
        <v>2.79</v>
      </c>
      <c r="H3218" t="s">
        <v>128</v>
      </c>
      <c r="I3218" t="s">
        <v>42</v>
      </c>
      <c r="M3218">
        <f>VLOOKUP(H3218,'Stage Order'!$A$2:$B$8,2,FALSE)</f>
        <v>3</v>
      </c>
      <c r="N3218" t="str">
        <f t="shared" si="100"/>
        <v>2. 1-24 hours</v>
      </c>
      <c r="O3218" t="str">
        <f t="shared" si="101"/>
        <v>2026-02</v>
      </c>
    </row>
    <row r="3219" spans="1:15" x14ac:dyDescent="0.3">
      <c r="A3219" t="s">
        <v>7608</v>
      </c>
      <c r="B3219" t="s">
        <v>7609</v>
      </c>
      <c r="C3219" t="s">
        <v>37</v>
      </c>
      <c r="D3219" t="s">
        <v>54</v>
      </c>
      <c r="E3219" t="s">
        <v>39</v>
      </c>
      <c r="F3219" t="s">
        <v>106</v>
      </c>
      <c r="G3219">
        <v>8.39</v>
      </c>
      <c r="H3219" t="s">
        <v>41</v>
      </c>
      <c r="I3219" t="s">
        <v>42</v>
      </c>
      <c r="M3219">
        <f>VLOOKUP(H3219,'Stage Order'!$A$2:$B$8,2,FALSE)</f>
        <v>2</v>
      </c>
      <c r="N3219" t="str">
        <f t="shared" si="100"/>
        <v>2. 1-24 hours</v>
      </c>
      <c r="O3219" t="str">
        <f t="shared" si="101"/>
        <v>2026-03</v>
      </c>
    </row>
    <row r="3220" spans="1:15" x14ac:dyDescent="0.3">
      <c r="A3220" t="s">
        <v>7610</v>
      </c>
      <c r="B3220" t="s">
        <v>3544</v>
      </c>
      <c r="C3220" t="s">
        <v>58</v>
      </c>
      <c r="D3220" t="s">
        <v>97</v>
      </c>
      <c r="E3220" t="s">
        <v>45</v>
      </c>
      <c r="F3220" t="s">
        <v>46</v>
      </c>
      <c r="G3220">
        <v>8.6300000000000008</v>
      </c>
      <c r="H3220" t="s">
        <v>61</v>
      </c>
      <c r="I3220" t="s">
        <v>42</v>
      </c>
      <c r="M3220">
        <f>VLOOKUP(H3220,'Stage Order'!$A$2:$B$8,2,FALSE)</f>
        <v>1</v>
      </c>
      <c r="N3220" t="str">
        <f t="shared" si="100"/>
        <v>2. 1-24 hours</v>
      </c>
      <c r="O3220" t="str">
        <f t="shared" si="101"/>
        <v>2026-04</v>
      </c>
    </row>
    <row r="3221" spans="1:15" x14ac:dyDescent="0.3">
      <c r="A3221" t="s">
        <v>7611</v>
      </c>
      <c r="B3221" t="s">
        <v>7612</v>
      </c>
      <c r="C3221" t="s">
        <v>58</v>
      </c>
      <c r="D3221" t="s">
        <v>77</v>
      </c>
      <c r="E3221" t="s">
        <v>30</v>
      </c>
      <c r="F3221" t="s">
        <v>78</v>
      </c>
      <c r="G3221">
        <v>6.77</v>
      </c>
      <c r="H3221" t="s">
        <v>47</v>
      </c>
      <c r="I3221" t="s">
        <v>48</v>
      </c>
      <c r="J3221" t="s">
        <v>113</v>
      </c>
      <c r="K3221">
        <v>862.24</v>
      </c>
      <c r="L3221" t="s">
        <v>7613</v>
      </c>
      <c r="M3221">
        <f>VLOOKUP(H3221,'Stage Order'!$A$2:$B$8,2,FALSE)</f>
        <v>4</v>
      </c>
      <c r="N3221" t="str">
        <f t="shared" si="100"/>
        <v>2. 1-24 hours</v>
      </c>
      <c r="O3221" t="str">
        <f t="shared" si="101"/>
        <v>2025-09</v>
      </c>
    </row>
    <row r="3222" spans="1:15" x14ac:dyDescent="0.3">
      <c r="A3222" t="s">
        <v>7614</v>
      </c>
      <c r="B3222" t="s">
        <v>7615</v>
      </c>
      <c r="C3222" t="s">
        <v>125</v>
      </c>
      <c r="D3222" t="s">
        <v>29</v>
      </c>
      <c r="E3222" t="s">
        <v>39</v>
      </c>
      <c r="F3222" t="s">
        <v>40</v>
      </c>
      <c r="G3222">
        <v>1.05</v>
      </c>
      <c r="H3222" t="s">
        <v>41</v>
      </c>
      <c r="I3222" t="s">
        <v>42</v>
      </c>
      <c r="M3222">
        <f>VLOOKUP(H3222,'Stage Order'!$A$2:$B$8,2,FALSE)</f>
        <v>2</v>
      </c>
      <c r="N3222" t="str">
        <f t="shared" si="100"/>
        <v>2. 1-24 hours</v>
      </c>
      <c r="O3222" t="str">
        <f t="shared" si="101"/>
        <v>2025-10</v>
      </c>
    </row>
    <row r="3223" spans="1:15" x14ac:dyDescent="0.3">
      <c r="A3223" t="s">
        <v>7616</v>
      </c>
      <c r="B3223" t="s">
        <v>7617</v>
      </c>
      <c r="C3223" t="s">
        <v>28</v>
      </c>
      <c r="D3223" t="s">
        <v>97</v>
      </c>
      <c r="E3223" t="s">
        <v>45</v>
      </c>
      <c r="F3223" t="s">
        <v>94</v>
      </c>
      <c r="G3223">
        <v>1.72</v>
      </c>
      <c r="H3223" t="s">
        <v>32</v>
      </c>
      <c r="I3223" t="s">
        <v>33</v>
      </c>
      <c r="K3223">
        <v>1462.15</v>
      </c>
      <c r="L3223" t="s">
        <v>7618</v>
      </c>
      <c r="M3223">
        <f>VLOOKUP(H3223,'Stage Order'!$A$2:$B$8,2,FALSE)</f>
        <v>7</v>
      </c>
      <c r="N3223" t="str">
        <f t="shared" si="100"/>
        <v>2. 1-24 hours</v>
      </c>
      <c r="O3223" t="str">
        <f t="shared" si="101"/>
        <v>2026-06</v>
      </c>
    </row>
    <row r="3224" spans="1:15" x14ac:dyDescent="0.3">
      <c r="A3224" t="s">
        <v>7619</v>
      </c>
      <c r="B3224" t="s">
        <v>7620</v>
      </c>
      <c r="C3224" t="s">
        <v>76</v>
      </c>
      <c r="D3224" t="s">
        <v>54</v>
      </c>
      <c r="E3224" t="s">
        <v>90</v>
      </c>
      <c r="F3224" t="s">
        <v>112</v>
      </c>
      <c r="G3224">
        <v>12.68</v>
      </c>
      <c r="H3224" t="s">
        <v>41</v>
      </c>
      <c r="I3224" t="s">
        <v>42</v>
      </c>
      <c r="M3224">
        <f>VLOOKUP(H3224,'Stage Order'!$A$2:$B$8,2,FALSE)</f>
        <v>2</v>
      </c>
      <c r="N3224" t="str">
        <f t="shared" si="100"/>
        <v>2. 1-24 hours</v>
      </c>
      <c r="O3224" t="str">
        <f t="shared" si="101"/>
        <v>2026-06</v>
      </c>
    </row>
    <row r="3225" spans="1:15" x14ac:dyDescent="0.3">
      <c r="A3225" t="s">
        <v>7621</v>
      </c>
      <c r="B3225" t="s">
        <v>7622</v>
      </c>
      <c r="C3225" t="s">
        <v>125</v>
      </c>
      <c r="D3225" t="s">
        <v>77</v>
      </c>
      <c r="E3225" t="s">
        <v>59</v>
      </c>
      <c r="F3225" t="s">
        <v>117</v>
      </c>
      <c r="G3225">
        <v>3.99</v>
      </c>
      <c r="H3225" t="s">
        <v>41</v>
      </c>
      <c r="I3225" t="s">
        <v>42</v>
      </c>
      <c r="M3225">
        <f>VLOOKUP(H3225,'Stage Order'!$A$2:$B$8,2,FALSE)</f>
        <v>2</v>
      </c>
      <c r="N3225" t="str">
        <f t="shared" si="100"/>
        <v>2. 1-24 hours</v>
      </c>
      <c r="O3225" t="str">
        <f t="shared" si="101"/>
        <v>2026-01</v>
      </c>
    </row>
    <row r="3226" spans="1:15" x14ac:dyDescent="0.3">
      <c r="A3226" t="s">
        <v>7623</v>
      </c>
      <c r="B3226" t="s">
        <v>7624</v>
      </c>
      <c r="C3226" t="s">
        <v>28</v>
      </c>
      <c r="D3226" t="s">
        <v>54</v>
      </c>
      <c r="E3226" t="s">
        <v>39</v>
      </c>
      <c r="F3226" t="s">
        <v>66</v>
      </c>
      <c r="G3226">
        <v>5.78</v>
      </c>
      <c r="H3226" t="s">
        <v>128</v>
      </c>
      <c r="I3226" t="s">
        <v>42</v>
      </c>
      <c r="M3226">
        <f>VLOOKUP(H3226,'Stage Order'!$A$2:$B$8,2,FALSE)</f>
        <v>3</v>
      </c>
      <c r="N3226" t="str">
        <f t="shared" si="100"/>
        <v>2. 1-24 hours</v>
      </c>
      <c r="O3226" t="str">
        <f t="shared" si="101"/>
        <v>2025-09</v>
      </c>
    </row>
    <row r="3227" spans="1:15" x14ac:dyDescent="0.3">
      <c r="A3227" t="s">
        <v>7625</v>
      </c>
      <c r="B3227" t="s">
        <v>7626</v>
      </c>
      <c r="C3227" t="s">
        <v>37</v>
      </c>
      <c r="D3227" t="s">
        <v>54</v>
      </c>
      <c r="E3227" t="s">
        <v>39</v>
      </c>
      <c r="F3227" t="s">
        <v>66</v>
      </c>
      <c r="G3227">
        <v>3.45</v>
      </c>
      <c r="H3227" t="s">
        <v>41</v>
      </c>
      <c r="I3227" t="s">
        <v>42</v>
      </c>
      <c r="M3227">
        <f>VLOOKUP(H3227,'Stage Order'!$A$2:$B$8,2,FALSE)</f>
        <v>2</v>
      </c>
      <c r="N3227" t="str">
        <f t="shared" si="100"/>
        <v>2. 1-24 hours</v>
      </c>
      <c r="O3227" t="str">
        <f t="shared" si="101"/>
        <v>2026-01</v>
      </c>
    </row>
    <row r="3228" spans="1:15" x14ac:dyDescent="0.3">
      <c r="A3228" t="s">
        <v>7627</v>
      </c>
      <c r="B3228" t="s">
        <v>7628</v>
      </c>
      <c r="C3228" t="s">
        <v>58</v>
      </c>
      <c r="D3228" t="s">
        <v>29</v>
      </c>
      <c r="E3228" t="s">
        <v>30</v>
      </c>
      <c r="F3228" t="s">
        <v>31</v>
      </c>
      <c r="G3228">
        <v>2.27</v>
      </c>
      <c r="H3228" t="s">
        <v>41</v>
      </c>
      <c r="I3228" t="s">
        <v>42</v>
      </c>
      <c r="M3228">
        <f>VLOOKUP(H3228,'Stage Order'!$A$2:$B$8,2,FALSE)</f>
        <v>2</v>
      </c>
      <c r="N3228" t="str">
        <f t="shared" si="100"/>
        <v>2. 1-24 hours</v>
      </c>
      <c r="O3228" t="str">
        <f t="shared" si="101"/>
        <v>2026-03</v>
      </c>
    </row>
    <row r="3229" spans="1:15" x14ac:dyDescent="0.3">
      <c r="A3229" t="s">
        <v>7629</v>
      </c>
      <c r="B3229" t="s">
        <v>7630</v>
      </c>
      <c r="C3229" t="s">
        <v>76</v>
      </c>
      <c r="D3229" t="s">
        <v>54</v>
      </c>
      <c r="E3229" t="s">
        <v>90</v>
      </c>
      <c r="F3229" t="s">
        <v>145</v>
      </c>
      <c r="G3229">
        <v>2.5299999999999998</v>
      </c>
      <c r="H3229" t="s">
        <v>41</v>
      </c>
      <c r="I3229" t="s">
        <v>42</v>
      </c>
      <c r="M3229">
        <f>VLOOKUP(H3229,'Stage Order'!$A$2:$B$8,2,FALSE)</f>
        <v>2</v>
      </c>
      <c r="N3229" t="str">
        <f t="shared" si="100"/>
        <v>2. 1-24 hours</v>
      </c>
      <c r="O3229" t="str">
        <f t="shared" si="101"/>
        <v>2025-05</v>
      </c>
    </row>
    <row r="3230" spans="1:15" x14ac:dyDescent="0.3">
      <c r="A3230" t="s">
        <v>7631</v>
      </c>
      <c r="B3230" t="s">
        <v>7632</v>
      </c>
      <c r="C3230" t="s">
        <v>125</v>
      </c>
      <c r="D3230" t="s">
        <v>38</v>
      </c>
      <c r="E3230" t="s">
        <v>45</v>
      </c>
      <c r="F3230" t="s">
        <v>46</v>
      </c>
      <c r="G3230">
        <v>1.1499999999999999</v>
      </c>
      <c r="H3230" t="s">
        <v>138</v>
      </c>
      <c r="I3230" t="s">
        <v>48</v>
      </c>
      <c r="J3230" t="s">
        <v>139</v>
      </c>
      <c r="K3230">
        <v>382.28</v>
      </c>
      <c r="L3230" t="s">
        <v>7633</v>
      </c>
      <c r="M3230">
        <f>VLOOKUP(H3230,'Stage Order'!$A$2:$B$8,2,FALSE)</f>
        <v>6</v>
      </c>
      <c r="N3230" t="str">
        <f t="shared" si="100"/>
        <v>2. 1-24 hours</v>
      </c>
      <c r="O3230" t="str">
        <f t="shared" si="101"/>
        <v>2025-11</v>
      </c>
    </row>
    <row r="3231" spans="1:15" x14ac:dyDescent="0.3">
      <c r="A3231" t="s">
        <v>7634</v>
      </c>
      <c r="B3231" t="s">
        <v>7635</v>
      </c>
      <c r="C3231" t="s">
        <v>37</v>
      </c>
      <c r="D3231" t="s">
        <v>77</v>
      </c>
      <c r="E3231" t="s">
        <v>30</v>
      </c>
      <c r="F3231" t="s">
        <v>78</v>
      </c>
      <c r="G3231">
        <v>3.55</v>
      </c>
      <c r="H3231" t="s">
        <v>138</v>
      </c>
      <c r="I3231" t="s">
        <v>48</v>
      </c>
      <c r="J3231" t="s">
        <v>49</v>
      </c>
      <c r="K3231">
        <v>1085.33</v>
      </c>
      <c r="L3231" t="s">
        <v>7636</v>
      </c>
      <c r="M3231">
        <f>VLOOKUP(H3231,'Stage Order'!$A$2:$B$8,2,FALSE)</f>
        <v>6</v>
      </c>
      <c r="N3231" t="str">
        <f t="shared" si="100"/>
        <v>2. 1-24 hours</v>
      </c>
      <c r="O3231" t="str">
        <f t="shared" si="101"/>
        <v>2025-04</v>
      </c>
    </row>
    <row r="3232" spans="1:15" x14ac:dyDescent="0.3">
      <c r="A3232" t="s">
        <v>7637</v>
      </c>
      <c r="B3232" t="s">
        <v>7638</v>
      </c>
      <c r="C3232" t="s">
        <v>37</v>
      </c>
      <c r="D3232" t="s">
        <v>29</v>
      </c>
      <c r="E3232" t="s">
        <v>59</v>
      </c>
      <c r="F3232" t="s">
        <v>137</v>
      </c>
      <c r="G3232">
        <v>2.1800000000000002</v>
      </c>
      <c r="H3232" t="s">
        <v>41</v>
      </c>
      <c r="I3232" t="s">
        <v>42</v>
      </c>
      <c r="M3232">
        <f>VLOOKUP(H3232,'Stage Order'!$A$2:$B$8,2,FALSE)</f>
        <v>2</v>
      </c>
      <c r="N3232" t="str">
        <f t="shared" si="100"/>
        <v>2. 1-24 hours</v>
      </c>
      <c r="O3232" t="str">
        <f t="shared" si="101"/>
        <v>2026-06</v>
      </c>
    </row>
    <row r="3233" spans="1:15" x14ac:dyDescent="0.3">
      <c r="A3233" t="s">
        <v>7639</v>
      </c>
      <c r="B3233" t="s">
        <v>7640</v>
      </c>
      <c r="C3233" t="s">
        <v>58</v>
      </c>
      <c r="D3233" t="s">
        <v>54</v>
      </c>
      <c r="E3233" t="s">
        <v>30</v>
      </c>
      <c r="F3233" t="s">
        <v>78</v>
      </c>
      <c r="G3233">
        <v>6.89</v>
      </c>
      <c r="H3233" t="s">
        <v>41</v>
      </c>
      <c r="I3233" t="s">
        <v>42</v>
      </c>
      <c r="M3233">
        <f>VLOOKUP(H3233,'Stage Order'!$A$2:$B$8,2,FALSE)</f>
        <v>2</v>
      </c>
      <c r="N3233" t="str">
        <f t="shared" si="100"/>
        <v>2. 1-24 hours</v>
      </c>
      <c r="O3233" t="str">
        <f t="shared" si="101"/>
        <v>2026-01</v>
      </c>
    </row>
    <row r="3234" spans="1:15" x14ac:dyDescent="0.3">
      <c r="A3234" t="s">
        <v>7641</v>
      </c>
      <c r="B3234" t="s">
        <v>7642</v>
      </c>
      <c r="C3234" t="s">
        <v>37</v>
      </c>
      <c r="D3234" t="s">
        <v>54</v>
      </c>
      <c r="E3234" t="s">
        <v>39</v>
      </c>
      <c r="F3234" t="s">
        <v>106</v>
      </c>
      <c r="G3234">
        <v>0.32</v>
      </c>
      <c r="H3234" t="s">
        <v>41</v>
      </c>
      <c r="I3234" t="s">
        <v>42</v>
      </c>
      <c r="M3234">
        <f>VLOOKUP(H3234,'Stage Order'!$A$2:$B$8,2,FALSE)</f>
        <v>2</v>
      </c>
      <c r="N3234" t="str">
        <f t="shared" si="100"/>
        <v>1. Under 1 hour</v>
      </c>
      <c r="O3234" t="str">
        <f t="shared" si="101"/>
        <v>2025-05</v>
      </c>
    </row>
    <row r="3235" spans="1:15" x14ac:dyDescent="0.3">
      <c r="A3235" t="s">
        <v>7643</v>
      </c>
      <c r="B3235" t="s">
        <v>7644</v>
      </c>
      <c r="C3235" t="s">
        <v>58</v>
      </c>
      <c r="D3235" t="s">
        <v>29</v>
      </c>
      <c r="E3235" t="s">
        <v>45</v>
      </c>
      <c r="F3235" t="s">
        <v>55</v>
      </c>
      <c r="G3235">
        <v>1.85</v>
      </c>
      <c r="H3235" t="s">
        <v>41</v>
      </c>
      <c r="I3235" t="s">
        <v>42</v>
      </c>
      <c r="M3235">
        <f>VLOOKUP(H3235,'Stage Order'!$A$2:$B$8,2,FALSE)</f>
        <v>2</v>
      </c>
      <c r="N3235" t="str">
        <f t="shared" si="100"/>
        <v>2. 1-24 hours</v>
      </c>
      <c r="O3235" t="str">
        <f t="shared" si="101"/>
        <v>2025-02</v>
      </c>
    </row>
    <row r="3236" spans="1:15" x14ac:dyDescent="0.3">
      <c r="A3236" t="s">
        <v>7645</v>
      </c>
      <c r="B3236" t="s">
        <v>7646</v>
      </c>
      <c r="C3236" t="s">
        <v>76</v>
      </c>
      <c r="D3236" t="s">
        <v>97</v>
      </c>
      <c r="E3236" t="s">
        <v>39</v>
      </c>
      <c r="F3236" t="s">
        <v>66</v>
      </c>
      <c r="G3236">
        <v>1.1599999999999999</v>
      </c>
      <c r="H3236" t="s">
        <v>41</v>
      </c>
      <c r="I3236" t="s">
        <v>42</v>
      </c>
      <c r="M3236">
        <f>VLOOKUP(H3236,'Stage Order'!$A$2:$B$8,2,FALSE)</f>
        <v>2</v>
      </c>
      <c r="N3236" t="str">
        <f t="shared" si="100"/>
        <v>2. 1-24 hours</v>
      </c>
      <c r="O3236" t="str">
        <f t="shared" si="101"/>
        <v>2025-06</v>
      </c>
    </row>
    <row r="3237" spans="1:15" x14ac:dyDescent="0.3">
      <c r="A3237" t="s">
        <v>7647</v>
      </c>
      <c r="B3237" t="s">
        <v>7648</v>
      </c>
      <c r="C3237" t="s">
        <v>37</v>
      </c>
      <c r="D3237" t="s">
        <v>77</v>
      </c>
      <c r="E3237" t="s">
        <v>39</v>
      </c>
      <c r="F3237" t="s">
        <v>106</v>
      </c>
      <c r="G3237">
        <v>2.38</v>
      </c>
      <c r="H3237" t="s">
        <v>41</v>
      </c>
      <c r="I3237" t="s">
        <v>42</v>
      </c>
      <c r="M3237">
        <f>VLOOKUP(H3237,'Stage Order'!$A$2:$B$8,2,FALSE)</f>
        <v>2</v>
      </c>
      <c r="N3237" t="str">
        <f t="shared" si="100"/>
        <v>2. 1-24 hours</v>
      </c>
      <c r="O3237" t="str">
        <f t="shared" si="101"/>
        <v>2025-06</v>
      </c>
    </row>
    <row r="3238" spans="1:15" x14ac:dyDescent="0.3">
      <c r="A3238" t="s">
        <v>7649</v>
      </c>
      <c r="B3238" t="s">
        <v>7650</v>
      </c>
      <c r="C3238" t="s">
        <v>81</v>
      </c>
      <c r="D3238" t="s">
        <v>29</v>
      </c>
      <c r="E3238" t="s">
        <v>90</v>
      </c>
      <c r="F3238" t="s">
        <v>145</v>
      </c>
      <c r="G3238">
        <v>2.4300000000000002</v>
      </c>
      <c r="H3238" t="s">
        <v>61</v>
      </c>
      <c r="I3238" t="s">
        <v>42</v>
      </c>
      <c r="M3238">
        <f>VLOOKUP(H3238,'Stage Order'!$A$2:$B$8,2,FALSE)</f>
        <v>1</v>
      </c>
      <c r="N3238" t="str">
        <f t="shared" si="100"/>
        <v>2. 1-24 hours</v>
      </c>
      <c r="O3238" t="str">
        <f t="shared" si="101"/>
        <v>2025-03</v>
      </c>
    </row>
    <row r="3239" spans="1:15" x14ac:dyDescent="0.3">
      <c r="A3239" t="s">
        <v>7651</v>
      </c>
      <c r="B3239" t="s">
        <v>7652</v>
      </c>
      <c r="C3239" t="s">
        <v>53</v>
      </c>
      <c r="D3239" t="s">
        <v>97</v>
      </c>
      <c r="E3239" t="s">
        <v>90</v>
      </c>
      <c r="F3239" t="s">
        <v>91</v>
      </c>
      <c r="G3239">
        <v>1.1100000000000001</v>
      </c>
      <c r="H3239" t="s">
        <v>138</v>
      </c>
      <c r="I3239" t="s">
        <v>48</v>
      </c>
      <c r="J3239" t="s">
        <v>139</v>
      </c>
      <c r="K3239">
        <v>1742.06</v>
      </c>
      <c r="L3239" t="s">
        <v>7653</v>
      </c>
      <c r="M3239">
        <f>VLOOKUP(H3239,'Stage Order'!$A$2:$B$8,2,FALSE)</f>
        <v>6</v>
      </c>
      <c r="N3239" t="str">
        <f t="shared" si="100"/>
        <v>2. 1-24 hours</v>
      </c>
      <c r="O3239" t="str">
        <f t="shared" si="101"/>
        <v>2025-03</v>
      </c>
    </row>
    <row r="3240" spans="1:15" x14ac:dyDescent="0.3">
      <c r="A3240" t="s">
        <v>7654</v>
      </c>
      <c r="B3240" t="s">
        <v>7655</v>
      </c>
      <c r="C3240" t="s">
        <v>37</v>
      </c>
      <c r="D3240" t="s">
        <v>54</v>
      </c>
      <c r="E3240" t="s">
        <v>39</v>
      </c>
      <c r="F3240" t="s">
        <v>66</v>
      </c>
      <c r="G3240">
        <v>5.45</v>
      </c>
      <c r="H3240" t="s">
        <v>61</v>
      </c>
      <c r="I3240" t="s">
        <v>42</v>
      </c>
      <c r="M3240">
        <f>VLOOKUP(H3240,'Stage Order'!$A$2:$B$8,2,FALSE)</f>
        <v>1</v>
      </c>
      <c r="N3240" t="str">
        <f t="shared" si="100"/>
        <v>2. 1-24 hours</v>
      </c>
      <c r="O3240" t="str">
        <f t="shared" si="101"/>
        <v>2025-06</v>
      </c>
    </row>
    <row r="3241" spans="1:15" x14ac:dyDescent="0.3">
      <c r="A3241" t="s">
        <v>7656</v>
      </c>
      <c r="B3241" t="s">
        <v>7657</v>
      </c>
      <c r="C3241" t="s">
        <v>81</v>
      </c>
      <c r="D3241" t="s">
        <v>29</v>
      </c>
      <c r="E3241" t="s">
        <v>59</v>
      </c>
      <c r="F3241" t="s">
        <v>117</v>
      </c>
      <c r="G3241">
        <v>5.37</v>
      </c>
      <c r="H3241" t="s">
        <v>61</v>
      </c>
      <c r="I3241" t="s">
        <v>42</v>
      </c>
      <c r="M3241">
        <f>VLOOKUP(H3241,'Stage Order'!$A$2:$B$8,2,FALSE)</f>
        <v>1</v>
      </c>
      <c r="N3241" t="str">
        <f t="shared" si="100"/>
        <v>2. 1-24 hours</v>
      </c>
      <c r="O3241" t="str">
        <f t="shared" si="101"/>
        <v>2025-04</v>
      </c>
    </row>
    <row r="3242" spans="1:15" x14ac:dyDescent="0.3">
      <c r="A3242" t="s">
        <v>7658</v>
      </c>
      <c r="B3242" t="s">
        <v>7659</v>
      </c>
      <c r="C3242" t="s">
        <v>58</v>
      </c>
      <c r="D3242" t="s">
        <v>38</v>
      </c>
      <c r="E3242" t="s">
        <v>39</v>
      </c>
      <c r="F3242" t="s">
        <v>106</v>
      </c>
      <c r="G3242">
        <v>5.65</v>
      </c>
      <c r="H3242" t="s">
        <v>61</v>
      </c>
      <c r="I3242" t="s">
        <v>42</v>
      </c>
      <c r="M3242">
        <f>VLOOKUP(H3242,'Stage Order'!$A$2:$B$8,2,FALSE)</f>
        <v>1</v>
      </c>
      <c r="N3242" t="str">
        <f t="shared" si="100"/>
        <v>2. 1-24 hours</v>
      </c>
      <c r="O3242" t="str">
        <f t="shared" si="101"/>
        <v>2026-01</v>
      </c>
    </row>
    <row r="3243" spans="1:15" x14ac:dyDescent="0.3">
      <c r="A3243" t="s">
        <v>7660</v>
      </c>
      <c r="B3243" t="s">
        <v>7661</v>
      </c>
      <c r="C3243" t="s">
        <v>37</v>
      </c>
      <c r="D3243" t="s">
        <v>38</v>
      </c>
      <c r="E3243" t="s">
        <v>59</v>
      </c>
      <c r="F3243" t="s">
        <v>60</v>
      </c>
      <c r="G3243">
        <v>3.86</v>
      </c>
      <c r="H3243" t="s">
        <v>41</v>
      </c>
      <c r="I3243" t="s">
        <v>42</v>
      </c>
      <c r="M3243">
        <f>VLOOKUP(H3243,'Stage Order'!$A$2:$B$8,2,FALSE)</f>
        <v>2</v>
      </c>
      <c r="N3243" t="str">
        <f t="shared" si="100"/>
        <v>2. 1-24 hours</v>
      </c>
      <c r="O3243" t="str">
        <f t="shared" si="101"/>
        <v>2025-05</v>
      </c>
    </row>
    <row r="3244" spans="1:15" x14ac:dyDescent="0.3">
      <c r="A3244" t="s">
        <v>7662</v>
      </c>
      <c r="B3244" t="s">
        <v>7663</v>
      </c>
      <c r="C3244" t="s">
        <v>37</v>
      </c>
      <c r="D3244" t="s">
        <v>38</v>
      </c>
      <c r="E3244" t="s">
        <v>45</v>
      </c>
      <c r="F3244" t="s">
        <v>46</v>
      </c>
      <c r="G3244">
        <v>2.67</v>
      </c>
      <c r="H3244" t="s">
        <v>32</v>
      </c>
      <c r="I3244" t="s">
        <v>33</v>
      </c>
      <c r="K3244">
        <v>389.75</v>
      </c>
      <c r="L3244" t="s">
        <v>7664</v>
      </c>
      <c r="M3244">
        <f>VLOOKUP(H3244,'Stage Order'!$A$2:$B$8,2,FALSE)</f>
        <v>7</v>
      </c>
      <c r="N3244" t="str">
        <f t="shared" si="100"/>
        <v>2. 1-24 hours</v>
      </c>
      <c r="O3244" t="str">
        <f t="shared" si="101"/>
        <v>2026-06</v>
      </c>
    </row>
    <row r="3245" spans="1:15" x14ac:dyDescent="0.3">
      <c r="A3245" t="s">
        <v>7665</v>
      </c>
      <c r="B3245" t="s">
        <v>7666</v>
      </c>
      <c r="C3245" t="s">
        <v>58</v>
      </c>
      <c r="D3245" t="s">
        <v>38</v>
      </c>
      <c r="E3245" t="s">
        <v>59</v>
      </c>
      <c r="F3245" t="s">
        <v>60</v>
      </c>
      <c r="G3245">
        <v>6.39</v>
      </c>
      <c r="H3245" t="s">
        <v>47</v>
      </c>
      <c r="I3245" t="s">
        <v>48</v>
      </c>
      <c r="J3245" t="s">
        <v>139</v>
      </c>
      <c r="K3245">
        <v>355.95</v>
      </c>
      <c r="L3245" t="s">
        <v>7667</v>
      </c>
      <c r="M3245">
        <f>VLOOKUP(H3245,'Stage Order'!$A$2:$B$8,2,FALSE)</f>
        <v>4</v>
      </c>
      <c r="N3245" t="str">
        <f t="shared" si="100"/>
        <v>2. 1-24 hours</v>
      </c>
      <c r="O3245" t="str">
        <f t="shared" si="101"/>
        <v>2026-05</v>
      </c>
    </row>
    <row r="3246" spans="1:15" x14ac:dyDescent="0.3">
      <c r="A3246" t="s">
        <v>7668</v>
      </c>
      <c r="B3246" t="s">
        <v>7669</v>
      </c>
      <c r="C3246" t="s">
        <v>76</v>
      </c>
      <c r="D3246" t="s">
        <v>77</v>
      </c>
      <c r="E3246" t="s">
        <v>59</v>
      </c>
      <c r="F3246" t="s">
        <v>117</v>
      </c>
      <c r="G3246">
        <v>2.0699999999999998</v>
      </c>
      <c r="H3246" t="s">
        <v>61</v>
      </c>
      <c r="I3246" t="s">
        <v>42</v>
      </c>
      <c r="M3246">
        <f>VLOOKUP(H3246,'Stage Order'!$A$2:$B$8,2,FALSE)</f>
        <v>1</v>
      </c>
      <c r="N3246" t="str">
        <f t="shared" si="100"/>
        <v>2. 1-24 hours</v>
      </c>
      <c r="O3246" t="str">
        <f t="shared" si="101"/>
        <v>2025-10</v>
      </c>
    </row>
    <row r="3247" spans="1:15" x14ac:dyDescent="0.3">
      <c r="A3247" t="s">
        <v>7670</v>
      </c>
      <c r="B3247" t="s">
        <v>7671</v>
      </c>
      <c r="C3247" t="s">
        <v>76</v>
      </c>
      <c r="D3247" t="s">
        <v>54</v>
      </c>
      <c r="E3247" t="s">
        <v>45</v>
      </c>
      <c r="F3247" t="s">
        <v>55</v>
      </c>
      <c r="G3247">
        <v>2.04</v>
      </c>
      <c r="H3247" t="s">
        <v>138</v>
      </c>
      <c r="I3247" t="s">
        <v>48</v>
      </c>
      <c r="J3247" t="s">
        <v>49</v>
      </c>
      <c r="K3247">
        <v>484.2</v>
      </c>
      <c r="L3247" t="s">
        <v>7672</v>
      </c>
      <c r="M3247">
        <f>VLOOKUP(H3247,'Stage Order'!$A$2:$B$8,2,FALSE)</f>
        <v>6</v>
      </c>
      <c r="N3247" t="str">
        <f t="shared" si="100"/>
        <v>2. 1-24 hours</v>
      </c>
      <c r="O3247" t="str">
        <f t="shared" si="101"/>
        <v>2025-12</v>
      </c>
    </row>
    <row r="3248" spans="1:15" x14ac:dyDescent="0.3">
      <c r="A3248" t="s">
        <v>7673</v>
      </c>
      <c r="B3248" t="s">
        <v>7674</v>
      </c>
      <c r="C3248" t="s">
        <v>37</v>
      </c>
      <c r="D3248" t="s">
        <v>54</v>
      </c>
      <c r="E3248" t="s">
        <v>59</v>
      </c>
      <c r="F3248" t="s">
        <v>60</v>
      </c>
      <c r="G3248">
        <v>8.8699999999999992</v>
      </c>
      <c r="H3248" t="s">
        <v>32</v>
      </c>
      <c r="I3248" t="s">
        <v>33</v>
      </c>
      <c r="K3248">
        <v>411.43</v>
      </c>
      <c r="L3248" t="s">
        <v>7675</v>
      </c>
      <c r="M3248">
        <f>VLOOKUP(H3248,'Stage Order'!$A$2:$B$8,2,FALSE)</f>
        <v>7</v>
      </c>
      <c r="N3248" t="str">
        <f t="shared" si="100"/>
        <v>2. 1-24 hours</v>
      </c>
      <c r="O3248" t="str">
        <f t="shared" si="101"/>
        <v>2025-04</v>
      </c>
    </row>
    <row r="3249" spans="1:15" x14ac:dyDescent="0.3">
      <c r="A3249" t="s">
        <v>7676</v>
      </c>
      <c r="B3249" t="s">
        <v>7677</v>
      </c>
      <c r="C3249" t="s">
        <v>37</v>
      </c>
      <c r="D3249" t="s">
        <v>29</v>
      </c>
      <c r="E3249" t="s">
        <v>45</v>
      </c>
      <c r="F3249" t="s">
        <v>94</v>
      </c>
      <c r="G3249">
        <v>5.89</v>
      </c>
      <c r="H3249" t="s">
        <v>41</v>
      </c>
      <c r="I3249" t="s">
        <v>42</v>
      </c>
      <c r="M3249">
        <f>VLOOKUP(H3249,'Stage Order'!$A$2:$B$8,2,FALSE)</f>
        <v>2</v>
      </c>
      <c r="N3249" t="str">
        <f t="shared" si="100"/>
        <v>2. 1-24 hours</v>
      </c>
      <c r="O3249" t="str">
        <f t="shared" si="101"/>
        <v>2025-03</v>
      </c>
    </row>
    <row r="3250" spans="1:15" x14ac:dyDescent="0.3">
      <c r="A3250" t="s">
        <v>7678</v>
      </c>
      <c r="B3250" t="s">
        <v>7679</v>
      </c>
      <c r="C3250" t="s">
        <v>81</v>
      </c>
      <c r="D3250" t="s">
        <v>97</v>
      </c>
      <c r="E3250" t="s">
        <v>30</v>
      </c>
      <c r="F3250" t="s">
        <v>31</v>
      </c>
      <c r="G3250">
        <v>0.56000000000000005</v>
      </c>
      <c r="H3250" t="s">
        <v>146</v>
      </c>
      <c r="I3250" t="s">
        <v>48</v>
      </c>
      <c r="J3250" t="s">
        <v>139</v>
      </c>
      <c r="K3250">
        <v>1365.31</v>
      </c>
      <c r="L3250" t="s">
        <v>7680</v>
      </c>
      <c r="M3250">
        <f>VLOOKUP(H3250,'Stage Order'!$A$2:$B$8,2,FALSE)</f>
        <v>5</v>
      </c>
      <c r="N3250" t="str">
        <f t="shared" si="100"/>
        <v>1. Under 1 hour</v>
      </c>
      <c r="O3250" t="str">
        <f t="shared" si="101"/>
        <v>2026-06</v>
      </c>
    </row>
    <row r="3251" spans="1:15" x14ac:dyDescent="0.3">
      <c r="A3251" t="s">
        <v>7681</v>
      </c>
      <c r="B3251" t="s">
        <v>7682</v>
      </c>
      <c r="C3251" t="s">
        <v>125</v>
      </c>
      <c r="D3251" t="s">
        <v>54</v>
      </c>
      <c r="E3251" t="s">
        <v>45</v>
      </c>
      <c r="F3251" t="s">
        <v>94</v>
      </c>
      <c r="G3251">
        <v>1.96</v>
      </c>
      <c r="H3251" t="s">
        <v>61</v>
      </c>
      <c r="I3251" t="s">
        <v>42</v>
      </c>
      <c r="M3251">
        <f>VLOOKUP(H3251,'Stage Order'!$A$2:$B$8,2,FALSE)</f>
        <v>1</v>
      </c>
      <c r="N3251" t="str">
        <f t="shared" si="100"/>
        <v>2. 1-24 hours</v>
      </c>
      <c r="O3251" t="str">
        <f t="shared" si="101"/>
        <v>2025-05</v>
      </c>
    </row>
    <row r="3252" spans="1:15" x14ac:dyDescent="0.3">
      <c r="A3252" t="s">
        <v>7683</v>
      </c>
      <c r="B3252" t="s">
        <v>7684</v>
      </c>
      <c r="C3252" t="s">
        <v>37</v>
      </c>
      <c r="D3252" t="s">
        <v>38</v>
      </c>
      <c r="E3252" t="s">
        <v>45</v>
      </c>
      <c r="F3252" t="s">
        <v>55</v>
      </c>
      <c r="G3252">
        <v>3.16</v>
      </c>
      <c r="H3252" t="s">
        <v>41</v>
      </c>
      <c r="I3252" t="s">
        <v>42</v>
      </c>
      <c r="M3252">
        <f>VLOOKUP(H3252,'Stage Order'!$A$2:$B$8,2,FALSE)</f>
        <v>2</v>
      </c>
      <c r="N3252" t="str">
        <f t="shared" si="100"/>
        <v>2. 1-24 hours</v>
      </c>
      <c r="O3252" t="str">
        <f t="shared" si="101"/>
        <v>2026-02</v>
      </c>
    </row>
    <row r="3253" spans="1:15" x14ac:dyDescent="0.3">
      <c r="A3253" t="s">
        <v>7685</v>
      </c>
      <c r="B3253" t="s">
        <v>7686</v>
      </c>
      <c r="C3253" t="s">
        <v>37</v>
      </c>
      <c r="D3253" t="s">
        <v>77</v>
      </c>
      <c r="E3253" t="s">
        <v>90</v>
      </c>
      <c r="F3253" t="s">
        <v>91</v>
      </c>
      <c r="G3253">
        <v>2.27</v>
      </c>
      <c r="H3253" t="s">
        <v>61</v>
      </c>
      <c r="I3253" t="s">
        <v>42</v>
      </c>
      <c r="M3253">
        <f>VLOOKUP(H3253,'Stage Order'!$A$2:$B$8,2,FALSE)</f>
        <v>1</v>
      </c>
      <c r="N3253" t="str">
        <f t="shared" si="100"/>
        <v>2. 1-24 hours</v>
      </c>
      <c r="O3253" t="str">
        <f t="shared" si="101"/>
        <v>2025-09</v>
      </c>
    </row>
    <row r="3254" spans="1:15" x14ac:dyDescent="0.3">
      <c r="A3254" t="s">
        <v>7687</v>
      </c>
      <c r="B3254" t="s">
        <v>7688</v>
      </c>
      <c r="C3254" t="s">
        <v>81</v>
      </c>
      <c r="D3254" t="s">
        <v>29</v>
      </c>
      <c r="E3254" t="s">
        <v>59</v>
      </c>
      <c r="F3254" t="s">
        <v>60</v>
      </c>
      <c r="G3254">
        <v>1.45</v>
      </c>
      <c r="H3254" t="s">
        <v>128</v>
      </c>
      <c r="I3254" t="s">
        <v>42</v>
      </c>
      <c r="M3254">
        <f>VLOOKUP(H3254,'Stage Order'!$A$2:$B$8,2,FALSE)</f>
        <v>3</v>
      </c>
      <c r="N3254" t="str">
        <f t="shared" si="100"/>
        <v>2. 1-24 hours</v>
      </c>
      <c r="O3254" t="str">
        <f t="shared" si="101"/>
        <v>2026-03</v>
      </c>
    </row>
    <row r="3255" spans="1:15" x14ac:dyDescent="0.3">
      <c r="A3255" t="s">
        <v>7689</v>
      </c>
      <c r="B3255" t="s">
        <v>7690</v>
      </c>
      <c r="C3255" t="s">
        <v>53</v>
      </c>
      <c r="D3255" t="s">
        <v>38</v>
      </c>
      <c r="E3255" t="s">
        <v>45</v>
      </c>
      <c r="F3255" t="s">
        <v>46</v>
      </c>
      <c r="G3255">
        <v>2.64</v>
      </c>
      <c r="H3255" t="s">
        <v>47</v>
      </c>
      <c r="I3255" t="s">
        <v>48</v>
      </c>
      <c r="J3255" t="s">
        <v>49</v>
      </c>
      <c r="K3255">
        <v>410.52</v>
      </c>
      <c r="L3255" t="s">
        <v>7691</v>
      </c>
      <c r="M3255">
        <f>VLOOKUP(H3255,'Stage Order'!$A$2:$B$8,2,FALSE)</f>
        <v>4</v>
      </c>
      <c r="N3255" t="str">
        <f t="shared" si="100"/>
        <v>2. 1-24 hours</v>
      </c>
      <c r="O3255" t="str">
        <f t="shared" si="101"/>
        <v>2025-02</v>
      </c>
    </row>
    <row r="3256" spans="1:15" x14ac:dyDescent="0.3">
      <c r="A3256" t="s">
        <v>7692</v>
      </c>
      <c r="B3256" t="s">
        <v>7693</v>
      </c>
      <c r="C3256" t="s">
        <v>53</v>
      </c>
      <c r="D3256" t="s">
        <v>38</v>
      </c>
      <c r="E3256" t="s">
        <v>45</v>
      </c>
      <c r="F3256" t="s">
        <v>55</v>
      </c>
      <c r="G3256">
        <v>7.74</v>
      </c>
      <c r="H3256" t="s">
        <v>41</v>
      </c>
      <c r="I3256" t="s">
        <v>42</v>
      </c>
      <c r="M3256">
        <f>VLOOKUP(H3256,'Stage Order'!$A$2:$B$8,2,FALSE)</f>
        <v>2</v>
      </c>
      <c r="N3256" t="str">
        <f t="shared" si="100"/>
        <v>2. 1-24 hours</v>
      </c>
      <c r="O3256" t="str">
        <f t="shared" si="101"/>
        <v>2026-04</v>
      </c>
    </row>
    <row r="3257" spans="1:15" x14ac:dyDescent="0.3">
      <c r="A3257" t="s">
        <v>7694</v>
      </c>
      <c r="B3257" t="s">
        <v>7695</v>
      </c>
      <c r="C3257" t="s">
        <v>53</v>
      </c>
      <c r="D3257" t="s">
        <v>29</v>
      </c>
      <c r="E3257" t="s">
        <v>39</v>
      </c>
      <c r="F3257" t="s">
        <v>66</v>
      </c>
      <c r="G3257">
        <v>4.72</v>
      </c>
      <c r="H3257" t="s">
        <v>41</v>
      </c>
      <c r="I3257" t="s">
        <v>42</v>
      </c>
      <c r="M3257">
        <f>VLOOKUP(H3257,'Stage Order'!$A$2:$B$8,2,FALSE)</f>
        <v>2</v>
      </c>
      <c r="N3257" t="str">
        <f t="shared" si="100"/>
        <v>2. 1-24 hours</v>
      </c>
      <c r="O3257" t="str">
        <f t="shared" si="101"/>
        <v>2025-11</v>
      </c>
    </row>
    <row r="3258" spans="1:15" x14ac:dyDescent="0.3">
      <c r="A3258" t="s">
        <v>7696</v>
      </c>
      <c r="B3258" t="s">
        <v>7697</v>
      </c>
      <c r="C3258" t="s">
        <v>81</v>
      </c>
      <c r="D3258" t="s">
        <v>38</v>
      </c>
      <c r="E3258" t="s">
        <v>59</v>
      </c>
      <c r="F3258" t="s">
        <v>137</v>
      </c>
      <c r="G3258">
        <v>7.69</v>
      </c>
      <c r="H3258" t="s">
        <v>128</v>
      </c>
      <c r="I3258" t="s">
        <v>42</v>
      </c>
      <c r="M3258">
        <f>VLOOKUP(H3258,'Stage Order'!$A$2:$B$8,2,FALSE)</f>
        <v>3</v>
      </c>
      <c r="N3258" t="str">
        <f t="shared" si="100"/>
        <v>2. 1-24 hours</v>
      </c>
      <c r="O3258" t="str">
        <f t="shared" si="101"/>
        <v>2026-02</v>
      </c>
    </row>
    <row r="3259" spans="1:15" x14ac:dyDescent="0.3">
      <c r="A3259" t="s">
        <v>7698</v>
      </c>
      <c r="B3259" t="s">
        <v>7699</v>
      </c>
      <c r="C3259" t="s">
        <v>125</v>
      </c>
      <c r="D3259" t="s">
        <v>97</v>
      </c>
      <c r="E3259" t="s">
        <v>39</v>
      </c>
      <c r="F3259" t="s">
        <v>66</v>
      </c>
      <c r="G3259">
        <v>5.0599999999999996</v>
      </c>
      <c r="H3259" t="s">
        <v>41</v>
      </c>
      <c r="I3259" t="s">
        <v>42</v>
      </c>
      <c r="M3259">
        <f>VLOOKUP(H3259,'Stage Order'!$A$2:$B$8,2,FALSE)</f>
        <v>2</v>
      </c>
      <c r="N3259" t="str">
        <f t="shared" si="100"/>
        <v>2. 1-24 hours</v>
      </c>
      <c r="O3259" t="str">
        <f t="shared" si="101"/>
        <v>2025-05</v>
      </c>
    </row>
    <row r="3260" spans="1:15" x14ac:dyDescent="0.3">
      <c r="A3260" t="s">
        <v>7700</v>
      </c>
      <c r="B3260" t="s">
        <v>7701</v>
      </c>
      <c r="C3260" t="s">
        <v>28</v>
      </c>
      <c r="D3260" t="s">
        <v>97</v>
      </c>
      <c r="E3260" t="s">
        <v>30</v>
      </c>
      <c r="F3260" t="s">
        <v>31</v>
      </c>
      <c r="G3260">
        <v>0.11</v>
      </c>
      <c r="H3260" t="s">
        <v>138</v>
      </c>
      <c r="I3260" t="s">
        <v>48</v>
      </c>
      <c r="J3260" t="s">
        <v>139</v>
      </c>
      <c r="K3260">
        <v>1533.7</v>
      </c>
      <c r="L3260" t="s">
        <v>7702</v>
      </c>
      <c r="M3260">
        <f>VLOOKUP(H3260,'Stage Order'!$A$2:$B$8,2,FALSE)</f>
        <v>6</v>
      </c>
      <c r="N3260" t="str">
        <f t="shared" si="100"/>
        <v>1. Under 1 hour</v>
      </c>
      <c r="O3260" t="str">
        <f t="shared" si="101"/>
        <v>2026-04</v>
      </c>
    </row>
    <row r="3261" spans="1:15" x14ac:dyDescent="0.3">
      <c r="A3261" t="s">
        <v>7703</v>
      </c>
      <c r="B3261" t="s">
        <v>7704</v>
      </c>
      <c r="C3261" t="s">
        <v>125</v>
      </c>
      <c r="D3261" t="s">
        <v>38</v>
      </c>
      <c r="E3261" t="s">
        <v>45</v>
      </c>
      <c r="F3261" t="s">
        <v>55</v>
      </c>
      <c r="G3261">
        <v>16.89</v>
      </c>
      <c r="H3261" t="s">
        <v>47</v>
      </c>
      <c r="I3261" t="s">
        <v>48</v>
      </c>
      <c r="J3261" t="s">
        <v>98</v>
      </c>
      <c r="K3261">
        <v>349.1</v>
      </c>
      <c r="L3261" t="s">
        <v>7705</v>
      </c>
      <c r="M3261">
        <f>VLOOKUP(H3261,'Stage Order'!$A$2:$B$8,2,FALSE)</f>
        <v>4</v>
      </c>
      <c r="N3261" t="str">
        <f t="shared" si="100"/>
        <v>2. 1-24 hours</v>
      </c>
      <c r="O3261" t="str">
        <f t="shared" si="101"/>
        <v>2025-04</v>
      </c>
    </row>
    <row r="3262" spans="1:15" x14ac:dyDescent="0.3">
      <c r="A3262" t="s">
        <v>7706</v>
      </c>
      <c r="B3262" t="s">
        <v>7707</v>
      </c>
      <c r="C3262" t="s">
        <v>37</v>
      </c>
      <c r="D3262" t="s">
        <v>77</v>
      </c>
      <c r="E3262" t="s">
        <v>59</v>
      </c>
      <c r="F3262" t="s">
        <v>60</v>
      </c>
      <c r="G3262">
        <v>1.27</v>
      </c>
      <c r="H3262" t="s">
        <v>41</v>
      </c>
      <c r="I3262" t="s">
        <v>42</v>
      </c>
      <c r="M3262">
        <f>VLOOKUP(H3262,'Stage Order'!$A$2:$B$8,2,FALSE)</f>
        <v>2</v>
      </c>
      <c r="N3262" t="str">
        <f t="shared" si="100"/>
        <v>2. 1-24 hours</v>
      </c>
      <c r="O3262" t="str">
        <f t="shared" si="101"/>
        <v>2026-02</v>
      </c>
    </row>
    <row r="3263" spans="1:15" x14ac:dyDescent="0.3">
      <c r="A3263" t="s">
        <v>7708</v>
      </c>
      <c r="B3263" t="s">
        <v>7709</v>
      </c>
      <c r="C3263" t="s">
        <v>37</v>
      </c>
      <c r="D3263" t="s">
        <v>54</v>
      </c>
      <c r="E3263" t="s">
        <v>45</v>
      </c>
      <c r="F3263" t="s">
        <v>55</v>
      </c>
      <c r="G3263">
        <v>0.42</v>
      </c>
      <c r="H3263" t="s">
        <v>41</v>
      </c>
      <c r="I3263" t="s">
        <v>42</v>
      </c>
      <c r="M3263">
        <f>VLOOKUP(H3263,'Stage Order'!$A$2:$B$8,2,FALSE)</f>
        <v>2</v>
      </c>
      <c r="N3263" t="str">
        <f t="shared" si="100"/>
        <v>1. Under 1 hour</v>
      </c>
      <c r="O3263" t="str">
        <f t="shared" si="101"/>
        <v>2026-05</v>
      </c>
    </row>
    <row r="3264" spans="1:15" x14ac:dyDescent="0.3">
      <c r="A3264" t="s">
        <v>7710</v>
      </c>
      <c r="B3264" t="s">
        <v>7711</v>
      </c>
      <c r="C3264" t="s">
        <v>58</v>
      </c>
      <c r="D3264" t="s">
        <v>29</v>
      </c>
      <c r="E3264" t="s">
        <v>39</v>
      </c>
      <c r="F3264" t="s">
        <v>106</v>
      </c>
      <c r="G3264">
        <v>3.47</v>
      </c>
      <c r="H3264" t="s">
        <v>47</v>
      </c>
      <c r="I3264" t="s">
        <v>48</v>
      </c>
      <c r="J3264" t="s">
        <v>139</v>
      </c>
      <c r="K3264">
        <v>730.35</v>
      </c>
      <c r="L3264" t="s">
        <v>7712</v>
      </c>
      <c r="M3264">
        <f>VLOOKUP(H3264,'Stage Order'!$A$2:$B$8,2,FALSE)</f>
        <v>4</v>
      </c>
      <c r="N3264" t="str">
        <f t="shared" si="100"/>
        <v>2. 1-24 hours</v>
      </c>
      <c r="O3264" t="str">
        <f t="shared" si="101"/>
        <v>2025-06</v>
      </c>
    </row>
    <row r="3265" spans="1:15" x14ac:dyDescent="0.3">
      <c r="A3265" t="s">
        <v>7713</v>
      </c>
      <c r="B3265" t="s">
        <v>7714</v>
      </c>
      <c r="C3265" t="s">
        <v>76</v>
      </c>
      <c r="D3265" t="s">
        <v>54</v>
      </c>
      <c r="E3265" t="s">
        <v>45</v>
      </c>
      <c r="F3265" t="s">
        <v>55</v>
      </c>
      <c r="G3265">
        <v>1.7</v>
      </c>
      <c r="H3265" t="s">
        <v>32</v>
      </c>
      <c r="I3265" t="s">
        <v>33</v>
      </c>
      <c r="K3265">
        <v>554.44000000000005</v>
      </c>
      <c r="L3265" t="s">
        <v>7715</v>
      </c>
      <c r="M3265">
        <f>VLOOKUP(H3265,'Stage Order'!$A$2:$B$8,2,FALSE)</f>
        <v>7</v>
      </c>
      <c r="N3265" t="str">
        <f t="shared" si="100"/>
        <v>2. 1-24 hours</v>
      </c>
      <c r="O3265" t="str">
        <f t="shared" si="101"/>
        <v>2026-03</v>
      </c>
    </row>
    <row r="3266" spans="1:15" x14ac:dyDescent="0.3">
      <c r="A3266" t="s">
        <v>7716</v>
      </c>
      <c r="B3266" t="s">
        <v>7717</v>
      </c>
      <c r="C3266" t="s">
        <v>53</v>
      </c>
      <c r="D3266" t="s">
        <v>54</v>
      </c>
      <c r="E3266" t="s">
        <v>45</v>
      </c>
      <c r="F3266" t="s">
        <v>55</v>
      </c>
      <c r="G3266">
        <v>2.58</v>
      </c>
      <c r="H3266" t="s">
        <v>41</v>
      </c>
      <c r="I3266" t="s">
        <v>42</v>
      </c>
      <c r="M3266">
        <f>VLOOKUP(H3266,'Stage Order'!$A$2:$B$8,2,FALSE)</f>
        <v>2</v>
      </c>
      <c r="N3266" t="str">
        <f t="shared" ref="N3266:N3329" si="102">IF(G3266&lt;=1,"1. Under 1 hour",IF(G3266&lt;=24,"2. 1-24 hours",IF(G3266&lt;=72,"3. 1-3 days","4. Over 3 days")))</f>
        <v>2. 1-24 hours</v>
      </c>
      <c r="O3266" t="str">
        <f t="shared" ref="O3266:O3329" si="103">TEXT(B3266,"YYYY-MM")</f>
        <v>2025-07</v>
      </c>
    </row>
    <row r="3267" spans="1:15" x14ac:dyDescent="0.3">
      <c r="A3267" t="s">
        <v>7718</v>
      </c>
      <c r="B3267" t="s">
        <v>7719</v>
      </c>
      <c r="C3267" t="s">
        <v>53</v>
      </c>
      <c r="D3267" t="s">
        <v>54</v>
      </c>
      <c r="E3267" t="s">
        <v>30</v>
      </c>
      <c r="F3267" t="s">
        <v>31</v>
      </c>
      <c r="G3267">
        <v>6.02</v>
      </c>
      <c r="H3267" t="s">
        <v>41</v>
      </c>
      <c r="I3267" t="s">
        <v>42</v>
      </c>
      <c r="M3267">
        <f>VLOOKUP(H3267,'Stage Order'!$A$2:$B$8,2,FALSE)</f>
        <v>2</v>
      </c>
      <c r="N3267" t="str">
        <f t="shared" si="102"/>
        <v>2. 1-24 hours</v>
      </c>
      <c r="O3267" t="str">
        <f t="shared" si="103"/>
        <v>2025-09</v>
      </c>
    </row>
    <row r="3268" spans="1:15" x14ac:dyDescent="0.3">
      <c r="A3268" t="s">
        <v>7720</v>
      </c>
      <c r="B3268" t="s">
        <v>7721</v>
      </c>
      <c r="C3268" t="s">
        <v>37</v>
      </c>
      <c r="D3268" t="s">
        <v>29</v>
      </c>
      <c r="E3268" t="s">
        <v>45</v>
      </c>
      <c r="F3268" t="s">
        <v>94</v>
      </c>
      <c r="G3268">
        <v>3.07</v>
      </c>
      <c r="H3268" t="s">
        <v>41</v>
      </c>
      <c r="I3268" t="s">
        <v>42</v>
      </c>
      <c r="M3268">
        <f>VLOOKUP(H3268,'Stage Order'!$A$2:$B$8,2,FALSE)</f>
        <v>2</v>
      </c>
      <c r="N3268" t="str">
        <f t="shared" si="102"/>
        <v>2. 1-24 hours</v>
      </c>
      <c r="O3268" t="str">
        <f t="shared" si="103"/>
        <v>2025-06</v>
      </c>
    </row>
    <row r="3269" spans="1:15" x14ac:dyDescent="0.3">
      <c r="A3269" t="s">
        <v>7722</v>
      </c>
      <c r="B3269" t="s">
        <v>7723</v>
      </c>
      <c r="C3269" t="s">
        <v>37</v>
      </c>
      <c r="D3269" t="s">
        <v>29</v>
      </c>
      <c r="E3269" t="s">
        <v>39</v>
      </c>
      <c r="F3269" t="s">
        <v>66</v>
      </c>
      <c r="G3269">
        <v>0.72</v>
      </c>
      <c r="H3269" t="s">
        <v>41</v>
      </c>
      <c r="I3269" t="s">
        <v>42</v>
      </c>
      <c r="M3269">
        <f>VLOOKUP(H3269,'Stage Order'!$A$2:$B$8,2,FALSE)</f>
        <v>2</v>
      </c>
      <c r="N3269" t="str">
        <f t="shared" si="102"/>
        <v>1. Under 1 hour</v>
      </c>
      <c r="O3269" t="str">
        <f t="shared" si="103"/>
        <v>2025-09</v>
      </c>
    </row>
    <row r="3270" spans="1:15" x14ac:dyDescent="0.3">
      <c r="A3270" t="s">
        <v>7724</v>
      </c>
      <c r="B3270" t="s">
        <v>7725</v>
      </c>
      <c r="C3270" t="s">
        <v>53</v>
      </c>
      <c r="D3270" t="s">
        <v>77</v>
      </c>
      <c r="E3270" t="s">
        <v>59</v>
      </c>
      <c r="F3270" t="s">
        <v>117</v>
      </c>
      <c r="G3270">
        <v>7.34</v>
      </c>
      <c r="H3270" t="s">
        <v>61</v>
      </c>
      <c r="I3270" t="s">
        <v>42</v>
      </c>
      <c r="M3270">
        <f>VLOOKUP(H3270,'Stage Order'!$A$2:$B$8,2,FALSE)</f>
        <v>1</v>
      </c>
      <c r="N3270" t="str">
        <f t="shared" si="102"/>
        <v>2. 1-24 hours</v>
      </c>
      <c r="O3270" t="str">
        <f t="shared" si="103"/>
        <v>2025-08</v>
      </c>
    </row>
    <row r="3271" spans="1:15" x14ac:dyDescent="0.3">
      <c r="A3271" t="s">
        <v>7726</v>
      </c>
      <c r="B3271" t="s">
        <v>7727</v>
      </c>
      <c r="C3271" t="s">
        <v>37</v>
      </c>
      <c r="D3271" t="s">
        <v>54</v>
      </c>
      <c r="E3271" t="s">
        <v>59</v>
      </c>
      <c r="F3271" t="s">
        <v>60</v>
      </c>
      <c r="G3271">
        <v>1.08</v>
      </c>
      <c r="H3271" t="s">
        <v>41</v>
      </c>
      <c r="I3271" t="s">
        <v>42</v>
      </c>
      <c r="M3271">
        <f>VLOOKUP(H3271,'Stage Order'!$A$2:$B$8,2,FALSE)</f>
        <v>2</v>
      </c>
      <c r="N3271" t="str">
        <f t="shared" si="102"/>
        <v>2. 1-24 hours</v>
      </c>
      <c r="O3271" t="str">
        <f t="shared" si="103"/>
        <v>2026-01</v>
      </c>
    </row>
    <row r="3272" spans="1:15" x14ac:dyDescent="0.3">
      <c r="A3272" t="s">
        <v>7728</v>
      </c>
      <c r="B3272" t="s">
        <v>7729</v>
      </c>
      <c r="C3272" t="s">
        <v>58</v>
      </c>
      <c r="D3272" t="s">
        <v>38</v>
      </c>
      <c r="E3272" t="s">
        <v>45</v>
      </c>
      <c r="F3272" t="s">
        <v>55</v>
      </c>
      <c r="G3272">
        <v>1.57</v>
      </c>
      <c r="H3272" t="s">
        <v>61</v>
      </c>
      <c r="I3272" t="s">
        <v>42</v>
      </c>
      <c r="M3272">
        <f>VLOOKUP(H3272,'Stage Order'!$A$2:$B$8,2,FALSE)</f>
        <v>1</v>
      </c>
      <c r="N3272" t="str">
        <f t="shared" si="102"/>
        <v>2. 1-24 hours</v>
      </c>
      <c r="O3272" t="str">
        <f t="shared" si="103"/>
        <v>2025-04</v>
      </c>
    </row>
    <row r="3273" spans="1:15" x14ac:dyDescent="0.3">
      <c r="A3273" t="s">
        <v>7730</v>
      </c>
      <c r="B3273" t="s">
        <v>7731</v>
      </c>
      <c r="C3273" t="s">
        <v>58</v>
      </c>
      <c r="D3273" t="s">
        <v>38</v>
      </c>
      <c r="E3273" t="s">
        <v>45</v>
      </c>
      <c r="F3273" t="s">
        <v>55</v>
      </c>
      <c r="G3273">
        <v>2.36</v>
      </c>
      <c r="H3273" t="s">
        <v>41</v>
      </c>
      <c r="I3273" t="s">
        <v>42</v>
      </c>
      <c r="M3273">
        <f>VLOOKUP(H3273,'Stage Order'!$A$2:$B$8,2,FALSE)</f>
        <v>2</v>
      </c>
      <c r="N3273" t="str">
        <f t="shared" si="102"/>
        <v>2. 1-24 hours</v>
      </c>
      <c r="O3273" t="str">
        <f t="shared" si="103"/>
        <v>2026-05</v>
      </c>
    </row>
    <row r="3274" spans="1:15" x14ac:dyDescent="0.3">
      <c r="A3274" t="s">
        <v>7732</v>
      </c>
      <c r="B3274" t="s">
        <v>7733</v>
      </c>
      <c r="C3274" t="s">
        <v>58</v>
      </c>
      <c r="D3274" t="s">
        <v>77</v>
      </c>
      <c r="E3274" t="s">
        <v>45</v>
      </c>
      <c r="F3274" t="s">
        <v>94</v>
      </c>
      <c r="G3274">
        <v>1.76</v>
      </c>
      <c r="H3274" t="s">
        <v>41</v>
      </c>
      <c r="I3274" t="s">
        <v>42</v>
      </c>
      <c r="M3274">
        <f>VLOOKUP(H3274,'Stage Order'!$A$2:$B$8,2,FALSE)</f>
        <v>2</v>
      </c>
      <c r="N3274" t="str">
        <f t="shared" si="102"/>
        <v>2. 1-24 hours</v>
      </c>
      <c r="O3274" t="str">
        <f t="shared" si="103"/>
        <v>2026-05</v>
      </c>
    </row>
    <row r="3275" spans="1:15" x14ac:dyDescent="0.3">
      <c r="A3275" t="s">
        <v>7734</v>
      </c>
      <c r="B3275" t="s">
        <v>7735</v>
      </c>
      <c r="C3275" t="s">
        <v>58</v>
      </c>
      <c r="D3275" t="s">
        <v>29</v>
      </c>
      <c r="E3275" t="s">
        <v>90</v>
      </c>
      <c r="F3275" t="s">
        <v>112</v>
      </c>
      <c r="G3275">
        <v>4.75</v>
      </c>
      <c r="H3275" t="s">
        <v>41</v>
      </c>
      <c r="I3275" t="s">
        <v>42</v>
      </c>
      <c r="M3275">
        <f>VLOOKUP(H3275,'Stage Order'!$A$2:$B$8,2,FALSE)</f>
        <v>2</v>
      </c>
      <c r="N3275" t="str">
        <f t="shared" si="102"/>
        <v>2. 1-24 hours</v>
      </c>
      <c r="O3275" t="str">
        <f t="shared" si="103"/>
        <v>2026-03</v>
      </c>
    </row>
    <row r="3276" spans="1:15" x14ac:dyDescent="0.3">
      <c r="A3276" t="s">
        <v>7736</v>
      </c>
      <c r="B3276" t="s">
        <v>7737</v>
      </c>
      <c r="C3276" t="s">
        <v>37</v>
      </c>
      <c r="D3276" t="s">
        <v>77</v>
      </c>
      <c r="E3276" t="s">
        <v>90</v>
      </c>
      <c r="F3276" t="s">
        <v>112</v>
      </c>
      <c r="G3276">
        <v>5.45</v>
      </c>
      <c r="H3276" t="s">
        <v>128</v>
      </c>
      <c r="I3276" t="s">
        <v>42</v>
      </c>
      <c r="M3276">
        <f>VLOOKUP(H3276,'Stage Order'!$A$2:$B$8,2,FALSE)</f>
        <v>3</v>
      </c>
      <c r="N3276" t="str">
        <f t="shared" si="102"/>
        <v>2. 1-24 hours</v>
      </c>
      <c r="O3276" t="str">
        <f t="shared" si="103"/>
        <v>2025-04</v>
      </c>
    </row>
    <row r="3277" spans="1:15" x14ac:dyDescent="0.3">
      <c r="A3277" t="s">
        <v>7738</v>
      </c>
      <c r="B3277" t="s">
        <v>7739</v>
      </c>
      <c r="C3277" t="s">
        <v>53</v>
      </c>
      <c r="D3277" t="s">
        <v>54</v>
      </c>
      <c r="E3277" t="s">
        <v>39</v>
      </c>
      <c r="F3277" t="s">
        <v>106</v>
      </c>
      <c r="G3277">
        <v>0.23</v>
      </c>
      <c r="H3277" t="s">
        <v>32</v>
      </c>
      <c r="I3277" t="s">
        <v>33</v>
      </c>
      <c r="K3277">
        <v>539.01</v>
      </c>
      <c r="L3277" t="s">
        <v>7740</v>
      </c>
      <c r="M3277">
        <f>VLOOKUP(H3277,'Stage Order'!$A$2:$B$8,2,FALSE)</f>
        <v>7</v>
      </c>
      <c r="N3277" t="str">
        <f t="shared" si="102"/>
        <v>1. Under 1 hour</v>
      </c>
      <c r="O3277" t="str">
        <f t="shared" si="103"/>
        <v>2026-01</v>
      </c>
    </row>
    <row r="3278" spans="1:15" x14ac:dyDescent="0.3">
      <c r="A3278" t="s">
        <v>7741</v>
      </c>
      <c r="B3278" t="s">
        <v>7742</v>
      </c>
      <c r="C3278" t="s">
        <v>125</v>
      </c>
      <c r="D3278" t="s">
        <v>29</v>
      </c>
      <c r="E3278" t="s">
        <v>59</v>
      </c>
      <c r="F3278" t="s">
        <v>60</v>
      </c>
      <c r="G3278">
        <v>1.76</v>
      </c>
      <c r="H3278" t="s">
        <v>41</v>
      </c>
      <c r="I3278" t="s">
        <v>42</v>
      </c>
      <c r="M3278">
        <f>VLOOKUP(H3278,'Stage Order'!$A$2:$B$8,2,FALSE)</f>
        <v>2</v>
      </c>
      <c r="N3278" t="str">
        <f t="shared" si="102"/>
        <v>2. 1-24 hours</v>
      </c>
      <c r="O3278" t="str">
        <f t="shared" si="103"/>
        <v>2026-01</v>
      </c>
    </row>
    <row r="3279" spans="1:15" x14ac:dyDescent="0.3">
      <c r="A3279" t="s">
        <v>7743</v>
      </c>
      <c r="B3279" t="s">
        <v>7744</v>
      </c>
      <c r="C3279" t="s">
        <v>58</v>
      </c>
      <c r="D3279" t="s">
        <v>54</v>
      </c>
      <c r="E3279" t="s">
        <v>39</v>
      </c>
      <c r="F3279" t="s">
        <v>106</v>
      </c>
      <c r="G3279">
        <v>2.93</v>
      </c>
      <c r="H3279" t="s">
        <v>138</v>
      </c>
      <c r="I3279" t="s">
        <v>48</v>
      </c>
      <c r="J3279" t="s">
        <v>113</v>
      </c>
      <c r="K3279">
        <v>565.83000000000004</v>
      </c>
      <c r="L3279" t="s">
        <v>7745</v>
      </c>
      <c r="M3279">
        <f>VLOOKUP(H3279,'Stage Order'!$A$2:$B$8,2,FALSE)</f>
        <v>6</v>
      </c>
      <c r="N3279" t="str">
        <f t="shared" si="102"/>
        <v>2. 1-24 hours</v>
      </c>
      <c r="O3279" t="str">
        <f t="shared" si="103"/>
        <v>2026-06</v>
      </c>
    </row>
    <row r="3280" spans="1:15" x14ac:dyDescent="0.3">
      <c r="A3280" t="s">
        <v>7746</v>
      </c>
      <c r="B3280" t="s">
        <v>7747</v>
      </c>
      <c r="C3280" t="s">
        <v>28</v>
      </c>
      <c r="D3280" t="s">
        <v>38</v>
      </c>
      <c r="E3280" t="s">
        <v>45</v>
      </c>
      <c r="F3280" t="s">
        <v>94</v>
      </c>
      <c r="G3280">
        <v>3.04</v>
      </c>
      <c r="H3280" t="s">
        <v>32</v>
      </c>
      <c r="I3280" t="s">
        <v>33</v>
      </c>
      <c r="K3280">
        <v>411.69</v>
      </c>
      <c r="L3280" t="s">
        <v>7748</v>
      </c>
      <c r="M3280">
        <f>VLOOKUP(H3280,'Stage Order'!$A$2:$B$8,2,FALSE)</f>
        <v>7</v>
      </c>
      <c r="N3280" t="str">
        <f t="shared" si="102"/>
        <v>2. 1-24 hours</v>
      </c>
      <c r="O3280" t="str">
        <f t="shared" si="103"/>
        <v>2025-04</v>
      </c>
    </row>
    <row r="3281" spans="1:15" x14ac:dyDescent="0.3">
      <c r="A3281" t="s">
        <v>7749</v>
      </c>
      <c r="B3281" t="s">
        <v>7750</v>
      </c>
      <c r="C3281" t="s">
        <v>58</v>
      </c>
      <c r="D3281" t="s">
        <v>38</v>
      </c>
      <c r="E3281" t="s">
        <v>59</v>
      </c>
      <c r="F3281" t="s">
        <v>117</v>
      </c>
      <c r="G3281">
        <v>3.77</v>
      </c>
      <c r="H3281" t="s">
        <v>41</v>
      </c>
      <c r="I3281" t="s">
        <v>42</v>
      </c>
      <c r="M3281">
        <f>VLOOKUP(H3281,'Stage Order'!$A$2:$B$8,2,FALSE)</f>
        <v>2</v>
      </c>
      <c r="N3281" t="str">
        <f t="shared" si="102"/>
        <v>2. 1-24 hours</v>
      </c>
      <c r="O3281" t="str">
        <f t="shared" si="103"/>
        <v>2025-10</v>
      </c>
    </row>
    <row r="3282" spans="1:15" x14ac:dyDescent="0.3">
      <c r="A3282" t="s">
        <v>7751</v>
      </c>
      <c r="B3282" t="s">
        <v>7752</v>
      </c>
      <c r="C3282" t="s">
        <v>81</v>
      </c>
      <c r="D3282" t="s">
        <v>54</v>
      </c>
      <c r="E3282" t="s">
        <v>39</v>
      </c>
      <c r="F3282" t="s">
        <v>106</v>
      </c>
      <c r="G3282">
        <v>5.58</v>
      </c>
      <c r="H3282" t="s">
        <v>61</v>
      </c>
      <c r="I3282" t="s">
        <v>42</v>
      </c>
      <c r="M3282">
        <f>VLOOKUP(H3282,'Stage Order'!$A$2:$B$8,2,FALSE)</f>
        <v>1</v>
      </c>
      <c r="N3282" t="str">
        <f t="shared" si="102"/>
        <v>2. 1-24 hours</v>
      </c>
      <c r="O3282" t="str">
        <f t="shared" si="103"/>
        <v>2026-04</v>
      </c>
    </row>
    <row r="3283" spans="1:15" x14ac:dyDescent="0.3">
      <c r="A3283" t="s">
        <v>7753</v>
      </c>
      <c r="B3283" t="s">
        <v>7754</v>
      </c>
      <c r="C3283" t="s">
        <v>58</v>
      </c>
      <c r="D3283" t="s">
        <v>54</v>
      </c>
      <c r="E3283" t="s">
        <v>39</v>
      </c>
      <c r="F3283" t="s">
        <v>40</v>
      </c>
      <c r="G3283">
        <v>6.45</v>
      </c>
      <c r="H3283" t="s">
        <v>138</v>
      </c>
      <c r="I3283" t="s">
        <v>48</v>
      </c>
      <c r="J3283" t="s">
        <v>139</v>
      </c>
      <c r="K3283">
        <v>577.20000000000005</v>
      </c>
      <c r="L3283" t="s">
        <v>7755</v>
      </c>
      <c r="M3283">
        <f>VLOOKUP(H3283,'Stage Order'!$A$2:$B$8,2,FALSE)</f>
        <v>6</v>
      </c>
      <c r="N3283" t="str">
        <f t="shared" si="102"/>
        <v>2. 1-24 hours</v>
      </c>
      <c r="O3283" t="str">
        <f t="shared" si="103"/>
        <v>2026-04</v>
      </c>
    </row>
    <row r="3284" spans="1:15" x14ac:dyDescent="0.3">
      <c r="A3284" t="s">
        <v>7756</v>
      </c>
      <c r="B3284" t="s">
        <v>7757</v>
      </c>
      <c r="C3284" t="s">
        <v>58</v>
      </c>
      <c r="D3284" t="s">
        <v>38</v>
      </c>
      <c r="E3284" t="s">
        <v>30</v>
      </c>
      <c r="F3284" t="s">
        <v>82</v>
      </c>
      <c r="G3284">
        <v>1.26</v>
      </c>
      <c r="H3284" t="s">
        <v>41</v>
      </c>
      <c r="I3284" t="s">
        <v>42</v>
      </c>
      <c r="M3284">
        <f>VLOOKUP(H3284,'Stage Order'!$A$2:$B$8,2,FALSE)</f>
        <v>2</v>
      </c>
      <c r="N3284" t="str">
        <f t="shared" si="102"/>
        <v>2. 1-24 hours</v>
      </c>
      <c r="O3284" t="str">
        <f t="shared" si="103"/>
        <v>2025-06</v>
      </c>
    </row>
    <row r="3285" spans="1:15" x14ac:dyDescent="0.3">
      <c r="A3285" t="s">
        <v>7758</v>
      </c>
      <c r="B3285" t="s">
        <v>7759</v>
      </c>
      <c r="C3285" t="s">
        <v>58</v>
      </c>
      <c r="D3285" t="s">
        <v>54</v>
      </c>
      <c r="E3285" t="s">
        <v>90</v>
      </c>
      <c r="F3285" t="s">
        <v>91</v>
      </c>
      <c r="G3285">
        <v>0.71</v>
      </c>
      <c r="H3285" t="s">
        <v>146</v>
      </c>
      <c r="I3285" t="s">
        <v>48</v>
      </c>
      <c r="J3285" t="s">
        <v>113</v>
      </c>
      <c r="K3285">
        <v>560.64</v>
      </c>
      <c r="L3285" t="s">
        <v>7760</v>
      </c>
      <c r="M3285">
        <f>VLOOKUP(H3285,'Stage Order'!$A$2:$B$8,2,FALSE)</f>
        <v>5</v>
      </c>
      <c r="N3285" t="str">
        <f t="shared" si="102"/>
        <v>1. Under 1 hour</v>
      </c>
      <c r="O3285" t="str">
        <f t="shared" si="103"/>
        <v>2025-03</v>
      </c>
    </row>
    <row r="3286" spans="1:15" x14ac:dyDescent="0.3">
      <c r="A3286" t="s">
        <v>7761</v>
      </c>
      <c r="B3286" t="s">
        <v>7762</v>
      </c>
      <c r="C3286" t="s">
        <v>28</v>
      </c>
      <c r="D3286" t="s">
        <v>77</v>
      </c>
      <c r="E3286" t="s">
        <v>30</v>
      </c>
      <c r="F3286" t="s">
        <v>78</v>
      </c>
      <c r="G3286">
        <v>1.51</v>
      </c>
      <c r="H3286" t="s">
        <v>138</v>
      </c>
      <c r="I3286" t="s">
        <v>48</v>
      </c>
      <c r="J3286" t="s">
        <v>49</v>
      </c>
      <c r="K3286">
        <v>954.78</v>
      </c>
      <c r="L3286" t="s">
        <v>7763</v>
      </c>
      <c r="M3286">
        <f>VLOOKUP(H3286,'Stage Order'!$A$2:$B$8,2,FALSE)</f>
        <v>6</v>
      </c>
      <c r="N3286" t="str">
        <f t="shared" si="102"/>
        <v>2. 1-24 hours</v>
      </c>
      <c r="O3286" t="str">
        <f t="shared" si="103"/>
        <v>2026-02</v>
      </c>
    </row>
    <row r="3287" spans="1:15" x14ac:dyDescent="0.3">
      <c r="A3287" t="s">
        <v>7764</v>
      </c>
      <c r="B3287" t="s">
        <v>7765</v>
      </c>
      <c r="C3287" t="s">
        <v>76</v>
      </c>
      <c r="D3287" t="s">
        <v>77</v>
      </c>
      <c r="E3287" t="s">
        <v>59</v>
      </c>
      <c r="F3287" t="s">
        <v>60</v>
      </c>
      <c r="G3287">
        <v>4.28</v>
      </c>
      <c r="H3287" t="s">
        <v>41</v>
      </c>
      <c r="I3287" t="s">
        <v>42</v>
      </c>
      <c r="M3287">
        <f>VLOOKUP(H3287,'Stage Order'!$A$2:$B$8,2,FALSE)</f>
        <v>2</v>
      </c>
      <c r="N3287" t="str">
        <f t="shared" si="102"/>
        <v>2. 1-24 hours</v>
      </c>
      <c r="O3287" t="str">
        <f t="shared" si="103"/>
        <v>2025-02</v>
      </c>
    </row>
    <row r="3288" spans="1:15" x14ac:dyDescent="0.3">
      <c r="A3288" t="s">
        <v>7766</v>
      </c>
      <c r="B3288" t="s">
        <v>7767</v>
      </c>
      <c r="C3288" t="s">
        <v>76</v>
      </c>
      <c r="D3288" t="s">
        <v>54</v>
      </c>
      <c r="E3288" t="s">
        <v>39</v>
      </c>
      <c r="F3288" t="s">
        <v>40</v>
      </c>
      <c r="G3288">
        <v>4.29</v>
      </c>
      <c r="H3288" t="s">
        <v>41</v>
      </c>
      <c r="I3288" t="s">
        <v>42</v>
      </c>
      <c r="M3288">
        <f>VLOOKUP(H3288,'Stage Order'!$A$2:$B$8,2,FALSE)</f>
        <v>2</v>
      </c>
      <c r="N3288" t="str">
        <f t="shared" si="102"/>
        <v>2. 1-24 hours</v>
      </c>
      <c r="O3288" t="str">
        <f t="shared" si="103"/>
        <v>2026-06</v>
      </c>
    </row>
    <row r="3289" spans="1:15" x14ac:dyDescent="0.3">
      <c r="A3289" t="s">
        <v>7768</v>
      </c>
      <c r="B3289" t="s">
        <v>7769</v>
      </c>
      <c r="C3289" t="s">
        <v>125</v>
      </c>
      <c r="D3289" t="s">
        <v>77</v>
      </c>
      <c r="E3289" t="s">
        <v>39</v>
      </c>
      <c r="F3289" t="s">
        <v>106</v>
      </c>
      <c r="G3289">
        <v>6.33</v>
      </c>
      <c r="H3289" t="s">
        <v>146</v>
      </c>
      <c r="I3289" t="s">
        <v>48</v>
      </c>
      <c r="J3289" t="s">
        <v>139</v>
      </c>
      <c r="K3289">
        <v>904.38</v>
      </c>
      <c r="L3289" t="s">
        <v>7770</v>
      </c>
      <c r="M3289">
        <f>VLOOKUP(H3289,'Stage Order'!$A$2:$B$8,2,FALSE)</f>
        <v>5</v>
      </c>
      <c r="N3289" t="str">
        <f t="shared" si="102"/>
        <v>2. 1-24 hours</v>
      </c>
      <c r="O3289" t="str">
        <f t="shared" si="103"/>
        <v>2025-05</v>
      </c>
    </row>
    <row r="3290" spans="1:15" x14ac:dyDescent="0.3">
      <c r="A3290" t="s">
        <v>7771</v>
      </c>
      <c r="B3290" t="s">
        <v>7772</v>
      </c>
      <c r="C3290" t="s">
        <v>58</v>
      </c>
      <c r="D3290" t="s">
        <v>54</v>
      </c>
      <c r="E3290" t="s">
        <v>45</v>
      </c>
      <c r="F3290" t="s">
        <v>46</v>
      </c>
      <c r="G3290">
        <v>1.35</v>
      </c>
      <c r="H3290" t="s">
        <v>41</v>
      </c>
      <c r="I3290" t="s">
        <v>42</v>
      </c>
      <c r="M3290">
        <f>VLOOKUP(H3290,'Stage Order'!$A$2:$B$8,2,FALSE)</f>
        <v>2</v>
      </c>
      <c r="N3290" t="str">
        <f t="shared" si="102"/>
        <v>2. 1-24 hours</v>
      </c>
      <c r="O3290" t="str">
        <f t="shared" si="103"/>
        <v>2025-12</v>
      </c>
    </row>
    <row r="3291" spans="1:15" x14ac:dyDescent="0.3">
      <c r="A3291" t="s">
        <v>7773</v>
      </c>
      <c r="B3291" t="s">
        <v>7774</v>
      </c>
      <c r="C3291" t="s">
        <v>28</v>
      </c>
      <c r="D3291" t="s">
        <v>29</v>
      </c>
      <c r="E3291" t="s">
        <v>45</v>
      </c>
      <c r="F3291" t="s">
        <v>94</v>
      </c>
      <c r="G3291">
        <v>1.65</v>
      </c>
      <c r="H3291" t="s">
        <v>41</v>
      </c>
      <c r="I3291" t="s">
        <v>42</v>
      </c>
      <c r="M3291">
        <f>VLOOKUP(H3291,'Stage Order'!$A$2:$B$8,2,FALSE)</f>
        <v>2</v>
      </c>
      <c r="N3291" t="str">
        <f t="shared" si="102"/>
        <v>2. 1-24 hours</v>
      </c>
      <c r="O3291" t="str">
        <f t="shared" si="103"/>
        <v>2025-12</v>
      </c>
    </row>
    <row r="3292" spans="1:15" x14ac:dyDescent="0.3">
      <c r="A3292" t="s">
        <v>7775</v>
      </c>
      <c r="B3292" t="s">
        <v>7776</v>
      </c>
      <c r="C3292" t="s">
        <v>81</v>
      </c>
      <c r="D3292" t="s">
        <v>38</v>
      </c>
      <c r="E3292" t="s">
        <v>30</v>
      </c>
      <c r="F3292" t="s">
        <v>31</v>
      </c>
      <c r="G3292">
        <v>1.52</v>
      </c>
      <c r="H3292" t="s">
        <v>41</v>
      </c>
      <c r="I3292" t="s">
        <v>42</v>
      </c>
      <c r="M3292">
        <f>VLOOKUP(H3292,'Stage Order'!$A$2:$B$8,2,FALSE)</f>
        <v>2</v>
      </c>
      <c r="N3292" t="str">
        <f t="shared" si="102"/>
        <v>2. 1-24 hours</v>
      </c>
      <c r="O3292" t="str">
        <f t="shared" si="103"/>
        <v>2025-12</v>
      </c>
    </row>
    <row r="3293" spans="1:15" x14ac:dyDescent="0.3">
      <c r="A3293" t="s">
        <v>7777</v>
      </c>
      <c r="B3293" t="s">
        <v>7778</v>
      </c>
      <c r="C3293" t="s">
        <v>76</v>
      </c>
      <c r="D3293" t="s">
        <v>77</v>
      </c>
      <c r="E3293" t="s">
        <v>59</v>
      </c>
      <c r="F3293" t="s">
        <v>137</v>
      </c>
      <c r="G3293">
        <v>17.850000000000001</v>
      </c>
      <c r="H3293" t="s">
        <v>41</v>
      </c>
      <c r="I3293" t="s">
        <v>42</v>
      </c>
      <c r="M3293">
        <f>VLOOKUP(H3293,'Stage Order'!$A$2:$B$8,2,FALSE)</f>
        <v>2</v>
      </c>
      <c r="N3293" t="str">
        <f t="shared" si="102"/>
        <v>2. 1-24 hours</v>
      </c>
      <c r="O3293" t="str">
        <f t="shared" si="103"/>
        <v>2025-10</v>
      </c>
    </row>
    <row r="3294" spans="1:15" x14ac:dyDescent="0.3">
      <c r="A3294" t="s">
        <v>7779</v>
      </c>
      <c r="B3294" t="s">
        <v>7780</v>
      </c>
      <c r="C3294" t="s">
        <v>37</v>
      </c>
      <c r="D3294" t="s">
        <v>38</v>
      </c>
      <c r="E3294" t="s">
        <v>59</v>
      </c>
      <c r="F3294" t="s">
        <v>117</v>
      </c>
      <c r="G3294">
        <v>3.09</v>
      </c>
      <c r="H3294" t="s">
        <v>32</v>
      </c>
      <c r="I3294" t="s">
        <v>33</v>
      </c>
      <c r="K3294">
        <v>408.84</v>
      </c>
      <c r="L3294" t="s">
        <v>7781</v>
      </c>
      <c r="M3294">
        <f>VLOOKUP(H3294,'Stage Order'!$A$2:$B$8,2,FALSE)</f>
        <v>7</v>
      </c>
      <c r="N3294" t="str">
        <f t="shared" si="102"/>
        <v>2. 1-24 hours</v>
      </c>
      <c r="O3294" t="str">
        <f t="shared" si="103"/>
        <v>2025-02</v>
      </c>
    </row>
    <row r="3295" spans="1:15" x14ac:dyDescent="0.3">
      <c r="A3295" t="s">
        <v>7782</v>
      </c>
      <c r="B3295" t="s">
        <v>7783</v>
      </c>
      <c r="C3295" t="s">
        <v>37</v>
      </c>
      <c r="D3295" t="s">
        <v>29</v>
      </c>
      <c r="E3295" t="s">
        <v>90</v>
      </c>
      <c r="F3295" t="s">
        <v>112</v>
      </c>
      <c r="G3295">
        <v>1.32</v>
      </c>
      <c r="H3295" t="s">
        <v>41</v>
      </c>
      <c r="I3295" t="s">
        <v>42</v>
      </c>
      <c r="M3295">
        <f>VLOOKUP(H3295,'Stage Order'!$A$2:$B$8,2,FALSE)</f>
        <v>2</v>
      </c>
      <c r="N3295" t="str">
        <f t="shared" si="102"/>
        <v>2. 1-24 hours</v>
      </c>
      <c r="O3295" t="str">
        <f t="shared" si="103"/>
        <v>2026-04</v>
      </c>
    </row>
    <row r="3296" spans="1:15" x14ac:dyDescent="0.3">
      <c r="A3296" t="s">
        <v>7784</v>
      </c>
      <c r="B3296" t="s">
        <v>7785</v>
      </c>
      <c r="C3296" t="s">
        <v>58</v>
      </c>
      <c r="D3296" t="s">
        <v>54</v>
      </c>
      <c r="E3296" t="s">
        <v>39</v>
      </c>
      <c r="F3296" t="s">
        <v>66</v>
      </c>
      <c r="G3296">
        <v>16.309999999999999</v>
      </c>
      <c r="H3296" t="s">
        <v>47</v>
      </c>
      <c r="I3296" t="s">
        <v>48</v>
      </c>
      <c r="J3296" t="s">
        <v>113</v>
      </c>
      <c r="K3296">
        <v>526.33000000000004</v>
      </c>
      <c r="L3296" t="s">
        <v>7786</v>
      </c>
      <c r="M3296">
        <f>VLOOKUP(H3296,'Stage Order'!$A$2:$B$8,2,FALSE)</f>
        <v>4</v>
      </c>
      <c r="N3296" t="str">
        <f t="shared" si="102"/>
        <v>2. 1-24 hours</v>
      </c>
      <c r="O3296" t="str">
        <f t="shared" si="103"/>
        <v>2025-04</v>
      </c>
    </row>
    <row r="3297" spans="1:15" x14ac:dyDescent="0.3">
      <c r="A3297" t="s">
        <v>7787</v>
      </c>
      <c r="B3297" t="s">
        <v>7788</v>
      </c>
      <c r="C3297" t="s">
        <v>58</v>
      </c>
      <c r="D3297" t="s">
        <v>38</v>
      </c>
      <c r="E3297" t="s">
        <v>90</v>
      </c>
      <c r="F3297" t="s">
        <v>112</v>
      </c>
      <c r="G3297">
        <v>5.12</v>
      </c>
      <c r="H3297" t="s">
        <v>61</v>
      </c>
      <c r="I3297" t="s">
        <v>42</v>
      </c>
      <c r="M3297">
        <f>VLOOKUP(H3297,'Stage Order'!$A$2:$B$8,2,FALSE)</f>
        <v>1</v>
      </c>
      <c r="N3297" t="str">
        <f t="shared" si="102"/>
        <v>2. 1-24 hours</v>
      </c>
      <c r="O3297" t="str">
        <f t="shared" si="103"/>
        <v>2026-06</v>
      </c>
    </row>
    <row r="3298" spans="1:15" x14ac:dyDescent="0.3">
      <c r="A3298" t="s">
        <v>7789</v>
      </c>
      <c r="B3298" t="s">
        <v>7790</v>
      </c>
      <c r="C3298" t="s">
        <v>53</v>
      </c>
      <c r="D3298" t="s">
        <v>54</v>
      </c>
      <c r="E3298" t="s">
        <v>45</v>
      </c>
      <c r="F3298" t="s">
        <v>46</v>
      </c>
      <c r="G3298">
        <v>7.07</v>
      </c>
      <c r="H3298" t="s">
        <v>32</v>
      </c>
      <c r="I3298" t="s">
        <v>33</v>
      </c>
      <c r="K3298">
        <v>478.83</v>
      </c>
      <c r="L3298" t="s">
        <v>7791</v>
      </c>
      <c r="M3298">
        <f>VLOOKUP(H3298,'Stage Order'!$A$2:$B$8,2,FALSE)</f>
        <v>7</v>
      </c>
      <c r="N3298" t="str">
        <f t="shared" si="102"/>
        <v>2. 1-24 hours</v>
      </c>
      <c r="O3298" t="str">
        <f t="shared" si="103"/>
        <v>2026-06</v>
      </c>
    </row>
    <row r="3299" spans="1:15" x14ac:dyDescent="0.3">
      <c r="A3299" t="s">
        <v>7792</v>
      </c>
      <c r="B3299" t="s">
        <v>7793</v>
      </c>
      <c r="C3299" t="s">
        <v>125</v>
      </c>
      <c r="D3299" t="s">
        <v>97</v>
      </c>
      <c r="E3299" t="s">
        <v>39</v>
      </c>
      <c r="F3299" t="s">
        <v>66</v>
      </c>
      <c r="G3299">
        <v>11.87</v>
      </c>
      <c r="H3299" t="s">
        <v>41</v>
      </c>
      <c r="I3299" t="s">
        <v>42</v>
      </c>
      <c r="M3299">
        <f>VLOOKUP(H3299,'Stage Order'!$A$2:$B$8,2,FALSE)</f>
        <v>2</v>
      </c>
      <c r="N3299" t="str">
        <f t="shared" si="102"/>
        <v>2. 1-24 hours</v>
      </c>
      <c r="O3299" t="str">
        <f t="shared" si="103"/>
        <v>2025-05</v>
      </c>
    </row>
    <row r="3300" spans="1:15" x14ac:dyDescent="0.3">
      <c r="A3300" t="s">
        <v>7794</v>
      </c>
      <c r="B3300" t="s">
        <v>7795</v>
      </c>
      <c r="C3300" t="s">
        <v>37</v>
      </c>
      <c r="D3300" t="s">
        <v>77</v>
      </c>
      <c r="E3300" t="s">
        <v>45</v>
      </c>
      <c r="F3300" t="s">
        <v>94</v>
      </c>
      <c r="G3300">
        <v>0.86</v>
      </c>
      <c r="H3300" t="s">
        <v>32</v>
      </c>
      <c r="I3300" t="s">
        <v>33</v>
      </c>
      <c r="K3300">
        <v>1182.57</v>
      </c>
      <c r="L3300" t="s">
        <v>7796</v>
      </c>
      <c r="M3300">
        <f>VLOOKUP(H3300,'Stage Order'!$A$2:$B$8,2,FALSE)</f>
        <v>7</v>
      </c>
      <c r="N3300" t="str">
        <f t="shared" si="102"/>
        <v>1. Under 1 hour</v>
      </c>
      <c r="O3300" t="str">
        <f t="shared" si="103"/>
        <v>2026-04</v>
      </c>
    </row>
    <row r="3301" spans="1:15" x14ac:dyDescent="0.3">
      <c r="A3301" t="s">
        <v>7797</v>
      </c>
      <c r="B3301" t="s">
        <v>2423</v>
      </c>
      <c r="C3301" t="s">
        <v>81</v>
      </c>
      <c r="D3301" t="s">
        <v>77</v>
      </c>
      <c r="E3301" t="s">
        <v>39</v>
      </c>
      <c r="F3301" t="s">
        <v>106</v>
      </c>
      <c r="G3301">
        <v>6.75</v>
      </c>
      <c r="H3301" t="s">
        <v>41</v>
      </c>
      <c r="I3301" t="s">
        <v>42</v>
      </c>
      <c r="M3301">
        <f>VLOOKUP(H3301,'Stage Order'!$A$2:$B$8,2,FALSE)</f>
        <v>2</v>
      </c>
      <c r="N3301" t="str">
        <f t="shared" si="102"/>
        <v>2. 1-24 hours</v>
      </c>
      <c r="O3301" t="str">
        <f t="shared" si="103"/>
        <v>2025-06</v>
      </c>
    </row>
    <row r="3302" spans="1:15" x14ac:dyDescent="0.3">
      <c r="A3302" t="s">
        <v>7798</v>
      </c>
      <c r="B3302" t="s">
        <v>7799</v>
      </c>
      <c r="C3302" t="s">
        <v>53</v>
      </c>
      <c r="D3302" t="s">
        <v>77</v>
      </c>
      <c r="E3302" t="s">
        <v>90</v>
      </c>
      <c r="F3302" t="s">
        <v>112</v>
      </c>
      <c r="G3302">
        <v>2.5</v>
      </c>
      <c r="H3302" t="s">
        <v>41</v>
      </c>
      <c r="I3302" t="s">
        <v>42</v>
      </c>
      <c r="M3302">
        <f>VLOOKUP(H3302,'Stage Order'!$A$2:$B$8,2,FALSE)</f>
        <v>2</v>
      </c>
      <c r="N3302" t="str">
        <f t="shared" si="102"/>
        <v>2. 1-24 hours</v>
      </c>
      <c r="O3302" t="str">
        <f t="shared" si="103"/>
        <v>2026-01</v>
      </c>
    </row>
    <row r="3303" spans="1:15" x14ac:dyDescent="0.3">
      <c r="A3303" t="s">
        <v>7800</v>
      </c>
      <c r="B3303" t="s">
        <v>7801</v>
      </c>
      <c r="C3303" t="s">
        <v>37</v>
      </c>
      <c r="D3303" t="s">
        <v>97</v>
      </c>
      <c r="E3303" t="s">
        <v>45</v>
      </c>
      <c r="F3303" t="s">
        <v>55</v>
      </c>
      <c r="G3303">
        <v>3.45</v>
      </c>
      <c r="H3303" t="s">
        <v>138</v>
      </c>
      <c r="I3303" t="s">
        <v>48</v>
      </c>
      <c r="J3303" t="s">
        <v>742</v>
      </c>
      <c r="K3303">
        <v>1362.74</v>
      </c>
      <c r="L3303" t="s">
        <v>7802</v>
      </c>
      <c r="M3303">
        <f>VLOOKUP(H3303,'Stage Order'!$A$2:$B$8,2,FALSE)</f>
        <v>6</v>
      </c>
      <c r="N3303" t="str">
        <f t="shared" si="102"/>
        <v>2. 1-24 hours</v>
      </c>
      <c r="O3303" t="str">
        <f t="shared" si="103"/>
        <v>2026-01</v>
      </c>
    </row>
    <row r="3304" spans="1:15" x14ac:dyDescent="0.3">
      <c r="A3304" t="s">
        <v>7803</v>
      </c>
      <c r="B3304" t="s">
        <v>7804</v>
      </c>
      <c r="C3304" t="s">
        <v>37</v>
      </c>
      <c r="D3304" t="s">
        <v>54</v>
      </c>
      <c r="E3304" t="s">
        <v>90</v>
      </c>
      <c r="F3304" t="s">
        <v>91</v>
      </c>
      <c r="G3304">
        <v>3.84</v>
      </c>
      <c r="H3304" t="s">
        <v>61</v>
      </c>
      <c r="I3304" t="s">
        <v>42</v>
      </c>
      <c r="M3304">
        <f>VLOOKUP(H3304,'Stage Order'!$A$2:$B$8,2,FALSE)</f>
        <v>1</v>
      </c>
      <c r="N3304" t="str">
        <f t="shared" si="102"/>
        <v>2. 1-24 hours</v>
      </c>
      <c r="O3304" t="str">
        <f t="shared" si="103"/>
        <v>2025-08</v>
      </c>
    </row>
    <row r="3305" spans="1:15" x14ac:dyDescent="0.3">
      <c r="A3305" t="s">
        <v>7805</v>
      </c>
      <c r="B3305" t="s">
        <v>7806</v>
      </c>
      <c r="C3305" t="s">
        <v>125</v>
      </c>
      <c r="D3305" t="s">
        <v>29</v>
      </c>
      <c r="E3305" t="s">
        <v>39</v>
      </c>
      <c r="F3305" t="s">
        <v>40</v>
      </c>
      <c r="G3305">
        <v>2.59</v>
      </c>
      <c r="H3305" t="s">
        <v>61</v>
      </c>
      <c r="I3305" t="s">
        <v>42</v>
      </c>
      <c r="M3305">
        <f>VLOOKUP(H3305,'Stage Order'!$A$2:$B$8,2,FALSE)</f>
        <v>1</v>
      </c>
      <c r="N3305" t="str">
        <f t="shared" si="102"/>
        <v>2. 1-24 hours</v>
      </c>
      <c r="O3305" t="str">
        <f t="shared" si="103"/>
        <v>2025-03</v>
      </c>
    </row>
    <row r="3306" spans="1:15" x14ac:dyDescent="0.3">
      <c r="A3306" t="s">
        <v>7807</v>
      </c>
      <c r="B3306" t="s">
        <v>7808</v>
      </c>
      <c r="C3306" t="s">
        <v>53</v>
      </c>
      <c r="D3306" t="s">
        <v>77</v>
      </c>
      <c r="E3306" t="s">
        <v>39</v>
      </c>
      <c r="F3306" t="s">
        <v>106</v>
      </c>
      <c r="G3306">
        <v>14.99</v>
      </c>
      <c r="H3306" t="s">
        <v>47</v>
      </c>
      <c r="I3306" t="s">
        <v>48</v>
      </c>
      <c r="J3306" t="s">
        <v>742</v>
      </c>
      <c r="K3306">
        <v>932.13</v>
      </c>
      <c r="L3306" t="s">
        <v>7809</v>
      </c>
      <c r="M3306">
        <f>VLOOKUP(H3306,'Stage Order'!$A$2:$B$8,2,FALSE)</f>
        <v>4</v>
      </c>
      <c r="N3306" t="str">
        <f t="shared" si="102"/>
        <v>2. 1-24 hours</v>
      </c>
      <c r="O3306" t="str">
        <f t="shared" si="103"/>
        <v>2025-06</v>
      </c>
    </row>
    <row r="3307" spans="1:15" x14ac:dyDescent="0.3">
      <c r="A3307" t="s">
        <v>7810</v>
      </c>
      <c r="B3307" t="s">
        <v>7811</v>
      </c>
      <c r="C3307" t="s">
        <v>37</v>
      </c>
      <c r="D3307" t="s">
        <v>77</v>
      </c>
      <c r="E3307" t="s">
        <v>39</v>
      </c>
      <c r="F3307" t="s">
        <v>106</v>
      </c>
      <c r="G3307">
        <v>13.91</v>
      </c>
      <c r="H3307" t="s">
        <v>41</v>
      </c>
      <c r="I3307" t="s">
        <v>42</v>
      </c>
      <c r="M3307">
        <f>VLOOKUP(H3307,'Stage Order'!$A$2:$B$8,2,FALSE)</f>
        <v>2</v>
      </c>
      <c r="N3307" t="str">
        <f t="shared" si="102"/>
        <v>2. 1-24 hours</v>
      </c>
      <c r="O3307" t="str">
        <f t="shared" si="103"/>
        <v>2025-10</v>
      </c>
    </row>
    <row r="3308" spans="1:15" x14ac:dyDescent="0.3">
      <c r="A3308" t="s">
        <v>7812</v>
      </c>
      <c r="B3308" t="s">
        <v>7813</v>
      </c>
      <c r="C3308" t="s">
        <v>58</v>
      </c>
      <c r="D3308" t="s">
        <v>97</v>
      </c>
      <c r="E3308" t="s">
        <v>45</v>
      </c>
      <c r="F3308" t="s">
        <v>55</v>
      </c>
      <c r="G3308">
        <v>19.36</v>
      </c>
      <c r="H3308" t="s">
        <v>41</v>
      </c>
      <c r="I3308" t="s">
        <v>42</v>
      </c>
      <c r="M3308">
        <f>VLOOKUP(H3308,'Stage Order'!$A$2:$B$8,2,FALSE)</f>
        <v>2</v>
      </c>
      <c r="N3308" t="str">
        <f t="shared" si="102"/>
        <v>2. 1-24 hours</v>
      </c>
      <c r="O3308" t="str">
        <f t="shared" si="103"/>
        <v>2026-04</v>
      </c>
    </row>
    <row r="3309" spans="1:15" x14ac:dyDescent="0.3">
      <c r="A3309" t="s">
        <v>7814</v>
      </c>
      <c r="B3309" t="s">
        <v>7815</v>
      </c>
      <c r="C3309" t="s">
        <v>53</v>
      </c>
      <c r="D3309" t="s">
        <v>29</v>
      </c>
      <c r="E3309" t="s">
        <v>45</v>
      </c>
      <c r="F3309" t="s">
        <v>46</v>
      </c>
      <c r="G3309">
        <v>2.13</v>
      </c>
      <c r="H3309" t="s">
        <v>41</v>
      </c>
      <c r="I3309" t="s">
        <v>42</v>
      </c>
      <c r="M3309">
        <f>VLOOKUP(H3309,'Stage Order'!$A$2:$B$8,2,FALSE)</f>
        <v>2</v>
      </c>
      <c r="N3309" t="str">
        <f t="shared" si="102"/>
        <v>2. 1-24 hours</v>
      </c>
      <c r="O3309" t="str">
        <f t="shared" si="103"/>
        <v>2026-03</v>
      </c>
    </row>
    <row r="3310" spans="1:15" x14ac:dyDescent="0.3">
      <c r="A3310" t="s">
        <v>7816</v>
      </c>
      <c r="B3310" t="s">
        <v>7817</v>
      </c>
      <c r="C3310" t="s">
        <v>125</v>
      </c>
      <c r="D3310" t="s">
        <v>38</v>
      </c>
      <c r="E3310" t="s">
        <v>39</v>
      </c>
      <c r="F3310" t="s">
        <v>106</v>
      </c>
      <c r="G3310">
        <v>3.1</v>
      </c>
      <c r="H3310" t="s">
        <v>146</v>
      </c>
      <c r="I3310" t="s">
        <v>48</v>
      </c>
      <c r="J3310" t="s">
        <v>98</v>
      </c>
      <c r="K3310">
        <v>356.45</v>
      </c>
      <c r="L3310" t="s">
        <v>7818</v>
      </c>
      <c r="M3310">
        <f>VLOOKUP(H3310,'Stage Order'!$A$2:$B$8,2,FALSE)</f>
        <v>5</v>
      </c>
      <c r="N3310" t="str">
        <f t="shared" si="102"/>
        <v>2. 1-24 hours</v>
      </c>
      <c r="O3310" t="str">
        <f t="shared" si="103"/>
        <v>2025-11</v>
      </c>
    </row>
    <row r="3311" spans="1:15" x14ac:dyDescent="0.3">
      <c r="A3311" t="s">
        <v>7819</v>
      </c>
      <c r="B3311" t="s">
        <v>7820</v>
      </c>
      <c r="C3311" t="s">
        <v>58</v>
      </c>
      <c r="D3311" t="s">
        <v>29</v>
      </c>
      <c r="E3311" t="s">
        <v>39</v>
      </c>
      <c r="F3311" t="s">
        <v>40</v>
      </c>
      <c r="G3311">
        <v>2.69</v>
      </c>
      <c r="H3311" t="s">
        <v>41</v>
      </c>
      <c r="I3311" t="s">
        <v>42</v>
      </c>
      <c r="M3311">
        <f>VLOOKUP(H3311,'Stage Order'!$A$2:$B$8,2,FALSE)</f>
        <v>2</v>
      </c>
      <c r="N3311" t="str">
        <f t="shared" si="102"/>
        <v>2. 1-24 hours</v>
      </c>
      <c r="O3311" t="str">
        <f t="shared" si="103"/>
        <v>2025-02</v>
      </c>
    </row>
    <row r="3312" spans="1:15" x14ac:dyDescent="0.3">
      <c r="A3312" t="s">
        <v>7821</v>
      </c>
      <c r="B3312" t="s">
        <v>7822</v>
      </c>
      <c r="C3312" t="s">
        <v>125</v>
      </c>
      <c r="D3312" t="s">
        <v>54</v>
      </c>
      <c r="E3312" t="s">
        <v>45</v>
      </c>
      <c r="F3312" t="s">
        <v>46</v>
      </c>
      <c r="G3312">
        <v>5.17</v>
      </c>
      <c r="H3312" t="s">
        <v>41</v>
      </c>
      <c r="I3312" t="s">
        <v>42</v>
      </c>
      <c r="M3312">
        <f>VLOOKUP(H3312,'Stage Order'!$A$2:$B$8,2,FALSE)</f>
        <v>2</v>
      </c>
      <c r="N3312" t="str">
        <f t="shared" si="102"/>
        <v>2. 1-24 hours</v>
      </c>
      <c r="O3312" t="str">
        <f t="shared" si="103"/>
        <v>2026-06</v>
      </c>
    </row>
    <row r="3313" spans="1:15" x14ac:dyDescent="0.3">
      <c r="A3313" t="s">
        <v>7823</v>
      </c>
      <c r="B3313" t="s">
        <v>7824</v>
      </c>
      <c r="C3313" t="s">
        <v>53</v>
      </c>
      <c r="D3313" t="s">
        <v>54</v>
      </c>
      <c r="E3313" t="s">
        <v>90</v>
      </c>
      <c r="F3313" t="s">
        <v>91</v>
      </c>
      <c r="G3313">
        <v>2.87</v>
      </c>
      <c r="H3313" t="s">
        <v>41</v>
      </c>
      <c r="I3313" t="s">
        <v>42</v>
      </c>
      <c r="M3313">
        <f>VLOOKUP(H3313,'Stage Order'!$A$2:$B$8,2,FALSE)</f>
        <v>2</v>
      </c>
      <c r="N3313" t="str">
        <f t="shared" si="102"/>
        <v>2. 1-24 hours</v>
      </c>
      <c r="O3313" t="str">
        <f t="shared" si="103"/>
        <v>2026-01</v>
      </c>
    </row>
    <row r="3314" spans="1:15" x14ac:dyDescent="0.3">
      <c r="A3314" t="s">
        <v>7825</v>
      </c>
      <c r="B3314" t="s">
        <v>7826</v>
      </c>
      <c r="C3314" t="s">
        <v>81</v>
      </c>
      <c r="D3314" t="s">
        <v>54</v>
      </c>
      <c r="E3314" t="s">
        <v>45</v>
      </c>
      <c r="F3314" t="s">
        <v>46</v>
      </c>
      <c r="G3314">
        <v>2.4900000000000002</v>
      </c>
      <c r="H3314" t="s">
        <v>41</v>
      </c>
      <c r="I3314" t="s">
        <v>42</v>
      </c>
      <c r="M3314">
        <f>VLOOKUP(H3314,'Stage Order'!$A$2:$B$8,2,FALSE)</f>
        <v>2</v>
      </c>
      <c r="N3314" t="str">
        <f t="shared" si="102"/>
        <v>2. 1-24 hours</v>
      </c>
      <c r="O3314" t="str">
        <f t="shared" si="103"/>
        <v>2025-06</v>
      </c>
    </row>
    <row r="3315" spans="1:15" x14ac:dyDescent="0.3">
      <c r="A3315" t="s">
        <v>7827</v>
      </c>
      <c r="B3315" t="s">
        <v>7828</v>
      </c>
      <c r="C3315" t="s">
        <v>58</v>
      </c>
      <c r="D3315" t="s">
        <v>54</v>
      </c>
      <c r="E3315" t="s">
        <v>45</v>
      </c>
      <c r="F3315" t="s">
        <v>55</v>
      </c>
      <c r="G3315">
        <v>4.3099999999999996</v>
      </c>
      <c r="H3315" t="s">
        <v>138</v>
      </c>
      <c r="I3315" t="s">
        <v>48</v>
      </c>
      <c r="J3315" t="s">
        <v>98</v>
      </c>
      <c r="K3315">
        <v>598.58000000000004</v>
      </c>
      <c r="L3315" t="s">
        <v>7829</v>
      </c>
      <c r="M3315">
        <f>VLOOKUP(H3315,'Stage Order'!$A$2:$B$8,2,FALSE)</f>
        <v>6</v>
      </c>
      <c r="N3315" t="str">
        <f t="shared" si="102"/>
        <v>2. 1-24 hours</v>
      </c>
      <c r="O3315" t="str">
        <f t="shared" si="103"/>
        <v>2026-05</v>
      </c>
    </row>
    <row r="3316" spans="1:15" x14ac:dyDescent="0.3">
      <c r="A3316" t="s">
        <v>7830</v>
      </c>
      <c r="B3316" t="s">
        <v>7831</v>
      </c>
      <c r="C3316" t="s">
        <v>28</v>
      </c>
      <c r="D3316" t="s">
        <v>29</v>
      </c>
      <c r="E3316" t="s">
        <v>90</v>
      </c>
      <c r="F3316" t="s">
        <v>91</v>
      </c>
      <c r="G3316">
        <v>4.13</v>
      </c>
      <c r="H3316" t="s">
        <v>41</v>
      </c>
      <c r="I3316" t="s">
        <v>42</v>
      </c>
      <c r="M3316">
        <f>VLOOKUP(H3316,'Stage Order'!$A$2:$B$8,2,FALSE)</f>
        <v>2</v>
      </c>
      <c r="N3316" t="str">
        <f t="shared" si="102"/>
        <v>2. 1-24 hours</v>
      </c>
      <c r="O3316" t="str">
        <f t="shared" si="103"/>
        <v>2026-01</v>
      </c>
    </row>
    <row r="3317" spans="1:15" x14ac:dyDescent="0.3">
      <c r="A3317" t="s">
        <v>7832</v>
      </c>
      <c r="B3317" t="s">
        <v>7833</v>
      </c>
      <c r="C3317" t="s">
        <v>76</v>
      </c>
      <c r="D3317" t="s">
        <v>97</v>
      </c>
      <c r="E3317" t="s">
        <v>90</v>
      </c>
      <c r="F3317" t="s">
        <v>145</v>
      </c>
      <c r="G3317">
        <v>0.54</v>
      </c>
      <c r="H3317" t="s">
        <v>61</v>
      </c>
      <c r="I3317" t="s">
        <v>42</v>
      </c>
      <c r="M3317">
        <f>VLOOKUP(H3317,'Stage Order'!$A$2:$B$8,2,FALSE)</f>
        <v>1</v>
      </c>
      <c r="N3317" t="str">
        <f t="shared" si="102"/>
        <v>1. Under 1 hour</v>
      </c>
      <c r="O3317" t="str">
        <f t="shared" si="103"/>
        <v>2025-05</v>
      </c>
    </row>
    <row r="3318" spans="1:15" x14ac:dyDescent="0.3">
      <c r="A3318" t="s">
        <v>7834</v>
      </c>
      <c r="B3318" t="s">
        <v>7835</v>
      </c>
      <c r="C3318" t="s">
        <v>125</v>
      </c>
      <c r="D3318" t="s">
        <v>77</v>
      </c>
      <c r="E3318" t="s">
        <v>45</v>
      </c>
      <c r="F3318" t="s">
        <v>55</v>
      </c>
      <c r="G3318">
        <v>2.23</v>
      </c>
      <c r="H3318" t="s">
        <v>41</v>
      </c>
      <c r="I3318" t="s">
        <v>42</v>
      </c>
      <c r="M3318">
        <f>VLOOKUP(H3318,'Stage Order'!$A$2:$B$8,2,FALSE)</f>
        <v>2</v>
      </c>
      <c r="N3318" t="str">
        <f t="shared" si="102"/>
        <v>2. 1-24 hours</v>
      </c>
      <c r="O3318" t="str">
        <f t="shared" si="103"/>
        <v>2025-09</v>
      </c>
    </row>
    <row r="3319" spans="1:15" x14ac:dyDescent="0.3">
      <c r="A3319" t="s">
        <v>7836</v>
      </c>
      <c r="B3319" t="s">
        <v>7837</v>
      </c>
      <c r="C3319" t="s">
        <v>28</v>
      </c>
      <c r="D3319" t="s">
        <v>77</v>
      </c>
      <c r="E3319" t="s">
        <v>39</v>
      </c>
      <c r="F3319" t="s">
        <v>66</v>
      </c>
      <c r="G3319">
        <v>0.74</v>
      </c>
      <c r="H3319" t="s">
        <v>32</v>
      </c>
      <c r="I3319" t="s">
        <v>33</v>
      </c>
      <c r="K3319">
        <v>1057.02</v>
      </c>
      <c r="L3319" t="s">
        <v>7838</v>
      </c>
      <c r="M3319">
        <f>VLOOKUP(H3319,'Stage Order'!$A$2:$B$8,2,FALSE)</f>
        <v>7</v>
      </c>
      <c r="N3319" t="str">
        <f t="shared" si="102"/>
        <v>1. Under 1 hour</v>
      </c>
      <c r="O3319" t="str">
        <f t="shared" si="103"/>
        <v>2026-05</v>
      </c>
    </row>
    <row r="3320" spans="1:15" x14ac:dyDescent="0.3">
      <c r="A3320" t="s">
        <v>7839</v>
      </c>
      <c r="B3320" t="s">
        <v>7840</v>
      </c>
      <c r="C3320" t="s">
        <v>37</v>
      </c>
      <c r="D3320" t="s">
        <v>29</v>
      </c>
      <c r="E3320" t="s">
        <v>59</v>
      </c>
      <c r="F3320" t="s">
        <v>137</v>
      </c>
      <c r="G3320">
        <v>1.38</v>
      </c>
      <c r="H3320" t="s">
        <v>61</v>
      </c>
      <c r="I3320" t="s">
        <v>42</v>
      </c>
      <c r="M3320">
        <f>VLOOKUP(H3320,'Stage Order'!$A$2:$B$8,2,FALSE)</f>
        <v>1</v>
      </c>
      <c r="N3320" t="str">
        <f t="shared" si="102"/>
        <v>2. 1-24 hours</v>
      </c>
      <c r="O3320" t="str">
        <f t="shared" si="103"/>
        <v>2025-10</v>
      </c>
    </row>
    <row r="3321" spans="1:15" x14ac:dyDescent="0.3">
      <c r="A3321" t="s">
        <v>7841</v>
      </c>
      <c r="B3321" t="s">
        <v>7842</v>
      </c>
      <c r="C3321" t="s">
        <v>81</v>
      </c>
      <c r="D3321" t="s">
        <v>54</v>
      </c>
      <c r="E3321" t="s">
        <v>59</v>
      </c>
      <c r="F3321" t="s">
        <v>60</v>
      </c>
      <c r="G3321">
        <v>3.62</v>
      </c>
      <c r="H3321" t="s">
        <v>47</v>
      </c>
      <c r="I3321" t="s">
        <v>48</v>
      </c>
      <c r="J3321" t="s">
        <v>742</v>
      </c>
      <c r="K3321">
        <v>482.28</v>
      </c>
      <c r="L3321" t="s">
        <v>7843</v>
      </c>
      <c r="M3321">
        <f>VLOOKUP(H3321,'Stage Order'!$A$2:$B$8,2,FALSE)</f>
        <v>4</v>
      </c>
      <c r="N3321" t="str">
        <f t="shared" si="102"/>
        <v>2. 1-24 hours</v>
      </c>
      <c r="O3321" t="str">
        <f t="shared" si="103"/>
        <v>2025-11</v>
      </c>
    </row>
    <row r="3322" spans="1:15" x14ac:dyDescent="0.3">
      <c r="A3322" t="s">
        <v>7844</v>
      </c>
      <c r="B3322" t="s">
        <v>7845</v>
      </c>
      <c r="C3322" t="s">
        <v>125</v>
      </c>
      <c r="D3322" t="s">
        <v>77</v>
      </c>
      <c r="E3322" t="s">
        <v>45</v>
      </c>
      <c r="F3322" t="s">
        <v>94</v>
      </c>
      <c r="G3322">
        <v>3.68</v>
      </c>
      <c r="H3322" t="s">
        <v>128</v>
      </c>
      <c r="I3322" t="s">
        <v>42</v>
      </c>
      <c r="M3322">
        <f>VLOOKUP(H3322,'Stage Order'!$A$2:$B$8,2,FALSE)</f>
        <v>3</v>
      </c>
      <c r="N3322" t="str">
        <f t="shared" si="102"/>
        <v>2. 1-24 hours</v>
      </c>
      <c r="O3322" t="str">
        <f t="shared" si="103"/>
        <v>2025-02</v>
      </c>
    </row>
    <row r="3323" spans="1:15" x14ac:dyDescent="0.3">
      <c r="A3323" t="s">
        <v>7846</v>
      </c>
      <c r="B3323" t="s">
        <v>7847</v>
      </c>
      <c r="C3323" t="s">
        <v>125</v>
      </c>
      <c r="D3323" t="s">
        <v>29</v>
      </c>
      <c r="E3323" t="s">
        <v>59</v>
      </c>
      <c r="F3323" t="s">
        <v>60</v>
      </c>
      <c r="G3323">
        <v>1.89</v>
      </c>
      <c r="H3323" t="s">
        <v>41</v>
      </c>
      <c r="I3323" t="s">
        <v>42</v>
      </c>
      <c r="M3323">
        <f>VLOOKUP(H3323,'Stage Order'!$A$2:$B$8,2,FALSE)</f>
        <v>2</v>
      </c>
      <c r="N3323" t="str">
        <f t="shared" si="102"/>
        <v>2. 1-24 hours</v>
      </c>
      <c r="O3323" t="str">
        <f t="shared" si="103"/>
        <v>2026-06</v>
      </c>
    </row>
    <row r="3324" spans="1:15" x14ac:dyDescent="0.3">
      <c r="A3324" t="s">
        <v>7848</v>
      </c>
      <c r="B3324" t="s">
        <v>7849</v>
      </c>
      <c r="C3324" t="s">
        <v>58</v>
      </c>
      <c r="D3324" t="s">
        <v>29</v>
      </c>
      <c r="E3324" t="s">
        <v>90</v>
      </c>
      <c r="F3324" t="s">
        <v>145</v>
      </c>
      <c r="G3324">
        <v>2.69</v>
      </c>
      <c r="H3324" t="s">
        <v>138</v>
      </c>
      <c r="I3324" t="s">
        <v>48</v>
      </c>
      <c r="J3324" t="s">
        <v>139</v>
      </c>
      <c r="K3324">
        <v>768.81</v>
      </c>
      <c r="L3324" t="s">
        <v>7850</v>
      </c>
      <c r="M3324">
        <f>VLOOKUP(H3324,'Stage Order'!$A$2:$B$8,2,FALSE)</f>
        <v>6</v>
      </c>
      <c r="N3324" t="str">
        <f t="shared" si="102"/>
        <v>2. 1-24 hours</v>
      </c>
      <c r="O3324" t="str">
        <f t="shared" si="103"/>
        <v>2025-11</v>
      </c>
    </row>
    <row r="3325" spans="1:15" x14ac:dyDescent="0.3">
      <c r="A3325" t="s">
        <v>7851</v>
      </c>
      <c r="B3325" t="s">
        <v>7852</v>
      </c>
      <c r="C3325" t="s">
        <v>58</v>
      </c>
      <c r="D3325" t="s">
        <v>97</v>
      </c>
      <c r="E3325" t="s">
        <v>45</v>
      </c>
      <c r="F3325" t="s">
        <v>46</v>
      </c>
      <c r="G3325">
        <v>3.24</v>
      </c>
      <c r="H3325" t="s">
        <v>41</v>
      </c>
      <c r="I3325" t="s">
        <v>42</v>
      </c>
      <c r="M3325">
        <f>VLOOKUP(H3325,'Stage Order'!$A$2:$B$8,2,FALSE)</f>
        <v>2</v>
      </c>
      <c r="N3325" t="str">
        <f t="shared" si="102"/>
        <v>2. 1-24 hours</v>
      </c>
      <c r="O3325" t="str">
        <f t="shared" si="103"/>
        <v>2025-08</v>
      </c>
    </row>
    <row r="3326" spans="1:15" x14ac:dyDescent="0.3">
      <c r="A3326" t="s">
        <v>7853</v>
      </c>
      <c r="B3326" t="s">
        <v>7854</v>
      </c>
      <c r="C3326" t="s">
        <v>37</v>
      </c>
      <c r="D3326" t="s">
        <v>77</v>
      </c>
      <c r="E3326" t="s">
        <v>39</v>
      </c>
      <c r="F3326" t="s">
        <v>66</v>
      </c>
      <c r="G3326">
        <v>10.1</v>
      </c>
      <c r="H3326" t="s">
        <v>128</v>
      </c>
      <c r="I3326" t="s">
        <v>42</v>
      </c>
      <c r="M3326">
        <f>VLOOKUP(H3326,'Stage Order'!$A$2:$B$8,2,FALSE)</f>
        <v>3</v>
      </c>
      <c r="N3326" t="str">
        <f t="shared" si="102"/>
        <v>2. 1-24 hours</v>
      </c>
      <c r="O3326" t="str">
        <f t="shared" si="103"/>
        <v>2025-09</v>
      </c>
    </row>
    <row r="3327" spans="1:15" x14ac:dyDescent="0.3">
      <c r="A3327" t="s">
        <v>7855</v>
      </c>
      <c r="B3327" t="s">
        <v>7856</v>
      </c>
      <c r="C3327" t="s">
        <v>58</v>
      </c>
      <c r="D3327" t="s">
        <v>54</v>
      </c>
      <c r="E3327" t="s">
        <v>90</v>
      </c>
      <c r="F3327" t="s">
        <v>112</v>
      </c>
      <c r="G3327">
        <v>0.97</v>
      </c>
      <c r="H3327" t="s">
        <v>41</v>
      </c>
      <c r="I3327" t="s">
        <v>42</v>
      </c>
      <c r="M3327">
        <f>VLOOKUP(H3327,'Stage Order'!$A$2:$B$8,2,FALSE)</f>
        <v>2</v>
      </c>
      <c r="N3327" t="str">
        <f t="shared" si="102"/>
        <v>1. Under 1 hour</v>
      </c>
      <c r="O3327" t="str">
        <f t="shared" si="103"/>
        <v>2026-04</v>
      </c>
    </row>
    <row r="3328" spans="1:15" x14ac:dyDescent="0.3">
      <c r="A3328" t="s">
        <v>7857</v>
      </c>
      <c r="B3328" t="s">
        <v>7858</v>
      </c>
      <c r="C3328" t="s">
        <v>125</v>
      </c>
      <c r="D3328" t="s">
        <v>77</v>
      </c>
      <c r="E3328" t="s">
        <v>45</v>
      </c>
      <c r="F3328" t="s">
        <v>55</v>
      </c>
      <c r="G3328">
        <v>3.25</v>
      </c>
      <c r="H3328" t="s">
        <v>61</v>
      </c>
      <c r="I3328" t="s">
        <v>42</v>
      </c>
      <c r="M3328">
        <f>VLOOKUP(H3328,'Stage Order'!$A$2:$B$8,2,FALSE)</f>
        <v>1</v>
      </c>
      <c r="N3328" t="str">
        <f t="shared" si="102"/>
        <v>2. 1-24 hours</v>
      </c>
      <c r="O3328" t="str">
        <f t="shared" si="103"/>
        <v>2026-05</v>
      </c>
    </row>
    <row r="3329" spans="1:15" x14ac:dyDescent="0.3">
      <c r="A3329" t="s">
        <v>7859</v>
      </c>
      <c r="B3329" t="s">
        <v>7860</v>
      </c>
      <c r="C3329" t="s">
        <v>28</v>
      </c>
      <c r="D3329" t="s">
        <v>54</v>
      </c>
      <c r="E3329" t="s">
        <v>39</v>
      </c>
      <c r="F3329" t="s">
        <v>40</v>
      </c>
      <c r="G3329">
        <v>9.74</v>
      </c>
      <c r="H3329" t="s">
        <v>128</v>
      </c>
      <c r="I3329" t="s">
        <v>42</v>
      </c>
      <c r="M3329">
        <f>VLOOKUP(H3329,'Stage Order'!$A$2:$B$8,2,FALSE)</f>
        <v>3</v>
      </c>
      <c r="N3329" t="str">
        <f t="shared" si="102"/>
        <v>2. 1-24 hours</v>
      </c>
      <c r="O3329" t="str">
        <f t="shared" si="103"/>
        <v>2026-02</v>
      </c>
    </row>
    <row r="3330" spans="1:15" x14ac:dyDescent="0.3">
      <c r="A3330" t="s">
        <v>7861</v>
      </c>
      <c r="B3330" t="s">
        <v>7862</v>
      </c>
      <c r="C3330" t="s">
        <v>125</v>
      </c>
      <c r="D3330" t="s">
        <v>38</v>
      </c>
      <c r="E3330" t="s">
        <v>59</v>
      </c>
      <c r="F3330" t="s">
        <v>137</v>
      </c>
      <c r="G3330">
        <v>9.36</v>
      </c>
      <c r="H3330" t="s">
        <v>41</v>
      </c>
      <c r="I3330" t="s">
        <v>42</v>
      </c>
      <c r="M3330">
        <f>VLOOKUP(H3330,'Stage Order'!$A$2:$B$8,2,FALSE)</f>
        <v>2</v>
      </c>
      <c r="N3330" t="str">
        <f t="shared" ref="N3330:N3393" si="104">IF(G3330&lt;=1,"1. Under 1 hour",IF(G3330&lt;=24,"2. 1-24 hours",IF(G3330&lt;=72,"3. 1-3 days","4. Over 3 days")))</f>
        <v>2. 1-24 hours</v>
      </c>
      <c r="O3330" t="str">
        <f t="shared" ref="O3330:O3393" si="105">TEXT(B3330,"YYYY-MM")</f>
        <v>2026-05</v>
      </c>
    </row>
    <row r="3331" spans="1:15" x14ac:dyDescent="0.3">
      <c r="A3331" t="s">
        <v>7863</v>
      </c>
      <c r="B3331" t="s">
        <v>7864</v>
      </c>
      <c r="C3331" t="s">
        <v>37</v>
      </c>
      <c r="D3331" t="s">
        <v>29</v>
      </c>
      <c r="E3331" t="s">
        <v>59</v>
      </c>
      <c r="F3331" t="s">
        <v>117</v>
      </c>
      <c r="G3331">
        <v>2.85</v>
      </c>
      <c r="H3331" t="s">
        <v>41</v>
      </c>
      <c r="I3331" t="s">
        <v>42</v>
      </c>
      <c r="M3331">
        <f>VLOOKUP(H3331,'Stage Order'!$A$2:$B$8,2,FALSE)</f>
        <v>2</v>
      </c>
      <c r="N3331" t="str">
        <f t="shared" si="104"/>
        <v>2. 1-24 hours</v>
      </c>
      <c r="O3331" t="str">
        <f t="shared" si="105"/>
        <v>2025-09</v>
      </c>
    </row>
    <row r="3332" spans="1:15" x14ac:dyDescent="0.3">
      <c r="A3332" t="s">
        <v>7865</v>
      </c>
      <c r="B3332" t="s">
        <v>7866</v>
      </c>
      <c r="C3332" t="s">
        <v>37</v>
      </c>
      <c r="D3332" t="s">
        <v>54</v>
      </c>
      <c r="E3332" t="s">
        <v>90</v>
      </c>
      <c r="F3332" t="s">
        <v>91</v>
      </c>
      <c r="G3332">
        <v>1.94</v>
      </c>
      <c r="H3332" t="s">
        <v>41</v>
      </c>
      <c r="I3332" t="s">
        <v>42</v>
      </c>
      <c r="M3332">
        <f>VLOOKUP(H3332,'Stage Order'!$A$2:$B$8,2,FALSE)</f>
        <v>2</v>
      </c>
      <c r="N3332" t="str">
        <f t="shared" si="104"/>
        <v>2. 1-24 hours</v>
      </c>
      <c r="O3332" t="str">
        <f t="shared" si="105"/>
        <v>2026-06</v>
      </c>
    </row>
    <row r="3333" spans="1:15" x14ac:dyDescent="0.3">
      <c r="A3333" t="s">
        <v>7867</v>
      </c>
      <c r="B3333" t="s">
        <v>7868</v>
      </c>
      <c r="C3333" t="s">
        <v>37</v>
      </c>
      <c r="D3333" t="s">
        <v>54</v>
      </c>
      <c r="E3333" t="s">
        <v>30</v>
      </c>
      <c r="F3333" t="s">
        <v>82</v>
      </c>
      <c r="G3333">
        <v>9.17</v>
      </c>
      <c r="H3333" t="s">
        <v>41</v>
      </c>
      <c r="I3333" t="s">
        <v>42</v>
      </c>
      <c r="M3333">
        <f>VLOOKUP(H3333,'Stage Order'!$A$2:$B$8,2,FALSE)</f>
        <v>2</v>
      </c>
      <c r="N3333" t="str">
        <f t="shared" si="104"/>
        <v>2. 1-24 hours</v>
      </c>
      <c r="O3333" t="str">
        <f t="shared" si="105"/>
        <v>2025-01</v>
      </c>
    </row>
    <row r="3334" spans="1:15" x14ac:dyDescent="0.3">
      <c r="A3334" t="s">
        <v>7869</v>
      </c>
      <c r="B3334" t="s">
        <v>7870</v>
      </c>
      <c r="C3334" t="s">
        <v>37</v>
      </c>
      <c r="D3334" t="s">
        <v>97</v>
      </c>
      <c r="E3334" t="s">
        <v>59</v>
      </c>
      <c r="F3334" t="s">
        <v>117</v>
      </c>
      <c r="G3334">
        <v>5.95</v>
      </c>
      <c r="H3334" t="s">
        <v>32</v>
      </c>
      <c r="I3334" t="s">
        <v>33</v>
      </c>
      <c r="K3334">
        <v>1670.59</v>
      </c>
      <c r="L3334" t="s">
        <v>7871</v>
      </c>
      <c r="M3334">
        <f>VLOOKUP(H3334,'Stage Order'!$A$2:$B$8,2,FALSE)</f>
        <v>7</v>
      </c>
      <c r="N3334" t="str">
        <f t="shared" si="104"/>
        <v>2. 1-24 hours</v>
      </c>
      <c r="O3334" t="str">
        <f t="shared" si="105"/>
        <v>2025-06</v>
      </c>
    </row>
    <row r="3335" spans="1:15" x14ac:dyDescent="0.3">
      <c r="A3335" t="s">
        <v>7872</v>
      </c>
      <c r="B3335" t="s">
        <v>7873</v>
      </c>
      <c r="C3335" t="s">
        <v>28</v>
      </c>
      <c r="D3335" t="s">
        <v>38</v>
      </c>
      <c r="E3335" t="s">
        <v>39</v>
      </c>
      <c r="F3335" t="s">
        <v>106</v>
      </c>
      <c r="G3335">
        <v>1.77</v>
      </c>
      <c r="H3335" t="s">
        <v>41</v>
      </c>
      <c r="I3335" t="s">
        <v>42</v>
      </c>
      <c r="M3335">
        <f>VLOOKUP(H3335,'Stage Order'!$A$2:$B$8,2,FALSE)</f>
        <v>2</v>
      </c>
      <c r="N3335" t="str">
        <f t="shared" si="104"/>
        <v>2. 1-24 hours</v>
      </c>
      <c r="O3335" t="str">
        <f t="shared" si="105"/>
        <v>2025-08</v>
      </c>
    </row>
    <row r="3336" spans="1:15" x14ac:dyDescent="0.3">
      <c r="A3336" t="s">
        <v>7874</v>
      </c>
      <c r="B3336" t="s">
        <v>7875</v>
      </c>
      <c r="C3336" t="s">
        <v>76</v>
      </c>
      <c r="D3336" t="s">
        <v>54</v>
      </c>
      <c r="E3336" t="s">
        <v>59</v>
      </c>
      <c r="F3336" t="s">
        <v>117</v>
      </c>
      <c r="G3336">
        <v>5.95</v>
      </c>
      <c r="H3336" t="s">
        <v>41</v>
      </c>
      <c r="I3336" t="s">
        <v>42</v>
      </c>
      <c r="M3336">
        <f>VLOOKUP(H3336,'Stage Order'!$A$2:$B$8,2,FALSE)</f>
        <v>2</v>
      </c>
      <c r="N3336" t="str">
        <f t="shared" si="104"/>
        <v>2. 1-24 hours</v>
      </c>
      <c r="O3336" t="str">
        <f t="shared" si="105"/>
        <v>2025-11</v>
      </c>
    </row>
    <row r="3337" spans="1:15" x14ac:dyDescent="0.3">
      <c r="A3337" t="s">
        <v>7876</v>
      </c>
      <c r="B3337" t="s">
        <v>7877</v>
      </c>
      <c r="C3337" t="s">
        <v>58</v>
      </c>
      <c r="D3337" t="s">
        <v>54</v>
      </c>
      <c r="E3337" t="s">
        <v>39</v>
      </c>
      <c r="F3337" t="s">
        <v>106</v>
      </c>
      <c r="G3337">
        <v>1.49</v>
      </c>
      <c r="H3337" t="s">
        <v>41</v>
      </c>
      <c r="I3337" t="s">
        <v>42</v>
      </c>
      <c r="M3337">
        <f>VLOOKUP(H3337,'Stage Order'!$A$2:$B$8,2,FALSE)</f>
        <v>2</v>
      </c>
      <c r="N3337" t="str">
        <f t="shared" si="104"/>
        <v>2. 1-24 hours</v>
      </c>
      <c r="O3337" t="str">
        <f t="shared" si="105"/>
        <v>2025-07</v>
      </c>
    </row>
    <row r="3338" spans="1:15" x14ac:dyDescent="0.3">
      <c r="A3338" t="s">
        <v>7878</v>
      </c>
      <c r="B3338" t="s">
        <v>7879</v>
      </c>
      <c r="C3338" t="s">
        <v>37</v>
      </c>
      <c r="D3338" t="s">
        <v>29</v>
      </c>
      <c r="E3338" t="s">
        <v>59</v>
      </c>
      <c r="F3338" t="s">
        <v>117</v>
      </c>
      <c r="G3338">
        <v>1.53</v>
      </c>
      <c r="H3338" t="s">
        <v>41</v>
      </c>
      <c r="I3338" t="s">
        <v>42</v>
      </c>
      <c r="M3338">
        <f>VLOOKUP(H3338,'Stage Order'!$A$2:$B$8,2,FALSE)</f>
        <v>2</v>
      </c>
      <c r="N3338" t="str">
        <f t="shared" si="104"/>
        <v>2. 1-24 hours</v>
      </c>
      <c r="O3338" t="str">
        <f t="shared" si="105"/>
        <v>2025-02</v>
      </c>
    </row>
    <row r="3339" spans="1:15" x14ac:dyDescent="0.3">
      <c r="A3339" t="s">
        <v>7880</v>
      </c>
      <c r="B3339" t="s">
        <v>7881</v>
      </c>
      <c r="C3339" t="s">
        <v>58</v>
      </c>
      <c r="D3339" t="s">
        <v>29</v>
      </c>
      <c r="E3339" t="s">
        <v>90</v>
      </c>
      <c r="F3339" t="s">
        <v>112</v>
      </c>
      <c r="G3339">
        <v>2.33</v>
      </c>
      <c r="H3339" t="s">
        <v>47</v>
      </c>
      <c r="I3339" t="s">
        <v>48</v>
      </c>
      <c r="J3339" t="s">
        <v>98</v>
      </c>
      <c r="K3339">
        <v>675</v>
      </c>
      <c r="L3339" t="s">
        <v>7882</v>
      </c>
      <c r="M3339">
        <f>VLOOKUP(H3339,'Stage Order'!$A$2:$B$8,2,FALSE)</f>
        <v>4</v>
      </c>
      <c r="N3339" t="str">
        <f t="shared" si="104"/>
        <v>2. 1-24 hours</v>
      </c>
      <c r="O3339" t="str">
        <f t="shared" si="105"/>
        <v>2025-12</v>
      </c>
    </row>
    <row r="3340" spans="1:15" x14ac:dyDescent="0.3">
      <c r="A3340" t="s">
        <v>7883</v>
      </c>
      <c r="B3340" t="s">
        <v>7884</v>
      </c>
      <c r="C3340" t="s">
        <v>58</v>
      </c>
      <c r="D3340" t="s">
        <v>54</v>
      </c>
      <c r="E3340" t="s">
        <v>45</v>
      </c>
      <c r="F3340" t="s">
        <v>46</v>
      </c>
      <c r="G3340">
        <v>8.6300000000000008</v>
      </c>
      <c r="H3340" t="s">
        <v>47</v>
      </c>
      <c r="I3340" t="s">
        <v>48</v>
      </c>
      <c r="J3340" t="s">
        <v>139</v>
      </c>
      <c r="K3340">
        <v>472.18</v>
      </c>
      <c r="L3340" t="s">
        <v>7885</v>
      </c>
      <c r="M3340">
        <f>VLOOKUP(H3340,'Stage Order'!$A$2:$B$8,2,FALSE)</f>
        <v>4</v>
      </c>
      <c r="N3340" t="str">
        <f t="shared" si="104"/>
        <v>2. 1-24 hours</v>
      </c>
      <c r="O3340" t="str">
        <f t="shared" si="105"/>
        <v>2025-12</v>
      </c>
    </row>
    <row r="3341" spans="1:15" x14ac:dyDescent="0.3">
      <c r="A3341" t="s">
        <v>7886</v>
      </c>
      <c r="B3341" t="s">
        <v>7887</v>
      </c>
      <c r="C3341" t="s">
        <v>37</v>
      </c>
      <c r="D3341" t="s">
        <v>77</v>
      </c>
      <c r="E3341" t="s">
        <v>45</v>
      </c>
      <c r="F3341" t="s">
        <v>94</v>
      </c>
      <c r="G3341">
        <v>0.78</v>
      </c>
      <c r="H3341" t="s">
        <v>41</v>
      </c>
      <c r="I3341" t="s">
        <v>42</v>
      </c>
      <c r="M3341">
        <f>VLOOKUP(H3341,'Stage Order'!$A$2:$B$8,2,FALSE)</f>
        <v>2</v>
      </c>
      <c r="N3341" t="str">
        <f t="shared" si="104"/>
        <v>1. Under 1 hour</v>
      </c>
      <c r="O3341" t="str">
        <f t="shared" si="105"/>
        <v>2025-07</v>
      </c>
    </row>
    <row r="3342" spans="1:15" x14ac:dyDescent="0.3">
      <c r="A3342" t="s">
        <v>7888</v>
      </c>
      <c r="B3342" t="s">
        <v>7889</v>
      </c>
      <c r="C3342" t="s">
        <v>53</v>
      </c>
      <c r="D3342" t="s">
        <v>77</v>
      </c>
      <c r="E3342" t="s">
        <v>59</v>
      </c>
      <c r="F3342" t="s">
        <v>60</v>
      </c>
      <c r="G3342">
        <v>1.53</v>
      </c>
      <c r="H3342" t="s">
        <v>61</v>
      </c>
      <c r="I3342" t="s">
        <v>42</v>
      </c>
      <c r="M3342">
        <f>VLOOKUP(H3342,'Stage Order'!$A$2:$B$8,2,FALSE)</f>
        <v>1</v>
      </c>
      <c r="N3342" t="str">
        <f t="shared" si="104"/>
        <v>2. 1-24 hours</v>
      </c>
      <c r="O3342" t="str">
        <f t="shared" si="105"/>
        <v>2025-11</v>
      </c>
    </row>
    <row r="3343" spans="1:15" x14ac:dyDescent="0.3">
      <c r="A3343" t="s">
        <v>7890</v>
      </c>
      <c r="B3343" t="s">
        <v>7891</v>
      </c>
      <c r="C3343" t="s">
        <v>37</v>
      </c>
      <c r="D3343" t="s">
        <v>29</v>
      </c>
      <c r="E3343" t="s">
        <v>45</v>
      </c>
      <c r="F3343" t="s">
        <v>46</v>
      </c>
      <c r="G3343">
        <v>5.15</v>
      </c>
      <c r="H3343" t="s">
        <v>41</v>
      </c>
      <c r="I3343" t="s">
        <v>42</v>
      </c>
      <c r="M3343">
        <f>VLOOKUP(H3343,'Stage Order'!$A$2:$B$8,2,FALSE)</f>
        <v>2</v>
      </c>
      <c r="N3343" t="str">
        <f t="shared" si="104"/>
        <v>2. 1-24 hours</v>
      </c>
      <c r="O3343" t="str">
        <f t="shared" si="105"/>
        <v>2026-01</v>
      </c>
    </row>
    <row r="3344" spans="1:15" x14ac:dyDescent="0.3">
      <c r="A3344" t="s">
        <v>7892</v>
      </c>
      <c r="B3344" t="s">
        <v>7893</v>
      </c>
      <c r="C3344" t="s">
        <v>37</v>
      </c>
      <c r="D3344" t="s">
        <v>77</v>
      </c>
      <c r="E3344" t="s">
        <v>90</v>
      </c>
      <c r="F3344" t="s">
        <v>145</v>
      </c>
      <c r="G3344">
        <v>1.47</v>
      </c>
      <c r="H3344" t="s">
        <v>41</v>
      </c>
      <c r="I3344" t="s">
        <v>42</v>
      </c>
      <c r="M3344">
        <f>VLOOKUP(H3344,'Stage Order'!$A$2:$B$8,2,FALSE)</f>
        <v>2</v>
      </c>
      <c r="N3344" t="str">
        <f t="shared" si="104"/>
        <v>2. 1-24 hours</v>
      </c>
      <c r="O3344" t="str">
        <f t="shared" si="105"/>
        <v>2025-07</v>
      </c>
    </row>
    <row r="3345" spans="1:15" x14ac:dyDescent="0.3">
      <c r="A3345" t="s">
        <v>7894</v>
      </c>
      <c r="B3345" t="s">
        <v>7895</v>
      </c>
      <c r="C3345" t="s">
        <v>81</v>
      </c>
      <c r="D3345" t="s">
        <v>77</v>
      </c>
      <c r="E3345" t="s">
        <v>59</v>
      </c>
      <c r="F3345" t="s">
        <v>117</v>
      </c>
      <c r="G3345">
        <v>4.37</v>
      </c>
      <c r="H3345" t="s">
        <v>41</v>
      </c>
      <c r="I3345" t="s">
        <v>42</v>
      </c>
      <c r="M3345">
        <f>VLOOKUP(H3345,'Stage Order'!$A$2:$B$8,2,FALSE)</f>
        <v>2</v>
      </c>
      <c r="N3345" t="str">
        <f t="shared" si="104"/>
        <v>2. 1-24 hours</v>
      </c>
      <c r="O3345" t="str">
        <f t="shared" si="105"/>
        <v>2025-11</v>
      </c>
    </row>
    <row r="3346" spans="1:15" x14ac:dyDescent="0.3">
      <c r="A3346" t="s">
        <v>7896</v>
      </c>
      <c r="B3346" t="s">
        <v>7897</v>
      </c>
      <c r="C3346" t="s">
        <v>53</v>
      </c>
      <c r="D3346" t="s">
        <v>54</v>
      </c>
      <c r="E3346" t="s">
        <v>90</v>
      </c>
      <c r="F3346" t="s">
        <v>91</v>
      </c>
      <c r="G3346">
        <v>3.77</v>
      </c>
      <c r="H3346" t="s">
        <v>138</v>
      </c>
      <c r="I3346" t="s">
        <v>48</v>
      </c>
      <c r="J3346" t="s">
        <v>98</v>
      </c>
      <c r="K3346">
        <v>485.12</v>
      </c>
      <c r="L3346" t="s">
        <v>7898</v>
      </c>
      <c r="M3346">
        <f>VLOOKUP(H3346,'Stage Order'!$A$2:$B$8,2,FALSE)</f>
        <v>6</v>
      </c>
      <c r="N3346" t="str">
        <f t="shared" si="104"/>
        <v>2. 1-24 hours</v>
      </c>
      <c r="O3346" t="str">
        <f t="shared" si="105"/>
        <v>2025-09</v>
      </c>
    </row>
    <row r="3347" spans="1:15" x14ac:dyDescent="0.3">
      <c r="A3347" t="s">
        <v>7899</v>
      </c>
      <c r="B3347" t="s">
        <v>7900</v>
      </c>
      <c r="C3347" t="s">
        <v>58</v>
      </c>
      <c r="D3347" t="s">
        <v>38</v>
      </c>
      <c r="E3347" t="s">
        <v>39</v>
      </c>
      <c r="F3347" t="s">
        <v>40</v>
      </c>
      <c r="G3347">
        <v>0.77</v>
      </c>
      <c r="H3347" t="s">
        <v>61</v>
      </c>
      <c r="I3347" t="s">
        <v>42</v>
      </c>
      <c r="M3347">
        <f>VLOOKUP(H3347,'Stage Order'!$A$2:$B$8,2,FALSE)</f>
        <v>1</v>
      </c>
      <c r="N3347" t="str">
        <f t="shared" si="104"/>
        <v>1. Under 1 hour</v>
      </c>
      <c r="O3347" t="str">
        <f t="shared" si="105"/>
        <v>2025-10</v>
      </c>
    </row>
    <row r="3348" spans="1:15" x14ac:dyDescent="0.3">
      <c r="A3348" t="s">
        <v>7901</v>
      </c>
      <c r="B3348" t="s">
        <v>7902</v>
      </c>
      <c r="C3348" t="s">
        <v>53</v>
      </c>
      <c r="D3348" t="s">
        <v>38</v>
      </c>
      <c r="E3348" t="s">
        <v>45</v>
      </c>
      <c r="F3348" t="s">
        <v>94</v>
      </c>
      <c r="G3348">
        <v>2.4900000000000002</v>
      </c>
      <c r="H3348" t="s">
        <v>32</v>
      </c>
      <c r="I3348" t="s">
        <v>33</v>
      </c>
      <c r="K3348">
        <v>396.45</v>
      </c>
      <c r="L3348" t="s">
        <v>7903</v>
      </c>
      <c r="M3348">
        <f>VLOOKUP(H3348,'Stage Order'!$A$2:$B$8,2,FALSE)</f>
        <v>7</v>
      </c>
      <c r="N3348" t="str">
        <f t="shared" si="104"/>
        <v>2. 1-24 hours</v>
      </c>
      <c r="O3348" t="str">
        <f t="shared" si="105"/>
        <v>2026-04</v>
      </c>
    </row>
    <row r="3349" spans="1:15" x14ac:dyDescent="0.3">
      <c r="A3349" t="s">
        <v>7904</v>
      </c>
      <c r="B3349" t="s">
        <v>7905</v>
      </c>
      <c r="C3349" t="s">
        <v>53</v>
      </c>
      <c r="D3349" t="s">
        <v>54</v>
      </c>
      <c r="E3349" t="s">
        <v>45</v>
      </c>
      <c r="F3349" t="s">
        <v>94</v>
      </c>
      <c r="G3349">
        <v>0.78</v>
      </c>
      <c r="H3349" t="s">
        <v>32</v>
      </c>
      <c r="I3349" t="s">
        <v>33</v>
      </c>
      <c r="K3349">
        <v>514.73</v>
      </c>
      <c r="L3349" t="s">
        <v>7906</v>
      </c>
      <c r="M3349">
        <f>VLOOKUP(H3349,'Stage Order'!$A$2:$B$8,2,FALSE)</f>
        <v>7</v>
      </c>
      <c r="N3349" t="str">
        <f t="shared" si="104"/>
        <v>1. Under 1 hour</v>
      </c>
      <c r="O3349" t="str">
        <f t="shared" si="105"/>
        <v>2026-01</v>
      </c>
    </row>
    <row r="3350" spans="1:15" x14ac:dyDescent="0.3">
      <c r="A3350" t="s">
        <v>7907</v>
      </c>
      <c r="B3350" t="s">
        <v>7908</v>
      </c>
      <c r="C3350" t="s">
        <v>58</v>
      </c>
      <c r="D3350" t="s">
        <v>29</v>
      </c>
      <c r="E3350" t="s">
        <v>59</v>
      </c>
      <c r="F3350" t="s">
        <v>117</v>
      </c>
      <c r="G3350">
        <v>0.83</v>
      </c>
      <c r="H3350" t="s">
        <v>138</v>
      </c>
      <c r="I3350" t="s">
        <v>48</v>
      </c>
      <c r="J3350" t="s">
        <v>113</v>
      </c>
      <c r="K3350">
        <v>532.59</v>
      </c>
      <c r="L3350" t="s">
        <v>7909</v>
      </c>
      <c r="M3350">
        <f>VLOOKUP(H3350,'Stage Order'!$A$2:$B$8,2,FALSE)</f>
        <v>6</v>
      </c>
      <c r="N3350" t="str">
        <f t="shared" si="104"/>
        <v>1. Under 1 hour</v>
      </c>
      <c r="O3350" t="str">
        <f t="shared" si="105"/>
        <v>2025-12</v>
      </c>
    </row>
    <row r="3351" spans="1:15" x14ac:dyDescent="0.3">
      <c r="A3351" t="s">
        <v>7910</v>
      </c>
      <c r="B3351" t="s">
        <v>7911</v>
      </c>
      <c r="C3351" t="s">
        <v>37</v>
      </c>
      <c r="D3351" t="s">
        <v>54</v>
      </c>
      <c r="E3351" t="s">
        <v>39</v>
      </c>
      <c r="F3351" t="s">
        <v>106</v>
      </c>
      <c r="G3351">
        <v>11.35</v>
      </c>
      <c r="H3351" t="s">
        <v>41</v>
      </c>
      <c r="I3351" t="s">
        <v>42</v>
      </c>
      <c r="M3351">
        <f>VLOOKUP(H3351,'Stage Order'!$A$2:$B$8,2,FALSE)</f>
        <v>2</v>
      </c>
      <c r="N3351" t="str">
        <f t="shared" si="104"/>
        <v>2. 1-24 hours</v>
      </c>
      <c r="O3351" t="str">
        <f t="shared" si="105"/>
        <v>2025-11</v>
      </c>
    </row>
    <row r="3352" spans="1:15" x14ac:dyDescent="0.3">
      <c r="A3352" t="s">
        <v>7912</v>
      </c>
      <c r="B3352" t="s">
        <v>7913</v>
      </c>
      <c r="C3352" t="s">
        <v>125</v>
      </c>
      <c r="D3352" t="s">
        <v>97</v>
      </c>
      <c r="E3352" t="s">
        <v>59</v>
      </c>
      <c r="F3352" t="s">
        <v>117</v>
      </c>
      <c r="G3352">
        <v>21.73</v>
      </c>
      <c r="H3352" t="s">
        <v>47</v>
      </c>
      <c r="I3352" t="s">
        <v>48</v>
      </c>
      <c r="J3352" t="s">
        <v>113</v>
      </c>
      <c r="K3352">
        <v>1540.57</v>
      </c>
      <c r="L3352" t="s">
        <v>7914</v>
      </c>
      <c r="M3352">
        <f>VLOOKUP(H3352,'Stage Order'!$A$2:$B$8,2,FALSE)</f>
        <v>4</v>
      </c>
      <c r="N3352" t="str">
        <f t="shared" si="104"/>
        <v>2. 1-24 hours</v>
      </c>
      <c r="O3352" t="str">
        <f t="shared" si="105"/>
        <v>2025-10</v>
      </c>
    </row>
    <row r="3353" spans="1:15" x14ac:dyDescent="0.3">
      <c r="A3353" t="s">
        <v>7915</v>
      </c>
      <c r="B3353" t="s">
        <v>7916</v>
      </c>
      <c r="C3353" t="s">
        <v>125</v>
      </c>
      <c r="D3353" t="s">
        <v>54</v>
      </c>
      <c r="E3353" t="s">
        <v>59</v>
      </c>
      <c r="F3353" t="s">
        <v>60</v>
      </c>
      <c r="G3353">
        <v>0.65</v>
      </c>
      <c r="H3353" t="s">
        <v>47</v>
      </c>
      <c r="I3353" t="s">
        <v>48</v>
      </c>
      <c r="J3353" t="s">
        <v>49</v>
      </c>
      <c r="K3353">
        <v>573.41</v>
      </c>
      <c r="L3353" t="s">
        <v>7917</v>
      </c>
      <c r="M3353">
        <f>VLOOKUP(H3353,'Stage Order'!$A$2:$B$8,2,FALSE)</f>
        <v>4</v>
      </c>
      <c r="N3353" t="str">
        <f t="shared" si="104"/>
        <v>1. Under 1 hour</v>
      </c>
      <c r="O3353" t="str">
        <f t="shared" si="105"/>
        <v>2025-10</v>
      </c>
    </row>
    <row r="3354" spans="1:15" x14ac:dyDescent="0.3">
      <c r="A3354" t="s">
        <v>7918</v>
      </c>
      <c r="B3354" t="s">
        <v>7919</v>
      </c>
      <c r="C3354" t="s">
        <v>53</v>
      </c>
      <c r="D3354" t="s">
        <v>29</v>
      </c>
      <c r="E3354" t="s">
        <v>90</v>
      </c>
      <c r="F3354" t="s">
        <v>145</v>
      </c>
      <c r="G3354">
        <v>52.16</v>
      </c>
      <c r="H3354" t="s">
        <v>41</v>
      </c>
      <c r="I3354" t="s">
        <v>42</v>
      </c>
      <c r="M3354">
        <f>VLOOKUP(H3354,'Stage Order'!$A$2:$B$8,2,FALSE)</f>
        <v>2</v>
      </c>
      <c r="N3354" t="str">
        <f t="shared" si="104"/>
        <v>3. 1-3 days</v>
      </c>
      <c r="O3354" t="str">
        <f t="shared" si="105"/>
        <v>2025-11</v>
      </c>
    </row>
    <row r="3355" spans="1:15" x14ac:dyDescent="0.3">
      <c r="A3355" t="s">
        <v>7920</v>
      </c>
      <c r="B3355" t="s">
        <v>7921</v>
      </c>
      <c r="C3355" t="s">
        <v>28</v>
      </c>
      <c r="D3355" t="s">
        <v>77</v>
      </c>
      <c r="E3355" t="s">
        <v>45</v>
      </c>
      <c r="F3355" t="s">
        <v>46</v>
      </c>
      <c r="G3355">
        <v>0.84</v>
      </c>
      <c r="H3355" t="s">
        <v>41</v>
      </c>
      <c r="I3355" t="s">
        <v>42</v>
      </c>
      <c r="M3355">
        <f>VLOOKUP(H3355,'Stage Order'!$A$2:$B$8,2,FALSE)</f>
        <v>2</v>
      </c>
      <c r="N3355" t="str">
        <f t="shared" si="104"/>
        <v>1. Under 1 hour</v>
      </c>
      <c r="O3355" t="str">
        <f t="shared" si="105"/>
        <v>2025-05</v>
      </c>
    </row>
    <row r="3356" spans="1:15" x14ac:dyDescent="0.3">
      <c r="A3356" t="s">
        <v>7922</v>
      </c>
      <c r="B3356" t="s">
        <v>7923</v>
      </c>
      <c r="C3356" t="s">
        <v>76</v>
      </c>
      <c r="D3356" t="s">
        <v>29</v>
      </c>
      <c r="E3356" t="s">
        <v>90</v>
      </c>
      <c r="F3356" t="s">
        <v>112</v>
      </c>
      <c r="G3356">
        <v>6.29</v>
      </c>
      <c r="H3356" t="s">
        <v>146</v>
      </c>
      <c r="I3356" t="s">
        <v>48</v>
      </c>
      <c r="J3356" t="s">
        <v>98</v>
      </c>
      <c r="K3356">
        <v>671.2</v>
      </c>
      <c r="L3356" t="s">
        <v>7924</v>
      </c>
      <c r="M3356">
        <f>VLOOKUP(H3356,'Stage Order'!$A$2:$B$8,2,FALSE)</f>
        <v>5</v>
      </c>
      <c r="N3356" t="str">
        <f t="shared" si="104"/>
        <v>2. 1-24 hours</v>
      </c>
      <c r="O3356" t="str">
        <f t="shared" si="105"/>
        <v>2026-04</v>
      </c>
    </row>
    <row r="3357" spans="1:15" x14ac:dyDescent="0.3">
      <c r="A3357" t="s">
        <v>7925</v>
      </c>
      <c r="B3357" t="s">
        <v>7926</v>
      </c>
      <c r="C3357" t="s">
        <v>53</v>
      </c>
      <c r="D3357" t="s">
        <v>54</v>
      </c>
      <c r="E3357" t="s">
        <v>45</v>
      </c>
      <c r="F3357" t="s">
        <v>55</v>
      </c>
      <c r="G3357">
        <v>9.5399999999999991</v>
      </c>
      <c r="H3357" t="s">
        <v>32</v>
      </c>
      <c r="I3357" t="s">
        <v>33</v>
      </c>
      <c r="K3357">
        <v>536.4</v>
      </c>
      <c r="L3357" t="s">
        <v>7927</v>
      </c>
      <c r="M3357">
        <f>VLOOKUP(H3357,'Stage Order'!$A$2:$B$8,2,FALSE)</f>
        <v>7</v>
      </c>
      <c r="N3357" t="str">
        <f t="shared" si="104"/>
        <v>2. 1-24 hours</v>
      </c>
      <c r="O3357" t="str">
        <f t="shared" si="105"/>
        <v>2026-03</v>
      </c>
    </row>
    <row r="3358" spans="1:15" x14ac:dyDescent="0.3">
      <c r="A3358" t="s">
        <v>7928</v>
      </c>
      <c r="B3358" t="s">
        <v>7929</v>
      </c>
      <c r="C3358" t="s">
        <v>37</v>
      </c>
      <c r="D3358" t="s">
        <v>29</v>
      </c>
      <c r="E3358" t="s">
        <v>45</v>
      </c>
      <c r="F3358" t="s">
        <v>46</v>
      </c>
      <c r="G3358">
        <v>0.48</v>
      </c>
      <c r="H3358" t="s">
        <v>32</v>
      </c>
      <c r="I3358" t="s">
        <v>33</v>
      </c>
      <c r="K3358">
        <v>657.91</v>
      </c>
      <c r="L3358" t="s">
        <v>7930</v>
      </c>
      <c r="M3358">
        <f>VLOOKUP(H3358,'Stage Order'!$A$2:$B$8,2,FALSE)</f>
        <v>7</v>
      </c>
      <c r="N3358" t="str">
        <f t="shared" si="104"/>
        <v>1. Under 1 hour</v>
      </c>
      <c r="O3358" t="str">
        <f t="shared" si="105"/>
        <v>2026-06</v>
      </c>
    </row>
    <row r="3359" spans="1:15" x14ac:dyDescent="0.3">
      <c r="A3359" t="s">
        <v>7931</v>
      </c>
      <c r="B3359" t="s">
        <v>7932</v>
      </c>
      <c r="C3359" t="s">
        <v>53</v>
      </c>
      <c r="D3359" t="s">
        <v>54</v>
      </c>
      <c r="E3359" t="s">
        <v>59</v>
      </c>
      <c r="F3359" t="s">
        <v>60</v>
      </c>
      <c r="G3359">
        <v>3.97</v>
      </c>
      <c r="H3359" t="s">
        <v>32</v>
      </c>
      <c r="I3359" t="s">
        <v>33</v>
      </c>
      <c r="K3359">
        <v>470.94</v>
      </c>
      <c r="L3359" t="s">
        <v>7933</v>
      </c>
      <c r="M3359">
        <f>VLOOKUP(H3359,'Stage Order'!$A$2:$B$8,2,FALSE)</f>
        <v>7</v>
      </c>
      <c r="N3359" t="str">
        <f t="shared" si="104"/>
        <v>2. 1-24 hours</v>
      </c>
      <c r="O3359" t="str">
        <f t="shared" si="105"/>
        <v>2025-10</v>
      </c>
    </row>
    <row r="3360" spans="1:15" x14ac:dyDescent="0.3">
      <c r="A3360" t="s">
        <v>7934</v>
      </c>
      <c r="B3360" t="s">
        <v>7935</v>
      </c>
      <c r="C3360" t="s">
        <v>58</v>
      </c>
      <c r="D3360" t="s">
        <v>97</v>
      </c>
      <c r="E3360" t="s">
        <v>39</v>
      </c>
      <c r="F3360" t="s">
        <v>40</v>
      </c>
      <c r="G3360">
        <v>5.8</v>
      </c>
      <c r="H3360" t="s">
        <v>41</v>
      </c>
      <c r="I3360" t="s">
        <v>42</v>
      </c>
      <c r="M3360">
        <f>VLOOKUP(H3360,'Stage Order'!$A$2:$B$8,2,FALSE)</f>
        <v>2</v>
      </c>
      <c r="N3360" t="str">
        <f t="shared" si="104"/>
        <v>2. 1-24 hours</v>
      </c>
      <c r="O3360" t="str">
        <f t="shared" si="105"/>
        <v>2025-06</v>
      </c>
    </row>
    <row r="3361" spans="1:15" x14ac:dyDescent="0.3">
      <c r="A3361" t="s">
        <v>7936</v>
      </c>
      <c r="B3361" t="s">
        <v>7937</v>
      </c>
      <c r="C3361" t="s">
        <v>37</v>
      </c>
      <c r="D3361" t="s">
        <v>54</v>
      </c>
      <c r="E3361" t="s">
        <v>45</v>
      </c>
      <c r="F3361" t="s">
        <v>46</v>
      </c>
      <c r="G3361">
        <v>2.6</v>
      </c>
      <c r="H3361" t="s">
        <v>41</v>
      </c>
      <c r="I3361" t="s">
        <v>42</v>
      </c>
      <c r="M3361">
        <f>VLOOKUP(H3361,'Stage Order'!$A$2:$B$8,2,FALSE)</f>
        <v>2</v>
      </c>
      <c r="N3361" t="str">
        <f t="shared" si="104"/>
        <v>2. 1-24 hours</v>
      </c>
      <c r="O3361" t="str">
        <f t="shared" si="105"/>
        <v>2025-12</v>
      </c>
    </row>
    <row r="3362" spans="1:15" x14ac:dyDescent="0.3">
      <c r="A3362" t="s">
        <v>7938</v>
      </c>
      <c r="B3362" t="s">
        <v>7939</v>
      </c>
      <c r="C3362" t="s">
        <v>37</v>
      </c>
      <c r="D3362" t="s">
        <v>97</v>
      </c>
      <c r="E3362" t="s">
        <v>45</v>
      </c>
      <c r="F3362" t="s">
        <v>46</v>
      </c>
      <c r="G3362">
        <v>0.53</v>
      </c>
      <c r="H3362" t="s">
        <v>32</v>
      </c>
      <c r="I3362" t="s">
        <v>33</v>
      </c>
      <c r="K3362">
        <v>1428.26</v>
      </c>
      <c r="L3362" t="s">
        <v>7940</v>
      </c>
      <c r="M3362">
        <f>VLOOKUP(H3362,'Stage Order'!$A$2:$B$8,2,FALSE)</f>
        <v>7</v>
      </c>
      <c r="N3362" t="str">
        <f t="shared" si="104"/>
        <v>1. Under 1 hour</v>
      </c>
      <c r="O3362" t="str">
        <f t="shared" si="105"/>
        <v>2025-01</v>
      </c>
    </row>
    <row r="3363" spans="1:15" x14ac:dyDescent="0.3">
      <c r="A3363" t="s">
        <v>7941</v>
      </c>
      <c r="B3363" t="s">
        <v>7942</v>
      </c>
      <c r="C3363" t="s">
        <v>125</v>
      </c>
      <c r="D3363" t="s">
        <v>29</v>
      </c>
      <c r="E3363" t="s">
        <v>90</v>
      </c>
      <c r="F3363" t="s">
        <v>145</v>
      </c>
      <c r="G3363">
        <v>1.97</v>
      </c>
      <c r="H3363" t="s">
        <v>61</v>
      </c>
      <c r="I3363" t="s">
        <v>42</v>
      </c>
      <c r="M3363">
        <f>VLOOKUP(H3363,'Stage Order'!$A$2:$B$8,2,FALSE)</f>
        <v>1</v>
      </c>
      <c r="N3363" t="str">
        <f t="shared" si="104"/>
        <v>2. 1-24 hours</v>
      </c>
      <c r="O3363" t="str">
        <f t="shared" si="105"/>
        <v>2026-03</v>
      </c>
    </row>
    <row r="3364" spans="1:15" x14ac:dyDescent="0.3">
      <c r="A3364" t="s">
        <v>7943</v>
      </c>
      <c r="B3364" t="s">
        <v>7944</v>
      </c>
      <c r="C3364" t="s">
        <v>81</v>
      </c>
      <c r="D3364" t="s">
        <v>29</v>
      </c>
      <c r="E3364" t="s">
        <v>59</v>
      </c>
      <c r="F3364" t="s">
        <v>137</v>
      </c>
      <c r="G3364">
        <v>2.4300000000000002</v>
      </c>
      <c r="H3364" t="s">
        <v>146</v>
      </c>
      <c r="I3364" t="s">
        <v>48</v>
      </c>
      <c r="J3364" t="s">
        <v>113</v>
      </c>
      <c r="K3364">
        <v>723.2</v>
      </c>
      <c r="L3364" t="s">
        <v>7945</v>
      </c>
      <c r="M3364">
        <f>VLOOKUP(H3364,'Stage Order'!$A$2:$B$8,2,FALSE)</f>
        <v>5</v>
      </c>
      <c r="N3364" t="str">
        <f t="shared" si="104"/>
        <v>2. 1-24 hours</v>
      </c>
      <c r="O3364" t="str">
        <f t="shared" si="105"/>
        <v>2026-03</v>
      </c>
    </row>
    <row r="3365" spans="1:15" x14ac:dyDescent="0.3">
      <c r="A3365" t="s">
        <v>7946</v>
      </c>
      <c r="B3365" t="s">
        <v>7947</v>
      </c>
      <c r="C3365" t="s">
        <v>53</v>
      </c>
      <c r="D3365" t="s">
        <v>97</v>
      </c>
      <c r="E3365" t="s">
        <v>59</v>
      </c>
      <c r="F3365" t="s">
        <v>60</v>
      </c>
      <c r="G3365">
        <v>0.18</v>
      </c>
      <c r="H3365" t="s">
        <v>41</v>
      </c>
      <c r="I3365" t="s">
        <v>42</v>
      </c>
      <c r="M3365">
        <f>VLOOKUP(H3365,'Stage Order'!$A$2:$B$8,2,FALSE)</f>
        <v>2</v>
      </c>
      <c r="N3365" t="str">
        <f t="shared" si="104"/>
        <v>1. Under 1 hour</v>
      </c>
      <c r="O3365" t="str">
        <f t="shared" si="105"/>
        <v>2026-05</v>
      </c>
    </row>
    <row r="3366" spans="1:15" x14ac:dyDescent="0.3">
      <c r="A3366" t="s">
        <v>7948</v>
      </c>
      <c r="B3366" t="s">
        <v>7949</v>
      </c>
      <c r="C3366" t="s">
        <v>58</v>
      </c>
      <c r="D3366" t="s">
        <v>77</v>
      </c>
      <c r="E3366" t="s">
        <v>39</v>
      </c>
      <c r="F3366" t="s">
        <v>106</v>
      </c>
      <c r="G3366">
        <v>8.94</v>
      </c>
      <c r="H3366" t="s">
        <v>146</v>
      </c>
      <c r="I3366" t="s">
        <v>48</v>
      </c>
      <c r="J3366" t="s">
        <v>98</v>
      </c>
      <c r="K3366">
        <v>893.39</v>
      </c>
      <c r="L3366" t="s">
        <v>7950</v>
      </c>
      <c r="M3366">
        <f>VLOOKUP(H3366,'Stage Order'!$A$2:$B$8,2,FALSE)</f>
        <v>5</v>
      </c>
      <c r="N3366" t="str">
        <f t="shared" si="104"/>
        <v>2. 1-24 hours</v>
      </c>
      <c r="O3366" t="str">
        <f t="shared" si="105"/>
        <v>2026-03</v>
      </c>
    </row>
    <row r="3367" spans="1:15" x14ac:dyDescent="0.3">
      <c r="A3367" t="s">
        <v>7951</v>
      </c>
      <c r="B3367" t="s">
        <v>7952</v>
      </c>
      <c r="C3367" t="s">
        <v>53</v>
      </c>
      <c r="D3367" t="s">
        <v>38</v>
      </c>
      <c r="E3367" t="s">
        <v>45</v>
      </c>
      <c r="F3367" t="s">
        <v>46</v>
      </c>
      <c r="G3367">
        <v>2.35</v>
      </c>
      <c r="H3367" t="s">
        <v>32</v>
      </c>
      <c r="I3367" t="s">
        <v>33</v>
      </c>
      <c r="K3367">
        <v>347.28</v>
      </c>
      <c r="L3367" t="s">
        <v>7953</v>
      </c>
      <c r="M3367">
        <f>VLOOKUP(H3367,'Stage Order'!$A$2:$B$8,2,FALSE)</f>
        <v>7</v>
      </c>
      <c r="N3367" t="str">
        <f t="shared" si="104"/>
        <v>2. 1-24 hours</v>
      </c>
      <c r="O3367" t="str">
        <f t="shared" si="105"/>
        <v>2026-02</v>
      </c>
    </row>
    <row r="3368" spans="1:15" x14ac:dyDescent="0.3">
      <c r="A3368" t="s">
        <v>7954</v>
      </c>
      <c r="B3368" t="s">
        <v>7955</v>
      </c>
      <c r="C3368" t="s">
        <v>53</v>
      </c>
      <c r="D3368" t="s">
        <v>54</v>
      </c>
      <c r="E3368" t="s">
        <v>39</v>
      </c>
      <c r="F3368" t="s">
        <v>66</v>
      </c>
      <c r="G3368">
        <v>1.72</v>
      </c>
      <c r="H3368" t="s">
        <v>41</v>
      </c>
      <c r="I3368" t="s">
        <v>42</v>
      </c>
      <c r="M3368">
        <f>VLOOKUP(H3368,'Stage Order'!$A$2:$B$8,2,FALSE)</f>
        <v>2</v>
      </c>
      <c r="N3368" t="str">
        <f t="shared" si="104"/>
        <v>2. 1-24 hours</v>
      </c>
      <c r="O3368" t="str">
        <f t="shared" si="105"/>
        <v>2025-11</v>
      </c>
    </row>
    <row r="3369" spans="1:15" x14ac:dyDescent="0.3">
      <c r="A3369" t="s">
        <v>7956</v>
      </c>
      <c r="B3369" t="s">
        <v>7957</v>
      </c>
      <c r="C3369" t="s">
        <v>37</v>
      </c>
      <c r="D3369" t="s">
        <v>29</v>
      </c>
      <c r="E3369" t="s">
        <v>90</v>
      </c>
      <c r="F3369" t="s">
        <v>112</v>
      </c>
      <c r="G3369">
        <v>4.72</v>
      </c>
      <c r="H3369" t="s">
        <v>41</v>
      </c>
      <c r="I3369" t="s">
        <v>42</v>
      </c>
      <c r="M3369">
        <f>VLOOKUP(H3369,'Stage Order'!$A$2:$B$8,2,FALSE)</f>
        <v>2</v>
      </c>
      <c r="N3369" t="str">
        <f t="shared" si="104"/>
        <v>2. 1-24 hours</v>
      </c>
      <c r="O3369" t="str">
        <f t="shared" si="105"/>
        <v>2025-09</v>
      </c>
    </row>
    <row r="3370" spans="1:15" x14ac:dyDescent="0.3">
      <c r="A3370" t="s">
        <v>7958</v>
      </c>
      <c r="B3370" t="s">
        <v>7959</v>
      </c>
      <c r="C3370" t="s">
        <v>58</v>
      </c>
      <c r="D3370" t="s">
        <v>29</v>
      </c>
      <c r="E3370" t="s">
        <v>39</v>
      </c>
      <c r="F3370" t="s">
        <v>40</v>
      </c>
      <c r="G3370">
        <v>5.3</v>
      </c>
      <c r="H3370" t="s">
        <v>41</v>
      </c>
      <c r="I3370" t="s">
        <v>42</v>
      </c>
      <c r="M3370">
        <f>VLOOKUP(H3370,'Stage Order'!$A$2:$B$8,2,FALSE)</f>
        <v>2</v>
      </c>
      <c r="N3370" t="str">
        <f t="shared" si="104"/>
        <v>2. 1-24 hours</v>
      </c>
      <c r="O3370" t="str">
        <f t="shared" si="105"/>
        <v>2025-11</v>
      </c>
    </row>
    <row r="3371" spans="1:15" x14ac:dyDescent="0.3">
      <c r="A3371" t="s">
        <v>7960</v>
      </c>
      <c r="B3371" t="s">
        <v>7961</v>
      </c>
      <c r="C3371" t="s">
        <v>58</v>
      </c>
      <c r="D3371" t="s">
        <v>54</v>
      </c>
      <c r="E3371" t="s">
        <v>39</v>
      </c>
      <c r="F3371" t="s">
        <v>66</v>
      </c>
      <c r="G3371">
        <v>2.06</v>
      </c>
      <c r="H3371" t="s">
        <v>61</v>
      </c>
      <c r="I3371" t="s">
        <v>42</v>
      </c>
      <c r="M3371">
        <f>VLOOKUP(H3371,'Stage Order'!$A$2:$B$8,2,FALSE)</f>
        <v>1</v>
      </c>
      <c r="N3371" t="str">
        <f t="shared" si="104"/>
        <v>2. 1-24 hours</v>
      </c>
      <c r="O3371" t="str">
        <f t="shared" si="105"/>
        <v>2025-10</v>
      </c>
    </row>
    <row r="3372" spans="1:15" x14ac:dyDescent="0.3">
      <c r="A3372" t="s">
        <v>7962</v>
      </c>
      <c r="B3372" t="s">
        <v>7963</v>
      </c>
      <c r="C3372" t="s">
        <v>58</v>
      </c>
      <c r="D3372" t="s">
        <v>29</v>
      </c>
      <c r="E3372" t="s">
        <v>90</v>
      </c>
      <c r="F3372" t="s">
        <v>112</v>
      </c>
      <c r="G3372">
        <v>1.17</v>
      </c>
      <c r="H3372" t="s">
        <v>41</v>
      </c>
      <c r="I3372" t="s">
        <v>42</v>
      </c>
      <c r="M3372">
        <f>VLOOKUP(H3372,'Stage Order'!$A$2:$B$8,2,FALSE)</f>
        <v>2</v>
      </c>
      <c r="N3372" t="str">
        <f t="shared" si="104"/>
        <v>2. 1-24 hours</v>
      </c>
      <c r="O3372" t="str">
        <f t="shared" si="105"/>
        <v>2025-10</v>
      </c>
    </row>
    <row r="3373" spans="1:15" x14ac:dyDescent="0.3">
      <c r="A3373" t="s">
        <v>7964</v>
      </c>
      <c r="B3373" t="s">
        <v>7965</v>
      </c>
      <c r="C3373" t="s">
        <v>53</v>
      </c>
      <c r="D3373" t="s">
        <v>54</v>
      </c>
      <c r="E3373" t="s">
        <v>90</v>
      </c>
      <c r="F3373" t="s">
        <v>145</v>
      </c>
      <c r="G3373">
        <v>14.05</v>
      </c>
      <c r="H3373" t="s">
        <v>41</v>
      </c>
      <c r="I3373" t="s">
        <v>42</v>
      </c>
      <c r="M3373">
        <f>VLOOKUP(H3373,'Stage Order'!$A$2:$B$8,2,FALSE)</f>
        <v>2</v>
      </c>
      <c r="N3373" t="str">
        <f t="shared" si="104"/>
        <v>2. 1-24 hours</v>
      </c>
      <c r="O3373" t="str">
        <f t="shared" si="105"/>
        <v>2025-08</v>
      </c>
    </row>
    <row r="3374" spans="1:15" x14ac:dyDescent="0.3">
      <c r="A3374" t="s">
        <v>7966</v>
      </c>
      <c r="B3374" t="s">
        <v>7967</v>
      </c>
      <c r="C3374" t="s">
        <v>53</v>
      </c>
      <c r="D3374" t="s">
        <v>54</v>
      </c>
      <c r="E3374" t="s">
        <v>30</v>
      </c>
      <c r="F3374" t="s">
        <v>78</v>
      </c>
      <c r="G3374">
        <v>1.59</v>
      </c>
      <c r="H3374" t="s">
        <v>41</v>
      </c>
      <c r="I3374" t="s">
        <v>42</v>
      </c>
      <c r="M3374">
        <f>VLOOKUP(H3374,'Stage Order'!$A$2:$B$8,2,FALSE)</f>
        <v>2</v>
      </c>
      <c r="N3374" t="str">
        <f t="shared" si="104"/>
        <v>2. 1-24 hours</v>
      </c>
      <c r="O3374" t="str">
        <f t="shared" si="105"/>
        <v>2025-11</v>
      </c>
    </row>
    <row r="3375" spans="1:15" x14ac:dyDescent="0.3">
      <c r="A3375" t="s">
        <v>7968</v>
      </c>
      <c r="B3375" t="s">
        <v>7969</v>
      </c>
      <c r="C3375" t="s">
        <v>58</v>
      </c>
      <c r="D3375" t="s">
        <v>38</v>
      </c>
      <c r="E3375" t="s">
        <v>39</v>
      </c>
      <c r="F3375" t="s">
        <v>66</v>
      </c>
      <c r="G3375">
        <v>0.93</v>
      </c>
      <c r="H3375" t="s">
        <v>61</v>
      </c>
      <c r="I3375" t="s">
        <v>42</v>
      </c>
      <c r="M3375">
        <f>VLOOKUP(H3375,'Stage Order'!$A$2:$B$8,2,FALSE)</f>
        <v>1</v>
      </c>
      <c r="N3375" t="str">
        <f t="shared" si="104"/>
        <v>1. Under 1 hour</v>
      </c>
      <c r="O3375" t="str">
        <f t="shared" si="105"/>
        <v>2025-11</v>
      </c>
    </row>
    <row r="3376" spans="1:15" x14ac:dyDescent="0.3">
      <c r="A3376" t="s">
        <v>7970</v>
      </c>
      <c r="B3376" t="s">
        <v>7971</v>
      </c>
      <c r="C3376" t="s">
        <v>28</v>
      </c>
      <c r="D3376" t="s">
        <v>54</v>
      </c>
      <c r="E3376" t="s">
        <v>59</v>
      </c>
      <c r="F3376" t="s">
        <v>60</v>
      </c>
      <c r="G3376">
        <v>1.52</v>
      </c>
      <c r="H3376" t="s">
        <v>146</v>
      </c>
      <c r="I3376" t="s">
        <v>48</v>
      </c>
      <c r="J3376" t="s">
        <v>98</v>
      </c>
      <c r="K3376">
        <v>471.63</v>
      </c>
      <c r="L3376" t="s">
        <v>7972</v>
      </c>
      <c r="M3376">
        <f>VLOOKUP(H3376,'Stage Order'!$A$2:$B$8,2,FALSE)</f>
        <v>5</v>
      </c>
      <c r="N3376" t="str">
        <f t="shared" si="104"/>
        <v>2. 1-24 hours</v>
      </c>
      <c r="O3376" t="str">
        <f t="shared" si="105"/>
        <v>2025-03</v>
      </c>
    </row>
    <row r="3377" spans="1:15" x14ac:dyDescent="0.3">
      <c r="A3377" t="s">
        <v>7973</v>
      </c>
      <c r="B3377" t="s">
        <v>7974</v>
      </c>
      <c r="C3377" t="s">
        <v>81</v>
      </c>
      <c r="D3377" t="s">
        <v>29</v>
      </c>
      <c r="E3377" t="s">
        <v>30</v>
      </c>
      <c r="F3377" t="s">
        <v>31</v>
      </c>
      <c r="G3377">
        <v>0.43</v>
      </c>
      <c r="H3377" t="s">
        <v>128</v>
      </c>
      <c r="I3377" t="s">
        <v>42</v>
      </c>
      <c r="M3377">
        <f>VLOOKUP(H3377,'Stage Order'!$A$2:$B$8,2,FALSE)</f>
        <v>3</v>
      </c>
      <c r="N3377" t="str">
        <f t="shared" si="104"/>
        <v>1. Under 1 hour</v>
      </c>
      <c r="O3377" t="str">
        <f t="shared" si="105"/>
        <v>2026-06</v>
      </c>
    </row>
    <row r="3378" spans="1:15" x14ac:dyDescent="0.3">
      <c r="A3378" t="s">
        <v>7975</v>
      </c>
      <c r="B3378" t="s">
        <v>7976</v>
      </c>
      <c r="C3378" t="s">
        <v>125</v>
      </c>
      <c r="D3378" t="s">
        <v>97</v>
      </c>
      <c r="E3378" t="s">
        <v>59</v>
      </c>
      <c r="F3378" t="s">
        <v>117</v>
      </c>
      <c r="G3378">
        <v>1.98</v>
      </c>
      <c r="H3378" t="s">
        <v>47</v>
      </c>
      <c r="I3378" t="s">
        <v>48</v>
      </c>
      <c r="J3378" t="s">
        <v>113</v>
      </c>
      <c r="K3378">
        <v>1312.02</v>
      </c>
      <c r="L3378" t="s">
        <v>7977</v>
      </c>
      <c r="M3378">
        <f>VLOOKUP(H3378,'Stage Order'!$A$2:$B$8,2,FALSE)</f>
        <v>4</v>
      </c>
      <c r="N3378" t="str">
        <f t="shared" si="104"/>
        <v>2. 1-24 hours</v>
      </c>
      <c r="O3378" t="str">
        <f t="shared" si="105"/>
        <v>2026-03</v>
      </c>
    </row>
    <row r="3379" spans="1:15" x14ac:dyDescent="0.3">
      <c r="A3379" t="s">
        <v>7978</v>
      </c>
      <c r="B3379" t="s">
        <v>7979</v>
      </c>
      <c r="C3379" t="s">
        <v>58</v>
      </c>
      <c r="D3379" t="s">
        <v>97</v>
      </c>
      <c r="E3379" t="s">
        <v>45</v>
      </c>
      <c r="F3379" t="s">
        <v>94</v>
      </c>
      <c r="G3379">
        <v>0.67</v>
      </c>
      <c r="H3379" t="s">
        <v>146</v>
      </c>
      <c r="I3379" t="s">
        <v>48</v>
      </c>
      <c r="J3379" t="s">
        <v>113</v>
      </c>
      <c r="K3379">
        <v>1701.88</v>
      </c>
      <c r="L3379" t="s">
        <v>7980</v>
      </c>
      <c r="M3379">
        <f>VLOOKUP(H3379,'Stage Order'!$A$2:$B$8,2,FALSE)</f>
        <v>5</v>
      </c>
      <c r="N3379" t="str">
        <f t="shared" si="104"/>
        <v>1. Under 1 hour</v>
      </c>
      <c r="O3379" t="str">
        <f t="shared" si="105"/>
        <v>2025-05</v>
      </c>
    </row>
    <row r="3380" spans="1:15" x14ac:dyDescent="0.3">
      <c r="A3380" t="s">
        <v>7981</v>
      </c>
      <c r="B3380" t="s">
        <v>7982</v>
      </c>
      <c r="C3380" t="s">
        <v>125</v>
      </c>
      <c r="D3380" t="s">
        <v>54</v>
      </c>
      <c r="E3380" t="s">
        <v>45</v>
      </c>
      <c r="F3380" t="s">
        <v>94</v>
      </c>
      <c r="G3380">
        <v>1.29</v>
      </c>
      <c r="H3380" t="s">
        <v>41</v>
      </c>
      <c r="I3380" t="s">
        <v>42</v>
      </c>
      <c r="M3380">
        <f>VLOOKUP(H3380,'Stage Order'!$A$2:$B$8,2,FALSE)</f>
        <v>2</v>
      </c>
      <c r="N3380" t="str">
        <f t="shared" si="104"/>
        <v>2. 1-24 hours</v>
      </c>
      <c r="O3380" t="str">
        <f t="shared" si="105"/>
        <v>2025-04</v>
      </c>
    </row>
    <row r="3381" spans="1:15" x14ac:dyDescent="0.3">
      <c r="A3381" t="s">
        <v>7983</v>
      </c>
      <c r="B3381" t="s">
        <v>7984</v>
      </c>
      <c r="C3381" t="s">
        <v>81</v>
      </c>
      <c r="D3381" t="s">
        <v>29</v>
      </c>
      <c r="E3381" t="s">
        <v>90</v>
      </c>
      <c r="F3381" t="s">
        <v>112</v>
      </c>
      <c r="G3381">
        <v>6.45</v>
      </c>
      <c r="H3381" t="s">
        <v>61</v>
      </c>
      <c r="I3381" t="s">
        <v>42</v>
      </c>
      <c r="M3381">
        <f>VLOOKUP(H3381,'Stage Order'!$A$2:$B$8,2,FALSE)</f>
        <v>1</v>
      </c>
      <c r="N3381" t="str">
        <f t="shared" si="104"/>
        <v>2. 1-24 hours</v>
      </c>
      <c r="O3381" t="str">
        <f t="shared" si="105"/>
        <v>2026-06</v>
      </c>
    </row>
    <row r="3382" spans="1:15" x14ac:dyDescent="0.3">
      <c r="A3382" t="s">
        <v>7985</v>
      </c>
      <c r="B3382" t="s">
        <v>7986</v>
      </c>
      <c r="C3382" t="s">
        <v>81</v>
      </c>
      <c r="D3382" t="s">
        <v>77</v>
      </c>
      <c r="E3382" t="s">
        <v>39</v>
      </c>
      <c r="F3382" t="s">
        <v>106</v>
      </c>
      <c r="G3382">
        <v>2.12</v>
      </c>
      <c r="H3382" t="s">
        <v>41</v>
      </c>
      <c r="I3382" t="s">
        <v>42</v>
      </c>
      <c r="M3382">
        <f>VLOOKUP(H3382,'Stage Order'!$A$2:$B$8,2,FALSE)</f>
        <v>2</v>
      </c>
      <c r="N3382" t="str">
        <f t="shared" si="104"/>
        <v>2. 1-24 hours</v>
      </c>
      <c r="O3382" t="str">
        <f t="shared" si="105"/>
        <v>2025-02</v>
      </c>
    </row>
    <row r="3383" spans="1:15" x14ac:dyDescent="0.3">
      <c r="A3383" t="s">
        <v>7987</v>
      </c>
      <c r="B3383" t="s">
        <v>7988</v>
      </c>
      <c r="C3383" t="s">
        <v>58</v>
      </c>
      <c r="D3383" t="s">
        <v>29</v>
      </c>
      <c r="E3383" t="s">
        <v>59</v>
      </c>
      <c r="F3383" t="s">
        <v>117</v>
      </c>
      <c r="G3383">
        <v>12.61</v>
      </c>
      <c r="H3383" t="s">
        <v>41</v>
      </c>
      <c r="I3383" t="s">
        <v>42</v>
      </c>
      <c r="M3383">
        <f>VLOOKUP(H3383,'Stage Order'!$A$2:$B$8,2,FALSE)</f>
        <v>2</v>
      </c>
      <c r="N3383" t="str">
        <f t="shared" si="104"/>
        <v>2. 1-24 hours</v>
      </c>
      <c r="O3383" t="str">
        <f t="shared" si="105"/>
        <v>2025-10</v>
      </c>
    </row>
    <row r="3384" spans="1:15" x14ac:dyDescent="0.3">
      <c r="A3384" t="s">
        <v>7989</v>
      </c>
      <c r="B3384" t="s">
        <v>7990</v>
      </c>
      <c r="C3384" t="s">
        <v>58</v>
      </c>
      <c r="D3384" t="s">
        <v>38</v>
      </c>
      <c r="E3384" t="s">
        <v>39</v>
      </c>
      <c r="F3384" t="s">
        <v>40</v>
      </c>
      <c r="G3384">
        <v>0.55000000000000004</v>
      </c>
      <c r="H3384" t="s">
        <v>41</v>
      </c>
      <c r="I3384" t="s">
        <v>42</v>
      </c>
      <c r="M3384">
        <f>VLOOKUP(H3384,'Stage Order'!$A$2:$B$8,2,FALSE)</f>
        <v>2</v>
      </c>
      <c r="N3384" t="str">
        <f t="shared" si="104"/>
        <v>1. Under 1 hour</v>
      </c>
      <c r="O3384" t="str">
        <f t="shared" si="105"/>
        <v>2025-07</v>
      </c>
    </row>
    <row r="3385" spans="1:15" x14ac:dyDescent="0.3">
      <c r="A3385" t="s">
        <v>7991</v>
      </c>
      <c r="B3385" t="s">
        <v>7992</v>
      </c>
      <c r="C3385" t="s">
        <v>58</v>
      </c>
      <c r="D3385" t="s">
        <v>97</v>
      </c>
      <c r="E3385" t="s">
        <v>90</v>
      </c>
      <c r="F3385" t="s">
        <v>112</v>
      </c>
      <c r="G3385">
        <v>0.57999999999999996</v>
      </c>
      <c r="H3385" t="s">
        <v>146</v>
      </c>
      <c r="I3385" t="s">
        <v>48</v>
      </c>
      <c r="J3385" t="s">
        <v>139</v>
      </c>
      <c r="K3385">
        <v>1235.78</v>
      </c>
      <c r="L3385" t="s">
        <v>7993</v>
      </c>
      <c r="M3385">
        <f>VLOOKUP(H3385,'Stage Order'!$A$2:$B$8,2,FALSE)</f>
        <v>5</v>
      </c>
      <c r="N3385" t="str">
        <f t="shared" si="104"/>
        <v>1. Under 1 hour</v>
      </c>
      <c r="O3385" t="str">
        <f t="shared" si="105"/>
        <v>2026-02</v>
      </c>
    </row>
    <row r="3386" spans="1:15" x14ac:dyDescent="0.3">
      <c r="A3386" t="s">
        <v>7994</v>
      </c>
      <c r="B3386" t="s">
        <v>7995</v>
      </c>
      <c r="C3386" t="s">
        <v>125</v>
      </c>
      <c r="D3386" t="s">
        <v>54</v>
      </c>
      <c r="E3386" t="s">
        <v>30</v>
      </c>
      <c r="F3386" t="s">
        <v>82</v>
      </c>
      <c r="G3386">
        <v>1.39</v>
      </c>
      <c r="H3386" t="s">
        <v>61</v>
      </c>
      <c r="I3386" t="s">
        <v>42</v>
      </c>
      <c r="M3386">
        <f>VLOOKUP(H3386,'Stage Order'!$A$2:$B$8,2,FALSE)</f>
        <v>1</v>
      </c>
      <c r="N3386" t="str">
        <f t="shared" si="104"/>
        <v>2. 1-24 hours</v>
      </c>
      <c r="O3386" t="str">
        <f t="shared" si="105"/>
        <v>2025-01</v>
      </c>
    </row>
    <row r="3387" spans="1:15" x14ac:dyDescent="0.3">
      <c r="A3387" t="s">
        <v>7996</v>
      </c>
      <c r="B3387" t="s">
        <v>7997</v>
      </c>
      <c r="C3387" t="s">
        <v>58</v>
      </c>
      <c r="D3387" t="s">
        <v>77</v>
      </c>
      <c r="E3387" t="s">
        <v>45</v>
      </c>
      <c r="F3387" t="s">
        <v>55</v>
      </c>
      <c r="G3387">
        <v>4.55</v>
      </c>
      <c r="H3387" t="s">
        <v>41</v>
      </c>
      <c r="I3387" t="s">
        <v>42</v>
      </c>
      <c r="M3387">
        <f>VLOOKUP(H3387,'Stage Order'!$A$2:$B$8,2,FALSE)</f>
        <v>2</v>
      </c>
      <c r="N3387" t="str">
        <f t="shared" si="104"/>
        <v>2. 1-24 hours</v>
      </c>
      <c r="O3387" t="str">
        <f t="shared" si="105"/>
        <v>2026-05</v>
      </c>
    </row>
    <row r="3388" spans="1:15" x14ac:dyDescent="0.3">
      <c r="A3388" t="s">
        <v>7998</v>
      </c>
      <c r="B3388" t="s">
        <v>7999</v>
      </c>
      <c r="C3388" t="s">
        <v>37</v>
      </c>
      <c r="D3388" t="s">
        <v>54</v>
      </c>
      <c r="E3388" t="s">
        <v>39</v>
      </c>
      <c r="F3388" t="s">
        <v>40</v>
      </c>
      <c r="G3388">
        <v>5.96</v>
      </c>
      <c r="H3388" t="s">
        <v>32</v>
      </c>
      <c r="I3388" t="s">
        <v>33</v>
      </c>
      <c r="K3388">
        <v>477.93</v>
      </c>
      <c r="L3388" t="s">
        <v>8000</v>
      </c>
      <c r="M3388">
        <f>VLOOKUP(H3388,'Stage Order'!$A$2:$B$8,2,FALSE)</f>
        <v>7</v>
      </c>
      <c r="N3388" t="str">
        <f t="shared" si="104"/>
        <v>2. 1-24 hours</v>
      </c>
      <c r="O3388" t="str">
        <f t="shared" si="105"/>
        <v>2025-03</v>
      </c>
    </row>
    <row r="3389" spans="1:15" x14ac:dyDescent="0.3">
      <c r="A3389" t="s">
        <v>8001</v>
      </c>
      <c r="B3389" t="s">
        <v>8002</v>
      </c>
      <c r="C3389" t="s">
        <v>37</v>
      </c>
      <c r="D3389" t="s">
        <v>77</v>
      </c>
      <c r="E3389" t="s">
        <v>39</v>
      </c>
      <c r="F3389" t="s">
        <v>106</v>
      </c>
      <c r="G3389">
        <v>4.4800000000000004</v>
      </c>
      <c r="H3389" t="s">
        <v>41</v>
      </c>
      <c r="I3389" t="s">
        <v>42</v>
      </c>
      <c r="M3389">
        <f>VLOOKUP(H3389,'Stage Order'!$A$2:$B$8,2,FALSE)</f>
        <v>2</v>
      </c>
      <c r="N3389" t="str">
        <f t="shared" si="104"/>
        <v>2. 1-24 hours</v>
      </c>
      <c r="O3389" t="str">
        <f t="shared" si="105"/>
        <v>2025-12</v>
      </c>
    </row>
    <row r="3390" spans="1:15" x14ac:dyDescent="0.3">
      <c r="A3390" t="s">
        <v>8003</v>
      </c>
      <c r="B3390" t="s">
        <v>8004</v>
      </c>
      <c r="C3390" t="s">
        <v>37</v>
      </c>
      <c r="D3390" t="s">
        <v>77</v>
      </c>
      <c r="E3390" t="s">
        <v>90</v>
      </c>
      <c r="F3390" t="s">
        <v>112</v>
      </c>
      <c r="G3390">
        <v>3.69</v>
      </c>
      <c r="H3390" t="s">
        <v>32</v>
      </c>
      <c r="I3390" t="s">
        <v>33</v>
      </c>
      <c r="K3390">
        <v>1027.3399999999999</v>
      </c>
      <c r="L3390" t="s">
        <v>8005</v>
      </c>
      <c r="M3390">
        <f>VLOOKUP(H3390,'Stage Order'!$A$2:$B$8,2,FALSE)</f>
        <v>7</v>
      </c>
      <c r="N3390" t="str">
        <f t="shared" si="104"/>
        <v>2. 1-24 hours</v>
      </c>
      <c r="O3390" t="str">
        <f t="shared" si="105"/>
        <v>2026-04</v>
      </c>
    </row>
    <row r="3391" spans="1:15" x14ac:dyDescent="0.3">
      <c r="A3391" t="s">
        <v>8006</v>
      </c>
      <c r="B3391" t="s">
        <v>8007</v>
      </c>
      <c r="C3391" t="s">
        <v>58</v>
      </c>
      <c r="D3391" t="s">
        <v>97</v>
      </c>
      <c r="E3391" t="s">
        <v>39</v>
      </c>
      <c r="F3391" t="s">
        <v>40</v>
      </c>
      <c r="G3391">
        <v>2.25</v>
      </c>
      <c r="H3391" t="s">
        <v>146</v>
      </c>
      <c r="I3391" t="s">
        <v>48</v>
      </c>
      <c r="J3391" t="s">
        <v>139</v>
      </c>
      <c r="K3391">
        <v>1269.71</v>
      </c>
      <c r="L3391" t="s">
        <v>8008</v>
      </c>
      <c r="M3391">
        <f>VLOOKUP(H3391,'Stage Order'!$A$2:$B$8,2,FALSE)</f>
        <v>5</v>
      </c>
      <c r="N3391" t="str">
        <f t="shared" si="104"/>
        <v>2. 1-24 hours</v>
      </c>
      <c r="O3391" t="str">
        <f t="shared" si="105"/>
        <v>2025-10</v>
      </c>
    </row>
    <row r="3392" spans="1:15" x14ac:dyDescent="0.3">
      <c r="A3392" t="s">
        <v>8009</v>
      </c>
      <c r="B3392" t="s">
        <v>8010</v>
      </c>
      <c r="C3392" t="s">
        <v>58</v>
      </c>
      <c r="D3392" t="s">
        <v>29</v>
      </c>
      <c r="E3392" t="s">
        <v>39</v>
      </c>
      <c r="F3392" t="s">
        <v>40</v>
      </c>
      <c r="G3392">
        <v>5.92</v>
      </c>
      <c r="H3392" t="s">
        <v>41</v>
      </c>
      <c r="I3392" t="s">
        <v>42</v>
      </c>
      <c r="M3392">
        <f>VLOOKUP(H3392,'Stage Order'!$A$2:$B$8,2,FALSE)</f>
        <v>2</v>
      </c>
      <c r="N3392" t="str">
        <f t="shared" si="104"/>
        <v>2. 1-24 hours</v>
      </c>
      <c r="O3392" t="str">
        <f t="shared" si="105"/>
        <v>2025-11</v>
      </c>
    </row>
    <row r="3393" spans="1:15" x14ac:dyDescent="0.3">
      <c r="A3393" t="s">
        <v>8011</v>
      </c>
      <c r="B3393" t="s">
        <v>8012</v>
      </c>
      <c r="C3393" t="s">
        <v>58</v>
      </c>
      <c r="D3393" t="s">
        <v>54</v>
      </c>
      <c r="E3393" t="s">
        <v>39</v>
      </c>
      <c r="F3393" t="s">
        <v>66</v>
      </c>
      <c r="G3393">
        <v>3.32</v>
      </c>
      <c r="H3393" t="s">
        <v>61</v>
      </c>
      <c r="I3393" t="s">
        <v>42</v>
      </c>
      <c r="M3393">
        <f>VLOOKUP(H3393,'Stage Order'!$A$2:$B$8,2,FALSE)</f>
        <v>1</v>
      </c>
      <c r="N3393" t="str">
        <f t="shared" si="104"/>
        <v>2. 1-24 hours</v>
      </c>
      <c r="O3393" t="str">
        <f t="shared" si="105"/>
        <v>2025-10</v>
      </c>
    </row>
    <row r="3394" spans="1:15" x14ac:dyDescent="0.3">
      <c r="A3394" t="s">
        <v>8013</v>
      </c>
      <c r="B3394" t="s">
        <v>8014</v>
      </c>
      <c r="C3394" t="s">
        <v>53</v>
      </c>
      <c r="D3394" t="s">
        <v>77</v>
      </c>
      <c r="E3394" t="s">
        <v>59</v>
      </c>
      <c r="F3394" t="s">
        <v>117</v>
      </c>
      <c r="G3394">
        <v>3.67</v>
      </c>
      <c r="H3394" t="s">
        <v>32</v>
      </c>
      <c r="I3394" t="s">
        <v>33</v>
      </c>
      <c r="K3394">
        <v>886.49</v>
      </c>
      <c r="L3394" t="s">
        <v>8015</v>
      </c>
      <c r="M3394">
        <f>VLOOKUP(H3394,'Stage Order'!$A$2:$B$8,2,FALSE)</f>
        <v>7</v>
      </c>
      <c r="N3394" t="str">
        <f t="shared" ref="N3394:N3457" si="106">IF(G3394&lt;=1,"1. Under 1 hour",IF(G3394&lt;=24,"2. 1-24 hours",IF(G3394&lt;=72,"3. 1-3 days","4. Over 3 days")))</f>
        <v>2. 1-24 hours</v>
      </c>
      <c r="O3394" t="str">
        <f t="shared" ref="O3394:O3457" si="107">TEXT(B3394,"YYYY-MM")</f>
        <v>2025-07</v>
      </c>
    </row>
    <row r="3395" spans="1:15" x14ac:dyDescent="0.3">
      <c r="A3395" t="s">
        <v>8016</v>
      </c>
      <c r="B3395" t="s">
        <v>8017</v>
      </c>
      <c r="C3395" t="s">
        <v>37</v>
      </c>
      <c r="D3395" t="s">
        <v>77</v>
      </c>
      <c r="E3395" t="s">
        <v>30</v>
      </c>
      <c r="F3395" t="s">
        <v>82</v>
      </c>
      <c r="G3395">
        <v>4.6500000000000004</v>
      </c>
      <c r="H3395" t="s">
        <v>61</v>
      </c>
      <c r="I3395" t="s">
        <v>42</v>
      </c>
      <c r="M3395">
        <f>VLOOKUP(H3395,'Stage Order'!$A$2:$B$8,2,FALSE)</f>
        <v>1</v>
      </c>
      <c r="N3395" t="str">
        <f t="shared" si="106"/>
        <v>2. 1-24 hours</v>
      </c>
      <c r="O3395" t="str">
        <f t="shared" si="107"/>
        <v>2025-09</v>
      </c>
    </row>
    <row r="3396" spans="1:15" x14ac:dyDescent="0.3">
      <c r="A3396" t="s">
        <v>8018</v>
      </c>
      <c r="B3396" t="s">
        <v>8019</v>
      </c>
      <c r="C3396" t="s">
        <v>58</v>
      </c>
      <c r="D3396" t="s">
        <v>38</v>
      </c>
      <c r="E3396" t="s">
        <v>39</v>
      </c>
      <c r="F3396" t="s">
        <v>40</v>
      </c>
      <c r="G3396">
        <v>5.66</v>
      </c>
      <c r="H3396" t="s">
        <v>41</v>
      </c>
      <c r="I3396" t="s">
        <v>42</v>
      </c>
      <c r="M3396">
        <f>VLOOKUP(H3396,'Stage Order'!$A$2:$B$8,2,FALSE)</f>
        <v>2</v>
      </c>
      <c r="N3396" t="str">
        <f t="shared" si="106"/>
        <v>2. 1-24 hours</v>
      </c>
      <c r="O3396" t="str">
        <f t="shared" si="107"/>
        <v>2025-03</v>
      </c>
    </row>
    <row r="3397" spans="1:15" x14ac:dyDescent="0.3">
      <c r="A3397" t="s">
        <v>8020</v>
      </c>
      <c r="B3397" t="s">
        <v>8021</v>
      </c>
      <c r="C3397" t="s">
        <v>125</v>
      </c>
      <c r="D3397" t="s">
        <v>77</v>
      </c>
      <c r="E3397" t="s">
        <v>90</v>
      </c>
      <c r="F3397" t="s">
        <v>145</v>
      </c>
      <c r="G3397">
        <v>7.78</v>
      </c>
      <c r="H3397" t="s">
        <v>41</v>
      </c>
      <c r="I3397" t="s">
        <v>42</v>
      </c>
      <c r="M3397">
        <f>VLOOKUP(H3397,'Stage Order'!$A$2:$B$8,2,FALSE)</f>
        <v>2</v>
      </c>
      <c r="N3397" t="str">
        <f t="shared" si="106"/>
        <v>2. 1-24 hours</v>
      </c>
      <c r="O3397" t="str">
        <f t="shared" si="107"/>
        <v>2026-02</v>
      </c>
    </row>
    <row r="3398" spans="1:15" x14ac:dyDescent="0.3">
      <c r="A3398" t="s">
        <v>8022</v>
      </c>
      <c r="B3398" t="s">
        <v>8023</v>
      </c>
      <c r="C3398" t="s">
        <v>125</v>
      </c>
      <c r="D3398" t="s">
        <v>54</v>
      </c>
      <c r="E3398" t="s">
        <v>90</v>
      </c>
      <c r="F3398" t="s">
        <v>91</v>
      </c>
      <c r="G3398">
        <v>6.83</v>
      </c>
      <c r="H3398" t="s">
        <v>61</v>
      </c>
      <c r="I3398" t="s">
        <v>42</v>
      </c>
      <c r="M3398">
        <f>VLOOKUP(H3398,'Stage Order'!$A$2:$B$8,2,FALSE)</f>
        <v>1</v>
      </c>
      <c r="N3398" t="str">
        <f t="shared" si="106"/>
        <v>2. 1-24 hours</v>
      </c>
      <c r="O3398" t="str">
        <f t="shared" si="107"/>
        <v>2025-05</v>
      </c>
    </row>
    <row r="3399" spans="1:15" x14ac:dyDescent="0.3">
      <c r="A3399" t="s">
        <v>8024</v>
      </c>
      <c r="B3399" t="s">
        <v>8025</v>
      </c>
      <c r="C3399" t="s">
        <v>58</v>
      </c>
      <c r="D3399" t="s">
        <v>97</v>
      </c>
      <c r="E3399" t="s">
        <v>39</v>
      </c>
      <c r="F3399" t="s">
        <v>106</v>
      </c>
      <c r="G3399">
        <v>5.37</v>
      </c>
      <c r="H3399" t="s">
        <v>41</v>
      </c>
      <c r="I3399" t="s">
        <v>42</v>
      </c>
      <c r="M3399">
        <f>VLOOKUP(H3399,'Stage Order'!$A$2:$B$8,2,FALSE)</f>
        <v>2</v>
      </c>
      <c r="N3399" t="str">
        <f t="shared" si="106"/>
        <v>2. 1-24 hours</v>
      </c>
      <c r="O3399" t="str">
        <f t="shared" si="107"/>
        <v>2026-04</v>
      </c>
    </row>
    <row r="3400" spans="1:15" x14ac:dyDescent="0.3">
      <c r="A3400" t="s">
        <v>8026</v>
      </c>
      <c r="B3400" t="s">
        <v>8027</v>
      </c>
      <c r="C3400" t="s">
        <v>58</v>
      </c>
      <c r="D3400" t="s">
        <v>38</v>
      </c>
      <c r="E3400" t="s">
        <v>45</v>
      </c>
      <c r="F3400" t="s">
        <v>46</v>
      </c>
      <c r="G3400">
        <v>2.8</v>
      </c>
      <c r="H3400" t="s">
        <v>41</v>
      </c>
      <c r="I3400" t="s">
        <v>42</v>
      </c>
      <c r="M3400">
        <f>VLOOKUP(H3400,'Stage Order'!$A$2:$B$8,2,FALSE)</f>
        <v>2</v>
      </c>
      <c r="N3400" t="str">
        <f t="shared" si="106"/>
        <v>2. 1-24 hours</v>
      </c>
      <c r="O3400" t="str">
        <f t="shared" si="107"/>
        <v>2025-12</v>
      </c>
    </row>
    <row r="3401" spans="1:15" x14ac:dyDescent="0.3">
      <c r="A3401" t="s">
        <v>8028</v>
      </c>
      <c r="B3401" t="s">
        <v>8029</v>
      </c>
      <c r="C3401" t="s">
        <v>58</v>
      </c>
      <c r="D3401" t="s">
        <v>77</v>
      </c>
      <c r="E3401" t="s">
        <v>59</v>
      </c>
      <c r="F3401" t="s">
        <v>137</v>
      </c>
      <c r="G3401">
        <v>2.4900000000000002</v>
      </c>
      <c r="H3401" t="s">
        <v>41</v>
      </c>
      <c r="I3401" t="s">
        <v>42</v>
      </c>
      <c r="M3401">
        <f>VLOOKUP(H3401,'Stage Order'!$A$2:$B$8,2,FALSE)</f>
        <v>2</v>
      </c>
      <c r="N3401" t="str">
        <f t="shared" si="106"/>
        <v>2. 1-24 hours</v>
      </c>
      <c r="O3401" t="str">
        <f t="shared" si="107"/>
        <v>2026-02</v>
      </c>
    </row>
    <row r="3402" spans="1:15" x14ac:dyDescent="0.3">
      <c r="A3402" t="s">
        <v>8030</v>
      </c>
      <c r="B3402" t="s">
        <v>8031</v>
      </c>
      <c r="C3402" t="s">
        <v>53</v>
      </c>
      <c r="D3402" t="s">
        <v>54</v>
      </c>
      <c r="E3402" t="s">
        <v>39</v>
      </c>
      <c r="F3402" t="s">
        <v>40</v>
      </c>
      <c r="G3402">
        <v>3.82</v>
      </c>
      <c r="H3402" t="s">
        <v>32</v>
      </c>
      <c r="I3402" t="s">
        <v>33</v>
      </c>
      <c r="K3402">
        <v>420.32</v>
      </c>
      <c r="L3402" t="s">
        <v>8032</v>
      </c>
      <c r="M3402">
        <f>VLOOKUP(H3402,'Stage Order'!$A$2:$B$8,2,FALSE)</f>
        <v>7</v>
      </c>
      <c r="N3402" t="str">
        <f t="shared" si="106"/>
        <v>2. 1-24 hours</v>
      </c>
      <c r="O3402" t="str">
        <f t="shared" si="107"/>
        <v>2025-08</v>
      </c>
    </row>
    <row r="3403" spans="1:15" x14ac:dyDescent="0.3">
      <c r="A3403" t="s">
        <v>8033</v>
      </c>
      <c r="B3403" t="s">
        <v>8034</v>
      </c>
      <c r="C3403" t="s">
        <v>81</v>
      </c>
      <c r="D3403" t="s">
        <v>54</v>
      </c>
      <c r="E3403" t="s">
        <v>59</v>
      </c>
      <c r="F3403" t="s">
        <v>137</v>
      </c>
      <c r="G3403">
        <v>1.65</v>
      </c>
      <c r="H3403" t="s">
        <v>61</v>
      </c>
      <c r="I3403" t="s">
        <v>42</v>
      </c>
      <c r="M3403">
        <f>VLOOKUP(H3403,'Stage Order'!$A$2:$B$8,2,FALSE)</f>
        <v>1</v>
      </c>
      <c r="N3403" t="str">
        <f t="shared" si="106"/>
        <v>2. 1-24 hours</v>
      </c>
      <c r="O3403" t="str">
        <f t="shared" si="107"/>
        <v>2025-12</v>
      </c>
    </row>
    <row r="3404" spans="1:15" x14ac:dyDescent="0.3">
      <c r="A3404" t="s">
        <v>8035</v>
      </c>
      <c r="B3404" t="s">
        <v>8036</v>
      </c>
      <c r="C3404" t="s">
        <v>76</v>
      </c>
      <c r="D3404" t="s">
        <v>77</v>
      </c>
      <c r="E3404" t="s">
        <v>39</v>
      </c>
      <c r="F3404" t="s">
        <v>106</v>
      </c>
      <c r="G3404">
        <v>1.39</v>
      </c>
      <c r="H3404" t="s">
        <v>41</v>
      </c>
      <c r="I3404" t="s">
        <v>42</v>
      </c>
      <c r="M3404">
        <f>VLOOKUP(H3404,'Stage Order'!$A$2:$B$8,2,FALSE)</f>
        <v>2</v>
      </c>
      <c r="N3404" t="str">
        <f t="shared" si="106"/>
        <v>2. 1-24 hours</v>
      </c>
      <c r="O3404" t="str">
        <f t="shared" si="107"/>
        <v>2026-05</v>
      </c>
    </row>
    <row r="3405" spans="1:15" x14ac:dyDescent="0.3">
      <c r="A3405" t="s">
        <v>8037</v>
      </c>
      <c r="B3405" t="s">
        <v>8038</v>
      </c>
      <c r="C3405" t="s">
        <v>58</v>
      </c>
      <c r="D3405" t="s">
        <v>38</v>
      </c>
      <c r="E3405" t="s">
        <v>45</v>
      </c>
      <c r="F3405" t="s">
        <v>94</v>
      </c>
      <c r="G3405">
        <v>4.84</v>
      </c>
      <c r="H3405" t="s">
        <v>146</v>
      </c>
      <c r="I3405" t="s">
        <v>48</v>
      </c>
      <c r="J3405" t="s">
        <v>139</v>
      </c>
      <c r="K3405">
        <v>346.4</v>
      </c>
      <c r="L3405" t="s">
        <v>8039</v>
      </c>
      <c r="M3405">
        <f>VLOOKUP(H3405,'Stage Order'!$A$2:$B$8,2,FALSE)</f>
        <v>5</v>
      </c>
      <c r="N3405" t="str">
        <f t="shared" si="106"/>
        <v>2. 1-24 hours</v>
      </c>
      <c r="O3405" t="str">
        <f t="shared" si="107"/>
        <v>2025-02</v>
      </c>
    </row>
    <row r="3406" spans="1:15" x14ac:dyDescent="0.3">
      <c r="A3406" t="s">
        <v>8040</v>
      </c>
      <c r="B3406" t="s">
        <v>8041</v>
      </c>
      <c r="C3406" t="s">
        <v>81</v>
      </c>
      <c r="D3406" t="s">
        <v>97</v>
      </c>
      <c r="E3406" t="s">
        <v>45</v>
      </c>
      <c r="F3406" t="s">
        <v>94</v>
      </c>
      <c r="G3406">
        <v>4.71</v>
      </c>
      <c r="H3406" t="s">
        <v>61</v>
      </c>
      <c r="I3406" t="s">
        <v>42</v>
      </c>
      <c r="M3406">
        <f>VLOOKUP(H3406,'Stage Order'!$A$2:$B$8,2,FALSE)</f>
        <v>1</v>
      </c>
      <c r="N3406" t="str">
        <f t="shared" si="106"/>
        <v>2. 1-24 hours</v>
      </c>
      <c r="O3406" t="str">
        <f t="shared" si="107"/>
        <v>2025-08</v>
      </c>
    </row>
    <row r="3407" spans="1:15" x14ac:dyDescent="0.3">
      <c r="A3407" t="s">
        <v>8042</v>
      </c>
      <c r="B3407" t="s">
        <v>8043</v>
      </c>
      <c r="C3407" t="s">
        <v>37</v>
      </c>
      <c r="D3407" t="s">
        <v>38</v>
      </c>
      <c r="E3407" t="s">
        <v>59</v>
      </c>
      <c r="F3407" t="s">
        <v>117</v>
      </c>
      <c r="G3407">
        <v>1.1499999999999999</v>
      </c>
      <c r="H3407" t="s">
        <v>32</v>
      </c>
      <c r="I3407" t="s">
        <v>33</v>
      </c>
      <c r="K3407">
        <v>422.04</v>
      </c>
      <c r="L3407" t="s">
        <v>8044</v>
      </c>
      <c r="M3407">
        <f>VLOOKUP(H3407,'Stage Order'!$A$2:$B$8,2,FALSE)</f>
        <v>7</v>
      </c>
      <c r="N3407" t="str">
        <f t="shared" si="106"/>
        <v>2. 1-24 hours</v>
      </c>
      <c r="O3407" t="str">
        <f t="shared" si="107"/>
        <v>2025-11</v>
      </c>
    </row>
    <row r="3408" spans="1:15" x14ac:dyDescent="0.3">
      <c r="A3408" t="s">
        <v>8045</v>
      </c>
      <c r="B3408" t="s">
        <v>8046</v>
      </c>
      <c r="C3408" t="s">
        <v>58</v>
      </c>
      <c r="D3408" t="s">
        <v>29</v>
      </c>
      <c r="E3408" t="s">
        <v>59</v>
      </c>
      <c r="F3408" t="s">
        <v>60</v>
      </c>
      <c r="G3408">
        <v>15.67</v>
      </c>
      <c r="H3408" t="s">
        <v>146</v>
      </c>
      <c r="I3408" t="s">
        <v>48</v>
      </c>
      <c r="J3408" t="s">
        <v>139</v>
      </c>
      <c r="K3408">
        <v>720.2</v>
      </c>
      <c r="L3408" t="s">
        <v>8047</v>
      </c>
      <c r="M3408">
        <f>VLOOKUP(H3408,'Stage Order'!$A$2:$B$8,2,FALSE)</f>
        <v>5</v>
      </c>
      <c r="N3408" t="str">
        <f t="shared" si="106"/>
        <v>2. 1-24 hours</v>
      </c>
      <c r="O3408" t="str">
        <f t="shared" si="107"/>
        <v>2025-09</v>
      </c>
    </row>
    <row r="3409" spans="1:15" x14ac:dyDescent="0.3">
      <c r="A3409" t="s">
        <v>8048</v>
      </c>
      <c r="B3409" t="s">
        <v>3001</v>
      </c>
      <c r="C3409" t="s">
        <v>76</v>
      </c>
      <c r="D3409" t="s">
        <v>77</v>
      </c>
      <c r="E3409" t="s">
        <v>39</v>
      </c>
      <c r="F3409" t="s">
        <v>40</v>
      </c>
      <c r="G3409">
        <v>2.75</v>
      </c>
      <c r="H3409" t="s">
        <v>146</v>
      </c>
      <c r="I3409" t="s">
        <v>48</v>
      </c>
      <c r="J3409" t="s">
        <v>139</v>
      </c>
      <c r="K3409">
        <v>981.73</v>
      </c>
      <c r="L3409" t="s">
        <v>8049</v>
      </c>
      <c r="M3409">
        <f>VLOOKUP(H3409,'Stage Order'!$A$2:$B$8,2,FALSE)</f>
        <v>5</v>
      </c>
      <c r="N3409" t="str">
        <f t="shared" si="106"/>
        <v>2. 1-24 hours</v>
      </c>
      <c r="O3409" t="str">
        <f t="shared" si="107"/>
        <v>2026-06</v>
      </c>
    </row>
    <row r="3410" spans="1:15" x14ac:dyDescent="0.3">
      <c r="A3410" t="s">
        <v>8050</v>
      </c>
      <c r="B3410" t="s">
        <v>8051</v>
      </c>
      <c r="C3410" t="s">
        <v>58</v>
      </c>
      <c r="D3410" t="s">
        <v>38</v>
      </c>
      <c r="E3410" t="s">
        <v>90</v>
      </c>
      <c r="F3410" t="s">
        <v>112</v>
      </c>
      <c r="G3410">
        <v>6.25</v>
      </c>
      <c r="H3410" t="s">
        <v>41</v>
      </c>
      <c r="I3410" t="s">
        <v>42</v>
      </c>
      <c r="M3410">
        <f>VLOOKUP(H3410,'Stage Order'!$A$2:$B$8,2,FALSE)</f>
        <v>2</v>
      </c>
      <c r="N3410" t="str">
        <f t="shared" si="106"/>
        <v>2. 1-24 hours</v>
      </c>
      <c r="O3410" t="str">
        <f t="shared" si="107"/>
        <v>2026-01</v>
      </c>
    </row>
    <row r="3411" spans="1:15" x14ac:dyDescent="0.3">
      <c r="A3411" t="s">
        <v>8052</v>
      </c>
      <c r="B3411" t="s">
        <v>8053</v>
      </c>
      <c r="C3411" t="s">
        <v>58</v>
      </c>
      <c r="D3411" t="s">
        <v>29</v>
      </c>
      <c r="E3411" t="s">
        <v>90</v>
      </c>
      <c r="F3411" t="s">
        <v>112</v>
      </c>
      <c r="G3411">
        <v>3.1</v>
      </c>
      <c r="H3411" t="s">
        <v>41</v>
      </c>
      <c r="I3411" t="s">
        <v>42</v>
      </c>
      <c r="M3411">
        <f>VLOOKUP(H3411,'Stage Order'!$A$2:$B$8,2,FALSE)</f>
        <v>2</v>
      </c>
      <c r="N3411" t="str">
        <f t="shared" si="106"/>
        <v>2. 1-24 hours</v>
      </c>
      <c r="O3411" t="str">
        <f t="shared" si="107"/>
        <v>2025-07</v>
      </c>
    </row>
    <row r="3412" spans="1:15" x14ac:dyDescent="0.3">
      <c r="A3412" t="s">
        <v>8054</v>
      </c>
      <c r="B3412" t="s">
        <v>8055</v>
      </c>
      <c r="C3412" t="s">
        <v>37</v>
      </c>
      <c r="D3412" t="s">
        <v>97</v>
      </c>
      <c r="E3412" t="s">
        <v>39</v>
      </c>
      <c r="F3412" t="s">
        <v>106</v>
      </c>
      <c r="G3412">
        <v>20.12</v>
      </c>
      <c r="H3412" t="s">
        <v>138</v>
      </c>
      <c r="I3412" t="s">
        <v>48</v>
      </c>
      <c r="J3412" t="s">
        <v>98</v>
      </c>
      <c r="K3412">
        <v>1190.45</v>
      </c>
      <c r="L3412" t="s">
        <v>8056</v>
      </c>
      <c r="M3412">
        <f>VLOOKUP(H3412,'Stage Order'!$A$2:$B$8,2,FALSE)</f>
        <v>6</v>
      </c>
      <c r="N3412" t="str">
        <f t="shared" si="106"/>
        <v>2. 1-24 hours</v>
      </c>
      <c r="O3412" t="str">
        <f t="shared" si="107"/>
        <v>2025-05</v>
      </c>
    </row>
    <row r="3413" spans="1:15" x14ac:dyDescent="0.3">
      <c r="A3413" t="s">
        <v>8057</v>
      </c>
      <c r="B3413" t="s">
        <v>8058</v>
      </c>
      <c r="C3413" t="s">
        <v>28</v>
      </c>
      <c r="D3413" t="s">
        <v>29</v>
      </c>
      <c r="E3413" t="s">
        <v>39</v>
      </c>
      <c r="F3413" t="s">
        <v>106</v>
      </c>
      <c r="G3413">
        <v>1.29</v>
      </c>
      <c r="H3413" t="s">
        <v>32</v>
      </c>
      <c r="I3413" t="s">
        <v>33</v>
      </c>
      <c r="K3413">
        <v>704.58</v>
      </c>
      <c r="L3413" t="s">
        <v>8059</v>
      </c>
      <c r="M3413">
        <f>VLOOKUP(H3413,'Stage Order'!$A$2:$B$8,2,FALSE)</f>
        <v>7</v>
      </c>
      <c r="N3413" t="str">
        <f t="shared" si="106"/>
        <v>2. 1-24 hours</v>
      </c>
      <c r="O3413" t="str">
        <f t="shared" si="107"/>
        <v>2025-12</v>
      </c>
    </row>
    <row r="3414" spans="1:15" x14ac:dyDescent="0.3">
      <c r="A3414" t="s">
        <v>8060</v>
      </c>
      <c r="B3414" t="s">
        <v>8061</v>
      </c>
      <c r="C3414" t="s">
        <v>125</v>
      </c>
      <c r="D3414" t="s">
        <v>29</v>
      </c>
      <c r="E3414" t="s">
        <v>59</v>
      </c>
      <c r="F3414" t="s">
        <v>117</v>
      </c>
      <c r="G3414">
        <v>2.44</v>
      </c>
      <c r="H3414" t="s">
        <v>41</v>
      </c>
      <c r="I3414" t="s">
        <v>42</v>
      </c>
      <c r="M3414">
        <f>VLOOKUP(H3414,'Stage Order'!$A$2:$B$8,2,FALSE)</f>
        <v>2</v>
      </c>
      <c r="N3414" t="str">
        <f t="shared" si="106"/>
        <v>2. 1-24 hours</v>
      </c>
      <c r="O3414" t="str">
        <f t="shared" si="107"/>
        <v>2025-10</v>
      </c>
    </row>
    <row r="3415" spans="1:15" x14ac:dyDescent="0.3">
      <c r="A3415" t="s">
        <v>8062</v>
      </c>
      <c r="B3415" t="s">
        <v>8063</v>
      </c>
      <c r="C3415" t="s">
        <v>53</v>
      </c>
      <c r="D3415" t="s">
        <v>54</v>
      </c>
      <c r="E3415" t="s">
        <v>59</v>
      </c>
      <c r="F3415" t="s">
        <v>60</v>
      </c>
      <c r="G3415">
        <v>13.28</v>
      </c>
      <c r="H3415" t="s">
        <v>138</v>
      </c>
      <c r="I3415" t="s">
        <v>48</v>
      </c>
      <c r="J3415" t="s">
        <v>742</v>
      </c>
      <c r="K3415">
        <v>551.32000000000005</v>
      </c>
      <c r="L3415" t="s">
        <v>8064</v>
      </c>
      <c r="M3415">
        <f>VLOOKUP(H3415,'Stage Order'!$A$2:$B$8,2,FALSE)</f>
        <v>6</v>
      </c>
      <c r="N3415" t="str">
        <f t="shared" si="106"/>
        <v>2. 1-24 hours</v>
      </c>
      <c r="O3415" t="str">
        <f t="shared" si="107"/>
        <v>2025-07</v>
      </c>
    </row>
    <row r="3416" spans="1:15" x14ac:dyDescent="0.3">
      <c r="A3416" t="s">
        <v>8065</v>
      </c>
      <c r="B3416" t="s">
        <v>8066</v>
      </c>
      <c r="C3416" t="s">
        <v>37</v>
      </c>
      <c r="D3416" t="s">
        <v>97</v>
      </c>
      <c r="E3416" t="s">
        <v>30</v>
      </c>
      <c r="F3416" t="s">
        <v>78</v>
      </c>
      <c r="G3416">
        <v>1.95</v>
      </c>
      <c r="H3416" t="s">
        <v>41</v>
      </c>
      <c r="I3416" t="s">
        <v>42</v>
      </c>
      <c r="M3416">
        <f>VLOOKUP(H3416,'Stage Order'!$A$2:$B$8,2,FALSE)</f>
        <v>2</v>
      </c>
      <c r="N3416" t="str">
        <f t="shared" si="106"/>
        <v>2. 1-24 hours</v>
      </c>
      <c r="O3416" t="str">
        <f t="shared" si="107"/>
        <v>2026-05</v>
      </c>
    </row>
    <row r="3417" spans="1:15" x14ac:dyDescent="0.3">
      <c r="A3417" t="s">
        <v>8067</v>
      </c>
      <c r="B3417" t="s">
        <v>8068</v>
      </c>
      <c r="C3417" t="s">
        <v>37</v>
      </c>
      <c r="D3417" t="s">
        <v>77</v>
      </c>
      <c r="E3417" t="s">
        <v>90</v>
      </c>
      <c r="F3417" t="s">
        <v>145</v>
      </c>
      <c r="G3417">
        <v>5.53</v>
      </c>
      <c r="H3417" t="s">
        <v>61</v>
      </c>
      <c r="I3417" t="s">
        <v>42</v>
      </c>
      <c r="M3417">
        <f>VLOOKUP(H3417,'Stage Order'!$A$2:$B$8,2,FALSE)</f>
        <v>1</v>
      </c>
      <c r="N3417" t="str">
        <f t="shared" si="106"/>
        <v>2. 1-24 hours</v>
      </c>
      <c r="O3417" t="str">
        <f t="shared" si="107"/>
        <v>2025-06</v>
      </c>
    </row>
    <row r="3418" spans="1:15" x14ac:dyDescent="0.3">
      <c r="A3418" t="s">
        <v>8069</v>
      </c>
      <c r="B3418" t="s">
        <v>8070</v>
      </c>
      <c r="C3418" t="s">
        <v>81</v>
      </c>
      <c r="D3418" t="s">
        <v>54</v>
      </c>
      <c r="E3418" t="s">
        <v>45</v>
      </c>
      <c r="F3418" t="s">
        <v>55</v>
      </c>
      <c r="G3418">
        <v>3.29</v>
      </c>
      <c r="H3418" t="s">
        <v>61</v>
      </c>
      <c r="I3418" t="s">
        <v>42</v>
      </c>
      <c r="M3418">
        <f>VLOOKUP(H3418,'Stage Order'!$A$2:$B$8,2,FALSE)</f>
        <v>1</v>
      </c>
      <c r="N3418" t="str">
        <f t="shared" si="106"/>
        <v>2. 1-24 hours</v>
      </c>
      <c r="O3418" t="str">
        <f t="shared" si="107"/>
        <v>2026-05</v>
      </c>
    </row>
    <row r="3419" spans="1:15" x14ac:dyDescent="0.3">
      <c r="A3419" t="s">
        <v>8071</v>
      </c>
      <c r="B3419" t="s">
        <v>8072</v>
      </c>
      <c r="C3419" t="s">
        <v>58</v>
      </c>
      <c r="D3419" t="s">
        <v>54</v>
      </c>
      <c r="E3419" t="s">
        <v>45</v>
      </c>
      <c r="F3419" t="s">
        <v>94</v>
      </c>
      <c r="G3419">
        <v>0.56999999999999995</v>
      </c>
      <c r="H3419" t="s">
        <v>47</v>
      </c>
      <c r="I3419" t="s">
        <v>48</v>
      </c>
      <c r="J3419" t="s">
        <v>98</v>
      </c>
      <c r="K3419">
        <v>482.17</v>
      </c>
      <c r="L3419" t="s">
        <v>8073</v>
      </c>
      <c r="M3419">
        <f>VLOOKUP(H3419,'Stage Order'!$A$2:$B$8,2,FALSE)</f>
        <v>4</v>
      </c>
      <c r="N3419" t="str">
        <f t="shared" si="106"/>
        <v>1. Under 1 hour</v>
      </c>
      <c r="O3419" t="str">
        <f t="shared" si="107"/>
        <v>2025-06</v>
      </c>
    </row>
    <row r="3420" spans="1:15" x14ac:dyDescent="0.3">
      <c r="A3420" t="s">
        <v>8074</v>
      </c>
      <c r="B3420" t="s">
        <v>8075</v>
      </c>
      <c r="C3420" t="s">
        <v>37</v>
      </c>
      <c r="D3420" t="s">
        <v>29</v>
      </c>
      <c r="E3420" t="s">
        <v>59</v>
      </c>
      <c r="F3420" t="s">
        <v>60</v>
      </c>
      <c r="G3420">
        <v>2.65</v>
      </c>
      <c r="H3420" t="s">
        <v>41</v>
      </c>
      <c r="I3420" t="s">
        <v>42</v>
      </c>
      <c r="M3420">
        <f>VLOOKUP(H3420,'Stage Order'!$A$2:$B$8,2,FALSE)</f>
        <v>2</v>
      </c>
      <c r="N3420" t="str">
        <f t="shared" si="106"/>
        <v>2. 1-24 hours</v>
      </c>
      <c r="O3420" t="str">
        <f t="shared" si="107"/>
        <v>2025-02</v>
      </c>
    </row>
    <row r="3421" spans="1:15" x14ac:dyDescent="0.3">
      <c r="A3421" t="s">
        <v>8076</v>
      </c>
      <c r="B3421" t="s">
        <v>8077</v>
      </c>
      <c r="C3421" t="s">
        <v>125</v>
      </c>
      <c r="D3421" t="s">
        <v>38</v>
      </c>
      <c r="E3421" t="s">
        <v>45</v>
      </c>
      <c r="F3421" t="s">
        <v>46</v>
      </c>
      <c r="G3421">
        <v>4.0199999999999996</v>
      </c>
      <c r="H3421" t="s">
        <v>41</v>
      </c>
      <c r="I3421" t="s">
        <v>42</v>
      </c>
      <c r="M3421">
        <f>VLOOKUP(H3421,'Stage Order'!$A$2:$B$8,2,FALSE)</f>
        <v>2</v>
      </c>
      <c r="N3421" t="str">
        <f t="shared" si="106"/>
        <v>2. 1-24 hours</v>
      </c>
      <c r="O3421" t="str">
        <f t="shared" si="107"/>
        <v>2025-05</v>
      </c>
    </row>
    <row r="3422" spans="1:15" x14ac:dyDescent="0.3">
      <c r="A3422" t="s">
        <v>8078</v>
      </c>
      <c r="B3422" t="s">
        <v>8079</v>
      </c>
      <c r="C3422" t="s">
        <v>125</v>
      </c>
      <c r="D3422" t="s">
        <v>54</v>
      </c>
      <c r="E3422" t="s">
        <v>39</v>
      </c>
      <c r="F3422" t="s">
        <v>40</v>
      </c>
      <c r="G3422">
        <v>9.49</v>
      </c>
      <c r="H3422" t="s">
        <v>41</v>
      </c>
      <c r="I3422" t="s">
        <v>42</v>
      </c>
      <c r="M3422">
        <f>VLOOKUP(H3422,'Stage Order'!$A$2:$B$8,2,FALSE)</f>
        <v>2</v>
      </c>
      <c r="N3422" t="str">
        <f t="shared" si="106"/>
        <v>2. 1-24 hours</v>
      </c>
      <c r="O3422" t="str">
        <f t="shared" si="107"/>
        <v>2025-07</v>
      </c>
    </row>
    <row r="3423" spans="1:15" x14ac:dyDescent="0.3">
      <c r="A3423" t="s">
        <v>8080</v>
      </c>
      <c r="B3423" t="s">
        <v>8081</v>
      </c>
      <c r="C3423" t="s">
        <v>28</v>
      </c>
      <c r="D3423" t="s">
        <v>77</v>
      </c>
      <c r="E3423" t="s">
        <v>45</v>
      </c>
      <c r="F3423" t="s">
        <v>46</v>
      </c>
      <c r="G3423">
        <v>3.22</v>
      </c>
      <c r="H3423" t="s">
        <v>32</v>
      </c>
      <c r="I3423" t="s">
        <v>33</v>
      </c>
      <c r="K3423">
        <v>1001.2</v>
      </c>
      <c r="L3423" t="s">
        <v>8082</v>
      </c>
      <c r="M3423">
        <f>VLOOKUP(H3423,'Stage Order'!$A$2:$B$8,2,FALSE)</f>
        <v>7</v>
      </c>
      <c r="N3423" t="str">
        <f t="shared" si="106"/>
        <v>2. 1-24 hours</v>
      </c>
      <c r="O3423" t="str">
        <f t="shared" si="107"/>
        <v>2025-01</v>
      </c>
    </row>
    <row r="3424" spans="1:15" x14ac:dyDescent="0.3">
      <c r="A3424" t="s">
        <v>8083</v>
      </c>
      <c r="B3424" t="s">
        <v>8084</v>
      </c>
      <c r="C3424" t="s">
        <v>53</v>
      </c>
      <c r="D3424" t="s">
        <v>29</v>
      </c>
      <c r="E3424" t="s">
        <v>59</v>
      </c>
      <c r="F3424" t="s">
        <v>137</v>
      </c>
      <c r="G3424">
        <v>5.96</v>
      </c>
      <c r="H3424" t="s">
        <v>41</v>
      </c>
      <c r="I3424" t="s">
        <v>42</v>
      </c>
      <c r="M3424">
        <f>VLOOKUP(H3424,'Stage Order'!$A$2:$B$8,2,FALSE)</f>
        <v>2</v>
      </c>
      <c r="N3424" t="str">
        <f t="shared" si="106"/>
        <v>2. 1-24 hours</v>
      </c>
      <c r="O3424" t="str">
        <f t="shared" si="107"/>
        <v>2025-04</v>
      </c>
    </row>
    <row r="3425" spans="1:15" x14ac:dyDescent="0.3">
      <c r="A3425" t="s">
        <v>8085</v>
      </c>
      <c r="B3425" t="s">
        <v>8086</v>
      </c>
      <c r="C3425" t="s">
        <v>37</v>
      </c>
      <c r="D3425" t="s">
        <v>77</v>
      </c>
      <c r="E3425" t="s">
        <v>45</v>
      </c>
      <c r="F3425" t="s">
        <v>94</v>
      </c>
      <c r="G3425">
        <v>0.42</v>
      </c>
      <c r="H3425" t="s">
        <v>138</v>
      </c>
      <c r="I3425" t="s">
        <v>48</v>
      </c>
      <c r="J3425" t="s">
        <v>139</v>
      </c>
      <c r="K3425">
        <v>972.99</v>
      </c>
      <c r="L3425" t="s">
        <v>8087</v>
      </c>
      <c r="M3425">
        <f>VLOOKUP(H3425,'Stage Order'!$A$2:$B$8,2,FALSE)</f>
        <v>6</v>
      </c>
      <c r="N3425" t="str">
        <f t="shared" si="106"/>
        <v>1. Under 1 hour</v>
      </c>
      <c r="O3425" t="str">
        <f t="shared" si="107"/>
        <v>2025-03</v>
      </c>
    </row>
    <row r="3426" spans="1:15" x14ac:dyDescent="0.3">
      <c r="A3426" t="s">
        <v>8088</v>
      </c>
      <c r="B3426" t="s">
        <v>8089</v>
      </c>
      <c r="C3426" t="s">
        <v>125</v>
      </c>
      <c r="D3426" t="s">
        <v>77</v>
      </c>
      <c r="E3426" t="s">
        <v>59</v>
      </c>
      <c r="F3426" t="s">
        <v>117</v>
      </c>
      <c r="G3426">
        <v>3.68</v>
      </c>
      <c r="H3426" t="s">
        <v>41</v>
      </c>
      <c r="I3426" t="s">
        <v>42</v>
      </c>
      <c r="M3426">
        <f>VLOOKUP(H3426,'Stage Order'!$A$2:$B$8,2,FALSE)</f>
        <v>2</v>
      </c>
      <c r="N3426" t="str">
        <f t="shared" si="106"/>
        <v>2. 1-24 hours</v>
      </c>
      <c r="O3426" t="str">
        <f t="shared" si="107"/>
        <v>2025-10</v>
      </c>
    </row>
    <row r="3427" spans="1:15" x14ac:dyDescent="0.3">
      <c r="A3427" t="s">
        <v>8090</v>
      </c>
      <c r="B3427" t="s">
        <v>8091</v>
      </c>
      <c r="C3427" t="s">
        <v>28</v>
      </c>
      <c r="D3427" t="s">
        <v>29</v>
      </c>
      <c r="E3427" t="s">
        <v>90</v>
      </c>
      <c r="F3427" t="s">
        <v>91</v>
      </c>
      <c r="G3427">
        <v>3.62</v>
      </c>
      <c r="H3427" t="s">
        <v>32</v>
      </c>
      <c r="I3427" t="s">
        <v>33</v>
      </c>
      <c r="K3427">
        <v>707.57</v>
      </c>
      <c r="L3427" t="s">
        <v>8092</v>
      </c>
      <c r="M3427">
        <f>VLOOKUP(H3427,'Stage Order'!$A$2:$B$8,2,FALSE)</f>
        <v>7</v>
      </c>
      <c r="N3427" t="str">
        <f t="shared" si="106"/>
        <v>2. 1-24 hours</v>
      </c>
      <c r="O3427" t="str">
        <f t="shared" si="107"/>
        <v>2025-09</v>
      </c>
    </row>
    <row r="3428" spans="1:15" x14ac:dyDescent="0.3">
      <c r="A3428" t="s">
        <v>8093</v>
      </c>
      <c r="B3428" t="s">
        <v>8094</v>
      </c>
      <c r="C3428" t="s">
        <v>58</v>
      </c>
      <c r="D3428" t="s">
        <v>38</v>
      </c>
      <c r="E3428" t="s">
        <v>59</v>
      </c>
      <c r="F3428" t="s">
        <v>117</v>
      </c>
      <c r="G3428">
        <v>2.52</v>
      </c>
      <c r="H3428" t="s">
        <v>138</v>
      </c>
      <c r="I3428" t="s">
        <v>48</v>
      </c>
      <c r="J3428" t="s">
        <v>98</v>
      </c>
      <c r="K3428">
        <v>371.57</v>
      </c>
      <c r="L3428" t="s">
        <v>8095</v>
      </c>
      <c r="M3428">
        <f>VLOOKUP(H3428,'Stage Order'!$A$2:$B$8,2,FALSE)</f>
        <v>6</v>
      </c>
      <c r="N3428" t="str">
        <f t="shared" si="106"/>
        <v>2. 1-24 hours</v>
      </c>
      <c r="O3428" t="str">
        <f t="shared" si="107"/>
        <v>2025-10</v>
      </c>
    </row>
    <row r="3429" spans="1:15" x14ac:dyDescent="0.3">
      <c r="A3429" t="s">
        <v>8096</v>
      </c>
      <c r="B3429" t="s">
        <v>8097</v>
      </c>
      <c r="C3429" t="s">
        <v>81</v>
      </c>
      <c r="D3429" t="s">
        <v>97</v>
      </c>
      <c r="E3429" t="s">
        <v>30</v>
      </c>
      <c r="F3429" t="s">
        <v>82</v>
      </c>
      <c r="G3429">
        <v>3.59</v>
      </c>
      <c r="H3429" t="s">
        <v>41</v>
      </c>
      <c r="I3429" t="s">
        <v>42</v>
      </c>
      <c r="M3429">
        <f>VLOOKUP(H3429,'Stage Order'!$A$2:$B$8,2,FALSE)</f>
        <v>2</v>
      </c>
      <c r="N3429" t="str">
        <f t="shared" si="106"/>
        <v>2. 1-24 hours</v>
      </c>
      <c r="O3429" t="str">
        <f t="shared" si="107"/>
        <v>2025-11</v>
      </c>
    </row>
    <row r="3430" spans="1:15" x14ac:dyDescent="0.3">
      <c r="A3430" t="s">
        <v>8098</v>
      </c>
      <c r="B3430" t="s">
        <v>8099</v>
      </c>
      <c r="C3430" t="s">
        <v>81</v>
      </c>
      <c r="D3430" t="s">
        <v>29</v>
      </c>
      <c r="E3430" t="s">
        <v>45</v>
      </c>
      <c r="F3430" t="s">
        <v>94</v>
      </c>
      <c r="G3430">
        <v>2.44</v>
      </c>
      <c r="H3430" t="s">
        <v>61</v>
      </c>
      <c r="I3430" t="s">
        <v>42</v>
      </c>
      <c r="M3430">
        <f>VLOOKUP(H3430,'Stage Order'!$A$2:$B$8,2,FALSE)</f>
        <v>1</v>
      </c>
      <c r="N3430" t="str">
        <f t="shared" si="106"/>
        <v>2. 1-24 hours</v>
      </c>
      <c r="O3430" t="str">
        <f t="shared" si="107"/>
        <v>2025-05</v>
      </c>
    </row>
    <row r="3431" spans="1:15" x14ac:dyDescent="0.3">
      <c r="A3431" t="s">
        <v>8100</v>
      </c>
      <c r="B3431" t="s">
        <v>8101</v>
      </c>
      <c r="C3431" t="s">
        <v>53</v>
      </c>
      <c r="D3431" t="s">
        <v>54</v>
      </c>
      <c r="E3431" t="s">
        <v>90</v>
      </c>
      <c r="F3431" t="s">
        <v>145</v>
      </c>
      <c r="G3431">
        <v>4.54</v>
      </c>
      <c r="H3431" t="s">
        <v>32</v>
      </c>
      <c r="I3431" t="s">
        <v>33</v>
      </c>
      <c r="K3431">
        <v>476.94</v>
      </c>
      <c r="L3431" t="s">
        <v>8102</v>
      </c>
      <c r="M3431">
        <f>VLOOKUP(H3431,'Stage Order'!$A$2:$B$8,2,FALSE)</f>
        <v>7</v>
      </c>
      <c r="N3431" t="str">
        <f t="shared" si="106"/>
        <v>2. 1-24 hours</v>
      </c>
      <c r="O3431" t="str">
        <f t="shared" si="107"/>
        <v>2025-02</v>
      </c>
    </row>
    <row r="3432" spans="1:15" x14ac:dyDescent="0.3">
      <c r="A3432" t="s">
        <v>8103</v>
      </c>
      <c r="B3432" t="s">
        <v>8104</v>
      </c>
      <c r="C3432" t="s">
        <v>81</v>
      </c>
      <c r="D3432" t="s">
        <v>77</v>
      </c>
      <c r="E3432" t="s">
        <v>45</v>
      </c>
      <c r="F3432" t="s">
        <v>94</v>
      </c>
      <c r="G3432">
        <v>1.94</v>
      </c>
      <c r="H3432" t="s">
        <v>41</v>
      </c>
      <c r="I3432" t="s">
        <v>42</v>
      </c>
      <c r="M3432">
        <f>VLOOKUP(H3432,'Stage Order'!$A$2:$B$8,2,FALSE)</f>
        <v>2</v>
      </c>
      <c r="N3432" t="str">
        <f t="shared" si="106"/>
        <v>2. 1-24 hours</v>
      </c>
      <c r="O3432" t="str">
        <f t="shared" si="107"/>
        <v>2025-06</v>
      </c>
    </row>
    <row r="3433" spans="1:15" x14ac:dyDescent="0.3">
      <c r="A3433" t="s">
        <v>8105</v>
      </c>
      <c r="B3433" t="s">
        <v>8106</v>
      </c>
      <c r="C3433" t="s">
        <v>53</v>
      </c>
      <c r="D3433" t="s">
        <v>77</v>
      </c>
      <c r="E3433" t="s">
        <v>39</v>
      </c>
      <c r="F3433" t="s">
        <v>106</v>
      </c>
      <c r="G3433">
        <v>9.66</v>
      </c>
      <c r="H3433" t="s">
        <v>32</v>
      </c>
      <c r="I3433" t="s">
        <v>33</v>
      </c>
      <c r="K3433">
        <v>1080.73</v>
      </c>
      <c r="L3433" t="s">
        <v>8107</v>
      </c>
      <c r="M3433">
        <f>VLOOKUP(H3433,'Stage Order'!$A$2:$B$8,2,FALSE)</f>
        <v>7</v>
      </c>
      <c r="N3433" t="str">
        <f t="shared" si="106"/>
        <v>2. 1-24 hours</v>
      </c>
      <c r="O3433" t="str">
        <f t="shared" si="107"/>
        <v>2025-02</v>
      </c>
    </row>
    <row r="3434" spans="1:15" x14ac:dyDescent="0.3">
      <c r="A3434" t="s">
        <v>8108</v>
      </c>
      <c r="B3434" t="s">
        <v>8109</v>
      </c>
      <c r="C3434" t="s">
        <v>37</v>
      </c>
      <c r="D3434" t="s">
        <v>54</v>
      </c>
      <c r="E3434" t="s">
        <v>45</v>
      </c>
      <c r="F3434" t="s">
        <v>94</v>
      </c>
      <c r="G3434">
        <v>7.99</v>
      </c>
      <c r="H3434" t="s">
        <v>32</v>
      </c>
      <c r="I3434" t="s">
        <v>33</v>
      </c>
      <c r="K3434">
        <v>550.5</v>
      </c>
      <c r="L3434" t="s">
        <v>8110</v>
      </c>
      <c r="M3434">
        <f>VLOOKUP(H3434,'Stage Order'!$A$2:$B$8,2,FALSE)</f>
        <v>7</v>
      </c>
      <c r="N3434" t="str">
        <f t="shared" si="106"/>
        <v>2. 1-24 hours</v>
      </c>
      <c r="O3434" t="str">
        <f t="shared" si="107"/>
        <v>2025-12</v>
      </c>
    </row>
    <row r="3435" spans="1:15" x14ac:dyDescent="0.3">
      <c r="A3435" t="s">
        <v>8111</v>
      </c>
      <c r="B3435" t="s">
        <v>8112</v>
      </c>
      <c r="C3435" t="s">
        <v>125</v>
      </c>
      <c r="D3435" t="s">
        <v>77</v>
      </c>
      <c r="E3435" t="s">
        <v>59</v>
      </c>
      <c r="F3435" t="s">
        <v>117</v>
      </c>
      <c r="G3435">
        <v>2.57</v>
      </c>
      <c r="H3435" t="s">
        <v>138</v>
      </c>
      <c r="I3435" t="s">
        <v>48</v>
      </c>
      <c r="J3435" t="s">
        <v>49</v>
      </c>
      <c r="K3435">
        <v>1088.3900000000001</v>
      </c>
      <c r="L3435" t="s">
        <v>8113</v>
      </c>
      <c r="M3435">
        <f>VLOOKUP(H3435,'Stage Order'!$A$2:$B$8,2,FALSE)</f>
        <v>6</v>
      </c>
      <c r="N3435" t="str">
        <f t="shared" si="106"/>
        <v>2. 1-24 hours</v>
      </c>
      <c r="O3435" t="str">
        <f t="shared" si="107"/>
        <v>2025-10</v>
      </c>
    </row>
    <row r="3436" spans="1:15" x14ac:dyDescent="0.3">
      <c r="A3436" t="s">
        <v>8114</v>
      </c>
      <c r="B3436" t="s">
        <v>8115</v>
      </c>
      <c r="C3436" t="s">
        <v>76</v>
      </c>
      <c r="D3436" t="s">
        <v>54</v>
      </c>
      <c r="E3436" t="s">
        <v>90</v>
      </c>
      <c r="F3436" t="s">
        <v>112</v>
      </c>
      <c r="G3436">
        <v>0.6</v>
      </c>
      <c r="H3436" t="s">
        <v>41</v>
      </c>
      <c r="I3436" t="s">
        <v>42</v>
      </c>
      <c r="M3436">
        <f>VLOOKUP(H3436,'Stage Order'!$A$2:$B$8,2,FALSE)</f>
        <v>2</v>
      </c>
      <c r="N3436" t="str">
        <f t="shared" si="106"/>
        <v>1. Under 1 hour</v>
      </c>
      <c r="O3436" t="str">
        <f t="shared" si="107"/>
        <v>2025-12</v>
      </c>
    </row>
    <row r="3437" spans="1:15" x14ac:dyDescent="0.3">
      <c r="A3437" t="s">
        <v>8116</v>
      </c>
      <c r="B3437" t="s">
        <v>8117</v>
      </c>
      <c r="C3437" t="s">
        <v>53</v>
      </c>
      <c r="D3437" t="s">
        <v>38</v>
      </c>
      <c r="E3437" t="s">
        <v>39</v>
      </c>
      <c r="F3437" t="s">
        <v>106</v>
      </c>
      <c r="G3437">
        <v>2</v>
      </c>
      <c r="H3437" t="s">
        <v>32</v>
      </c>
      <c r="I3437" t="s">
        <v>33</v>
      </c>
      <c r="K3437">
        <v>328.42</v>
      </c>
      <c r="L3437" t="s">
        <v>8118</v>
      </c>
      <c r="M3437">
        <f>VLOOKUP(H3437,'Stage Order'!$A$2:$B$8,2,FALSE)</f>
        <v>7</v>
      </c>
      <c r="N3437" t="str">
        <f t="shared" si="106"/>
        <v>2. 1-24 hours</v>
      </c>
      <c r="O3437" t="str">
        <f t="shared" si="107"/>
        <v>2025-11</v>
      </c>
    </row>
    <row r="3438" spans="1:15" x14ac:dyDescent="0.3">
      <c r="A3438" t="s">
        <v>8119</v>
      </c>
      <c r="B3438" t="s">
        <v>8120</v>
      </c>
      <c r="C3438" t="s">
        <v>125</v>
      </c>
      <c r="D3438" t="s">
        <v>77</v>
      </c>
      <c r="E3438" t="s">
        <v>45</v>
      </c>
      <c r="F3438" t="s">
        <v>94</v>
      </c>
      <c r="G3438">
        <v>5.31</v>
      </c>
      <c r="H3438" t="s">
        <v>138</v>
      </c>
      <c r="I3438" t="s">
        <v>48</v>
      </c>
      <c r="J3438" t="s">
        <v>139</v>
      </c>
      <c r="K3438">
        <v>990.6</v>
      </c>
      <c r="L3438" t="s">
        <v>8121</v>
      </c>
      <c r="M3438">
        <f>VLOOKUP(H3438,'Stage Order'!$A$2:$B$8,2,FALSE)</f>
        <v>6</v>
      </c>
      <c r="N3438" t="str">
        <f t="shared" si="106"/>
        <v>2. 1-24 hours</v>
      </c>
      <c r="O3438" t="str">
        <f t="shared" si="107"/>
        <v>2025-10</v>
      </c>
    </row>
    <row r="3439" spans="1:15" x14ac:dyDescent="0.3">
      <c r="A3439" t="s">
        <v>8122</v>
      </c>
      <c r="B3439" t="s">
        <v>8123</v>
      </c>
      <c r="C3439" t="s">
        <v>58</v>
      </c>
      <c r="D3439" t="s">
        <v>54</v>
      </c>
      <c r="E3439" t="s">
        <v>45</v>
      </c>
      <c r="F3439" t="s">
        <v>94</v>
      </c>
      <c r="G3439">
        <v>3.54</v>
      </c>
      <c r="H3439" t="s">
        <v>128</v>
      </c>
      <c r="I3439" t="s">
        <v>42</v>
      </c>
      <c r="M3439">
        <f>VLOOKUP(H3439,'Stage Order'!$A$2:$B$8,2,FALSE)</f>
        <v>3</v>
      </c>
      <c r="N3439" t="str">
        <f t="shared" si="106"/>
        <v>2. 1-24 hours</v>
      </c>
      <c r="O3439" t="str">
        <f t="shared" si="107"/>
        <v>2025-03</v>
      </c>
    </row>
    <row r="3440" spans="1:15" x14ac:dyDescent="0.3">
      <c r="A3440" t="s">
        <v>8124</v>
      </c>
      <c r="B3440" t="s">
        <v>8125</v>
      </c>
      <c r="C3440" t="s">
        <v>37</v>
      </c>
      <c r="D3440" t="s">
        <v>97</v>
      </c>
      <c r="E3440" t="s">
        <v>39</v>
      </c>
      <c r="F3440" t="s">
        <v>106</v>
      </c>
      <c r="G3440">
        <v>1.1100000000000001</v>
      </c>
      <c r="H3440" t="s">
        <v>138</v>
      </c>
      <c r="I3440" t="s">
        <v>48</v>
      </c>
      <c r="J3440" t="s">
        <v>139</v>
      </c>
      <c r="K3440">
        <v>1600.16</v>
      </c>
      <c r="L3440" t="s">
        <v>8126</v>
      </c>
      <c r="M3440">
        <f>VLOOKUP(H3440,'Stage Order'!$A$2:$B$8,2,FALSE)</f>
        <v>6</v>
      </c>
      <c r="N3440" t="str">
        <f t="shared" si="106"/>
        <v>2. 1-24 hours</v>
      </c>
      <c r="O3440" t="str">
        <f t="shared" si="107"/>
        <v>2025-11</v>
      </c>
    </row>
    <row r="3441" spans="1:15" x14ac:dyDescent="0.3">
      <c r="A3441" t="s">
        <v>8127</v>
      </c>
      <c r="B3441" t="s">
        <v>8128</v>
      </c>
      <c r="C3441" t="s">
        <v>81</v>
      </c>
      <c r="D3441" t="s">
        <v>29</v>
      </c>
      <c r="E3441" t="s">
        <v>90</v>
      </c>
      <c r="F3441" t="s">
        <v>145</v>
      </c>
      <c r="G3441">
        <v>1.85</v>
      </c>
      <c r="H3441" t="s">
        <v>61</v>
      </c>
      <c r="I3441" t="s">
        <v>42</v>
      </c>
      <c r="M3441">
        <f>VLOOKUP(H3441,'Stage Order'!$A$2:$B$8,2,FALSE)</f>
        <v>1</v>
      </c>
      <c r="N3441" t="str">
        <f t="shared" si="106"/>
        <v>2. 1-24 hours</v>
      </c>
      <c r="O3441" t="str">
        <f t="shared" si="107"/>
        <v>2026-02</v>
      </c>
    </row>
    <row r="3442" spans="1:15" x14ac:dyDescent="0.3">
      <c r="A3442" t="s">
        <v>8129</v>
      </c>
      <c r="B3442" t="s">
        <v>8130</v>
      </c>
      <c r="C3442" t="s">
        <v>76</v>
      </c>
      <c r="D3442" t="s">
        <v>38</v>
      </c>
      <c r="E3442" t="s">
        <v>45</v>
      </c>
      <c r="F3442" t="s">
        <v>94</v>
      </c>
      <c r="G3442">
        <v>15.08</v>
      </c>
      <c r="H3442" t="s">
        <v>32</v>
      </c>
      <c r="I3442" t="s">
        <v>33</v>
      </c>
      <c r="K3442">
        <v>293.52999999999997</v>
      </c>
      <c r="L3442" t="s">
        <v>8131</v>
      </c>
      <c r="M3442">
        <f>VLOOKUP(H3442,'Stage Order'!$A$2:$B$8,2,FALSE)</f>
        <v>7</v>
      </c>
      <c r="N3442" t="str">
        <f t="shared" si="106"/>
        <v>2. 1-24 hours</v>
      </c>
      <c r="O3442" t="str">
        <f t="shared" si="107"/>
        <v>2025-04</v>
      </c>
    </row>
    <row r="3443" spans="1:15" x14ac:dyDescent="0.3">
      <c r="A3443" t="s">
        <v>8132</v>
      </c>
      <c r="B3443" t="s">
        <v>8133</v>
      </c>
      <c r="C3443" t="s">
        <v>58</v>
      </c>
      <c r="D3443" t="s">
        <v>54</v>
      </c>
      <c r="E3443" t="s">
        <v>90</v>
      </c>
      <c r="F3443" t="s">
        <v>112</v>
      </c>
      <c r="G3443">
        <v>7.59</v>
      </c>
      <c r="H3443" t="s">
        <v>41</v>
      </c>
      <c r="I3443" t="s">
        <v>42</v>
      </c>
      <c r="M3443">
        <f>VLOOKUP(H3443,'Stage Order'!$A$2:$B$8,2,FALSE)</f>
        <v>2</v>
      </c>
      <c r="N3443" t="str">
        <f t="shared" si="106"/>
        <v>2. 1-24 hours</v>
      </c>
      <c r="O3443" t="str">
        <f t="shared" si="107"/>
        <v>2026-04</v>
      </c>
    </row>
    <row r="3444" spans="1:15" x14ac:dyDescent="0.3">
      <c r="A3444" t="s">
        <v>8134</v>
      </c>
      <c r="B3444" t="s">
        <v>8135</v>
      </c>
      <c r="C3444" t="s">
        <v>37</v>
      </c>
      <c r="D3444" t="s">
        <v>54</v>
      </c>
      <c r="E3444" t="s">
        <v>90</v>
      </c>
      <c r="F3444" t="s">
        <v>91</v>
      </c>
      <c r="G3444">
        <v>4.78</v>
      </c>
      <c r="H3444" t="s">
        <v>61</v>
      </c>
      <c r="I3444" t="s">
        <v>42</v>
      </c>
      <c r="M3444">
        <f>VLOOKUP(H3444,'Stage Order'!$A$2:$B$8,2,FALSE)</f>
        <v>1</v>
      </c>
      <c r="N3444" t="str">
        <f t="shared" si="106"/>
        <v>2. 1-24 hours</v>
      </c>
      <c r="O3444" t="str">
        <f t="shared" si="107"/>
        <v>2026-04</v>
      </c>
    </row>
    <row r="3445" spans="1:15" x14ac:dyDescent="0.3">
      <c r="A3445" t="s">
        <v>8136</v>
      </c>
      <c r="B3445" t="s">
        <v>8137</v>
      </c>
      <c r="C3445" t="s">
        <v>58</v>
      </c>
      <c r="D3445" t="s">
        <v>29</v>
      </c>
      <c r="E3445" t="s">
        <v>45</v>
      </c>
      <c r="F3445" t="s">
        <v>46</v>
      </c>
      <c r="G3445">
        <v>1.93</v>
      </c>
      <c r="H3445" t="s">
        <v>41</v>
      </c>
      <c r="I3445" t="s">
        <v>42</v>
      </c>
      <c r="M3445">
        <f>VLOOKUP(H3445,'Stage Order'!$A$2:$B$8,2,FALSE)</f>
        <v>2</v>
      </c>
      <c r="N3445" t="str">
        <f t="shared" si="106"/>
        <v>2. 1-24 hours</v>
      </c>
      <c r="O3445" t="str">
        <f t="shared" si="107"/>
        <v>2026-05</v>
      </c>
    </row>
    <row r="3446" spans="1:15" x14ac:dyDescent="0.3">
      <c r="A3446" t="s">
        <v>8138</v>
      </c>
      <c r="B3446" t="s">
        <v>8139</v>
      </c>
      <c r="C3446" t="s">
        <v>58</v>
      </c>
      <c r="D3446" t="s">
        <v>29</v>
      </c>
      <c r="E3446" t="s">
        <v>39</v>
      </c>
      <c r="F3446" t="s">
        <v>106</v>
      </c>
      <c r="G3446">
        <v>1.46</v>
      </c>
      <c r="H3446" t="s">
        <v>47</v>
      </c>
      <c r="I3446" t="s">
        <v>48</v>
      </c>
      <c r="J3446" t="s">
        <v>139</v>
      </c>
      <c r="K3446">
        <v>579.92999999999995</v>
      </c>
      <c r="L3446" t="s">
        <v>8140</v>
      </c>
      <c r="M3446">
        <f>VLOOKUP(H3446,'Stage Order'!$A$2:$B$8,2,FALSE)</f>
        <v>4</v>
      </c>
      <c r="N3446" t="str">
        <f t="shared" si="106"/>
        <v>2. 1-24 hours</v>
      </c>
      <c r="O3446" t="str">
        <f t="shared" si="107"/>
        <v>2026-03</v>
      </c>
    </row>
    <row r="3447" spans="1:15" x14ac:dyDescent="0.3">
      <c r="A3447" t="s">
        <v>8141</v>
      </c>
      <c r="B3447" t="s">
        <v>8142</v>
      </c>
      <c r="C3447" t="s">
        <v>37</v>
      </c>
      <c r="D3447" t="s">
        <v>54</v>
      </c>
      <c r="E3447" t="s">
        <v>39</v>
      </c>
      <c r="F3447" t="s">
        <v>106</v>
      </c>
      <c r="G3447">
        <v>2.75</v>
      </c>
      <c r="H3447" t="s">
        <v>41</v>
      </c>
      <c r="I3447" t="s">
        <v>42</v>
      </c>
      <c r="M3447">
        <f>VLOOKUP(H3447,'Stage Order'!$A$2:$B$8,2,FALSE)</f>
        <v>2</v>
      </c>
      <c r="N3447" t="str">
        <f t="shared" si="106"/>
        <v>2. 1-24 hours</v>
      </c>
      <c r="O3447" t="str">
        <f t="shared" si="107"/>
        <v>2025-01</v>
      </c>
    </row>
    <row r="3448" spans="1:15" x14ac:dyDescent="0.3">
      <c r="A3448" t="s">
        <v>8143</v>
      </c>
      <c r="B3448" t="s">
        <v>8144</v>
      </c>
      <c r="C3448" t="s">
        <v>125</v>
      </c>
      <c r="D3448" t="s">
        <v>97</v>
      </c>
      <c r="E3448" t="s">
        <v>45</v>
      </c>
      <c r="F3448" t="s">
        <v>46</v>
      </c>
      <c r="G3448">
        <v>0.97</v>
      </c>
      <c r="H3448" t="s">
        <v>41</v>
      </c>
      <c r="I3448" t="s">
        <v>42</v>
      </c>
      <c r="M3448">
        <f>VLOOKUP(H3448,'Stage Order'!$A$2:$B$8,2,FALSE)</f>
        <v>2</v>
      </c>
      <c r="N3448" t="str">
        <f t="shared" si="106"/>
        <v>1. Under 1 hour</v>
      </c>
      <c r="O3448" t="str">
        <f t="shared" si="107"/>
        <v>2025-05</v>
      </c>
    </row>
    <row r="3449" spans="1:15" x14ac:dyDescent="0.3">
      <c r="A3449" t="s">
        <v>8145</v>
      </c>
      <c r="B3449" t="s">
        <v>8146</v>
      </c>
      <c r="C3449" t="s">
        <v>53</v>
      </c>
      <c r="D3449" t="s">
        <v>29</v>
      </c>
      <c r="E3449" t="s">
        <v>45</v>
      </c>
      <c r="F3449" t="s">
        <v>55</v>
      </c>
      <c r="G3449">
        <v>1.83</v>
      </c>
      <c r="H3449" t="s">
        <v>32</v>
      </c>
      <c r="I3449" t="s">
        <v>33</v>
      </c>
      <c r="K3449">
        <v>747.37</v>
      </c>
      <c r="L3449" t="s">
        <v>8147</v>
      </c>
      <c r="M3449">
        <f>VLOOKUP(H3449,'Stage Order'!$A$2:$B$8,2,FALSE)</f>
        <v>7</v>
      </c>
      <c r="N3449" t="str">
        <f t="shared" si="106"/>
        <v>2. 1-24 hours</v>
      </c>
      <c r="O3449" t="str">
        <f t="shared" si="107"/>
        <v>2025-06</v>
      </c>
    </row>
    <row r="3450" spans="1:15" x14ac:dyDescent="0.3">
      <c r="A3450" t="s">
        <v>8148</v>
      </c>
      <c r="B3450" t="s">
        <v>8149</v>
      </c>
      <c r="C3450" t="s">
        <v>125</v>
      </c>
      <c r="D3450" t="s">
        <v>29</v>
      </c>
      <c r="E3450" t="s">
        <v>90</v>
      </c>
      <c r="F3450" t="s">
        <v>112</v>
      </c>
      <c r="G3450">
        <v>4.51</v>
      </c>
      <c r="H3450" t="s">
        <v>61</v>
      </c>
      <c r="I3450" t="s">
        <v>42</v>
      </c>
      <c r="M3450">
        <f>VLOOKUP(H3450,'Stage Order'!$A$2:$B$8,2,FALSE)</f>
        <v>1</v>
      </c>
      <c r="N3450" t="str">
        <f t="shared" si="106"/>
        <v>2. 1-24 hours</v>
      </c>
      <c r="O3450" t="str">
        <f t="shared" si="107"/>
        <v>2025-12</v>
      </c>
    </row>
    <row r="3451" spans="1:15" x14ac:dyDescent="0.3">
      <c r="A3451" t="s">
        <v>8150</v>
      </c>
      <c r="B3451" t="s">
        <v>8151</v>
      </c>
      <c r="C3451" t="s">
        <v>125</v>
      </c>
      <c r="D3451" t="s">
        <v>77</v>
      </c>
      <c r="E3451" t="s">
        <v>30</v>
      </c>
      <c r="F3451" t="s">
        <v>78</v>
      </c>
      <c r="G3451">
        <v>7.11</v>
      </c>
      <c r="H3451" t="s">
        <v>41</v>
      </c>
      <c r="I3451" t="s">
        <v>42</v>
      </c>
      <c r="M3451">
        <f>VLOOKUP(H3451,'Stage Order'!$A$2:$B$8,2,FALSE)</f>
        <v>2</v>
      </c>
      <c r="N3451" t="str">
        <f t="shared" si="106"/>
        <v>2. 1-24 hours</v>
      </c>
      <c r="O3451" t="str">
        <f t="shared" si="107"/>
        <v>2025-04</v>
      </c>
    </row>
    <row r="3452" spans="1:15" x14ac:dyDescent="0.3">
      <c r="A3452" t="s">
        <v>8152</v>
      </c>
      <c r="B3452" t="s">
        <v>8153</v>
      </c>
      <c r="C3452" t="s">
        <v>125</v>
      </c>
      <c r="D3452" t="s">
        <v>97</v>
      </c>
      <c r="E3452" t="s">
        <v>90</v>
      </c>
      <c r="F3452" t="s">
        <v>91</v>
      </c>
      <c r="G3452">
        <v>3.92</v>
      </c>
      <c r="H3452" t="s">
        <v>61</v>
      </c>
      <c r="I3452" t="s">
        <v>42</v>
      </c>
      <c r="M3452">
        <f>VLOOKUP(H3452,'Stage Order'!$A$2:$B$8,2,FALSE)</f>
        <v>1</v>
      </c>
      <c r="N3452" t="str">
        <f t="shared" si="106"/>
        <v>2. 1-24 hours</v>
      </c>
      <c r="O3452" t="str">
        <f t="shared" si="107"/>
        <v>2025-11</v>
      </c>
    </row>
    <row r="3453" spans="1:15" x14ac:dyDescent="0.3">
      <c r="A3453" t="s">
        <v>8154</v>
      </c>
      <c r="B3453" t="s">
        <v>8155</v>
      </c>
      <c r="C3453" t="s">
        <v>58</v>
      </c>
      <c r="D3453" t="s">
        <v>38</v>
      </c>
      <c r="E3453" t="s">
        <v>59</v>
      </c>
      <c r="F3453" t="s">
        <v>117</v>
      </c>
      <c r="G3453">
        <v>3.24</v>
      </c>
      <c r="H3453" t="s">
        <v>32</v>
      </c>
      <c r="I3453" t="s">
        <v>33</v>
      </c>
      <c r="K3453">
        <v>314.98</v>
      </c>
      <c r="L3453" t="s">
        <v>8156</v>
      </c>
      <c r="M3453">
        <f>VLOOKUP(H3453,'Stage Order'!$A$2:$B$8,2,FALSE)</f>
        <v>7</v>
      </c>
      <c r="N3453" t="str">
        <f t="shared" si="106"/>
        <v>2. 1-24 hours</v>
      </c>
      <c r="O3453" t="str">
        <f t="shared" si="107"/>
        <v>2025-09</v>
      </c>
    </row>
    <row r="3454" spans="1:15" x14ac:dyDescent="0.3">
      <c r="A3454" t="s">
        <v>8157</v>
      </c>
      <c r="B3454" t="s">
        <v>8158</v>
      </c>
      <c r="C3454" t="s">
        <v>76</v>
      </c>
      <c r="D3454" t="s">
        <v>38</v>
      </c>
      <c r="E3454" t="s">
        <v>39</v>
      </c>
      <c r="F3454" t="s">
        <v>106</v>
      </c>
      <c r="G3454">
        <v>3.42</v>
      </c>
      <c r="H3454" t="s">
        <v>32</v>
      </c>
      <c r="I3454" t="s">
        <v>33</v>
      </c>
      <c r="K3454">
        <v>326.35000000000002</v>
      </c>
      <c r="L3454" t="s">
        <v>8159</v>
      </c>
      <c r="M3454">
        <f>VLOOKUP(H3454,'Stage Order'!$A$2:$B$8,2,FALSE)</f>
        <v>7</v>
      </c>
      <c r="N3454" t="str">
        <f t="shared" si="106"/>
        <v>2. 1-24 hours</v>
      </c>
      <c r="O3454" t="str">
        <f t="shared" si="107"/>
        <v>2025-03</v>
      </c>
    </row>
    <row r="3455" spans="1:15" x14ac:dyDescent="0.3">
      <c r="A3455" t="s">
        <v>8160</v>
      </c>
      <c r="B3455" t="s">
        <v>8161</v>
      </c>
      <c r="C3455" t="s">
        <v>28</v>
      </c>
      <c r="D3455" t="s">
        <v>54</v>
      </c>
      <c r="E3455" t="s">
        <v>59</v>
      </c>
      <c r="F3455" t="s">
        <v>60</v>
      </c>
      <c r="G3455">
        <v>4.8600000000000003</v>
      </c>
      <c r="H3455" t="s">
        <v>61</v>
      </c>
      <c r="I3455" t="s">
        <v>42</v>
      </c>
      <c r="M3455">
        <f>VLOOKUP(H3455,'Stage Order'!$A$2:$B$8,2,FALSE)</f>
        <v>1</v>
      </c>
      <c r="N3455" t="str">
        <f t="shared" si="106"/>
        <v>2. 1-24 hours</v>
      </c>
      <c r="O3455" t="str">
        <f t="shared" si="107"/>
        <v>2025-03</v>
      </c>
    </row>
    <row r="3456" spans="1:15" x14ac:dyDescent="0.3">
      <c r="A3456" t="s">
        <v>8162</v>
      </c>
      <c r="B3456" t="s">
        <v>8163</v>
      </c>
      <c r="C3456" t="s">
        <v>28</v>
      </c>
      <c r="D3456" t="s">
        <v>77</v>
      </c>
      <c r="E3456" t="s">
        <v>30</v>
      </c>
      <c r="F3456" t="s">
        <v>78</v>
      </c>
      <c r="G3456">
        <v>0.85</v>
      </c>
      <c r="H3456" t="s">
        <v>32</v>
      </c>
      <c r="I3456" t="s">
        <v>33</v>
      </c>
      <c r="K3456">
        <v>1072.28</v>
      </c>
      <c r="L3456" t="s">
        <v>8164</v>
      </c>
      <c r="M3456">
        <f>VLOOKUP(H3456,'Stage Order'!$A$2:$B$8,2,FALSE)</f>
        <v>7</v>
      </c>
      <c r="N3456" t="str">
        <f t="shared" si="106"/>
        <v>1. Under 1 hour</v>
      </c>
      <c r="O3456" t="str">
        <f t="shared" si="107"/>
        <v>2026-01</v>
      </c>
    </row>
    <row r="3457" spans="1:15" x14ac:dyDescent="0.3">
      <c r="A3457" t="s">
        <v>8165</v>
      </c>
      <c r="B3457" t="s">
        <v>8166</v>
      </c>
      <c r="C3457" t="s">
        <v>76</v>
      </c>
      <c r="D3457" t="s">
        <v>97</v>
      </c>
      <c r="E3457" t="s">
        <v>45</v>
      </c>
      <c r="F3457" t="s">
        <v>94</v>
      </c>
      <c r="G3457">
        <v>3.56</v>
      </c>
      <c r="H3457" t="s">
        <v>32</v>
      </c>
      <c r="I3457" t="s">
        <v>33</v>
      </c>
      <c r="K3457">
        <v>1589.21</v>
      </c>
      <c r="L3457" t="s">
        <v>8167</v>
      </c>
      <c r="M3457">
        <f>VLOOKUP(H3457,'Stage Order'!$A$2:$B$8,2,FALSE)</f>
        <v>7</v>
      </c>
      <c r="N3457" t="str">
        <f t="shared" si="106"/>
        <v>2. 1-24 hours</v>
      </c>
      <c r="O3457" t="str">
        <f t="shared" si="107"/>
        <v>2026-06</v>
      </c>
    </row>
    <row r="3458" spans="1:15" x14ac:dyDescent="0.3">
      <c r="A3458" t="s">
        <v>8168</v>
      </c>
      <c r="B3458" t="s">
        <v>8169</v>
      </c>
      <c r="C3458" t="s">
        <v>81</v>
      </c>
      <c r="D3458" t="s">
        <v>38</v>
      </c>
      <c r="E3458" t="s">
        <v>39</v>
      </c>
      <c r="F3458" t="s">
        <v>106</v>
      </c>
      <c r="G3458">
        <v>1.22</v>
      </c>
      <c r="H3458" t="s">
        <v>61</v>
      </c>
      <c r="I3458" t="s">
        <v>42</v>
      </c>
      <c r="M3458">
        <f>VLOOKUP(H3458,'Stage Order'!$A$2:$B$8,2,FALSE)</f>
        <v>1</v>
      </c>
      <c r="N3458" t="str">
        <f t="shared" ref="N3458:N3521" si="108">IF(G3458&lt;=1,"1. Under 1 hour",IF(G3458&lt;=24,"2. 1-24 hours",IF(G3458&lt;=72,"3. 1-3 days","4. Over 3 days")))</f>
        <v>2. 1-24 hours</v>
      </c>
      <c r="O3458" t="str">
        <f t="shared" ref="O3458:O3521" si="109">TEXT(B3458,"YYYY-MM")</f>
        <v>2025-08</v>
      </c>
    </row>
    <row r="3459" spans="1:15" x14ac:dyDescent="0.3">
      <c r="A3459" t="s">
        <v>8170</v>
      </c>
      <c r="B3459" t="s">
        <v>8171</v>
      </c>
      <c r="C3459" t="s">
        <v>37</v>
      </c>
      <c r="D3459" t="s">
        <v>54</v>
      </c>
      <c r="E3459" t="s">
        <v>59</v>
      </c>
      <c r="F3459" t="s">
        <v>117</v>
      </c>
      <c r="G3459">
        <v>0.39</v>
      </c>
      <c r="H3459" t="s">
        <v>41</v>
      </c>
      <c r="I3459" t="s">
        <v>42</v>
      </c>
      <c r="M3459">
        <f>VLOOKUP(H3459,'Stage Order'!$A$2:$B$8,2,FALSE)</f>
        <v>2</v>
      </c>
      <c r="N3459" t="str">
        <f t="shared" si="108"/>
        <v>1. Under 1 hour</v>
      </c>
      <c r="O3459" t="str">
        <f t="shared" si="109"/>
        <v>2026-04</v>
      </c>
    </row>
    <row r="3460" spans="1:15" x14ac:dyDescent="0.3">
      <c r="A3460" t="s">
        <v>8172</v>
      </c>
      <c r="B3460" t="s">
        <v>8173</v>
      </c>
      <c r="C3460" t="s">
        <v>37</v>
      </c>
      <c r="D3460" t="s">
        <v>77</v>
      </c>
      <c r="E3460" t="s">
        <v>59</v>
      </c>
      <c r="F3460" t="s">
        <v>117</v>
      </c>
      <c r="G3460">
        <v>10.5</v>
      </c>
      <c r="H3460" t="s">
        <v>146</v>
      </c>
      <c r="I3460" t="s">
        <v>48</v>
      </c>
      <c r="J3460" t="s">
        <v>113</v>
      </c>
      <c r="K3460">
        <v>921.31</v>
      </c>
      <c r="L3460" t="s">
        <v>8174</v>
      </c>
      <c r="M3460">
        <f>VLOOKUP(H3460,'Stage Order'!$A$2:$B$8,2,FALSE)</f>
        <v>5</v>
      </c>
      <c r="N3460" t="str">
        <f t="shared" si="108"/>
        <v>2. 1-24 hours</v>
      </c>
      <c r="O3460" t="str">
        <f t="shared" si="109"/>
        <v>2025-09</v>
      </c>
    </row>
    <row r="3461" spans="1:15" x14ac:dyDescent="0.3">
      <c r="A3461" t="s">
        <v>8175</v>
      </c>
      <c r="B3461" t="s">
        <v>8176</v>
      </c>
      <c r="C3461" t="s">
        <v>58</v>
      </c>
      <c r="D3461" t="s">
        <v>29</v>
      </c>
      <c r="E3461" t="s">
        <v>90</v>
      </c>
      <c r="F3461" t="s">
        <v>145</v>
      </c>
      <c r="G3461">
        <v>0.48</v>
      </c>
      <c r="H3461" t="s">
        <v>138</v>
      </c>
      <c r="I3461" t="s">
        <v>48</v>
      </c>
      <c r="J3461" t="s">
        <v>139</v>
      </c>
      <c r="K3461">
        <v>678.47</v>
      </c>
      <c r="L3461" t="s">
        <v>8177</v>
      </c>
      <c r="M3461">
        <f>VLOOKUP(H3461,'Stage Order'!$A$2:$B$8,2,FALSE)</f>
        <v>6</v>
      </c>
      <c r="N3461" t="str">
        <f t="shared" si="108"/>
        <v>1. Under 1 hour</v>
      </c>
      <c r="O3461" t="str">
        <f t="shared" si="109"/>
        <v>2025-10</v>
      </c>
    </row>
    <row r="3462" spans="1:15" x14ac:dyDescent="0.3">
      <c r="A3462" t="s">
        <v>8178</v>
      </c>
      <c r="B3462" t="s">
        <v>8179</v>
      </c>
      <c r="C3462" t="s">
        <v>125</v>
      </c>
      <c r="D3462" t="s">
        <v>77</v>
      </c>
      <c r="E3462" t="s">
        <v>39</v>
      </c>
      <c r="F3462" t="s">
        <v>66</v>
      </c>
      <c r="G3462">
        <v>5.97</v>
      </c>
      <c r="H3462" t="s">
        <v>61</v>
      </c>
      <c r="I3462" t="s">
        <v>42</v>
      </c>
      <c r="M3462">
        <f>VLOOKUP(H3462,'Stage Order'!$A$2:$B$8,2,FALSE)</f>
        <v>1</v>
      </c>
      <c r="N3462" t="str">
        <f t="shared" si="108"/>
        <v>2. 1-24 hours</v>
      </c>
      <c r="O3462" t="str">
        <f t="shared" si="109"/>
        <v>2026-05</v>
      </c>
    </row>
    <row r="3463" spans="1:15" x14ac:dyDescent="0.3">
      <c r="A3463" t="s">
        <v>8180</v>
      </c>
      <c r="B3463" t="s">
        <v>8181</v>
      </c>
      <c r="C3463" t="s">
        <v>37</v>
      </c>
      <c r="D3463" t="s">
        <v>77</v>
      </c>
      <c r="E3463" t="s">
        <v>39</v>
      </c>
      <c r="F3463" t="s">
        <v>40</v>
      </c>
      <c r="G3463">
        <v>6.89</v>
      </c>
      <c r="H3463" t="s">
        <v>41</v>
      </c>
      <c r="I3463" t="s">
        <v>42</v>
      </c>
      <c r="M3463">
        <f>VLOOKUP(H3463,'Stage Order'!$A$2:$B$8,2,FALSE)</f>
        <v>2</v>
      </c>
      <c r="N3463" t="str">
        <f t="shared" si="108"/>
        <v>2. 1-24 hours</v>
      </c>
      <c r="O3463" t="str">
        <f t="shared" si="109"/>
        <v>2026-04</v>
      </c>
    </row>
    <row r="3464" spans="1:15" x14ac:dyDescent="0.3">
      <c r="A3464" t="s">
        <v>8182</v>
      </c>
      <c r="B3464" t="s">
        <v>8183</v>
      </c>
      <c r="C3464" t="s">
        <v>81</v>
      </c>
      <c r="D3464" t="s">
        <v>77</v>
      </c>
      <c r="E3464" t="s">
        <v>59</v>
      </c>
      <c r="F3464" t="s">
        <v>60</v>
      </c>
      <c r="G3464">
        <v>2</v>
      </c>
      <c r="H3464" t="s">
        <v>61</v>
      </c>
      <c r="I3464" t="s">
        <v>42</v>
      </c>
      <c r="M3464">
        <f>VLOOKUP(H3464,'Stage Order'!$A$2:$B$8,2,FALSE)</f>
        <v>1</v>
      </c>
      <c r="N3464" t="str">
        <f t="shared" si="108"/>
        <v>2. 1-24 hours</v>
      </c>
      <c r="O3464" t="str">
        <f t="shared" si="109"/>
        <v>2026-02</v>
      </c>
    </row>
    <row r="3465" spans="1:15" x14ac:dyDescent="0.3">
      <c r="A3465" t="s">
        <v>8184</v>
      </c>
      <c r="B3465" t="s">
        <v>8185</v>
      </c>
      <c r="C3465" t="s">
        <v>125</v>
      </c>
      <c r="D3465" t="s">
        <v>77</v>
      </c>
      <c r="E3465" t="s">
        <v>90</v>
      </c>
      <c r="F3465" t="s">
        <v>112</v>
      </c>
      <c r="G3465">
        <v>3.12</v>
      </c>
      <c r="H3465" t="s">
        <v>41</v>
      </c>
      <c r="I3465" t="s">
        <v>42</v>
      </c>
      <c r="M3465">
        <f>VLOOKUP(H3465,'Stage Order'!$A$2:$B$8,2,FALSE)</f>
        <v>2</v>
      </c>
      <c r="N3465" t="str">
        <f t="shared" si="108"/>
        <v>2. 1-24 hours</v>
      </c>
      <c r="O3465" t="str">
        <f t="shared" si="109"/>
        <v>2026-05</v>
      </c>
    </row>
    <row r="3466" spans="1:15" x14ac:dyDescent="0.3">
      <c r="A3466" t="s">
        <v>8186</v>
      </c>
      <c r="B3466" t="s">
        <v>8187</v>
      </c>
      <c r="C3466" t="s">
        <v>37</v>
      </c>
      <c r="D3466" t="s">
        <v>54</v>
      </c>
      <c r="E3466" t="s">
        <v>30</v>
      </c>
      <c r="F3466" t="s">
        <v>31</v>
      </c>
      <c r="G3466">
        <v>1.97</v>
      </c>
      <c r="H3466" t="s">
        <v>41</v>
      </c>
      <c r="I3466" t="s">
        <v>42</v>
      </c>
      <c r="M3466">
        <f>VLOOKUP(H3466,'Stage Order'!$A$2:$B$8,2,FALSE)</f>
        <v>2</v>
      </c>
      <c r="N3466" t="str">
        <f t="shared" si="108"/>
        <v>2. 1-24 hours</v>
      </c>
      <c r="O3466" t="str">
        <f t="shared" si="109"/>
        <v>2025-04</v>
      </c>
    </row>
    <row r="3467" spans="1:15" x14ac:dyDescent="0.3">
      <c r="A3467" t="s">
        <v>8188</v>
      </c>
      <c r="B3467" t="s">
        <v>8189</v>
      </c>
      <c r="C3467" t="s">
        <v>53</v>
      </c>
      <c r="D3467" t="s">
        <v>97</v>
      </c>
      <c r="E3467" t="s">
        <v>59</v>
      </c>
      <c r="F3467" t="s">
        <v>137</v>
      </c>
      <c r="G3467">
        <v>2.0299999999999998</v>
      </c>
      <c r="H3467" t="s">
        <v>41</v>
      </c>
      <c r="I3467" t="s">
        <v>42</v>
      </c>
      <c r="M3467">
        <f>VLOOKUP(H3467,'Stage Order'!$A$2:$B$8,2,FALSE)</f>
        <v>2</v>
      </c>
      <c r="N3467" t="str">
        <f t="shared" si="108"/>
        <v>2. 1-24 hours</v>
      </c>
      <c r="O3467" t="str">
        <f t="shared" si="109"/>
        <v>2026-01</v>
      </c>
    </row>
    <row r="3468" spans="1:15" x14ac:dyDescent="0.3">
      <c r="A3468" t="s">
        <v>8190</v>
      </c>
      <c r="B3468" t="s">
        <v>8191</v>
      </c>
      <c r="C3468" t="s">
        <v>28</v>
      </c>
      <c r="D3468" t="s">
        <v>54</v>
      </c>
      <c r="E3468" t="s">
        <v>39</v>
      </c>
      <c r="F3468" t="s">
        <v>106</v>
      </c>
      <c r="G3468">
        <v>0.91</v>
      </c>
      <c r="H3468" t="s">
        <v>138</v>
      </c>
      <c r="I3468" t="s">
        <v>48</v>
      </c>
      <c r="J3468" t="s">
        <v>113</v>
      </c>
      <c r="K3468">
        <v>587.29999999999995</v>
      </c>
      <c r="L3468" t="s">
        <v>8192</v>
      </c>
      <c r="M3468">
        <f>VLOOKUP(H3468,'Stage Order'!$A$2:$B$8,2,FALSE)</f>
        <v>6</v>
      </c>
      <c r="N3468" t="str">
        <f t="shared" si="108"/>
        <v>1. Under 1 hour</v>
      </c>
      <c r="O3468" t="str">
        <f t="shared" si="109"/>
        <v>2025-06</v>
      </c>
    </row>
    <row r="3469" spans="1:15" x14ac:dyDescent="0.3">
      <c r="A3469" t="s">
        <v>8193</v>
      </c>
      <c r="B3469" t="s">
        <v>8194</v>
      </c>
      <c r="C3469" t="s">
        <v>125</v>
      </c>
      <c r="D3469" t="s">
        <v>97</v>
      </c>
      <c r="E3469" t="s">
        <v>30</v>
      </c>
      <c r="F3469" t="s">
        <v>82</v>
      </c>
      <c r="G3469">
        <v>1.74</v>
      </c>
      <c r="H3469" t="s">
        <v>41</v>
      </c>
      <c r="I3469" t="s">
        <v>42</v>
      </c>
      <c r="M3469">
        <f>VLOOKUP(H3469,'Stage Order'!$A$2:$B$8,2,FALSE)</f>
        <v>2</v>
      </c>
      <c r="N3469" t="str">
        <f t="shared" si="108"/>
        <v>2. 1-24 hours</v>
      </c>
      <c r="O3469" t="str">
        <f t="shared" si="109"/>
        <v>2025-12</v>
      </c>
    </row>
    <row r="3470" spans="1:15" x14ac:dyDescent="0.3">
      <c r="A3470" t="s">
        <v>8195</v>
      </c>
      <c r="B3470" t="s">
        <v>8196</v>
      </c>
      <c r="C3470" t="s">
        <v>81</v>
      </c>
      <c r="D3470" t="s">
        <v>97</v>
      </c>
      <c r="E3470" t="s">
        <v>39</v>
      </c>
      <c r="F3470" t="s">
        <v>66</v>
      </c>
      <c r="G3470">
        <v>3.84</v>
      </c>
      <c r="H3470" t="s">
        <v>61</v>
      </c>
      <c r="I3470" t="s">
        <v>42</v>
      </c>
      <c r="M3470">
        <f>VLOOKUP(H3470,'Stage Order'!$A$2:$B$8,2,FALSE)</f>
        <v>1</v>
      </c>
      <c r="N3470" t="str">
        <f t="shared" si="108"/>
        <v>2. 1-24 hours</v>
      </c>
      <c r="O3470" t="str">
        <f t="shared" si="109"/>
        <v>2026-05</v>
      </c>
    </row>
    <row r="3471" spans="1:15" x14ac:dyDescent="0.3">
      <c r="A3471" t="s">
        <v>8197</v>
      </c>
      <c r="B3471" t="s">
        <v>8198</v>
      </c>
      <c r="C3471" t="s">
        <v>125</v>
      </c>
      <c r="D3471" t="s">
        <v>54</v>
      </c>
      <c r="E3471" t="s">
        <v>45</v>
      </c>
      <c r="F3471" t="s">
        <v>94</v>
      </c>
      <c r="G3471">
        <v>0.93</v>
      </c>
      <c r="H3471" t="s">
        <v>41</v>
      </c>
      <c r="I3471" t="s">
        <v>42</v>
      </c>
      <c r="M3471">
        <f>VLOOKUP(H3471,'Stage Order'!$A$2:$B$8,2,FALSE)</f>
        <v>2</v>
      </c>
      <c r="N3471" t="str">
        <f t="shared" si="108"/>
        <v>1. Under 1 hour</v>
      </c>
      <c r="O3471" t="str">
        <f t="shared" si="109"/>
        <v>2026-04</v>
      </c>
    </row>
    <row r="3472" spans="1:15" x14ac:dyDescent="0.3">
      <c r="A3472" t="s">
        <v>8199</v>
      </c>
      <c r="B3472" t="s">
        <v>8200</v>
      </c>
      <c r="C3472" t="s">
        <v>37</v>
      </c>
      <c r="D3472" t="s">
        <v>38</v>
      </c>
      <c r="E3472" t="s">
        <v>39</v>
      </c>
      <c r="F3472" t="s">
        <v>40</v>
      </c>
      <c r="G3472">
        <v>1.5</v>
      </c>
      <c r="H3472" t="s">
        <v>47</v>
      </c>
      <c r="I3472" t="s">
        <v>48</v>
      </c>
      <c r="J3472" t="s">
        <v>139</v>
      </c>
      <c r="K3472">
        <v>374.62</v>
      </c>
      <c r="L3472" t="s">
        <v>8201</v>
      </c>
      <c r="M3472">
        <f>VLOOKUP(H3472,'Stage Order'!$A$2:$B$8,2,FALSE)</f>
        <v>4</v>
      </c>
      <c r="N3472" t="str">
        <f t="shared" si="108"/>
        <v>2. 1-24 hours</v>
      </c>
      <c r="O3472" t="str">
        <f t="shared" si="109"/>
        <v>2025-07</v>
      </c>
    </row>
    <row r="3473" spans="1:15" x14ac:dyDescent="0.3">
      <c r="A3473" t="s">
        <v>8202</v>
      </c>
      <c r="B3473" t="s">
        <v>8203</v>
      </c>
      <c r="C3473" t="s">
        <v>81</v>
      </c>
      <c r="D3473" t="s">
        <v>29</v>
      </c>
      <c r="E3473" t="s">
        <v>39</v>
      </c>
      <c r="F3473" t="s">
        <v>106</v>
      </c>
      <c r="G3473">
        <v>3.92</v>
      </c>
      <c r="H3473" t="s">
        <v>61</v>
      </c>
      <c r="I3473" t="s">
        <v>42</v>
      </c>
      <c r="M3473">
        <f>VLOOKUP(H3473,'Stage Order'!$A$2:$B$8,2,FALSE)</f>
        <v>1</v>
      </c>
      <c r="N3473" t="str">
        <f t="shared" si="108"/>
        <v>2. 1-24 hours</v>
      </c>
      <c r="O3473" t="str">
        <f t="shared" si="109"/>
        <v>2025-12</v>
      </c>
    </row>
    <row r="3474" spans="1:15" x14ac:dyDescent="0.3">
      <c r="A3474" t="s">
        <v>8204</v>
      </c>
      <c r="B3474" t="s">
        <v>8205</v>
      </c>
      <c r="C3474" t="s">
        <v>37</v>
      </c>
      <c r="D3474" t="s">
        <v>54</v>
      </c>
      <c r="E3474" t="s">
        <v>90</v>
      </c>
      <c r="F3474" t="s">
        <v>112</v>
      </c>
      <c r="G3474">
        <v>3.26</v>
      </c>
      <c r="H3474" t="s">
        <v>41</v>
      </c>
      <c r="I3474" t="s">
        <v>42</v>
      </c>
      <c r="M3474">
        <f>VLOOKUP(H3474,'Stage Order'!$A$2:$B$8,2,FALSE)</f>
        <v>2</v>
      </c>
      <c r="N3474" t="str">
        <f t="shared" si="108"/>
        <v>2. 1-24 hours</v>
      </c>
      <c r="O3474" t="str">
        <f t="shared" si="109"/>
        <v>2025-05</v>
      </c>
    </row>
    <row r="3475" spans="1:15" x14ac:dyDescent="0.3">
      <c r="A3475" t="s">
        <v>8206</v>
      </c>
      <c r="B3475" t="s">
        <v>8207</v>
      </c>
      <c r="C3475" t="s">
        <v>125</v>
      </c>
      <c r="D3475" t="s">
        <v>77</v>
      </c>
      <c r="E3475" t="s">
        <v>39</v>
      </c>
      <c r="F3475" t="s">
        <v>106</v>
      </c>
      <c r="G3475">
        <v>2.68</v>
      </c>
      <c r="H3475" t="s">
        <v>128</v>
      </c>
      <c r="I3475" t="s">
        <v>42</v>
      </c>
      <c r="M3475">
        <f>VLOOKUP(H3475,'Stage Order'!$A$2:$B$8,2,FALSE)</f>
        <v>3</v>
      </c>
      <c r="N3475" t="str">
        <f t="shared" si="108"/>
        <v>2. 1-24 hours</v>
      </c>
      <c r="O3475" t="str">
        <f t="shared" si="109"/>
        <v>2025-09</v>
      </c>
    </row>
    <row r="3476" spans="1:15" x14ac:dyDescent="0.3">
      <c r="A3476" t="s">
        <v>8208</v>
      </c>
      <c r="B3476" t="s">
        <v>8209</v>
      </c>
      <c r="C3476" t="s">
        <v>125</v>
      </c>
      <c r="D3476" t="s">
        <v>54</v>
      </c>
      <c r="E3476" t="s">
        <v>59</v>
      </c>
      <c r="F3476" t="s">
        <v>60</v>
      </c>
      <c r="G3476">
        <v>1.59</v>
      </c>
      <c r="H3476" t="s">
        <v>47</v>
      </c>
      <c r="I3476" t="s">
        <v>48</v>
      </c>
      <c r="J3476" t="s">
        <v>98</v>
      </c>
      <c r="K3476">
        <v>450.47</v>
      </c>
      <c r="L3476" t="s">
        <v>8210</v>
      </c>
      <c r="M3476">
        <f>VLOOKUP(H3476,'Stage Order'!$A$2:$B$8,2,FALSE)</f>
        <v>4</v>
      </c>
      <c r="N3476" t="str">
        <f t="shared" si="108"/>
        <v>2. 1-24 hours</v>
      </c>
      <c r="O3476" t="str">
        <f t="shared" si="109"/>
        <v>2025-08</v>
      </c>
    </row>
    <row r="3477" spans="1:15" x14ac:dyDescent="0.3">
      <c r="A3477" t="s">
        <v>8211</v>
      </c>
      <c r="B3477" t="s">
        <v>8212</v>
      </c>
      <c r="C3477" t="s">
        <v>58</v>
      </c>
      <c r="D3477" t="s">
        <v>54</v>
      </c>
      <c r="E3477" t="s">
        <v>59</v>
      </c>
      <c r="F3477" t="s">
        <v>117</v>
      </c>
      <c r="G3477">
        <v>2.0499999999999998</v>
      </c>
      <c r="H3477" t="s">
        <v>41</v>
      </c>
      <c r="I3477" t="s">
        <v>42</v>
      </c>
      <c r="M3477">
        <f>VLOOKUP(H3477,'Stage Order'!$A$2:$B$8,2,FALSE)</f>
        <v>2</v>
      </c>
      <c r="N3477" t="str">
        <f t="shared" si="108"/>
        <v>2. 1-24 hours</v>
      </c>
      <c r="O3477" t="str">
        <f t="shared" si="109"/>
        <v>2026-01</v>
      </c>
    </row>
    <row r="3478" spans="1:15" x14ac:dyDescent="0.3">
      <c r="A3478" t="s">
        <v>8213</v>
      </c>
      <c r="B3478" t="s">
        <v>8214</v>
      </c>
      <c r="C3478" t="s">
        <v>28</v>
      </c>
      <c r="D3478" t="s">
        <v>54</v>
      </c>
      <c r="E3478" t="s">
        <v>45</v>
      </c>
      <c r="F3478" t="s">
        <v>94</v>
      </c>
      <c r="G3478">
        <v>3.76</v>
      </c>
      <c r="H3478" t="s">
        <v>32</v>
      </c>
      <c r="I3478" t="s">
        <v>33</v>
      </c>
      <c r="K3478">
        <v>587.95000000000005</v>
      </c>
      <c r="L3478" t="s">
        <v>8215</v>
      </c>
      <c r="M3478">
        <f>VLOOKUP(H3478,'Stage Order'!$A$2:$B$8,2,FALSE)</f>
        <v>7</v>
      </c>
      <c r="N3478" t="str">
        <f t="shared" si="108"/>
        <v>2. 1-24 hours</v>
      </c>
      <c r="O3478" t="str">
        <f t="shared" si="109"/>
        <v>2025-11</v>
      </c>
    </row>
    <row r="3479" spans="1:15" x14ac:dyDescent="0.3">
      <c r="A3479" t="s">
        <v>8216</v>
      </c>
      <c r="B3479" t="s">
        <v>8217</v>
      </c>
      <c r="C3479" t="s">
        <v>58</v>
      </c>
      <c r="D3479" t="s">
        <v>97</v>
      </c>
      <c r="E3479" t="s">
        <v>30</v>
      </c>
      <c r="F3479" t="s">
        <v>82</v>
      </c>
      <c r="G3479">
        <v>7.94</v>
      </c>
      <c r="H3479" t="s">
        <v>61</v>
      </c>
      <c r="I3479" t="s">
        <v>42</v>
      </c>
      <c r="M3479">
        <f>VLOOKUP(H3479,'Stage Order'!$A$2:$B$8,2,FALSE)</f>
        <v>1</v>
      </c>
      <c r="N3479" t="str">
        <f t="shared" si="108"/>
        <v>2. 1-24 hours</v>
      </c>
      <c r="O3479" t="str">
        <f t="shared" si="109"/>
        <v>2026-04</v>
      </c>
    </row>
    <row r="3480" spans="1:15" x14ac:dyDescent="0.3">
      <c r="A3480" t="s">
        <v>8218</v>
      </c>
      <c r="B3480" t="s">
        <v>8219</v>
      </c>
      <c r="C3480" t="s">
        <v>53</v>
      </c>
      <c r="D3480" t="s">
        <v>38</v>
      </c>
      <c r="E3480" t="s">
        <v>59</v>
      </c>
      <c r="F3480" t="s">
        <v>60</v>
      </c>
      <c r="G3480">
        <v>7.57</v>
      </c>
      <c r="H3480" t="s">
        <v>32</v>
      </c>
      <c r="I3480" t="s">
        <v>33</v>
      </c>
      <c r="K3480">
        <v>348.08</v>
      </c>
      <c r="L3480" t="s">
        <v>8220</v>
      </c>
      <c r="M3480">
        <f>VLOOKUP(H3480,'Stage Order'!$A$2:$B$8,2,FALSE)</f>
        <v>7</v>
      </c>
      <c r="N3480" t="str">
        <f t="shared" si="108"/>
        <v>2. 1-24 hours</v>
      </c>
      <c r="O3480" t="str">
        <f t="shared" si="109"/>
        <v>2026-06</v>
      </c>
    </row>
    <row r="3481" spans="1:15" x14ac:dyDescent="0.3">
      <c r="A3481" t="s">
        <v>8221</v>
      </c>
      <c r="B3481" t="s">
        <v>8222</v>
      </c>
      <c r="C3481" t="s">
        <v>37</v>
      </c>
      <c r="D3481" t="s">
        <v>38</v>
      </c>
      <c r="E3481" t="s">
        <v>90</v>
      </c>
      <c r="F3481" t="s">
        <v>145</v>
      </c>
      <c r="G3481">
        <v>4.8600000000000003</v>
      </c>
      <c r="H3481" t="s">
        <v>138</v>
      </c>
      <c r="I3481" t="s">
        <v>48</v>
      </c>
      <c r="J3481" t="s">
        <v>98</v>
      </c>
      <c r="K3481">
        <v>306.43</v>
      </c>
      <c r="L3481" t="s">
        <v>8223</v>
      </c>
      <c r="M3481">
        <f>VLOOKUP(H3481,'Stage Order'!$A$2:$B$8,2,FALSE)</f>
        <v>6</v>
      </c>
      <c r="N3481" t="str">
        <f t="shared" si="108"/>
        <v>2. 1-24 hours</v>
      </c>
      <c r="O3481" t="str">
        <f t="shared" si="109"/>
        <v>2025-06</v>
      </c>
    </row>
    <row r="3482" spans="1:15" x14ac:dyDescent="0.3">
      <c r="A3482" t="s">
        <v>8224</v>
      </c>
      <c r="B3482" t="s">
        <v>8225</v>
      </c>
      <c r="C3482" t="s">
        <v>53</v>
      </c>
      <c r="D3482" t="s">
        <v>54</v>
      </c>
      <c r="E3482" t="s">
        <v>39</v>
      </c>
      <c r="F3482" t="s">
        <v>40</v>
      </c>
      <c r="G3482">
        <v>4.32</v>
      </c>
      <c r="H3482" t="s">
        <v>41</v>
      </c>
      <c r="I3482" t="s">
        <v>42</v>
      </c>
      <c r="M3482">
        <f>VLOOKUP(H3482,'Stage Order'!$A$2:$B$8,2,FALSE)</f>
        <v>2</v>
      </c>
      <c r="N3482" t="str">
        <f t="shared" si="108"/>
        <v>2. 1-24 hours</v>
      </c>
      <c r="O3482" t="str">
        <f t="shared" si="109"/>
        <v>2025-07</v>
      </c>
    </row>
    <row r="3483" spans="1:15" x14ac:dyDescent="0.3">
      <c r="A3483" t="s">
        <v>8226</v>
      </c>
      <c r="B3483" t="s">
        <v>8227</v>
      </c>
      <c r="C3483" t="s">
        <v>37</v>
      </c>
      <c r="D3483" t="s">
        <v>38</v>
      </c>
      <c r="E3483" t="s">
        <v>45</v>
      </c>
      <c r="F3483" t="s">
        <v>55</v>
      </c>
      <c r="G3483">
        <v>1.55</v>
      </c>
      <c r="H3483" t="s">
        <v>47</v>
      </c>
      <c r="I3483" t="s">
        <v>48</v>
      </c>
      <c r="J3483" t="s">
        <v>113</v>
      </c>
      <c r="K3483">
        <v>374.98</v>
      </c>
      <c r="L3483" t="s">
        <v>8228</v>
      </c>
      <c r="M3483">
        <f>VLOOKUP(H3483,'Stage Order'!$A$2:$B$8,2,FALSE)</f>
        <v>4</v>
      </c>
      <c r="N3483" t="str">
        <f t="shared" si="108"/>
        <v>2. 1-24 hours</v>
      </c>
      <c r="O3483" t="str">
        <f t="shared" si="109"/>
        <v>2026-02</v>
      </c>
    </row>
    <row r="3484" spans="1:15" x14ac:dyDescent="0.3">
      <c r="A3484" t="s">
        <v>8229</v>
      </c>
      <c r="B3484" t="s">
        <v>8230</v>
      </c>
      <c r="C3484" t="s">
        <v>53</v>
      </c>
      <c r="D3484" t="s">
        <v>97</v>
      </c>
      <c r="E3484" t="s">
        <v>45</v>
      </c>
      <c r="F3484" t="s">
        <v>55</v>
      </c>
      <c r="G3484">
        <v>23.38</v>
      </c>
      <c r="H3484" t="s">
        <v>41</v>
      </c>
      <c r="I3484" t="s">
        <v>42</v>
      </c>
      <c r="M3484">
        <f>VLOOKUP(H3484,'Stage Order'!$A$2:$B$8,2,FALSE)</f>
        <v>2</v>
      </c>
      <c r="N3484" t="str">
        <f t="shared" si="108"/>
        <v>2. 1-24 hours</v>
      </c>
      <c r="O3484" t="str">
        <f t="shared" si="109"/>
        <v>2025-11</v>
      </c>
    </row>
    <row r="3485" spans="1:15" x14ac:dyDescent="0.3">
      <c r="A3485" t="s">
        <v>8231</v>
      </c>
      <c r="B3485" t="s">
        <v>8232</v>
      </c>
      <c r="C3485" t="s">
        <v>37</v>
      </c>
      <c r="D3485" t="s">
        <v>29</v>
      </c>
      <c r="E3485" t="s">
        <v>45</v>
      </c>
      <c r="F3485" t="s">
        <v>94</v>
      </c>
      <c r="G3485">
        <v>3.07</v>
      </c>
      <c r="H3485" t="s">
        <v>47</v>
      </c>
      <c r="I3485" t="s">
        <v>48</v>
      </c>
      <c r="J3485" t="s">
        <v>98</v>
      </c>
      <c r="K3485">
        <v>623.77</v>
      </c>
      <c r="L3485" t="s">
        <v>8233</v>
      </c>
      <c r="M3485">
        <f>VLOOKUP(H3485,'Stage Order'!$A$2:$B$8,2,FALSE)</f>
        <v>4</v>
      </c>
      <c r="N3485" t="str">
        <f t="shared" si="108"/>
        <v>2. 1-24 hours</v>
      </c>
      <c r="O3485" t="str">
        <f t="shared" si="109"/>
        <v>2025-09</v>
      </c>
    </row>
    <row r="3486" spans="1:15" x14ac:dyDescent="0.3">
      <c r="A3486" t="s">
        <v>8234</v>
      </c>
      <c r="B3486" t="s">
        <v>8235</v>
      </c>
      <c r="C3486" t="s">
        <v>76</v>
      </c>
      <c r="D3486" t="s">
        <v>54</v>
      </c>
      <c r="E3486" t="s">
        <v>45</v>
      </c>
      <c r="F3486" t="s">
        <v>46</v>
      </c>
      <c r="G3486">
        <v>20.14</v>
      </c>
      <c r="H3486" t="s">
        <v>41</v>
      </c>
      <c r="I3486" t="s">
        <v>42</v>
      </c>
      <c r="M3486">
        <f>VLOOKUP(H3486,'Stage Order'!$A$2:$B$8,2,FALSE)</f>
        <v>2</v>
      </c>
      <c r="N3486" t="str">
        <f t="shared" si="108"/>
        <v>2. 1-24 hours</v>
      </c>
      <c r="O3486" t="str">
        <f t="shared" si="109"/>
        <v>2025-11</v>
      </c>
    </row>
    <row r="3487" spans="1:15" x14ac:dyDescent="0.3">
      <c r="A3487" t="s">
        <v>8236</v>
      </c>
      <c r="B3487" t="s">
        <v>8237</v>
      </c>
      <c r="C3487" t="s">
        <v>37</v>
      </c>
      <c r="D3487" t="s">
        <v>54</v>
      </c>
      <c r="E3487" t="s">
        <v>45</v>
      </c>
      <c r="F3487" t="s">
        <v>46</v>
      </c>
      <c r="G3487">
        <v>1.47</v>
      </c>
      <c r="H3487" t="s">
        <v>138</v>
      </c>
      <c r="I3487" t="s">
        <v>48</v>
      </c>
      <c r="J3487" t="s">
        <v>49</v>
      </c>
      <c r="K3487">
        <v>455.41</v>
      </c>
      <c r="L3487" t="s">
        <v>8238</v>
      </c>
      <c r="M3487">
        <f>VLOOKUP(H3487,'Stage Order'!$A$2:$B$8,2,FALSE)</f>
        <v>6</v>
      </c>
      <c r="N3487" t="str">
        <f t="shared" si="108"/>
        <v>2. 1-24 hours</v>
      </c>
      <c r="O3487" t="str">
        <f t="shared" si="109"/>
        <v>2025-12</v>
      </c>
    </row>
    <row r="3488" spans="1:15" x14ac:dyDescent="0.3">
      <c r="A3488" t="s">
        <v>8239</v>
      </c>
      <c r="B3488" t="s">
        <v>8240</v>
      </c>
      <c r="C3488" t="s">
        <v>53</v>
      </c>
      <c r="D3488" t="s">
        <v>97</v>
      </c>
      <c r="E3488" t="s">
        <v>39</v>
      </c>
      <c r="F3488" t="s">
        <v>40</v>
      </c>
      <c r="G3488">
        <v>1.73</v>
      </c>
      <c r="H3488" t="s">
        <v>32</v>
      </c>
      <c r="I3488" t="s">
        <v>33</v>
      </c>
      <c r="K3488">
        <v>1525.94</v>
      </c>
      <c r="L3488" t="s">
        <v>8241</v>
      </c>
      <c r="M3488">
        <f>VLOOKUP(H3488,'Stage Order'!$A$2:$B$8,2,FALSE)</f>
        <v>7</v>
      </c>
      <c r="N3488" t="str">
        <f t="shared" si="108"/>
        <v>2. 1-24 hours</v>
      </c>
      <c r="O3488" t="str">
        <f t="shared" si="109"/>
        <v>2025-07</v>
      </c>
    </row>
    <row r="3489" spans="1:15" x14ac:dyDescent="0.3">
      <c r="A3489" t="s">
        <v>8242</v>
      </c>
      <c r="B3489" t="s">
        <v>8243</v>
      </c>
      <c r="C3489" t="s">
        <v>125</v>
      </c>
      <c r="D3489" t="s">
        <v>77</v>
      </c>
      <c r="E3489" t="s">
        <v>45</v>
      </c>
      <c r="F3489" t="s">
        <v>94</v>
      </c>
      <c r="G3489">
        <v>2.7</v>
      </c>
      <c r="H3489" t="s">
        <v>41</v>
      </c>
      <c r="I3489" t="s">
        <v>42</v>
      </c>
      <c r="M3489">
        <f>VLOOKUP(H3489,'Stage Order'!$A$2:$B$8,2,FALSE)</f>
        <v>2</v>
      </c>
      <c r="N3489" t="str">
        <f t="shared" si="108"/>
        <v>2. 1-24 hours</v>
      </c>
      <c r="O3489" t="str">
        <f t="shared" si="109"/>
        <v>2026-01</v>
      </c>
    </row>
    <row r="3490" spans="1:15" x14ac:dyDescent="0.3">
      <c r="A3490" t="s">
        <v>8244</v>
      </c>
      <c r="B3490" t="s">
        <v>8245</v>
      </c>
      <c r="C3490" t="s">
        <v>58</v>
      </c>
      <c r="D3490" t="s">
        <v>77</v>
      </c>
      <c r="E3490" t="s">
        <v>45</v>
      </c>
      <c r="F3490" t="s">
        <v>55</v>
      </c>
      <c r="G3490">
        <v>3.86</v>
      </c>
      <c r="H3490" t="s">
        <v>61</v>
      </c>
      <c r="I3490" t="s">
        <v>42</v>
      </c>
      <c r="M3490">
        <f>VLOOKUP(H3490,'Stage Order'!$A$2:$B$8,2,FALSE)</f>
        <v>1</v>
      </c>
      <c r="N3490" t="str">
        <f t="shared" si="108"/>
        <v>2. 1-24 hours</v>
      </c>
      <c r="O3490" t="str">
        <f t="shared" si="109"/>
        <v>2026-01</v>
      </c>
    </row>
    <row r="3491" spans="1:15" x14ac:dyDescent="0.3">
      <c r="A3491" t="s">
        <v>8246</v>
      </c>
      <c r="B3491" t="s">
        <v>8247</v>
      </c>
      <c r="C3491" t="s">
        <v>76</v>
      </c>
      <c r="D3491" t="s">
        <v>38</v>
      </c>
      <c r="E3491" t="s">
        <v>59</v>
      </c>
      <c r="F3491" t="s">
        <v>137</v>
      </c>
      <c r="G3491">
        <v>4.42</v>
      </c>
      <c r="H3491" t="s">
        <v>146</v>
      </c>
      <c r="I3491" t="s">
        <v>48</v>
      </c>
      <c r="J3491" t="s">
        <v>139</v>
      </c>
      <c r="K3491">
        <v>316.77999999999997</v>
      </c>
      <c r="L3491" t="s">
        <v>8248</v>
      </c>
      <c r="M3491">
        <f>VLOOKUP(H3491,'Stage Order'!$A$2:$B$8,2,FALSE)</f>
        <v>5</v>
      </c>
      <c r="N3491" t="str">
        <f t="shared" si="108"/>
        <v>2. 1-24 hours</v>
      </c>
      <c r="O3491" t="str">
        <f t="shared" si="109"/>
        <v>2025-12</v>
      </c>
    </row>
    <row r="3492" spans="1:15" x14ac:dyDescent="0.3">
      <c r="A3492" t="s">
        <v>8249</v>
      </c>
      <c r="B3492" t="s">
        <v>8250</v>
      </c>
      <c r="C3492" t="s">
        <v>81</v>
      </c>
      <c r="D3492" t="s">
        <v>54</v>
      </c>
      <c r="E3492" t="s">
        <v>59</v>
      </c>
      <c r="F3492" t="s">
        <v>117</v>
      </c>
      <c r="G3492">
        <v>7.46</v>
      </c>
      <c r="H3492" t="s">
        <v>41</v>
      </c>
      <c r="I3492" t="s">
        <v>42</v>
      </c>
      <c r="M3492">
        <f>VLOOKUP(H3492,'Stage Order'!$A$2:$B$8,2,FALSE)</f>
        <v>2</v>
      </c>
      <c r="N3492" t="str">
        <f t="shared" si="108"/>
        <v>2. 1-24 hours</v>
      </c>
      <c r="O3492" t="str">
        <f t="shared" si="109"/>
        <v>2026-06</v>
      </c>
    </row>
    <row r="3493" spans="1:15" x14ac:dyDescent="0.3">
      <c r="A3493" t="s">
        <v>8251</v>
      </c>
      <c r="B3493" t="s">
        <v>8252</v>
      </c>
      <c r="C3493" t="s">
        <v>37</v>
      </c>
      <c r="D3493" t="s">
        <v>54</v>
      </c>
      <c r="E3493" t="s">
        <v>90</v>
      </c>
      <c r="F3493" t="s">
        <v>91</v>
      </c>
      <c r="G3493">
        <v>11.88</v>
      </c>
      <c r="H3493" t="s">
        <v>128</v>
      </c>
      <c r="I3493" t="s">
        <v>42</v>
      </c>
      <c r="M3493">
        <f>VLOOKUP(H3493,'Stage Order'!$A$2:$B$8,2,FALSE)</f>
        <v>3</v>
      </c>
      <c r="N3493" t="str">
        <f t="shared" si="108"/>
        <v>2. 1-24 hours</v>
      </c>
      <c r="O3493" t="str">
        <f t="shared" si="109"/>
        <v>2025-09</v>
      </c>
    </row>
    <row r="3494" spans="1:15" x14ac:dyDescent="0.3">
      <c r="A3494" t="s">
        <v>8253</v>
      </c>
      <c r="B3494" t="s">
        <v>8254</v>
      </c>
      <c r="C3494" t="s">
        <v>58</v>
      </c>
      <c r="D3494" t="s">
        <v>38</v>
      </c>
      <c r="E3494" t="s">
        <v>45</v>
      </c>
      <c r="F3494" t="s">
        <v>55</v>
      </c>
      <c r="G3494">
        <v>4.0599999999999996</v>
      </c>
      <c r="H3494" t="s">
        <v>61</v>
      </c>
      <c r="I3494" t="s">
        <v>42</v>
      </c>
      <c r="M3494">
        <f>VLOOKUP(H3494,'Stage Order'!$A$2:$B$8,2,FALSE)</f>
        <v>1</v>
      </c>
      <c r="N3494" t="str">
        <f t="shared" si="108"/>
        <v>2. 1-24 hours</v>
      </c>
      <c r="O3494" t="str">
        <f t="shared" si="109"/>
        <v>2025-08</v>
      </c>
    </row>
    <row r="3495" spans="1:15" x14ac:dyDescent="0.3">
      <c r="A3495" t="s">
        <v>8255</v>
      </c>
      <c r="B3495" t="s">
        <v>8256</v>
      </c>
      <c r="C3495" t="s">
        <v>28</v>
      </c>
      <c r="D3495" t="s">
        <v>77</v>
      </c>
      <c r="E3495" t="s">
        <v>39</v>
      </c>
      <c r="F3495" t="s">
        <v>66</v>
      </c>
      <c r="G3495">
        <v>3.31</v>
      </c>
      <c r="H3495" t="s">
        <v>32</v>
      </c>
      <c r="I3495" t="s">
        <v>33</v>
      </c>
      <c r="K3495">
        <v>1043.55</v>
      </c>
      <c r="L3495" t="s">
        <v>8257</v>
      </c>
      <c r="M3495">
        <f>VLOOKUP(H3495,'Stage Order'!$A$2:$B$8,2,FALSE)</f>
        <v>7</v>
      </c>
      <c r="N3495" t="str">
        <f t="shared" si="108"/>
        <v>2. 1-24 hours</v>
      </c>
      <c r="O3495" t="str">
        <f t="shared" si="109"/>
        <v>2026-03</v>
      </c>
    </row>
    <row r="3496" spans="1:15" x14ac:dyDescent="0.3">
      <c r="A3496" t="s">
        <v>8258</v>
      </c>
      <c r="B3496" t="s">
        <v>8259</v>
      </c>
      <c r="C3496" t="s">
        <v>53</v>
      </c>
      <c r="D3496" t="s">
        <v>54</v>
      </c>
      <c r="E3496" t="s">
        <v>90</v>
      </c>
      <c r="F3496" t="s">
        <v>91</v>
      </c>
      <c r="G3496">
        <v>3.68</v>
      </c>
      <c r="H3496" t="s">
        <v>32</v>
      </c>
      <c r="I3496" t="s">
        <v>33</v>
      </c>
      <c r="K3496">
        <v>474.26</v>
      </c>
      <c r="L3496" t="s">
        <v>8260</v>
      </c>
      <c r="M3496">
        <f>VLOOKUP(H3496,'Stage Order'!$A$2:$B$8,2,FALSE)</f>
        <v>7</v>
      </c>
      <c r="N3496" t="str">
        <f t="shared" si="108"/>
        <v>2. 1-24 hours</v>
      </c>
      <c r="O3496" t="str">
        <f t="shared" si="109"/>
        <v>2026-02</v>
      </c>
    </row>
    <row r="3497" spans="1:15" x14ac:dyDescent="0.3">
      <c r="A3497" t="s">
        <v>8261</v>
      </c>
      <c r="B3497" t="s">
        <v>8262</v>
      </c>
      <c r="C3497" t="s">
        <v>37</v>
      </c>
      <c r="D3497" t="s">
        <v>77</v>
      </c>
      <c r="E3497" t="s">
        <v>45</v>
      </c>
      <c r="F3497" t="s">
        <v>94</v>
      </c>
      <c r="G3497">
        <v>0.42</v>
      </c>
      <c r="H3497" t="s">
        <v>138</v>
      </c>
      <c r="I3497" t="s">
        <v>48</v>
      </c>
      <c r="J3497" t="s">
        <v>49</v>
      </c>
      <c r="K3497">
        <v>1002.66</v>
      </c>
      <c r="L3497" t="s">
        <v>8263</v>
      </c>
      <c r="M3497">
        <f>VLOOKUP(H3497,'Stage Order'!$A$2:$B$8,2,FALSE)</f>
        <v>6</v>
      </c>
      <c r="N3497" t="str">
        <f t="shared" si="108"/>
        <v>1. Under 1 hour</v>
      </c>
      <c r="O3497" t="str">
        <f t="shared" si="109"/>
        <v>2025-01</v>
      </c>
    </row>
    <row r="3498" spans="1:15" x14ac:dyDescent="0.3">
      <c r="A3498" t="s">
        <v>8264</v>
      </c>
      <c r="B3498" t="s">
        <v>8265</v>
      </c>
      <c r="C3498" t="s">
        <v>81</v>
      </c>
      <c r="D3498" t="s">
        <v>54</v>
      </c>
      <c r="E3498" t="s">
        <v>59</v>
      </c>
      <c r="F3498" t="s">
        <v>60</v>
      </c>
      <c r="G3498">
        <v>19.690000000000001</v>
      </c>
      <c r="H3498" t="s">
        <v>61</v>
      </c>
      <c r="I3498" t="s">
        <v>42</v>
      </c>
      <c r="M3498">
        <f>VLOOKUP(H3498,'Stage Order'!$A$2:$B$8,2,FALSE)</f>
        <v>1</v>
      </c>
      <c r="N3498" t="str">
        <f t="shared" si="108"/>
        <v>2. 1-24 hours</v>
      </c>
      <c r="O3498" t="str">
        <f t="shared" si="109"/>
        <v>2025-12</v>
      </c>
    </row>
    <row r="3499" spans="1:15" x14ac:dyDescent="0.3">
      <c r="A3499" t="s">
        <v>8266</v>
      </c>
      <c r="B3499" t="s">
        <v>8267</v>
      </c>
      <c r="C3499" t="s">
        <v>81</v>
      </c>
      <c r="D3499" t="s">
        <v>29</v>
      </c>
      <c r="E3499" t="s">
        <v>45</v>
      </c>
      <c r="F3499" t="s">
        <v>46</v>
      </c>
      <c r="G3499">
        <v>3.17</v>
      </c>
      <c r="H3499" t="s">
        <v>41</v>
      </c>
      <c r="I3499" t="s">
        <v>42</v>
      </c>
      <c r="M3499">
        <f>VLOOKUP(H3499,'Stage Order'!$A$2:$B$8,2,FALSE)</f>
        <v>2</v>
      </c>
      <c r="N3499" t="str">
        <f t="shared" si="108"/>
        <v>2. 1-24 hours</v>
      </c>
      <c r="O3499" t="str">
        <f t="shared" si="109"/>
        <v>2025-10</v>
      </c>
    </row>
    <row r="3500" spans="1:15" x14ac:dyDescent="0.3">
      <c r="A3500" t="s">
        <v>8268</v>
      </c>
      <c r="B3500" t="s">
        <v>8269</v>
      </c>
      <c r="C3500" t="s">
        <v>76</v>
      </c>
      <c r="D3500" t="s">
        <v>97</v>
      </c>
      <c r="E3500" t="s">
        <v>90</v>
      </c>
      <c r="F3500" t="s">
        <v>91</v>
      </c>
      <c r="G3500">
        <v>2.27</v>
      </c>
      <c r="H3500" t="s">
        <v>41</v>
      </c>
      <c r="I3500" t="s">
        <v>42</v>
      </c>
      <c r="M3500">
        <f>VLOOKUP(H3500,'Stage Order'!$A$2:$B$8,2,FALSE)</f>
        <v>2</v>
      </c>
      <c r="N3500" t="str">
        <f t="shared" si="108"/>
        <v>2. 1-24 hours</v>
      </c>
      <c r="O3500" t="str">
        <f t="shared" si="109"/>
        <v>2025-01</v>
      </c>
    </row>
    <row r="3501" spans="1:15" x14ac:dyDescent="0.3">
      <c r="A3501" t="s">
        <v>8270</v>
      </c>
      <c r="B3501" t="s">
        <v>8271</v>
      </c>
      <c r="C3501" t="s">
        <v>58</v>
      </c>
      <c r="D3501" t="s">
        <v>54</v>
      </c>
      <c r="E3501" t="s">
        <v>45</v>
      </c>
      <c r="F3501" t="s">
        <v>46</v>
      </c>
      <c r="G3501">
        <v>1.1200000000000001</v>
      </c>
      <c r="H3501" t="s">
        <v>41</v>
      </c>
      <c r="I3501" t="s">
        <v>42</v>
      </c>
      <c r="M3501">
        <f>VLOOKUP(H3501,'Stage Order'!$A$2:$B$8,2,FALSE)</f>
        <v>2</v>
      </c>
      <c r="N3501" t="str">
        <f t="shared" si="108"/>
        <v>2. 1-24 hours</v>
      </c>
      <c r="O3501" t="str">
        <f t="shared" si="109"/>
        <v>2026-06</v>
      </c>
    </row>
    <row r="3502" spans="1:15" x14ac:dyDescent="0.3">
      <c r="A3502" t="s">
        <v>8272</v>
      </c>
      <c r="B3502" t="s">
        <v>8273</v>
      </c>
      <c r="C3502" t="s">
        <v>58</v>
      </c>
      <c r="D3502" t="s">
        <v>77</v>
      </c>
      <c r="E3502" t="s">
        <v>45</v>
      </c>
      <c r="F3502" t="s">
        <v>55</v>
      </c>
      <c r="G3502">
        <v>2.29</v>
      </c>
      <c r="H3502" t="s">
        <v>41</v>
      </c>
      <c r="I3502" t="s">
        <v>42</v>
      </c>
      <c r="M3502">
        <f>VLOOKUP(H3502,'Stage Order'!$A$2:$B$8,2,FALSE)</f>
        <v>2</v>
      </c>
      <c r="N3502" t="str">
        <f t="shared" si="108"/>
        <v>2. 1-24 hours</v>
      </c>
      <c r="O3502" t="str">
        <f t="shared" si="109"/>
        <v>2025-01</v>
      </c>
    </row>
    <row r="3503" spans="1:15" x14ac:dyDescent="0.3">
      <c r="A3503" t="s">
        <v>8274</v>
      </c>
      <c r="B3503" t="s">
        <v>8275</v>
      </c>
      <c r="C3503" t="s">
        <v>53</v>
      </c>
      <c r="D3503" t="s">
        <v>54</v>
      </c>
      <c r="E3503" t="s">
        <v>39</v>
      </c>
      <c r="F3503" t="s">
        <v>66</v>
      </c>
      <c r="G3503">
        <v>2.78</v>
      </c>
      <c r="H3503" t="s">
        <v>138</v>
      </c>
      <c r="I3503" t="s">
        <v>48</v>
      </c>
      <c r="J3503" t="s">
        <v>113</v>
      </c>
      <c r="K3503">
        <v>568.79</v>
      </c>
      <c r="L3503" t="s">
        <v>8276</v>
      </c>
      <c r="M3503">
        <f>VLOOKUP(H3503,'Stage Order'!$A$2:$B$8,2,FALSE)</f>
        <v>6</v>
      </c>
      <c r="N3503" t="str">
        <f t="shared" si="108"/>
        <v>2. 1-24 hours</v>
      </c>
      <c r="O3503" t="str">
        <f t="shared" si="109"/>
        <v>2025-01</v>
      </c>
    </row>
    <row r="3504" spans="1:15" x14ac:dyDescent="0.3">
      <c r="A3504" t="s">
        <v>8277</v>
      </c>
      <c r="B3504" t="s">
        <v>8278</v>
      </c>
      <c r="C3504" t="s">
        <v>37</v>
      </c>
      <c r="D3504" t="s">
        <v>38</v>
      </c>
      <c r="E3504" t="s">
        <v>30</v>
      </c>
      <c r="F3504" t="s">
        <v>31</v>
      </c>
      <c r="G3504">
        <v>0.5</v>
      </c>
      <c r="H3504" t="s">
        <v>138</v>
      </c>
      <c r="I3504" t="s">
        <v>48</v>
      </c>
      <c r="J3504" t="s">
        <v>49</v>
      </c>
      <c r="K3504">
        <v>308.61</v>
      </c>
      <c r="L3504" t="s">
        <v>8279</v>
      </c>
      <c r="M3504">
        <f>VLOOKUP(H3504,'Stage Order'!$A$2:$B$8,2,FALSE)</f>
        <v>6</v>
      </c>
      <c r="N3504" t="str">
        <f t="shared" si="108"/>
        <v>1. Under 1 hour</v>
      </c>
      <c r="O3504" t="str">
        <f t="shared" si="109"/>
        <v>2025-09</v>
      </c>
    </row>
    <row r="3505" spans="1:15" x14ac:dyDescent="0.3">
      <c r="A3505" t="s">
        <v>8280</v>
      </c>
      <c r="B3505" t="s">
        <v>8281</v>
      </c>
      <c r="C3505" t="s">
        <v>125</v>
      </c>
      <c r="D3505" t="s">
        <v>54</v>
      </c>
      <c r="E3505" t="s">
        <v>39</v>
      </c>
      <c r="F3505" t="s">
        <v>40</v>
      </c>
      <c r="G3505">
        <v>1.04</v>
      </c>
      <c r="H3505" t="s">
        <v>41</v>
      </c>
      <c r="I3505" t="s">
        <v>42</v>
      </c>
      <c r="M3505">
        <f>VLOOKUP(H3505,'Stage Order'!$A$2:$B$8,2,FALSE)</f>
        <v>2</v>
      </c>
      <c r="N3505" t="str">
        <f t="shared" si="108"/>
        <v>2. 1-24 hours</v>
      </c>
      <c r="O3505" t="str">
        <f t="shared" si="109"/>
        <v>2025-07</v>
      </c>
    </row>
    <row r="3506" spans="1:15" x14ac:dyDescent="0.3">
      <c r="A3506" t="s">
        <v>8282</v>
      </c>
      <c r="B3506" t="s">
        <v>8283</v>
      </c>
      <c r="C3506" t="s">
        <v>81</v>
      </c>
      <c r="D3506" t="s">
        <v>38</v>
      </c>
      <c r="E3506" t="s">
        <v>45</v>
      </c>
      <c r="F3506" t="s">
        <v>94</v>
      </c>
      <c r="G3506">
        <v>12.66</v>
      </c>
      <c r="H3506" t="s">
        <v>61</v>
      </c>
      <c r="I3506" t="s">
        <v>42</v>
      </c>
      <c r="M3506">
        <f>VLOOKUP(H3506,'Stage Order'!$A$2:$B$8,2,FALSE)</f>
        <v>1</v>
      </c>
      <c r="N3506" t="str">
        <f t="shared" si="108"/>
        <v>2. 1-24 hours</v>
      </c>
      <c r="O3506" t="str">
        <f t="shared" si="109"/>
        <v>2025-02</v>
      </c>
    </row>
    <row r="3507" spans="1:15" x14ac:dyDescent="0.3">
      <c r="A3507" t="s">
        <v>8284</v>
      </c>
      <c r="B3507" t="s">
        <v>8285</v>
      </c>
      <c r="C3507" t="s">
        <v>58</v>
      </c>
      <c r="D3507" t="s">
        <v>38</v>
      </c>
      <c r="E3507" t="s">
        <v>59</v>
      </c>
      <c r="F3507" t="s">
        <v>117</v>
      </c>
      <c r="G3507">
        <v>4.71</v>
      </c>
      <c r="H3507" t="s">
        <v>146</v>
      </c>
      <c r="I3507" t="s">
        <v>48</v>
      </c>
      <c r="J3507" t="s">
        <v>139</v>
      </c>
      <c r="K3507">
        <v>291.43</v>
      </c>
      <c r="L3507" t="s">
        <v>8286</v>
      </c>
      <c r="M3507">
        <f>VLOOKUP(H3507,'Stage Order'!$A$2:$B$8,2,FALSE)</f>
        <v>5</v>
      </c>
      <c r="N3507" t="str">
        <f t="shared" si="108"/>
        <v>2. 1-24 hours</v>
      </c>
      <c r="O3507" t="str">
        <f t="shared" si="109"/>
        <v>2025-03</v>
      </c>
    </row>
    <row r="3508" spans="1:15" x14ac:dyDescent="0.3">
      <c r="A3508" t="s">
        <v>8287</v>
      </c>
      <c r="B3508" t="s">
        <v>8288</v>
      </c>
      <c r="C3508" t="s">
        <v>76</v>
      </c>
      <c r="D3508" t="s">
        <v>29</v>
      </c>
      <c r="E3508" t="s">
        <v>90</v>
      </c>
      <c r="F3508" t="s">
        <v>112</v>
      </c>
      <c r="G3508">
        <v>6.34</v>
      </c>
      <c r="H3508" t="s">
        <v>41</v>
      </c>
      <c r="I3508" t="s">
        <v>42</v>
      </c>
      <c r="M3508">
        <f>VLOOKUP(H3508,'Stage Order'!$A$2:$B$8,2,FALSE)</f>
        <v>2</v>
      </c>
      <c r="N3508" t="str">
        <f t="shared" si="108"/>
        <v>2. 1-24 hours</v>
      </c>
      <c r="O3508" t="str">
        <f t="shared" si="109"/>
        <v>2025-05</v>
      </c>
    </row>
    <row r="3509" spans="1:15" x14ac:dyDescent="0.3">
      <c r="A3509" t="s">
        <v>8289</v>
      </c>
      <c r="B3509" t="s">
        <v>8290</v>
      </c>
      <c r="C3509" t="s">
        <v>125</v>
      </c>
      <c r="D3509" t="s">
        <v>54</v>
      </c>
      <c r="E3509" t="s">
        <v>39</v>
      </c>
      <c r="F3509" t="s">
        <v>40</v>
      </c>
      <c r="G3509">
        <v>8.0399999999999991</v>
      </c>
      <c r="H3509" t="s">
        <v>47</v>
      </c>
      <c r="I3509" t="s">
        <v>48</v>
      </c>
      <c r="J3509" t="s">
        <v>49</v>
      </c>
      <c r="K3509">
        <v>411.02</v>
      </c>
      <c r="L3509" t="s">
        <v>8291</v>
      </c>
      <c r="M3509">
        <f>VLOOKUP(H3509,'Stage Order'!$A$2:$B$8,2,FALSE)</f>
        <v>4</v>
      </c>
      <c r="N3509" t="str">
        <f t="shared" si="108"/>
        <v>2. 1-24 hours</v>
      </c>
      <c r="O3509" t="str">
        <f t="shared" si="109"/>
        <v>2025-04</v>
      </c>
    </row>
    <row r="3510" spans="1:15" x14ac:dyDescent="0.3">
      <c r="A3510" t="s">
        <v>8292</v>
      </c>
      <c r="B3510" t="s">
        <v>8293</v>
      </c>
      <c r="C3510" t="s">
        <v>58</v>
      </c>
      <c r="D3510" t="s">
        <v>77</v>
      </c>
      <c r="E3510" t="s">
        <v>30</v>
      </c>
      <c r="F3510" t="s">
        <v>31</v>
      </c>
      <c r="G3510">
        <v>16.649999999999999</v>
      </c>
      <c r="H3510" t="s">
        <v>128</v>
      </c>
      <c r="I3510" t="s">
        <v>42</v>
      </c>
      <c r="M3510">
        <f>VLOOKUP(H3510,'Stage Order'!$A$2:$B$8,2,FALSE)</f>
        <v>3</v>
      </c>
      <c r="N3510" t="str">
        <f t="shared" si="108"/>
        <v>2. 1-24 hours</v>
      </c>
      <c r="O3510" t="str">
        <f t="shared" si="109"/>
        <v>2025-11</v>
      </c>
    </row>
    <row r="3511" spans="1:15" x14ac:dyDescent="0.3">
      <c r="A3511" t="s">
        <v>8294</v>
      </c>
      <c r="B3511" t="s">
        <v>8295</v>
      </c>
      <c r="C3511" t="s">
        <v>81</v>
      </c>
      <c r="D3511" t="s">
        <v>38</v>
      </c>
      <c r="E3511" t="s">
        <v>39</v>
      </c>
      <c r="F3511" t="s">
        <v>66</v>
      </c>
      <c r="G3511">
        <v>3.31</v>
      </c>
      <c r="H3511" t="s">
        <v>41</v>
      </c>
      <c r="I3511" t="s">
        <v>42</v>
      </c>
      <c r="M3511">
        <f>VLOOKUP(H3511,'Stage Order'!$A$2:$B$8,2,FALSE)</f>
        <v>2</v>
      </c>
      <c r="N3511" t="str">
        <f t="shared" si="108"/>
        <v>2. 1-24 hours</v>
      </c>
      <c r="O3511" t="str">
        <f t="shared" si="109"/>
        <v>2025-03</v>
      </c>
    </row>
    <row r="3512" spans="1:15" x14ac:dyDescent="0.3">
      <c r="A3512" t="s">
        <v>8296</v>
      </c>
      <c r="B3512" t="s">
        <v>8297</v>
      </c>
      <c r="C3512" t="s">
        <v>76</v>
      </c>
      <c r="D3512" t="s">
        <v>77</v>
      </c>
      <c r="E3512" t="s">
        <v>39</v>
      </c>
      <c r="F3512" t="s">
        <v>40</v>
      </c>
      <c r="G3512">
        <v>2.97</v>
      </c>
      <c r="H3512" t="s">
        <v>41</v>
      </c>
      <c r="I3512" t="s">
        <v>42</v>
      </c>
      <c r="M3512">
        <f>VLOOKUP(H3512,'Stage Order'!$A$2:$B$8,2,FALSE)</f>
        <v>2</v>
      </c>
      <c r="N3512" t="str">
        <f t="shared" si="108"/>
        <v>2. 1-24 hours</v>
      </c>
      <c r="O3512" t="str">
        <f t="shared" si="109"/>
        <v>2025-04</v>
      </c>
    </row>
    <row r="3513" spans="1:15" x14ac:dyDescent="0.3">
      <c r="A3513" t="s">
        <v>8298</v>
      </c>
      <c r="B3513" t="s">
        <v>8299</v>
      </c>
      <c r="C3513" t="s">
        <v>125</v>
      </c>
      <c r="D3513" t="s">
        <v>97</v>
      </c>
      <c r="E3513" t="s">
        <v>59</v>
      </c>
      <c r="F3513" t="s">
        <v>117</v>
      </c>
      <c r="G3513">
        <v>0.71</v>
      </c>
      <c r="H3513" t="s">
        <v>32</v>
      </c>
      <c r="I3513" t="s">
        <v>33</v>
      </c>
      <c r="K3513">
        <v>1218</v>
      </c>
      <c r="L3513" t="s">
        <v>8300</v>
      </c>
      <c r="M3513">
        <f>VLOOKUP(H3513,'Stage Order'!$A$2:$B$8,2,FALSE)</f>
        <v>7</v>
      </c>
      <c r="N3513" t="str">
        <f t="shared" si="108"/>
        <v>1. Under 1 hour</v>
      </c>
      <c r="O3513" t="str">
        <f t="shared" si="109"/>
        <v>2026-05</v>
      </c>
    </row>
    <row r="3514" spans="1:15" x14ac:dyDescent="0.3">
      <c r="A3514" t="s">
        <v>8301</v>
      </c>
      <c r="B3514" t="s">
        <v>8302</v>
      </c>
      <c r="C3514" t="s">
        <v>125</v>
      </c>
      <c r="D3514" t="s">
        <v>77</v>
      </c>
      <c r="E3514" t="s">
        <v>30</v>
      </c>
      <c r="F3514" t="s">
        <v>31</v>
      </c>
      <c r="G3514">
        <v>0.77</v>
      </c>
      <c r="H3514" t="s">
        <v>138</v>
      </c>
      <c r="I3514" t="s">
        <v>48</v>
      </c>
      <c r="J3514" t="s">
        <v>49</v>
      </c>
      <c r="K3514">
        <v>1056.1199999999999</v>
      </c>
      <c r="L3514" t="s">
        <v>8303</v>
      </c>
      <c r="M3514">
        <f>VLOOKUP(H3514,'Stage Order'!$A$2:$B$8,2,FALSE)</f>
        <v>6</v>
      </c>
      <c r="N3514" t="str">
        <f t="shared" si="108"/>
        <v>1. Under 1 hour</v>
      </c>
      <c r="O3514" t="str">
        <f t="shared" si="109"/>
        <v>2025-01</v>
      </c>
    </row>
    <row r="3515" spans="1:15" x14ac:dyDescent="0.3">
      <c r="A3515" t="s">
        <v>8304</v>
      </c>
      <c r="B3515" t="s">
        <v>8305</v>
      </c>
      <c r="C3515" t="s">
        <v>53</v>
      </c>
      <c r="D3515" t="s">
        <v>29</v>
      </c>
      <c r="E3515" t="s">
        <v>45</v>
      </c>
      <c r="F3515" t="s">
        <v>94</v>
      </c>
      <c r="G3515">
        <v>2.0299999999999998</v>
      </c>
      <c r="H3515" t="s">
        <v>41</v>
      </c>
      <c r="I3515" t="s">
        <v>42</v>
      </c>
      <c r="M3515">
        <f>VLOOKUP(H3515,'Stage Order'!$A$2:$B$8,2,FALSE)</f>
        <v>2</v>
      </c>
      <c r="N3515" t="str">
        <f t="shared" si="108"/>
        <v>2. 1-24 hours</v>
      </c>
      <c r="O3515" t="str">
        <f t="shared" si="109"/>
        <v>2025-08</v>
      </c>
    </row>
    <row r="3516" spans="1:15" x14ac:dyDescent="0.3">
      <c r="A3516" t="s">
        <v>8306</v>
      </c>
      <c r="B3516" t="s">
        <v>8307</v>
      </c>
      <c r="C3516" t="s">
        <v>125</v>
      </c>
      <c r="D3516" t="s">
        <v>54</v>
      </c>
      <c r="E3516" t="s">
        <v>39</v>
      </c>
      <c r="F3516" t="s">
        <v>106</v>
      </c>
      <c r="G3516">
        <v>15.35</v>
      </c>
      <c r="H3516" t="s">
        <v>41</v>
      </c>
      <c r="I3516" t="s">
        <v>42</v>
      </c>
      <c r="M3516">
        <f>VLOOKUP(H3516,'Stage Order'!$A$2:$B$8,2,FALSE)</f>
        <v>2</v>
      </c>
      <c r="N3516" t="str">
        <f t="shared" si="108"/>
        <v>2. 1-24 hours</v>
      </c>
      <c r="O3516" t="str">
        <f t="shared" si="109"/>
        <v>2025-02</v>
      </c>
    </row>
    <row r="3517" spans="1:15" x14ac:dyDescent="0.3">
      <c r="A3517" t="s">
        <v>8308</v>
      </c>
      <c r="B3517" t="s">
        <v>8309</v>
      </c>
      <c r="C3517" t="s">
        <v>37</v>
      </c>
      <c r="D3517" t="s">
        <v>38</v>
      </c>
      <c r="E3517" t="s">
        <v>90</v>
      </c>
      <c r="F3517" t="s">
        <v>91</v>
      </c>
      <c r="G3517">
        <v>5.24</v>
      </c>
      <c r="H3517" t="s">
        <v>47</v>
      </c>
      <c r="I3517" t="s">
        <v>48</v>
      </c>
      <c r="J3517" t="s">
        <v>49</v>
      </c>
      <c r="K3517">
        <v>405.17</v>
      </c>
      <c r="L3517" t="s">
        <v>8310</v>
      </c>
      <c r="M3517">
        <f>VLOOKUP(H3517,'Stage Order'!$A$2:$B$8,2,FALSE)</f>
        <v>4</v>
      </c>
      <c r="N3517" t="str">
        <f t="shared" si="108"/>
        <v>2. 1-24 hours</v>
      </c>
      <c r="O3517" t="str">
        <f t="shared" si="109"/>
        <v>2026-01</v>
      </c>
    </row>
    <row r="3518" spans="1:15" x14ac:dyDescent="0.3">
      <c r="A3518" t="s">
        <v>8311</v>
      </c>
      <c r="B3518" t="s">
        <v>8312</v>
      </c>
      <c r="C3518" t="s">
        <v>125</v>
      </c>
      <c r="D3518" t="s">
        <v>54</v>
      </c>
      <c r="E3518" t="s">
        <v>45</v>
      </c>
      <c r="F3518" t="s">
        <v>55</v>
      </c>
      <c r="G3518">
        <v>0.65</v>
      </c>
      <c r="H3518" t="s">
        <v>41</v>
      </c>
      <c r="I3518" t="s">
        <v>42</v>
      </c>
      <c r="M3518">
        <f>VLOOKUP(H3518,'Stage Order'!$A$2:$B$8,2,FALSE)</f>
        <v>2</v>
      </c>
      <c r="N3518" t="str">
        <f t="shared" si="108"/>
        <v>1. Under 1 hour</v>
      </c>
      <c r="O3518" t="str">
        <f t="shared" si="109"/>
        <v>2025-03</v>
      </c>
    </row>
    <row r="3519" spans="1:15" x14ac:dyDescent="0.3">
      <c r="A3519" t="s">
        <v>8313</v>
      </c>
      <c r="B3519" t="s">
        <v>8314</v>
      </c>
      <c r="C3519" t="s">
        <v>58</v>
      </c>
      <c r="D3519" t="s">
        <v>54</v>
      </c>
      <c r="E3519" t="s">
        <v>90</v>
      </c>
      <c r="F3519" t="s">
        <v>91</v>
      </c>
      <c r="G3519">
        <v>5.09</v>
      </c>
      <c r="H3519" t="s">
        <v>41</v>
      </c>
      <c r="I3519" t="s">
        <v>42</v>
      </c>
      <c r="M3519">
        <f>VLOOKUP(H3519,'Stage Order'!$A$2:$B$8,2,FALSE)</f>
        <v>2</v>
      </c>
      <c r="N3519" t="str">
        <f t="shared" si="108"/>
        <v>2. 1-24 hours</v>
      </c>
      <c r="O3519" t="str">
        <f t="shared" si="109"/>
        <v>2026-01</v>
      </c>
    </row>
    <row r="3520" spans="1:15" x14ac:dyDescent="0.3">
      <c r="A3520" t="s">
        <v>8315</v>
      </c>
      <c r="B3520" t="s">
        <v>8316</v>
      </c>
      <c r="C3520" t="s">
        <v>28</v>
      </c>
      <c r="D3520" t="s">
        <v>97</v>
      </c>
      <c r="E3520" t="s">
        <v>59</v>
      </c>
      <c r="F3520" t="s">
        <v>137</v>
      </c>
      <c r="G3520">
        <v>2.67</v>
      </c>
      <c r="H3520" t="s">
        <v>41</v>
      </c>
      <c r="I3520" t="s">
        <v>42</v>
      </c>
      <c r="M3520">
        <f>VLOOKUP(H3520,'Stage Order'!$A$2:$B$8,2,FALSE)</f>
        <v>2</v>
      </c>
      <c r="N3520" t="str">
        <f t="shared" si="108"/>
        <v>2. 1-24 hours</v>
      </c>
      <c r="O3520" t="str">
        <f t="shared" si="109"/>
        <v>2025-11</v>
      </c>
    </row>
    <row r="3521" spans="1:15" x14ac:dyDescent="0.3">
      <c r="A3521" t="s">
        <v>8317</v>
      </c>
      <c r="B3521" t="s">
        <v>8318</v>
      </c>
      <c r="C3521" t="s">
        <v>28</v>
      </c>
      <c r="D3521" t="s">
        <v>54</v>
      </c>
      <c r="E3521" t="s">
        <v>45</v>
      </c>
      <c r="F3521" t="s">
        <v>55</v>
      </c>
      <c r="G3521">
        <v>2.82</v>
      </c>
      <c r="H3521" t="s">
        <v>138</v>
      </c>
      <c r="I3521" t="s">
        <v>48</v>
      </c>
      <c r="J3521" t="s">
        <v>98</v>
      </c>
      <c r="K3521">
        <v>577.21</v>
      </c>
      <c r="L3521" t="s">
        <v>8319</v>
      </c>
      <c r="M3521">
        <f>VLOOKUP(H3521,'Stage Order'!$A$2:$B$8,2,FALSE)</f>
        <v>6</v>
      </c>
      <c r="N3521" t="str">
        <f t="shared" si="108"/>
        <v>2. 1-24 hours</v>
      </c>
      <c r="O3521" t="str">
        <f t="shared" si="109"/>
        <v>2025-05</v>
      </c>
    </row>
    <row r="3522" spans="1:15" x14ac:dyDescent="0.3">
      <c r="A3522" t="s">
        <v>8320</v>
      </c>
      <c r="B3522" t="s">
        <v>8321</v>
      </c>
      <c r="C3522" t="s">
        <v>53</v>
      </c>
      <c r="D3522" t="s">
        <v>29</v>
      </c>
      <c r="E3522" t="s">
        <v>90</v>
      </c>
      <c r="F3522" t="s">
        <v>145</v>
      </c>
      <c r="G3522">
        <v>1.65</v>
      </c>
      <c r="H3522" t="s">
        <v>47</v>
      </c>
      <c r="I3522" t="s">
        <v>48</v>
      </c>
      <c r="J3522" t="s">
        <v>139</v>
      </c>
      <c r="K3522">
        <v>538.03</v>
      </c>
      <c r="L3522" t="s">
        <v>8322</v>
      </c>
      <c r="M3522">
        <f>VLOOKUP(H3522,'Stage Order'!$A$2:$B$8,2,FALSE)</f>
        <v>4</v>
      </c>
      <c r="N3522" t="str">
        <f t="shared" ref="N3522:N3585" si="110">IF(G3522&lt;=1,"1. Under 1 hour",IF(G3522&lt;=24,"2. 1-24 hours",IF(G3522&lt;=72,"3. 1-3 days","4. Over 3 days")))</f>
        <v>2. 1-24 hours</v>
      </c>
      <c r="O3522" t="str">
        <f t="shared" ref="O3522:O3585" si="111">TEXT(B3522,"YYYY-MM")</f>
        <v>2026-01</v>
      </c>
    </row>
    <row r="3523" spans="1:15" x14ac:dyDescent="0.3">
      <c r="A3523" t="s">
        <v>8323</v>
      </c>
      <c r="B3523" t="s">
        <v>8324</v>
      </c>
      <c r="C3523" t="s">
        <v>53</v>
      </c>
      <c r="D3523" t="s">
        <v>54</v>
      </c>
      <c r="E3523" t="s">
        <v>90</v>
      </c>
      <c r="F3523" t="s">
        <v>91</v>
      </c>
      <c r="G3523">
        <v>1.61</v>
      </c>
      <c r="H3523" t="s">
        <v>138</v>
      </c>
      <c r="I3523" t="s">
        <v>48</v>
      </c>
      <c r="J3523" t="s">
        <v>49</v>
      </c>
      <c r="K3523">
        <v>587.82000000000005</v>
      </c>
      <c r="L3523" t="s">
        <v>8325</v>
      </c>
      <c r="M3523">
        <f>VLOOKUP(H3523,'Stage Order'!$A$2:$B$8,2,FALSE)</f>
        <v>6</v>
      </c>
      <c r="N3523" t="str">
        <f t="shared" si="110"/>
        <v>2. 1-24 hours</v>
      </c>
      <c r="O3523" t="str">
        <f t="shared" si="111"/>
        <v>2025-12</v>
      </c>
    </row>
    <row r="3524" spans="1:15" x14ac:dyDescent="0.3">
      <c r="A3524" t="s">
        <v>8326</v>
      </c>
      <c r="B3524" t="s">
        <v>8327</v>
      </c>
      <c r="C3524" t="s">
        <v>76</v>
      </c>
      <c r="D3524" t="s">
        <v>77</v>
      </c>
      <c r="E3524" t="s">
        <v>45</v>
      </c>
      <c r="F3524" t="s">
        <v>94</v>
      </c>
      <c r="G3524">
        <v>1.74</v>
      </c>
      <c r="H3524" t="s">
        <v>32</v>
      </c>
      <c r="I3524" t="s">
        <v>33</v>
      </c>
      <c r="K3524">
        <v>998.08</v>
      </c>
      <c r="L3524" t="s">
        <v>8328</v>
      </c>
      <c r="M3524">
        <f>VLOOKUP(H3524,'Stage Order'!$A$2:$B$8,2,FALSE)</f>
        <v>7</v>
      </c>
      <c r="N3524" t="str">
        <f t="shared" si="110"/>
        <v>2. 1-24 hours</v>
      </c>
      <c r="O3524" t="str">
        <f t="shared" si="111"/>
        <v>2026-05</v>
      </c>
    </row>
    <row r="3525" spans="1:15" x14ac:dyDescent="0.3">
      <c r="A3525" t="s">
        <v>8329</v>
      </c>
      <c r="B3525" t="s">
        <v>8330</v>
      </c>
      <c r="C3525" t="s">
        <v>37</v>
      </c>
      <c r="D3525" t="s">
        <v>77</v>
      </c>
      <c r="E3525" t="s">
        <v>45</v>
      </c>
      <c r="F3525" t="s">
        <v>55</v>
      </c>
      <c r="G3525">
        <v>3.28</v>
      </c>
      <c r="H3525" t="s">
        <v>47</v>
      </c>
      <c r="I3525" t="s">
        <v>48</v>
      </c>
      <c r="J3525" t="s">
        <v>139</v>
      </c>
      <c r="K3525">
        <v>1153.99</v>
      </c>
      <c r="L3525" t="s">
        <v>8331</v>
      </c>
      <c r="M3525">
        <f>VLOOKUP(H3525,'Stage Order'!$A$2:$B$8,2,FALSE)</f>
        <v>4</v>
      </c>
      <c r="N3525" t="str">
        <f t="shared" si="110"/>
        <v>2. 1-24 hours</v>
      </c>
      <c r="O3525" t="str">
        <f t="shared" si="111"/>
        <v>2025-04</v>
      </c>
    </row>
    <row r="3526" spans="1:15" x14ac:dyDescent="0.3">
      <c r="A3526" t="s">
        <v>8332</v>
      </c>
      <c r="B3526" t="s">
        <v>8333</v>
      </c>
      <c r="C3526" t="s">
        <v>37</v>
      </c>
      <c r="D3526" t="s">
        <v>38</v>
      </c>
      <c r="E3526" t="s">
        <v>30</v>
      </c>
      <c r="F3526" t="s">
        <v>78</v>
      </c>
      <c r="G3526">
        <v>4.71</v>
      </c>
      <c r="H3526" t="s">
        <v>61</v>
      </c>
      <c r="I3526" t="s">
        <v>42</v>
      </c>
      <c r="M3526">
        <f>VLOOKUP(H3526,'Stage Order'!$A$2:$B$8,2,FALSE)</f>
        <v>1</v>
      </c>
      <c r="N3526" t="str">
        <f t="shared" si="110"/>
        <v>2. 1-24 hours</v>
      </c>
      <c r="O3526" t="str">
        <f t="shared" si="111"/>
        <v>2025-06</v>
      </c>
    </row>
    <row r="3527" spans="1:15" x14ac:dyDescent="0.3">
      <c r="A3527" t="s">
        <v>8334</v>
      </c>
      <c r="B3527" t="s">
        <v>8335</v>
      </c>
      <c r="C3527" t="s">
        <v>53</v>
      </c>
      <c r="D3527" t="s">
        <v>97</v>
      </c>
      <c r="E3527" t="s">
        <v>45</v>
      </c>
      <c r="F3527" t="s">
        <v>46</v>
      </c>
      <c r="G3527">
        <v>9.76</v>
      </c>
      <c r="H3527" t="s">
        <v>41</v>
      </c>
      <c r="I3527" t="s">
        <v>42</v>
      </c>
      <c r="M3527">
        <f>VLOOKUP(H3527,'Stage Order'!$A$2:$B$8,2,FALSE)</f>
        <v>2</v>
      </c>
      <c r="N3527" t="str">
        <f t="shared" si="110"/>
        <v>2. 1-24 hours</v>
      </c>
      <c r="O3527" t="str">
        <f t="shared" si="111"/>
        <v>2026-05</v>
      </c>
    </row>
    <row r="3528" spans="1:15" x14ac:dyDescent="0.3">
      <c r="A3528" t="s">
        <v>8336</v>
      </c>
      <c r="B3528" t="s">
        <v>8337</v>
      </c>
      <c r="C3528" t="s">
        <v>37</v>
      </c>
      <c r="D3528" t="s">
        <v>29</v>
      </c>
      <c r="E3528" t="s">
        <v>39</v>
      </c>
      <c r="F3528" t="s">
        <v>40</v>
      </c>
      <c r="G3528">
        <v>4.59</v>
      </c>
      <c r="H3528" t="s">
        <v>41</v>
      </c>
      <c r="I3528" t="s">
        <v>42</v>
      </c>
      <c r="M3528">
        <f>VLOOKUP(H3528,'Stage Order'!$A$2:$B$8,2,FALSE)</f>
        <v>2</v>
      </c>
      <c r="N3528" t="str">
        <f t="shared" si="110"/>
        <v>2. 1-24 hours</v>
      </c>
      <c r="O3528" t="str">
        <f t="shared" si="111"/>
        <v>2025-01</v>
      </c>
    </row>
    <row r="3529" spans="1:15" x14ac:dyDescent="0.3">
      <c r="A3529" t="s">
        <v>8338</v>
      </c>
      <c r="B3529" t="s">
        <v>8339</v>
      </c>
      <c r="C3529" t="s">
        <v>76</v>
      </c>
      <c r="D3529" t="s">
        <v>54</v>
      </c>
      <c r="E3529" t="s">
        <v>59</v>
      </c>
      <c r="F3529" t="s">
        <v>60</v>
      </c>
      <c r="G3529">
        <v>5.08</v>
      </c>
      <c r="H3529" t="s">
        <v>41</v>
      </c>
      <c r="I3529" t="s">
        <v>42</v>
      </c>
      <c r="M3529">
        <f>VLOOKUP(H3529,'Stage Order'!$A$2:$B$8,2,FALSE)</f>
        <v>2</v>
      </c>
      <c r="N3529" t="str">
        <f t="shared" si="110"/>
        <v>2. 1-24 hours</v>
      </c>
      <c r="O3529" t="str">
        <f t="shared" si="111"/>
        <v>2026-03</v>
      </c>
    </row>
    <row r="3530" spans="1:15" x14ac:dyDescent="0.3">
      <c r="A3530" t="s">
        <v>8340</v>
      </c>
      <c r="B3530" t="s">
        <v>8341</v>
      </c>
      <c r="C3530" t="s">
        <v>76</v>
      </c>
      <c r="D3530" t="s">
        <v>77</v>
      </c>
      <c r="E3530" t="s">
        <v>45</v>
      </c>
      <c r="F3530" t="s">
        <v>46</v>
      </c>
      <c r="G3530">
        <v>0.81</v>
      </c>
      <c r="H3530" t="s">
        <v>41</v>
      </c>
      <c r="I3530" t="s">
        <v>42</v>
      </c>
      <c r="M3530">
        <f>VLOOKUP(H3530,'Stage Order'!$A$2:$B$8,2,FALSE)</f>
        <v>2</v>
      </c>
      <c r="N3530" t="str">
        <f t="shared" si="110"/>
        <v>1. Under 1 hour</v>
      </c>
      <c r="O3530" t="str">
        <f t="shared" si="111"/>
        <v>2025-02</v>
      </c>
    </row>
    <row r="3531" spans="1:15" x14ac:dyDescent="0.3">
      <c r="A3531" t="s">
        <v>8342</v>
      </c>
      <c r="B3531" t="s">
        <v>8343</v>
      </c>
      <c r="C3531" t="s">
        <v>58</v>
      </c>
      <c r="D3531" t="s">
        <v>38</v>
      </c>
      <c r="E3531" t="s">
        <v>90</v>
      </c>
      <c r="F3531" t="s">
        <v>91</v>
      </c>
      <c r="G3531">
        <v>0.81</v>
      </c>
      <c r="H3531" t="s">
        <v>61</v>
      </c>
      <c r="I3531" t="s">
        <v>42</v>
      </c>
      <c r="M3531">
        <f>VLOOKUP(H3531,'Stage Order'!$A$2:$B$8,2,FALSE)</f>
        <v>1</v>
      </c>
      <c r="N3531" t="str">
        <f t="shared" si="110"/>
        <v>1. Under 1 hour</v>
      </c>
      <c r="O3531" t="str">
        <f t="shared" si="111"/>
        <v>2026-05</v>
      </c>
    </row>
    <row r="3532" spans="1:15" x14ac:dyDescent="0.3">
      <c r="A3532" t="s">
        <v>8344</v>
      </c>
      <c r="B3532" t="s">
        <v>8345</v>
      </c>
      <c r="C3532" t="s">
        <v>53</v>
      </c>
      <c r="D3532" t="s">
        <v>54</v>
      </c>
      <c r="E3532" t="s">
        <v>45</v>
      </c>
      <c r="F3532" t="s">
        <v>55</v>
      </c>
      <c r="G3532">
        <v>1.38</v>
      </c>
      <c r="H3532" t="s">
        <v>138</v>
      </c>
      <c r="I3532" t="s">
        <v>48</v>
      </c>
      <c r="J3532" t="s">
        <v>139</v>
      </c>
      <c r="K3532">
        <v>579.26</v>
      </c>
      <c r="L3532" t="s">
        <v>8346</v>
      </c>
      <c r="M3532">
        <f>VLOOKUP(H3532,'Stage Order'!$A$2:$B$8,2,FALSE)</f>
        <v>6</v>
      </c>
      <c r="N3532" t="str">
        <f t="shared" si="110"/>
        <v>2. 1-24 hours</v>
      </c>
      <c r="O3532" t="str">
        <f t="shared" si="111"/>
        <v>2025-07</v>
      </c>
    </row>
    <row r="3533" spans="1:15" x14ac:dyDescent="0.3">
      <c r="A3533" t="s">
        <v>8347</v>
      </c>
      <c r="B3533" t="s">
        <v>8348</v>
      </c>
      <c r="C3533" t="s">
        <v>37</v>
      </c>
      <c r="D3533" t="s">
        <v>54</v>
      </c>
      <c r="E3533" t="s">
        <v>45</v>
      </c>
      <c r="F3533" t="s">
        <v>55</v>
      </c>
      <c r="G3533">
        <v>1.57</v>
      </c>
      <c r="H3533" t="s">
        <v>138</v>
      </c>
      <c r="I3533" t="s">
        <v>48</v>
      </c>
      <c r="J3533" t="s">
        <v>113</v>
      </c>
      <c r="K3533">
        <v>577.69000000000005</v>
      </c>
      <c r="L3533" t="s">
        <v>8349</v>
      </c>
      <c r="M3533">
        <f>VLOOKUP(H3533,'Stage Order'!$A$2:$B$8,2,FALSE)</f>
        <v>6</v>
      </c>
      <c r="N3533" t="str">
        <f t="shared" si="110"/>
        <v>2. 1-24 hours</v>
      </c>
      <c r="O3533" t="str">
        <f t="shared" si="111"/>
        <v>2026-05</v>
      </c>
    </row>
    <row r="3534" spans="1:15" x14ac:dyDescent="0.3">
      <c r="A3534" t="s">
        <v>8350</v>
      </c>
      <c r="B3534" t="s">
        <v>8351</v>
      </c>
      <c r="C3534" t="s">
        <v>37</v>
      </c>
      <c r="D3534" t="s">
        <v>77</v>
      </c>
      <c r="E3534" t="s">
        <v>45</v>
      </c>
      <c r="F3534" t="s">
        <v>55</v>
      </c>
      <c r="G3534">
        <v>1.68</v>
      </c>
      <c r="H3534" t="s">
        <v>41</v>
      </c>
      <c r="I3534" t="s">
        <v>42</v>
      </c>
      <c r="M3534">
        <f>VLOOKUP(H3534,'Stage Order'!$A$2:$B$8,2,FALSE)</f>
        <v>2</v>
      </c>
      <c r="N3534" t="str">
        <f t="shared" si="110"/>
        <v>2. 1-24 hours</v>
      </c>
      <c r="O3534" t="str">
        <f t="shared" si="111"/>
        <v>2026-03</v>
      </c>
    </row>
    <row r="3535" spans="1:15" x14ac:dyDescent="0.3">
      <c r="A3535" t="s">
        <v>8352</v>
      </c>
      <c r="B3535" t="s">
        <v>8353</v>
      </c>
      <c r="C3535" t="s">
        <v>58</v>
      </c>
      <c r="D3535" t="s">
        <v>29</v>
      </c>
      <c r="E3535" t="s">
        <v>45</v>
      </c>
      <c r="F3535" t="s">
        <v>94</v>
      </c>
      <c r="G3535">
        <v>1.94</v>
      </c>
      <c r="H3535" t="s">
        <v>47</v>
      </c>
      <c r="I3535" t="s">
        <v>48</v>
      </c>
      <c r="J3535" t="s">
        <v>742</v>
      </c>
      <c r="K3535">
        <v>676.08</v>
      </c>
      <c r="L3535" t="s">
        <v>8354</v>
      </c>
      <c r="M3535">
        <f>VLOOKUP(H3535,'Stage Order'!$A$2:$B$8,2,FALSE)</f>
        <v>4</v>
      </c>
      <c r="N3535" t="str">
        <f t="shared" si="110"/>
        <v>2. 1-24 hours</v>
      </c>
      <c r="O3535" t="str">
        <f t="shared" si="111"/>
        <v>2026-02</v>
      </c>
    </row>
    <row r="3536" spans="1:15" x14ac:dyDescent="0.3">
      <c r="A3536" t="s">
        <v>8355</v>
      </c>
      <c r="B3536" t="s">
        <v>8356</v>
      </c>
      <c r="C3536" t="s">
        <v>58</v>
      </c>
      <c r="D3536" t="s">
        <v>54</v>
      </c>
      <c r="E3536" t="s">
        <v>45</v>
      </c>
      <c r="F3536" t="s">
        <v>94</v>
      </c>
      <c r="G3536">
        <v>3.83</v>
      </c>
      <c r="H3536" t="s">
        <v>41</v>
      </c>
      <c r="I3536" t="s">
        <v>42</v>
      </c>
      <c r="M3536">
        <f>VLOOKUP(H3536,'Stage Order'!$A$2:$B$8,2,FALSE)</f>
        <v>2</v>
      </c>
      <c r="N3536" t="str">
        <f t="shared" si="110"/>
        <v>2. 1-24 hours</v>
      </c>
      <c r="O3536" t="str">
        <f t="shared" si="111"/>
        <v>2025-12</v>
      </c>
    </row>
    <row r="3537" spans="1:15" x14ac:dyDescent="0.3">
      <c r="A3537" t="s">
        <v>8357</v>
      </c>
      <c r="B3537" t="s">
        <v>8358</v>
      </c>
      <c r="C3537" t="s">
        <v>37</v>
      </c>
      <c r="D3537" t="s">
        <v>29</v>
      </c>
      <c r="E3537" t="s">
        <v>30</v>
      </c>
      <c r="F3537" t="s">
        <v>31</v>
      </c>
      <c r="G3537">
        <v>13.76</v>
      </c>
      <c r="H3537" t="s">
        <v>41</v>
      </c>
      <c r="I3537" t="s">
        <v>42</v>
      </c>
      <c r="M3537">
        <f>VLOOKUP(H3537,'Stage Order'!$A$2:$B$8,2,FALSE)</f>
        <v>2</v>
      </c>
      <c r="N3537" t="str">
        <f t="shared" si="110"/>
        <v>2. 1-24 hours</v>
      </c>
      <c r="O3537" t="str">
        <f t="shared" si="111"/>
        <v>2025-01</v>
      </c>
    </row>
    <row r="3538" spans="1:15" x14ac:dyDescent="0.3">
      <c r="A3538" t="s">
        <v>8359</v>
      </c>
      <c r="B3538" t="s">
        <v>8360</v>
      </c>
      <c r="C3538" t="s">
        <v>58</v>
      </c>
      <c r="D3538" t="s">
        <v>54</v>
      </c>
      <c r="E3538" t="s">
        <v>39</v>
      </c>
      <c r="F3538" t="s">
        <v>106</v>
      </c>
      <c r="G3538">
        <v>6.46</v>
      </c>
      <c r="H3538" t="s">
        <v>47</v>
      </c>
      <c r="I3538" t="s">
        <v>48</v>
      </c>
      <c r="J3538" t="s">
        <v>742</v>
      </c>
      <c r="K3538">
        <v>523.01</v>
      </c>
      <c r="L3538" t="s">
        <v>8361</v>
      </c>
      <c r="M3538">
        <f>VLOOKUP(H3538,'Stage Order'!$A$2:$B$8,2,FALSE)</f>
        <v>4</v>
      </c>
      <c r="N3538" t="str">
        <f t="shared" si="110"/>
        <v>2. 1-24 hours</v>
      </c>
      <c r="O3538" t="str">
        <f t="shared" si="111"/>
        <v>2025-01</v>
      </c>
    </row>
    <row r="3539" spans="1:15" x14ac:dyDescent="0.3">
      <c r="A3539" t="s">
        <v>8362</v>
      </c>
      <c r="B3539" t="s">
        <v>8363</v>
      </c>
      <c r="C3539" t="s">
        <v>125</v>
      </c>
      <c r="D3539" t="s">
        <v>29</v>
      </c>
      <c r="E3539" t="s">
        <v>59</v>
      </c>
      <c r="F3539" t="s">
        <v>137</v>
      </c>
      <c r="G3539">
        <v>13.41</v>
      </c>
      <c r="H3539" t="s">
        <v>61</v>
      </c>
      <c r="I3539" t="s">
        <v>42</v>
      </c>
      <c r="M3539">
        <f>VLOOKUP(H3539,'Stage Order'!$A$2:$B$8,2,FALSE)</f>
        <v>1</v>
      </c>
      <c r="N3539" t="str">
        <f t="shared" si="110"/>
        <v>2. 1-24 hours</v>
      </c>
      <c r="O3539" t="str">
        <f t="shared" si="111"/>
        <v>2025-06</v>
      </c>
    </row>
    <row r="3540" spans="1:15" x14ac:dyDescent="0.3">
      <c r="A3540" t="s">
        <v>8364</v>
      </c>
      <c r="B3540" t="s">
        <v>8365</v>
      </c>
      <c r="C3540" t="s">
        <v>81</v>
      </c>
      <c r="D3540" t="s">
        <v>97</v>
      </c>
      <c r="E3540" t="s">
        <v>39</v>
      </c>
      <c r="F3540" t="s">
        <v>106</v>
      </c>
      <c r="G3540">
        <v>0.95</v>
      </c>
      <c r="H3540" t="s">
        <v>128</v>
      </c>
      <c r="I3540" t="s">
        <v>42</v>
      </c>
      <c r="M3540">
        <f>VLOOKUP(H3540,'Stage Order'!$A$2:$B$8,2,FALSE)</f>
        <v>3</v>
      </c>
      <c r="N3540" t="str">
        <f t="shared" si="110"/>
        <v>1. Under 1 hour</v>
      </c>
      <c r="O3540" t="str">
        <f t="shared" si="111"/>
        <v>2026-04</v>
      </c>
    </row>
    <row r="3541" spans="1:15" x14ac:dyDescent="0.3">
      <c r="A3541" t="s">
        <v>8366</v>
      </c>
      <c r="B3541" t="s">
        <v>8367</v>
      </c>
      <c r="C3541" t="s">
        <v>28</v>
      </c>
      <c r="D3541" t="s">
        <v>29</v>
      </c>
      <c r="E3541" t="s">
        <v>59</v>
      </c>
      <c r="F3541" t="s">
        <v>117</v>
      </c>
      <c r="G3541">
        <v>3.66</v>
      </c>
      <c r="H3541" t="s">
        <v>32</v>
      </c>
      <c r="I3541" t="s">
        <v>33</v>
      </c>
      <c r="K3541">
        <v>618.35</v>
      </c>
      <c r="L3541" t="s">
        <v>8368</v>
      </c>
      <c r="M3541">
        <f>VLOOKUP(H3541,'Stage Order'!$A$2:$B$8,2,FALSE)</f>
        <v>7</v>
      </c>
      <c r="N3541" t="str">
        <f t="shared" si="110"/>
        <v>2. 1-24 hours</v>
      </c>
      <c r="O3541" t="str">
        <f t="shared" si="111"/>
        <v>2025-07</v>
      </c>
    </row>
    <row r="3542" spans="1:15" x14ac:dyDescent="0.3">
      <c r="A3542" t="s">
        <v>8369</v>
      </c>
      <c r="B3542" t="s">
        <v>8370</v>
      </c>
      <c r="C3542" t="s">
        <v>58</v>
      </c>
      <c r="D3542" t="s">
        <v>97</v>
      </c>
      <c r="E3542" t="s">
        <v>45</v>
      </c>
      <c r="F3542" t="s">
        <v>94</v>
      </c>
      <c r="G3542">
        <v>5.45</v>
      </c>
      <c r="H3542" t="s">
        <v>61</v>
      </c>
      <c r="I3542" t="s">
        <v>42</v>
      </c>
      <c r="M3542">
        <f>VLOOKUP(H3542,'Stage Order'!$A$2:$B$8,2,FALSE)</f>
        <v>1</v>
      </c>
      <c r="N3542" t="str">
        <f t="shared" si="110"/>
        <v>2. 1-24 hours</v>
      </c>
      <c r="O3542" t="str">
        <f t="shared" si="111"/>
        <v>2025-02</v>
      </c>
    </row>
    <row r="3543" spans="1:15" x14ac:dyDescent="0.3">
      <c r="A3543" t="s">
        <v>8371</v>
      </c>
      <c r="B3543" t="s">
        <v>8372</v>
      </c>
      <c r="C3543" t="s">
        <v>37</v>
      </c>
      <c r="D3543" t="s">
        <v>38</v>
      </c>
      <c r="E3543" t="s">
        <v>39</v>
      </c>
      <c r="F3543" t="s">
        <v>66</v>
      </c>
      <c r="G3543">
        <v>9.61</v>
      </c>
      <c r="H3543" t="s">
        <v>41</v>
      </c>
      <c r="I3543" t="s">
        <v>42</v>
      </c>
      <c r="M3543">
        <f>VLOOKUP(H3543,'Stage Order'!$A$2:$B$8,2,FALSE)</f>
        <v>2</v>
      </c>
      <c r="N3543" t="str">
        <f t="shared" si="110"/>
        <v>2. 1-24 hours</v>
      </c>
      <c r="O3543" t="str">
        <f t="shared" si="111"/>
        <v>2025-02</v>
      </c>
    </row>
    <row r="3544" spans="1:15" x14ac:dyDescent="0.3">
      <c r="A3544" t="s">
        <v>8373</v>
      </c>
      <c r="B3544" t="s">
        <v>8374</v>
      </c>
      <c r="C3544" t="s">
        <v>53</v>
      </c>
      <c r="D3544" t="s">
        <v>54</v>
      </c>
      <c r="E3544" t="s">
        <v>30</v>
      </c>
      <c r="F3544" t="s">
        <v>82</v>
      </c>
      <c r="G3544">
        <v>17.29</v>
      </c>
      <c r="H3544" t="s">
        <v>138</v>
      </c>
      <c r="I3544" t="s">
        <v>48</v>
      </c>
      <c r="J3544" t="s">
        <v>742</v>
      </c>
      <c r="K3544">
        <v>588.5</v>
      </c>
      <c r="L3544" t="s">
        <v>8375</v>
      </c>
      <c r="M3544">
        <f>VLOOKUP(H3544,'Stage Order'!$A$2:$B$8,2,FALSE)</f>
        <v>6</v>
      </c>
      <c r="N3544" t="str">
        <f t="shared" si="110"/>
        <v>2. 1-24 hours</v>
      </c>
      <c r="O3544" t="str">
        <f t="shared" si="111"/>
        <v>2025-11</v>
      </c>
    </row>
    <row r="3545" spans="1:15" x14ac:dyDescent="0.3">
      <c r="A3545" t="s">
        <v>8376</v>
      </c>
      <c r="B3545" t="s">
        <v>8377</v>
      </c>
      <c r="C3545" t="s">
        <v>125</v>
      </c>
      <c r="D3545" t="s">
        <v>77</v>
      </c>
      <c r="E3545" t="s">
        <v>39</v>
      </c>
      <c r="F3545" t="s">
        <v>40</v>
      </c>
      <c r="G3545">
        <v>5.18</v>
      </c>
      <c r="H3545" t="s">
        <v>61</v>
      </c>
      <c r="I3545" t="s">
        <v>42</v>
      </c>
      <c r="M3545">
        <f>VLOOKUP(H3545,'Stage Order'!$A$2:$B$8,2,FALSE)</f>
        <v>1</v>
      </c>
      <c r="N3545" t="str">
        <f t="shared" si="110"/>
        <v>2. 1-24 hours</v>
      </c>
      <c r="O3545" t="str">
        <f t="shared" si="111"/>
        <v>2025-08</v>
      </c>
    </row>
    <row r="3546" spans="1:15" x14ac:dyDescent="0.3">
      <c r="A3546" t="s">
        <v>8378</v>
      </c>
      <c r="B3546" t="s">
        <v>8379</v>
      </c>
      <c r="C3546" t="s">
        <v>81</v>
      </c>
      <c r="D3546" t="s">
        <v>29</v>
      </c>
      <c r="E3546" t="s">
        <v>45</v>
      </c>
      <c r="F3546" t="s">
        <v>55</v>
      </c>
      <c r="G3546">
        <v>4.0199999999999996</v>
      </c>
      <c r="H3546" t="s">
        <v>41</v>
      </c>
      <c r="I3546" t="s">
        <v>42</v>
      </c>
      <c r="M3546">
        <f>VLOOKUP(H3546,'Stage Order'!$A$2:$B$8,2,FALSE)</f>
        <v>2</v>
      </c>
      <c r="N3546" t="str">
        <f t="shared" si="110"/>
        <v>2. 1-24 hours</v>
      </c>
      <c r="O3546" t="str">
        <f t="shared" si="111"/>
        <v>2026-01</v>
      </c>
    </row>
    <row r="3547" spans="1:15" x14ac:dyDescent="0.3">
      <c r="A3547" t="s">
        <v>8380</v>
      </c>
      <c r="B3547" t="s">
        <v>8381</v>
      </c>
      <c r="C3547" t="s">
        <v>76</v>
      </c>
      <c r="D3547" t="s">
        <v>97</v>
      </c>
      <c r="E3547" t="s">
        <v>45</v>
      </c>
      <c r="F3547" t="s">
        <v>55</v>
      </c>
      <c r="G3547">
        <v>8.84</v>
      </c>
      <c r="H3547" t="s">
        <v>47</v>
      </c>
      <c r="I3547" t="s">
        <v>48</v>
      </c>
      <c r="J3547" t="s">
        <v>113</v>
      </c>
      <c r="K3547">
        <v>1650.43</v>
      </c>
      <c r="L3547" t="s">
        <v>8382</v>
      </c>
      <c r="M3547">
        <f>VLOOKUP(H3547,'Stage Order'!$A$2:$B$8,2,FALSE)</f>
        <v>4</v>
      </c>
      <c r="N3547" t="str">
        <f t="shared" si="110"/>
        <v>2. 1-24 hours</v>
      </c>
      <c r="O3547" t="str">
        <f t="shared" si="111"/>
        <v>2025-04</v>
      </c>
    </row>
    <row r="3548" spans="1:15" x14ac:dyDescent="0.3">
      <c r="A3548" t="s">
        <v>8383</v>
      </c>
      <c r="B3548" t="s">
        <v>8384</v>
      </c>
      <c r="C3548" t="s">
        <v>58</v>
      </c>
      <c r="D3548" t="s">
        <v>77</v>
      </c>
      <c r="E3548" t="s">
        <v>39</v>
      </c>
      <c r="F3548" t="s">
        <v>40</v>
      </c>
      <c r="G3548">
        <v>19.53</v>
      </c>
      <c r="H3548" t="s">
        <v>61</v>
      </c>
      <c r="I3548" t="s">
        <v>42</v>
      </c>
      <c r="M3548">
        <f>VLOOKUP(H3548,'Stage Order'!$A$2:$B$8,2,FALSE)</f>
        <v>1</v>
      </c>
      <c r="N3548" t="str">
        <f t="shared" si="110"/>
        <v>2. 1-24 hours</v>
      </c>
      <c r="O3548" t="str">
        <f t="shared" si="111"/>
        <v>2025-01</v>
      </c>
    </row>
    <row r="3549" spans="1:15" x14ac:dyDescent="0.3">
      <c r="A3549" t="s">
        <v>8385</v>
      </c>
      <c r="B3549" t="s">
        <v>8386</v>
      </c>
      <c r="C3549" t="s">
        <v>58</v>
      </c>
      <c r="D3549" t="s">
        <v>38</v>
      </c>
      <c r="E3549" t="s">
        <v>39</v>
      </c>
      <c r="F3549" t="s">
        <v>40</v>
      </c>
      <c r="G3549">
        <v>5.51</v>
      </c>
      <c r="H3549" t="s">
        <v>61</v>
      </c>
      <c r="I3549" t="s">
        <v>42</v>
      </c>
      <c r="M3549">
        <f>VLOOKUP(H3549,'Stage Order'!$A$2:$B$8,2,FALSE)</f>
        <v>1</v>
      </c>
      <c r="N3549" t="str">
        <f t="shared" si="110"/>
        <v>2. 1-24 hours</v>
      </c>
      <c r="O3549" t="str">
        <f t="shared" si="111"/>
        <v>2025-07</v>
      </c>
    </row>
    <row r="3550" spans="1:15" x14ac:dyDescent="0.3">
      <c r="A3550" t="s">
        <v>8387</v>
      </c>
      <c r="B3550" t="s">
        <v>8388</v>
      </c>
      <c r="C3550" t="s">
        <v>81</v>
      </c>
      <c r="D3550" t="s">
        <v>77</v>
      </c>
      <c r="E3550" t="s">
        <v>45</v>
      </c>
      <c r="F3550" t="s">
        <v>94</v>
      </c>
      <c r="G3550">
        <v>2.69</v>
      </c>
      <c r="H3550" t="s">
        <v>41</v>
      </c>
      <c r="I3550" t="s">
        <v>42</v>
      </c>
      <c r="M3550">
        <f>VLOOKUP(H3550,'Stage Order'!$A$2:$B$8,2,FALSE)</f>
        <v>2</v>
      </c>
      <c r="N3550" t="str">
        <f t="shared" si="110"/>
        <v>2. 1-24 hours</v>
      </c>
      <c r="O3550" t="str">
        <f t="shared" si="111"/>
        <v>2025-07</v>
      </c>
    </row>
    <row r="3551" spans="1:15" x14ac:dyDescent="0.3">
      <c r="A3551" t="s">
        <v>8389</v>
      </c>
      <c r="B3551" t="s">
        <v>8390</v>
      </c>
      <c r="C3551" t="s">
        <v>76</v>
      </c>
      <c r="D3551" t="s">
        <v>77</v>
      </c>
      <c r="E3551" t="s">
        <v>90</v>
      </c>
      <c r="F3551" t="s">
        <v>112</v>
      </c>
      <c r="G3551">
        <v>10.9</v>
      </c>
      <c r="H3551" t="s">
        <v>41</v>
      </c>
      <c r="I3551" t="s">
        <v>42</v>
      </c>
      <c r="M3551">
        <f>VLOOKUP(H3551,'Stage Order'!$A$2:$B$8,2,FALSE)</f>
        <v>2</v>
      </c>
      <c r="N3551" t="str">
        <f t="shared" si="110"/>
        <v>2. 1-24 hours</v>
      </c>
      <c r="O3551" t="str">
        <f t="shared" si="111"/>
        <v>2025-10</v>
      </c>
    </row>
    <row r="3552" spans="1:15" x14ac:dyDescent="0.3">
      <c r="A3552" t="s">
        <v>8391</v>
      </c>
      <c r="B3552" t="s">
        <v>8392</v>
      </c>
      <c r="C3552" t="s">
        <v>37</v>
      </c>
      <c r="D3552" t="s">
        <v>97</v>
      </c>
      <c r="E3552" t="s">
        <v>45</v>
      </c>
      <c r="F3552" t="s">
        <v>55</v>
      </c>
      <c r="G3552">
        <v>4.34</v>
      </c>
      <c r="H3552" t="s">
        <v>41</v>
      </c>
      <c r="I3552" t="s">
        <v>42</v>
      </c>
      <c r="M3552">
        <f>VLOOKUP(H3552,'Stage Order'!$A$2:$B$8,2,FALSE)</f>
        <v>2</v>
      </c>
      <c r="N3552" t="str">
        <f t="shared" si="110"/>
        <v>2. 1-24 hours</v>
      </c>
      <c r="O3552" t="str">
        <f t="shared" si="111"/>
        <v>2025-10</v>
      </c>
    </row>
    <row r="3553" spans="1:15" x14ac:dyDescent="0.3">
      <c r="A3553" t="s">
        <v>8393</v>
      </c>
      <c r="B3553" t="s">
        <v>8394</v>
      </c>
      <c r="C3553" t="s">
        <v>28</v>
      </c>
      <c r="D3553" t="s">
        <v>77</v>
      </c>
      <c r="E3553" t="s">
        <v>59</v>
      </c>
      <c r="F3553" t="s">
        <v>117</v>
      </c>
      <c r="G3553">
        <v>5.82</v>
      </c>
      <c r="H3553" t="s">
        <v>138</v>
      </c>
      <c r="I3553" t="s">
        <v>48</v>
      </c>
      <c r="J3553" t="s">
        <v>742</v>
      </c>
      <c r="K3553">
        <v>1105.8699999999999</v>
      </c>
      <c r="L3553" t="s">
        <v>8395</v>
      </c>
      <c r="M3553">
        <f>VLOOKUP(H3553,'Stage Order'!$A$2:$B$8,2,FALSE)</f>
        <v>6</v>
      </c>
      <c r="N3553" t="str">
        <f t="shared" si="110"/>
        <v>2. 1-24 hours</v>
      </c>
      <c r="O3553" t="str">
        <f t="shared" si="111"/>
        <v>2025-12</v>
      </c>
    </row>
    <row r="3554" spans="1:15" x14ac:dyDescent="0.3">
      <c r="A3554" t="s">
        <v>8396</v>
      </c>
      <c r="B3554" t="s">
        <v>8397</v>
      </c>
      <c r="C3554" t="s">
        <v>58</v>
      </c>
      <c r="D3554" t="s">
        <v>29</v>
      </c>
      <c r="E3554" t="s">
        <v>90</v>
      </c>
      <c r="F3554" t="s">
        <v>145</v>
      </c>
      <c r="G3554">
        <v>7.01</v>
      </c>
      <c r="H3554" t="s">
        <v>41</v>
      </c>
      <c r="I3554" t="s">
        <v>42</v>
      </c>
      <c r="M3554">
        <f>VLOOKUP(H3554,'Stage Order'!$A$2:$B$8,2,FALSE)</f>
        <v>2</v>
      </c>
      <c r="N3554" t="str">
        <f t="shared" si="110"/>
        <v>2. 1-24 hours</v>
      </c>
      <c r="O3554" t="str">
        <f t="shared" si="111"/>
        <v>2025-12</v>
      </c>
    </row>
    <row r="3555" spans="1:15" x14ac:dyDescent="0.3">
      <c r="A3555" t="s">
        <v>8398</v>
      </c>
      <c r="B3555" t="s">
        <v>8399</v>
      </c>
      <c r="C3555" t="s">
        <v>28</v>
      </c>
      <c r="D3555" t="s">
        <v>77</v>
      </c>
      <c r="E3555" t="s">
        <v>45</v>
      </c>
      <c r="F3555" t="s">
        <v>94</v>
      </c>
      <c r="G3555">
        <v>7.05</v>
      </c>
      <c r="H3555" t="s">
        <v>41</v>
      </c>
      <c r="I3555" t="s">
        <v>42</v>
      </c>
      <c r="M3555">
        <f>VLOOKUP(H3555,'Stage Order'!$A$2:$B$8,2,FALSE)</f>
        <v>2</v>
      </c>
      <c r="N3555" t="str">
        <f t="shared" si="110"/>
        <v>2. 1-24 hours</v>
      </c>
      <c r="O3555" t="str">
        <f t="shared" si="111"/>
        <v>2025-06</v>
      </c>
    </row>
    <row r="3556" spans="1:15" x14ac:dyDescent="0.3">
      <c r="A3556" t="s">
        <v>8400</v>
      </c>
      <c r="B3556" t="s">
        <v>8401</v>
      </c>
      <c r="C3556" t="s">
        <v>53</v>
      </c>
      <c r="D3556" t="s">
        <v>38</v>
      </c>
      <c r="E3556" t="s">
        <v>59</v>
      </c>
      <c r="F3556" t="s">
        <v>60</v>
      </c>
      <c r="G3556">
        <v>2.5099999999999998</v>
      </c>
      <c r="H3556" t="s">
        <v>41</v>
      </c>
      <c r="I3556" t="s">
        <v>42</v>
      </c>
      <c r="M3556">
        <f>VLOOKUP(H3556,'Stage Order'!$A$2:$B$8,2,FALSE)</f>
        <v>2</v>
      </c>
      <c r="N3556" t="str">
        <f t="shared" si="110"/>
        <v>2. 1-24 hours</v>
      </c>
      <c r="O3556" t="str">
        <f t="shared" si="111"/>
        <v>2025-10</v>
      </c>
    </row>
    <row r="3557" spans="1:15" x14ac:dyDescent="0.3">
      <c r="A3557" t="s">
        <v>8402</v>
      </c>
      <c r="B3557" t="s">
        <v>8403</v>
      </c>
      <c r="C3557" t="s">
        <v>76</v>
      </c>
      <c r="D3557" t="s">
        <v>29</v>
      </c>
      <c r="E3557" t="s">
        <v>90</v>
      </c>
      <c r="F3557" t="s">
        <v>112</v>
      </c>
      <c r="G3557">
        <v>1.28</v>
      </c>
      <c r="H3557" t="s">
        <v>146</v>
      </c>
      <c r="I3557" t="s">
        <v>48</v>
      </c>
      <c r="J3557" t="s">
        <v>139</v>
      </c>
      <c r="K3557">
        <v>546.89</v>
      </c>
      <c r="L3557" t="s">
        <v>8404</v>
      </c>
      <c r="M3557">
        <f>VLOOKUP(H3557,'Stage Order'!$A$2:$B$8,2,FALSE)</f>
        <v>5</v>
      </c>
      <c r="N3557" t="str">
        <f t="shared" si="110"/>
        <v>2. 1-24 hours</v>
      </c>
      <c r="O3557" t="str">
        <f t="shared" si="111"/>
        <v>2025-03</v>
      </c>
    </row>
    <row r="3558" spans="1:15" x14ac:dyDescent="0.3">
      <c r="A3558" t="s">
        <v>8405</v>
      </c>
      <c r="B3558" t="s">
        <v>8406</v>
      </c>
      <c r="C3558" t="s">
        <v>53</v>
      </c>
      <c r="D3558" t="s">
        <v>54</v>
      </c>
      <c r="E3558" t="s">
        <v>45</v>
      </c>
      <c r="F3558" t="s">
        <v>94</v>
      </c>
      <c r="G3558">
        <v>2.37</v>
      </c>
      <c r="H3558" t="s">
        <v>41</v>
      </c>
      <c r="I3558" t="s">
        <v>42</v>
      </c>
      <c r="M3558">
        <f>VLOOKUP(H3558,'Stage Order'!$A$2:$B$8,2,FALSE)</f>
        <v>2</v>
      </c>
      <c r="N3558" t="str">
        <f t="shared" si="110"/>
        <v>2. 1-24 hours</v>
      </c>
      <c r="O3558" t="str">
        <f t="shared" si="111"/>
        <v>2026-06</v>
      </c>
    </row>
    <row r="3559" spans="1:15" x14ac:dyDescent="0.3">
      <c r="A3559" t="s">
        <v>8407</v>
      </c>
      <c r="B3559" t="s">
        <v>8408</v>
      </c>
      <c r="C3559" t="s">
        <v>76</v>
      </c>
      <c r="D3559" t="s">
        <v>77</v>
      </c>
      <c r="E3559" t="s">
        <v>39</v>
      </c>
      <c r="F3559" t="s">
        <v>40</v>
      </c>
      <c r="G3559">
        <v>2.4500000000000002</v>
      </c>
      <c r="H3559" t="s">
        <v>41</v>
      </c>
      <c r="I3559" t="s">
        <v>42</v>
      </c>
      <c r="M3559">
        <f>VLOOKUP(H3559,'Stage Order'!$A$2:$B$8,2,FALSE)</f>
        <v>2</v>
      </c>
      <c r="N3559" t="str">
        <f t="shared" si="110"/>
        <v>2. 1-24 hours</v>
      </c>
      <c r="O3559" t="str">
        <f t="shared" si="111"/>
        <v>2025-08</v>
      </c>
    </row>
    <row r="3560" spans="1:15" x14ac:dyDescent="0.3">
      <c r="A3560" t="s">
        <v>8409</v>
      </c>
      <c r="B3560" t="s">
        <v>8410</v>
      </c>
      <c r="C3560" t="s">
        <v>53</v>
      </c>
      <c r="D3560" t="s">
        <v>54</v>
      </c>
      <c r="E3560" t="s">
        <v>45</v>
      </c>
      <c r="F3560" t="s">
        <v>46</v>
      </c>
      <c r="G3560">
        <v>4.78</v>
      </c>
      <c r="H3560" t="s">
        <v>32</v>
      </c>
      <c r="I3560" t="s">
        <v>33</v>
      </c>
      <c r="K3560">
        <v>438.81</v>
      </c>
      <c r="L3560" t="s">
        <v>8411</v>
      </c>
      <c r="M3560">
        <f>VLOOKUP(H3560,'Stage Order'!$A$2:$B$8,2,FALSE)</f>
        <v>7</v>
      </c>
      <c r="N3560" t="str">
        <f t="shared" si="110"/>
        <v>2. 1-24 hours</v>
      </c>
      <c r="O3560" t="str">
        <f t="shared" si="111"/>
        <v>2026-02</v>
      </c>
    </row>
    <row r="3561" spans="1:15" x14ac:dyDescent="0.3">
      <c r="A3561" t="s">
        <v>8412</v>
      </c>
      <c r="B3561" t="s">
        <v>8413</v>
      </c>
      <c r="C3561" t="s">
        <v>125</v>
      </c>
      <c r="D3561" t="s">
        <v>54</v>
      </c>
      <c r="E3561" t="s">
        <v>39</v>
      </c>
      <c r="F3561" t="s">
        <v>66</v>
      </c>
      <c r="G3561">
        <v>5.03</v>
      </c>
      <c r="H3561" t="s">
        <v>41</v>
      </c>
      <c r="I3561" t="s">
        <v>42</v>
      </c>
      <c r="M3561">
        <f>VLOOKUP(H3561,'Stage Order'!$A$2:$B$8,2,FALSE)</f>
        <v>2</v>
      </c>
      <c r="N3561" t="str">
        <f t="shared" si="110"/>
        <v>2. 1-24 hours</v>
      </c>
      <c r="O3561" t="str">
        <f t="shared" si="111"/>
        <v>2026-03</v>
      </c>
    </row>
    <row r="3562" spans="1:15" x14ac:dyDescent="0.3">
      <c r="A3562" t="s">
        <v>8414</v>
      </c>
      <c r="B3562" t="s">
        <v>8415</v>
      </c>
      <c r="C3562" t="s">
        <v>58</v>
      </c>
      <c r="D3562" t="s">
        <v>77</v>
      </c>
      <c r="E3562" t="s">
        <v>90</v>
      </c>
      <c r="F3562" t="s">
        <v>91</v>
      </c>
      <c r="G3562">
        <v>1.87</v>
      </c>
      <c r="H3562" t="s">
        <v>128</v>
      </c>
      <c r="I3562" t="s">
        <v>42</v>
      </c>
      <c r="M3562">
        <f>VLOOKUP(H3562,'Stage Order'!$A$2:$B$8,2,FALSE)</f>
        <v>3</v>
      </c>
      <c r="N3562" t="str">
        <f t="shared" si="110"/>
        <v>2. 1-24 hours</v>
      </c>
      <c r="O3562" t="str">
        <f t="shared" si="111"/>
        <v>2025-01</v>
      </c>
    </row>
    <row r="3563" spans="1:15" x14ac:dyDescent="0.3">
      <c r="A3563" t="s">
        <v>8416</v>
      </c>
      <c r="B3563" t="s">
        <v>8417</v>
      </c>
      <c r="C3563" t="s">
        <v>53</v>
      </c>
      <c r="D3563" t="s">
        <v>38</v>
      </c>
      <c r="E3563" t="s">
        <v>59</v>
      </c>
      <c r="F3563" t="s">
        <v>117</v>
      </c>
      <c r="G3563">
        <v>4.09</v>
      </c>
      <c r="H3563" t="s">
        <v>41</v>
      </c>
      <c r="I3563" t="s">
        <v>42</v>
      </c>
      <c r="M3563">
        <f>VLOOKUP(H3563,'Stage Order'!$A$2:$B$8,2,FALSE)</f>
        <v>2</v>
      </c>
      <c r="N3563" t="str">
        <f t="shared" si="110"/>
        <v>2. 1-24 hours</v>
      </c>
      <c r="O3563" t="str">
        <f t="shared" si="111"/>
        <v>2025-03</v>
      </c>
    </row>
    <row r="3564" spans="1:15" x14ac:dyDescent="0.3">
      <c r="A3564" t="s">
        <v>8418</v>
      </c>
      <c r="B3564" t="s">
        <v>8419</v>
      </c>
      <c r="C3564" t="s">
        <v>125</v>
      </c>
      <c r="D3564" t="s">
        <v>54</v>
      </c>
      <c r="E3564" t="s">
        <v>59</v>
      </c>
      <c r="F3564" t="s">
        <v>60</v>
      </c>
      <c r="G3564">
        <v>8.81</v>
      </c>
      <c r="H3564" t="s">
        <v>41</v>
      </c>
      <c r="I3564" t="s">
        <v>42</v>
      </c>
      <c r="M3564">
        <f>VLOOKUP(H3564,'Stage Order'!$A$2:$B$8,2,FALSE)</f>
        <v>2</v>
      </c>
      <c r="N3564" t="str">
        <f t="shared" si="110"/>
        <v>2. 1-24 hours</v>
      </c>
      <c r="O3564" t="str">
        <f t="shared" si="111"/>
        <v>2026-01</v>
      </c>
    </row>
    <row r="3565" spans="1:15" x14ac:dyDescent="0.3">
      <c r="A3565" t="s">
        <v>8420</v>
      </c>
      <c r="B3565" t="s">
        <v>8421</v>
      </c>
      <c r="C3565" t="s">
        <v>58</v>
      </c>
      <c r="D3565" t="s">
        <v>54</v>
      </c>
      <c r="E3565" t="s">
        <v>39</v>
      </c>
      <c r="F3565" t="s">
        <v>40</v>
      </c>
      <c r="G3565">
        <v>2.27</v>
      </c>
      <c r="H3565" t="s">
        <v>41</v>
      </c>
      <c r="I3565" t="s">
        <v>42</v>
      </c>
      <c r="M3565">
        <f>VLOOKUP(H3565,'Stage Order'!$A$2:$B$8,2,FALSE)</f>
        <v>2</v>
      </c>
      <c r="N3565" t="str">
        <f t="shared" si="110"/>
        <v>2. 1-24 hours</v>
      </c>
      <c r="O3565" t="str">
        <f t="shared" si="111"/>
        <v>2026-05</v>
      </c>
    </row>
    <row r="3566" spans="1:15" x14ac:dyDescent="0.3">
      <c r="A3566" t="s">
        <v>8422</v>
      </c>
      <c r="B3566" t="s">
        <v>8423</v>
      </c>
      <c r="C3566" t="s">
        <v>37</v>
      </c>
      <c r="D3566" t="s">
        <v>29</v>
      </c>
      <c r="E3566" t="s">
        <v>45</v>
      </c>
      <c r="F3566" t="s">
        <v>46</v>
      </c>
      <c r="G3566">
        <v>3.39</v>
      </c>
      <c r="H3566" t="s">
        <v>32</v>
      </c>
      <c r="I3566" t="s">
        <v>33</v>
      </c>
      <c r="K3566">
        <v>682.44</v>
      </c>
      <c r="L3566" t="s">
        <v>8424</v>
      </c>
      <c r="M3566">
        <f>VLOOKUP(H3566,'Stage Order'!$A$2:$B$8,2,FALSE)</f>
        <v>7</v>
      </c>
      <c r="N3566" t="str">
        <f t="shared" si="110"/>
        <v>2. 1-24 hours</v>
      </c>
      <c r="O3566" t="str">
        <f t="shared" si="111"/>
        <v>2026-02</v>
      </c>
    </row>
    <row r="3567" spans="1:15" x14ac:dyDescent="0.3">
      <c r="A3567" t="s">
        <v>8425</v>
      </c>
      <c r="B3567" t="s">
        <v>8426</v>
      </c>
      <c r="C3567" t="s">
        <v>58</v>
      </c>
      <c r="D3567" t="s">
        <v>54</v>
      </c>
      <c r="E3567" t="s">
        <v>59</v>
      </c>
      <c r="F3567" t="s">
        <v>60</v>
      </c>
      <c r="G3567">
        <v>2.14</v>
      </c>
      <c r="H3567" t="s">
        <v>47</v>
      </c>
      <c r="I3567" t="s">
        <v>48</v>
      </c>
      <c r="J3567" t="s">
        <v>139</v>
      </c>
      <c r="K3567">
        <v>467.49</v>
      </c>
      <c r="L3567" t="s">
        <v>8427</v>
      </c>
      <c r="M3567">
        <f>VLOOKUP(H3567,'Stage Order'!$A$2:$B$8,2,FALSE)</f>
        <v>4</v>
      </c>
      <c r="N3567" t="str">
        <f t="shared" si="110"/>
        <v>2. 1-24 hours</v>
      </c>
      <c r="O3567" t="str">
        <f t="shared" si="111"/>
        <v>2025-08</v>
      </c>
    </row>
    <row r="3568" spans="1:15" x14ac:dyDescent="0.3">
      <c r="A3568" t="s">
        <v>8428</v>
      </c>
      <c r="B3568" t="s">
        <v>8429</v>
      </c>
      <c r="C3568" t="s">
        <v>58</v>
      </c>
      <c r="D3568" t="s">
        <v>38</v>
      </c>
      <c r="E3568" t="s">
        <v>45</v>
      </c>
      <c r="F3568" t="s">
        <v>46</v>
      </c>
      <c r="G3568">
        <v>1.45</v>
      </c>
      <c r="H3568" t="s">
        <v>41</v>
      </c>
      <c r="I3568" t="s">
        <v>42</v>
      </c>
      <c r="M3568">
        <f>VLOOKUP(H3568,'Stage Order'!$A$2:$B$8,2,FALSE)</f>
        <v>2</v>
      </c>
      <c r="N3568" t="str">
        <f t="shared" si="110"/>
        <v>2. 1-24 hours</v>
      </c>
      <c r="O3568" t="str">
        <f t="shared" si="111"/>
        <v>2025-10</v>
      </c>
    </row>
    <row r="3569" spans="1:15" x14ac:dyDescent="0.3">
      <c r="A3569" t="s">
        <v>8430</v>
      </c>
      <c r="B3569" t="s">
        <v>8431</v>
      </c>
      <c r="C3569" t="s">
        <v>58</v>
      </c>
      <c r="D3569" t="s">
        <v>77</v>
      </c>
      <c r="E3569" t="s">
        <v>59</v>
      </c>
      <c r="F3569" t="s">
        <v>117</v>
      </c>
      <c r="G3569">
        <v>1.05</v>
      </c>
      <c r="H3569" t="s">
        <v>41</v>
      </c>
      <c r="I3569" t="s">
        <v>42</v>
      </c>
      <c r="M3569">
        <f>VLOOKUP(H3569,'Stage Order'!$A$2:$B$8,2,FALSE)</f>
        <v>2</v>
      </c>
      <c r="N3569" t="str">
        <f t="shared" si="110"/>
        <v>2. 1-24 hours</v>
      </c>
      <c r="O3569" t="str">
        <f t="shared" si="111"/>
        <v>2026-01</v>
      </c>
    </row>
    <row r="3570" spans="1:15" x14ac:dyDescent="0.3">
      <c r="A3570" t="s">
        <v>8432</v>
      </c>
      <c r="B3570" t="s">
        <v>8433</v>
      </c>
      <c r="C3570" t="s">
        <v>37</v>
      </c>
      <c r="D3570" t="s">
        <v>38</v>
      </c>
      <c r="E3570" t="s">
        <v>39</v>
      </c>
      <c r="F3570" t="s">
        <v>106</v>
      </c>
      <c r="G3570">
        <v>3.36</v>
      </c>
      <c r="H3570" t="s">
        <v>146</v>
      </c>
      <c r="I3570" t="s">
        <v>48</v>
      </c>
      <c r="J3570" t="s">
        <v>113</v>
      </c>
      <c r="K3570">
        <v>375.89</v>
      </c>
      <c r="L3570" t="s">
        <v>8434</v>
      </c>
      <c r="M3570">
        <f>VLOOKUP(H3570,'Stage Order'!$A$2:$B$8,2,FALSE)</f>
        <v>5</v>
      </c>
      <c r="N3570" t="str">
        <f t="shared" si="110"/>
        <v>2. 1-24 hours</v>
      </c>
      <c r="O3570" t="str">
        <f t="shared" si="111"/>
        <v>2026-05</v>
      </c>
    </row>
    <row r="3571" spans="1:15" x14ac:dyDescent="0.3">
      <c r="A3571" t="s">
        <v>8435</v>
      </c>
      <c r="B3571" t="s">
        <v>8436</v>
      </c>
      <c r="C3571" t="s">
        <v>37</v>
      </c>
      <c r="D3571" t="s">
        <v>54</v>
      </c>
      <c r="E3571" t="s">
        <v>39</v>
      </c>
      <c r="F3571" t="s">
        <v>40</v>
      </c>
      <c r="G3571">
        <v>1.72</v>
      </c>
      <c r="H3571" t="s">
        <v>146</v>
      </c>
      <c r="I3571" t="s">
        <v>48</v>
      </c>
      <c r="J3571" t="s">
        <v>139</v>
      </c>
      <c r="K3571">
        <v>598.17999999999995</v>
      </c>
      <c r="L3571" t="s">
        <v>8437</v>
      </c>
      <c r="M3571">
        <f>VLOOKUP(H3571,'Stage Order'!$A$2:$B$8,2,FALSE)</f>
        <v>5</v>
      </c>
      <c r="N3571" t="str">
        <f t="shared" si="110"/>
        <v>2. 1-24 hours</v>
      </c>
      <c r="O3571" t="str">
        <f t="shared" si="111"/>
        <v>2025-08</v>
      </c>
    </row>
    <row r="3572" spans="1:15" x14ac:dyDescent="0.3">
      <c r="A3572" t="s">
        <v>8438</v>
      </c>
      <c r="B3572" t="s">
        <v>8439</v>
      </c>
      <c r="C3572" t="s">
        <v>125</v>
      </c>
      <c r="D3572" t="s">
        <v>54</v>
      </c>
      <c r="E3572" t="s">
        <v>39</v>
      </c>
      <c r="F3572" t="s">
        <v>66</v>
      </c>
      <c r="G3572">
        <v>4.7699999999999996</v>
      </c>
      <c r="H3572" t="s">
        <v>61</v>
      </c>
      <c r="I3572" t="s">
        <v>42</v>
      </c>
      <c r="M3572">
        <f>VLOOKUP(H3572,'Stage Order'!$A$2:$B$8,2,FALSE)</f>
        <v>1</v>
      </c>
      <c r="N3572" t="str">
        <f t="shared" si="110"/>
        <v>2. 1-24 hours</v>
      </c>
      <c r="O3572" t="str">
        <f t="shared" si="111"/>
        <v>2025-04</v>
      </c>
    </row>
    <row r="3573" spans="1:15" x14ac:dyDescent="0.3">
      <c r="A3573" t="s">
        <v>8440</v>
      </c>
      <c r="B3573" t="s">
        <v>8441</v>
      </c>
      <c r="C3573" t="s">
        <v>81</v>
      </c>
      <c r="D3573" t="s">
        <v>29</v>
      </c>
      <c r="E3573" t="s">
        <v>45</v>
      </c>
      <c r="F3573" t="s">
        <v>55</v>
      </c>
      <c r="G3573">
        <v>4.17</v>
      </c>
      <c r="H3573" t="s">
        <v>41</v>
      </c>
      <c r="I3573" t="s">
        <v>42</v>
      </c>
      <c r="M3573">
        <f>VLOOKUP(H3573,'Stage Order'!$A$2:$B$8,2,FALSE)</f>
        <v>2</v>
      </c>
      <c r="N3573" t="str">
        <f t="shared" si="110"/>
        <v>2. 1-24 hours</v>
      </c>
      <c r="O3573" t="str">
        <f t="shared" si="111"/>
        <v>2026-01</v>
      </c>
    </row>
    <row r="3574" spans="1:15" x14ac:dyDescent="0.3">
      <c r="A3574" t="s">
        <v>8442</v>
      </c>
      <c r="B3574" t="s">
        <v>8443</v>
      </c>
      <c r="C3574" t="s">
        <v>58</v>
      </c>
      <c r="D3574" t="s">
        <v>97</v>
      </c>
      <c r="E3574" t="s">
        <v>45</v>
      </c>
      <c r="F3574" t="s">
        <v>55</v>
      </c>
      <c r="G3574">
        <v>4.33</v>
      </c>
      <c r="H3574" t="s">
        <v>32</v>
      </c>
      <c r="I3574" t="s">
        <v>33</v>
      </c>
      <c r="K3574">
        <v>1513.92</v>
      </c>
      <c r="L3574" t="s">
        <v>8444</v>
      </c>
      <c r="M3574">
        <f>VLOOKUP(H3574,'Stage Order'!$A$2:$B$8,2,FALSE)</f>
        <v>7</v>
      </c>
      <c r="N3574" t="str">
        <f t="shared" si="110"/>
        <v>2. 1-24 hours</v>
      </c>
      <c r="O3574" t="str">
        <f t="shared" si="111"/>
        <v>2025-08</v>
      </c>
    </row>
    <row r="3575" spans="1:15" x14ac:dyDescent="0.3">
      <c r="A3575" t="s">
        <v>8445</v>
      </c>
      <c r="B3575" t="s">
        <v>8446</v>
      </c>
      <c r="C3575" t="s">
        <v>125</v>
      </c>
      <c r="D3575" t="s">
        <v>77</v>
      </c>
      <c r="E3575" t="s">
        <v>45</v>
      </c>
      <c r="F3575" t="s">
        <v>55</v>
      </c>
      <c r="G3575">
        <v>2.39</v>
      </c>
      <c r="H3575" t="s">
        <v>61</v>
      </c>
      <c r="I3575" t="s">
        <v>42</v>
      </c>
      <c r="M3575">
        <f>VLOOKUP(H3575,'Stage Order'!$A$2:$B$8,2,FALSE)</f>
        <v>1</v>
      </c>
      <c r="N3575" t="str">
        <f t="shared" si="110"/>
        <v>2. 1-24 hours</v>
      </c>
      <c r="O3575" t="str">
        <f t="shared" si="111"/>
        <v>2025-04</v>
      </c>
    </row>
    <row r="3576" spans="1:15" x14ac:dyDescent="0.3">
      <c r="A3576" t="s">
        <v>8447</v>
      </c>
      <c r="B3576" t="s">
        <v>8448</v>
      </c>
      <c r="C3576" t="s">
        <v>28</v>
      </c>
      <c r="D3576" t="s">
        <v>29</v>
      </c>
      <c r="E3576" t="s">
        <v>45</v>
      </c>
      <c r="F3576" t="s">
        <v>55</v>
      </c>
      <c r="G3576">
        <v>6.8</v>
      </c>
      <c r="H3576" t="s">
        <v>41</v>
      </c>
      <c r="I3576" t="s">
        <v>42</v>
      </c>
      <c r="M3576">
        <f>VLOOKUP(H3576,'Stage Order'!$A$2:$B$8,2,FALSE)</f>
        <v>2</v>
      </c>
      <c r="N3576" t="str">
        <f t="shared" si="110"/>
        <v>2. 1-24 hours</v>
      </c>
      <c r="O3576" t="str">
        <f t="shared" si="111"/>
        <v>2025-01</v>
      </c>
    </row>
    <row r="3577" spans="1:15" x14ac:dyDescent="0.3">
      <c r="A3577" t="s">
        <v>8449</v>
      </c>
      <c r="B3577" t="s">
        <v>8450</v>
      </c>
      <c r="C3577" t="s">
        <v>81</v>
      </c>
      <c r="D3577" t="s">
        <v>29</v>
      </c>
      <c r="E3577" t="s">
        <v>59</v>
      </c>
      <c r="F3577" t="s">
        <v>60</v>
      </c>
      <c r="G3577">
        <v>2.75</v>
      </c>
      <c r="H3577" t="s">
        <v>41</v>
      </c>
      <c r="I3577" t="s">
        <v>42</v>
      </c>
      <c r="M3577">
        <f>VLOOKUP(H3577,'Stage Order'!$A$2:$B$8,2,FALSE)</f>
        <v>2</v>
      </c>
      <c r="N3577" t="str">
        <f t="shared" si="110"/>
        <v>2. 1-24 hours</v>
      </c>
      <c r="O3577" t="str">
        <f t="shared" si="111"/>
        <v>2026-02</v>
      </c>
    </row>
    <row r="3578" spans="1:15" x14ac:dyDescent="0.3">
      <c r="A3578" t="s">
        <v>8451</v>
      </c>
      <c r="B3578" t="s">
        <v>8452</v>
      </c>
      <c r="C3578" t="s">
        <v>58</v>
      </c>
      <c r="D3578" t="s">
        <v>29</v>
      </c>
      <c r="E3578" t="s">
        <v>45</v>
      </c>
      <c r="F3578" t="s">
        <v>46</v>
      </c>
      <c r="G3578">
        <v>1.88</v>
      </c>
      <c r="H3578" t="s">
        <v>41</v>
      </c>
      <c r="I3578" t="s">
        <v>42</v>
      </c>
      <c r="M3578">
        <f>VLOOKUP(H3578,'Stage Order'!$A$2:$B$8,2,FALSE)</f>
        <v>2</v>
      </c>
      <c r="N3578" t="str">
        <f t="shared" si="110"/>
        <v>2. 1-24 hours</v>
      </c>
      <c r="O3578" t="str">
        <f t="shared" si="111"/>
        <v>2025-08</v>
      </c>
    </row>
    <row r="3579" spans="1:15" x14ac:dyDescent="0.3">
      <c r="A3579" t="s">
        <v>8453</v>
      </c>
      <c r="B3579" t="s">
        <v>8454</v>
      </c>
      <c r="C3579" t="s">
        <v>125</v>
      </c>
      <c r="D3579" t="s">
        <v>54</v>
      </c>
      <c r="E3579" t="s">
        <v>39</v>
      </c>
      <c r="F3579" t="s">
        <v>66</v>
      </c>
      <c r="G3579">
        <v>4.5599999999999996</v>
      </c>
      <c r="H3579" t="s">
        <v>61</v>
      </c>
      <c r="I3579" t="s">
        <v>42</v>
      </c>
      <c r="M3579">
        <f>VLOOKUP(H3579,'Stage Order'!$A$2:$B$8,2,FALSE)</f>
        <v>1</v>
      </c>
      <c r="N3579" t="str">
        <f t="shared" si="110"/>
        <v>2. 1-24 hours</v>
      </c>
      <c r="O3579" t="str">
        <f t="shared" si="111"/>
        <v>2025-05</v>
      </c>
    </row>
    <row r="3580" spans="1:15" x14ac:dyDescent="0.3">
      <c r="A3580" t="s">
        <v>8455</v>
      </c>
      <c r="B3580" t="s">
        <v>8456</v>
      </c>
      <c r="C3580" t="s">
        <v>28</v>
      </c>
      <c r="D3580" t="s">
        <v>54</v>
      </c>
      <c r="E3580" t="s">
        <v>39</v>
      </c>
      <c r="F3580" t="s">
        <v>66</v>
      </c>
      <c r="G3580">
        <v>1.84</v>
      </c>
      <c r="H3580" t="s">
        <v>128</v>
      </c>
      <c r="I3580" t="s">
        <v>42</v>
      </c>
      <c r="M3580">
        <f>VLOOKUP(H3580,'Stage Order'!$A$2:$B$8,2,FALSE)</f>
        <v>3</v>
      </c>
      <c r="N3580" t="str">
        <f t="shared" si="110"/>
        <v>2. 1-24 hours</v>
      </c>
      <c r="O3580" t="str">
        <f t="shared" si="111"/>
        <v>2025-11</v>
      </c>
    </row>
    <row r="3581" spans="1:15" x14ac:dyDescent="0.3">
      <c r="A3581" t="s">
        <v>8457</v>
      </c>
      <c r="B3581" t="s">
        <v>8458</v>
      </c>
      <c r="C3581" t="s">
        <v>53</v>
      </c>
      <c r="D3581" t="s">
        <v>54</v>
      </c>
      <c r="E3581" t="s">
        <v>90</v>
      </c>
      <c r="F3581" t="s">
        <v>145</v>
      </c>
      <c r="G3581">
        <v>1.01</v>
      </c>
      <c r="H3581" t="s">
        <v>146</v>
      </c>
      <c r="I3581" t="s">
        <v>48</v>
      </c>
      <c r="J3581" t="s">
        <v>139</v>
      </c>
      <c r="K3581">
        <v>527.14</v>
      </c>
      <c r="L3581" t="s">
        <v>8459</v>
      </c>
      <c r="M3581">
        <f>VLOOKUP(H3581,'Stage Order'!$A$2:$B$8,2,FALSE)</f>
        <v>5</v>
      </c>
      <c r="N3581" t="str">
        <f t="shared" si="110"/>
        <v>2. 1-24 hours</v>
      </c>
      <c r="O3581" t="str">
        <f t="shared" si="111"/>
        <v>2025-03</v>
      </c>
    </row>
    <row r="3582" spans="1:15" x14ac:dyDescent="0.3">
      <c r="A3582" t="s">
        <v>8460</v>
      </c>
      <c r="B3582" t="s">
        <v>8461</v>
      </c>
      <c r="C3582" t="s">
        <v>76</v>
      </c>
      <c r="D3582" t="s">
        <v>77</v>
      </c>
      <c r="E3582" t="s">
        <v>59</v>
      </c>
      <c r="F3582" t="s">
        <v>60</v>
      </c>
      <c r="G3582">
        <v>1.21</v>
      </c>
      <c r="H3582" t="s">
        <v>41</v>
      </c>
      <c r="I3582" t="s">
        <v>42</v>
      </c>
      <c r="M3582">
        <f>VLOOKUP(H3582,'Stage Order'!$A$2:$B$8,2,FALSE)</f>
        <v>2</v>
      </c>
      <c r="N3582" t="str">
        <f t="shared" si="110"/>
        <v>2. 1-24 hours</v>
      </c>
      <c r="O3582" t="str">
        <f t="shared" si="111"/>
        <v>2025-06</v>
      </c>
    </row>
    <row r="3583" spans="1:15" x14ac:dyDescent="0.3">
      <c r="A3583" t="s">
        <v>8462</v>
      </c>
      <c r="B3583" t="s">
        <v>8463</v>
      </c>
      <c r="C3583" t="s">
        <v>125</v>
      </c>
      <c r="D3583" t="s">
        <v>97</v>
      </c>
      <c r="E3583" t="s">
        <v>90</v>
      </c>
      <c r="F3583" t="s">
        <v>145</v>
      </c>
      <c r="G3583">
        <v>2.73</v>
      </c>
      <c r="H3583" t="s">
        <v>61</v>
      </c>
      <c r="I3583" t="s">
        <v>42</v>
      </c>
      <c r="M3583">
        <f>VLOOKUP(H3583,'Stage Order'!$A$2:$B$8,2,FALSE)</f>
        <v>1</v>
      </c>
      <c r="N3583" t="str">
        <f t="shared" si="110"/>
        <v>2. 1-24 hours</v>
      </c>
      <c r="O3583" t="str">
        <f t="shared" si="111"/>
        <v>2025-10</v>
      </c>
    </row>
    <row r="3584" spans="1:15" x14ac:dyDescent="0.3">
      <c r="A3584" t="s">
        <v>8464</v>
      </c>
      <c r="B3584" t="s">
        <v>8465</v>
      </c>
      <c r="C3584" t="s">
        <v>37</v>
      </c>
      <c r="D3584" t="s">
        <v>54</v>
      </c>
      <c r="E3584" t="s">
        <v>45</v>
      </c>
      <c r="F3584" t="s">
        <v>46</v>
      </c>
      <c r="G3584">
        <v>6.15</v>
      </c>
      <c r="H3584" t="s">
        <v>32</v>
      </c>
      <c r="I3584" t="s">
        <v>33</v>
      </c>
      <c r="K3584">
        <v>514.41999999999996</v>
      </c>
      <c r="L3584" t="s">
        <v>8466</v>
      </c>
      <c r="M3584">
        <f>VLOOKUP(H3584,'Stage Order'!$A$2:$B$8,2,FALSE)</f>
        <v>7</v>
      </c>
      <c r="N3584" t="str">
        <f t="shared" si="110"/>
        <v>2. 1-24 hours</v>
      </c>
      <c r="O3584" t="str">
        <f t="shared" si="111"/>
        <v>2025-04</v>
      </c>
    </row>
    <row r="3585" spans="1:15" x14ac:dyDescent="0.3">
      <c r="A3585" t="s">
        <v>8467</v>
      </c>
      <c r="B3585" t="s">
        <v>8468</v>
      </c>
      <c r="C3585" t="s">
        <v>76</v>
      </c>
      <c r="D3585" t="s">
        <v>38</v>
      </c>
      <c r="E3585" t="s">
        <v>39</v>
      </c>
      <c r="F3585" t="s">
        <v>106</v>
      </c>
      <c r="G3585">
        <v>1.46</v>
      </c>
      <c r="H3585" t="s">
        <v>146</v>
      </c>
      <c r="I3585" t="s">
        <v>48</v>
      </c>
      <c r="J3585" t="s">
        <v>98</v>
      </c>
      <c r="K3585">
        <v>332.26</v>
      </c>
      <c r="L3585" t="s">
        <v>8469</v>
      </c>
      <c r="M3585">
        <f>VLOOKUP(H3585,'Stage Order'!$A$2:$B$8,2,FALSE)</f>
        <v>5</v>
      </c>
      <c r="N3585" t="str">
        <f t="shared" si="110"/>
        <v>2. 1-24 hours</v>
      </c>
      <c r="O3585" t="str">
        <f t="shared" si="111"/>
        <v>2026-05</v>
      </c>
    </row>
    <row r="3586" spans="1:15" x14ac:dyDescent="0.3">
      <c r="A3586" t="s">
        <v>8470</v>
      </c>
      <c r="B3586" t="s">
        <v>8471</v>
      </c>
      <c r="C3586" t="s">
        <v>81</v>
      </c>
      <c r="D3586" t="s">
        <v>29</v>
      </c>
      <c r="E3586" t="s">
        <v>39</v>
      </c>
      <c r="F3586" t="s">
        <v>66</v>
      </c>
      <c r="G3586">
        <v>3.42</v>
      </c>
      <c r="H3586" t="s">
        <v>61</v>
      </c>
      <c r="I3586" t="s">
        <v>42</v>
      </c>
      <c r="M3586">
        <f>VLOOKUP(H3586,'Stage Order'!$A$2:$B$8,2,FALSE)</f>
        <v>1</v>
      </c>
      <c r="N3586" t="str">
        <f t="shared" ref="N3586:N3649" si="112">IF(G3586&lt;=1,"1. Under 1 hour",IF(G3586&lt;=24,"2. 1-24 hours",IF(G3586&lt;=72,"3. 1-3 days","4. Over 3 days")))</f>
        <v>2. 1-24 hours</v>
      </c>
      <c r="O3586" t="str">
        <f t="shared" ref="O3586:O3649" si="113">TEXT(B3586,"YYYY-MM")</f>
        <v>2025-11</v>
      </c>
    </row>
    <row r="3587" spans="1:15" x14ac:dyDescent="0.3">
      <c r="A3587" t="s">
        <v>8472</v>
      </c>
      <c r="B3587" t="s">
        <v>8473</v>
      </c>
      <c r="C3587" t="s">
        <v>81</v>
      </c>
      <c r="D3587" t="s">
        <v>54</v>
      </c>
      <c r="E3587" t="s">
        <v>90</v>
      </c>
      <c r="F3587" t="s">
        <v>145</v>
      </c>
      <c r="G3587">
        <v>11.67</v>
      </c>
      <c r="H3587" t="s">
        <v>41</v>
      </c>
      <c r="I3587" t="s">
        <v>42</v>
      </c>
      <c r="M3587">
        <f>VLOOKUP(H3587,'Stage Order'!$A$2:$B$8,2,FALSE)</f>
        <v>2</v>
      </c>
      <c r="N3587" t="str">
        <f t="shared" si="112"/>
        <v>2. 1-24 hours</v>
      </c>
      <c r="O3587" t="str">
        <f t="shared" si="113"/>
        <v>2025-08</v>
      </c>
    </row>
    <row r="3588" spans="1:15" x14ac:dyDescent="0.3">
      <c r="A3588" t="s">
        <v>8474</v>
      </c>
      <c r="B3588" t="s">
        <v>8475</v>
      </c>
      <c r="C3588" t="s">
        <v>37</v>
      </c>
      <c r="D3588" t="s">
        <v>38</v>
      </c>
      <c r="E3588" t="s">
        <v>90</v>
      </c>
      <c r="F3588" t="s">
        <v>112</v>
      </c>
      <c r="G3588">
        <v>4.4800000000000004</v>
      </c>
      <c r="H3588" t="s">
        <v>32</v>
      </c>
      <c r="I3588" t="s">
        <v>33</v>
      </c>
      <c r="K3588">
        <v>419.74</v>
      </c>
      <c r="L3588" t="s">
        <v>8476</v>
      </c>
      <c r="M3588">
        <f>VLOOKUP(H3588,'Stage Order'!$A$2:$B$8,2,FALSE)</f>
        <v>7</v>
      </c>
      <c r="N3588" t="str">
        <f t="shared" si="112"/>
        <v>2. 1-24 hours</v>
      </c>
      <c r="O3588" t="str">
        <f t="shared" si="113"/>
        <v>2025-11</v>
      </c>
    </row>
    <row r="3589" spans="1:15" x14ac:dyDescent="0.3">
      <c r="A3589" t="s">
        <v>8477</v>
      </c>
      <c r="B3589" t="s">
        <v>8478</v>
      </c>
      <c r="C3589" t="s">
        <v>125</v>
      </c>
      <c r="D3589" t="s">
        <v>97</v>
      </c>
      <c r="E3589" t="s">
        <v>90</v>
      </c>
      <c r="F3589" t="s">
        <v>112</v>
      </c>
      <c r="G3589">
        <v>1.1599999999999999</v>
      </c>
      <c r="H3589" t="s">
        <v>41</v>
      </c>
      <c r="I3589" t="s">
        <v>42</v>
      </c>
      <c r="M3589">
        <f>VLOOKUP(H3589,'Stage Order'!$A$2:$B$8,2,FALSE)</f>
        <v>2</v>
      </c>
      <c r="N3589" t="str">
        <f t="shared" si="112"/>
        <v>2. 1-24 hours</v>
      </c>
      <c r="O3589" t="str">
        <f t="shared" si="113"/>
        <v>2026-04</v>
      </c>
    </row>
    <row r="3590" spans="1:15" x14ac:dyDescent="0.3">
      <c r="A3590" t="s">
        <v>8479</v>
      </c>
      <c r="B3590" t="s">
        <v>8480</v>
      </c>
      <c r="C3590" t="s">
        <v>37</v>
      </c>
      <c r="D3590" t="s">
        <v>77</v>
      </c>
      <c r="E3590" t="s">
        <v>39</v>
      </c>
      <c r="F3590" t="s">
        <v>66</v>
      </c>
      <c r="G3590">
        <v>0.84</v>
      </c>
      <c r="H3590" t="s">
        <v>128</v>
      </c>
      <c r="I3590" t="s">
        <v>42</v>
      </c>
      <c r="M3590">
        <f>VLOOKUP(H3590,'Stage Order'!$A$2:$B$8,2,FALSE)</f>
        <v>3</v>
      </c>
      <c r="N3590" t="str">
        <f t="shared" si="112"/>
        <v>1. Under 1 hour</v>
      </c>
      <c r="O3590" t="str">
        <f t="shared" si="113"/>
        <v>2025-10</v>
      </c>
    </row>
    <row r="3591" spans="1:15" x14ac:dyDescent="0.3">
      <c r="A3591" t="s">
        <v>8481</v>
      </c>
      <c r="B3591" t="s">
        <v>8482</v>
      </c>
      <c r="C3591" t="s">
        <v>58</v>
      </c>
      <c r="D3591" t="s">
        <v>29</v>
      </c>
      <c r="E3591" t="s">
        <v>39</v>
      </c>
      <c r="F3591" t="s">
        <v>106</v>
      </c>
      <c r="G3591">
        <v>2.21</v>
      </c>
      <c r="H3591" t="s">
        <v>32</v>
      </c>
      <c r="I3591" t="s">
        <v>33</v>
      </c>
      <c r="K3591">
        <v>585.03</v>
      </c>
      <c r="L3591" t="s">
        <v>8483</v>
      </c>
      <c r="M3591">
        <f>VLOOKUP(H3591,'Stage Order'!$A$2:$B$8,2,FALSE)</f>
        <v>7</v>
      </c>
      <c r="N3591" t="str">
        <f t="shared" si="112"/>
        <v>2. 1-24 hours</v>
      </c>
      <c r="O3591" t="str">
        <f t="shared" si="113"/>
        <v>2025-10</v>
      </c>
    </row>
    <row r="3592" spans="1:15" x14ac:dyDescent="0.3">
      <c r="A3592" t="s">
        <v>8484</v>
      </c>
      <c r="B3592" t="s">
        <v>8485</v>
      </c>
      <c r="C3592" t="s">
        <v>76</v>
      </c>
      <c r="D3592" t="s">
        <v>77</v>
      </c>
      <c r="E3592" t="s">
        <v>39</v>
      </c>
      <c r="F3592" t="s">
        <v>40</v>
      </c>
      <c r="G3592">
        <v>6.99</v>
      </c>
      <c r="H3592" t="s">
        <v>41</v>
      </c>
      <c r="I3592" t="s">
        <v>42</v>
      </c>
      <c r="M3592">
        <f>VLOOKUP(H3592,'Stage Order'!$A$2:$B$8,2,FALSE)</f>
        <v>2</v>
      </c>
      <c r="N3592" t="str">
        <f t="shared" si="112"/>
        <v>2. 1-24 hours</v>
      </c>
      <c r="O3592" t="str">
        <f t="shared" si="113"/>
        <v>2025-06</v>
      </c>
    </row>
    <row r="3593" spans="1:15" x14ac:dyDescent="0.3">
      <c r="A3593" t="s">
        <v>8486</v>
      </c>
      <c r="B3593" t="s">
        <v>8487</v>
      </c>
      <c r="C3593" t="s">
        <v>76</v>
      </c>
      <c r="D3593" t="s">
        <v>29</v>
      </c>
      <c r="E3593" t="s">
        <v>59</v>
      </c>
      <c r="F3593" t="s">
        <v>60</v>
      </c>
      <c r="G3593">
        <v>4.0999999999999996</v>
      </c>
      <c r="H3593" t="s">
        <v>138</v>
      </c>
      <c r="I3593" t="s">
        <v>48</v>
      </c>
      <c r="J3593" t="s">
        <v>113</v>
      </c>
      <c r="K3593">
        <v>530.66</v>
      </c>
      <c r="L3593" t="s">
        <v>8488</v>
      </c>
      <c r="M3593">
        <f>VLOOKUP(H3593,'Stage Order'!$A$2:$B$8,2,FALSE)</f>
        <v>6</v>
      </c>
      <c r="N3593" t="str">
        <f t="shared" si="112"/>
        <v>2. 1-24 hours</v>
      </c>
      <c r="O3593" t="str">
        <f t="shared" si="113"/>
        <v>2025-02</v>
      </c>
    </row>
    <row r="3594" spans="1:15" x14ac:dyDescent="0.3">
      <c r="A3594" t="s">
        <v>8489</v>
      </c>
      <c r="B3594" t="s">
        <v>8490</v>
      </c>
      <c r="C3594" t="s">
        <v>37</v>
      </c>
      <c r="D3594" t="s">
        <v>29</v>
      </c>
      <c r="E3594" t="s">
        <v>90</v>
      </c>
      <c r="F3594" t="s">
        <v>112</v>
      </c>
      <c r="G3594">
        <v>3.32</v>
      </c>
      <c r="H3594" t="s">
        <v>61</v>
      </c>
      <c r="I3594" t="s">
        <v>42</v>
      </c>
      <c r="M3594">
        <f>VLOOKUP(H3594,'Stage Order'!$A$2:$B$8,2,FALSE)</f>
        <v>1</v>
      </c>
      <c r="N3594" t="str">
        <f t="shared" si="112"/>
        <v>2. 1-24 hours</v>
      </c>
      <c r="O3594" t="str">
        <f t="shared" si="113"/>
        <v>2025-04</v>
      </c>
    </row>
    <row r="3595" spans="1:15" x14ac:dyDescent="0.3">
      <c r="A3595" t="s">
        <v>8491</v>
      </c>
      <c r="B3595" t="s">
        <v>8492</v>
      </c>
      <c r="C3595" t="s">
        <v>76</v>
      </c>
      <c r="D3595" t="s">
        <v>38</v>
      </c>
      <c r="E3595" t="s">
        <v>45</v>
      </c>
      <c r="F3595" t="s">
        <v>94</v>
      </c>
      <c r="G3595">
        <v>4.95</v>
      </c>
      <c r="H3595" t="s">
        <v>41</v>
      </c>
      <c r="I3595" t="s">
        <v>42</v>
      </c>
      <c r="M3595">
        <f>VLOOKUP(H3595,'Stage Order'!$A$2:$B$8,2,FALSE)</f>
        <v>2</v>
      </c>
      <c r="N3595" t="str">
        <f t="shared" si="112"/>
        <v>2. 1-24 hours</v>
      </c>
      <c r="O3595" t="str">
        <f t="shared" si="113"/>
        <v>2025-09</v>
      </c>
    </row>
    <row r="3596" spans="1:15" x14ac:dyDescent="0.3">
      <c r="A3596" t="s">
        <v>8493</v>
      </c>
      <c r="B3596" t="s">
        <v>8494</v>
      </c>
      <c r="C3596" t="s">
        <v>28</v>
      </c>
      <c r="D3596" t="s">
        <v>38</v>
      </c>
      <c r="E3596" t="s">
        <v>59</v>
      </c>
      <c r="F3596" t="s">
        <v>117</v>
      </c>
      <c r="G3596">
        <v>2.1</v>
      </c>
      <c r="H3596" t="s">
        <v>61</v>
      </c>
      <c r="I3596" t="s">
        <v>42</v>
      </c>
      <c r="M3596">
        <f>VLOOKUP(H3596,'Stage Order'!$A$2:$B$8,2,FALSE)</f>
        <v>1</v>
      </c>
      <c r="N3596" t="str">
        <f t="shared" si="112"/>
        <v>2. 1-24 hours</v>
      </c>
      <c r="O3596" t="str">
        <f t="shared" si="113"/>
        <v>2025-03</v>
      </c>
    </row>
    <row r="3597" spans="1:15" x14ac:dyDescent="0.3">
      <c r="A3597" t="s">
        <v>8495</v>
      </c>
      <c r="B3597" t="s">
        <v>8496</v>
      </c>
      <c r="C3597" t="s">
        <v>76</v>
      </c>
      <c r="D3597" t="s">
        <v>77</v>
      </c>
      <c r="E3597" t="s">
        <v>30</v>
      </c>
      <c r="F3597" t="s">
        <v>82</v>
      </c>
      <c r="G3597">
        <v>3.97</v>
      </c>
      <c r="H3597" t="s">
        <v>41</v>
      </c>
      <c r="I3597" t="s">
        <v>42</v>
      </c>
      <c r="M3597">
        <f>VLOOKUP(H3597,'Stage Order'!$A$2:$B$8,2,FALSE)</f>
        <v>2</v>
      </c>
      <c r="N3597" t="str">
        <f t="shared" si="112"/>
        <v>2. 1-24 hours</v>
      </c>
      <c r="O3597" t="str">
        <f t="shared" si="113"/>
        <v>2025-12</v>
      </c>
    </row>
    <row r="3598" spans="1:15" x14ac:dyDescent="0.3">
      <c r="A3598" t="s">
        <v>8497</v>
      </c>
      <c r="B3598" t="s">
        <v>8498</v>
      </c>
      <c r="C3598" t="s">
        <v>125</v>
      </c>
      <c r="D3598" t="s">
        <v>97</v>
      </c>
      <c r="E3598" t="s">
        <v>45</v>
      </c>
      <c r="F3598" t="s">
        <v>46</v>
      </c>
      <c r="G3598">
        <v>1.18</v>
      </c>
      <c r="H3598" t="s">
        <v>47</v>
      </c>
      <c r="I3598" t="s">
        <v>48</v>
      </c>
      <c r="J3598" t="s">
        <v>113</v>
      </c>
      <c r="K3598">
        <v>1358.35</v>
      </c>
      <c r="L3598" t="s">
        <v>8499</v>
      </c>
      <c r="M3598">
        <f>VLOOKUP(H3598,'Stage Order'!$A$2:$B$8,2,FALSE)</f>
        <v>4</v>
      </c>
      <c r="N3598" t="str">
        <f t="shared" si="112"/>
        <v>2. 1-24 hours</v>
      </c>
      <c r="O3598" t="str">
        <f t="shared" si="113"/>
        <v>2025-06</v>
      </c>
    </row>
    <row r="3599" spans="1:15" x14ac:dyDescent="0.3">
      <c r="A3599" t="s">
        <v>8500</v>
      </c>
      <c r="B3599" t="s">
        <v>8501</v>
      </c>
      <c r="C3599" t="s">
        <v>125</v>
      </c>
      <c r="D3599" t="s">
        <v>38</v>
      </c>
      <c r="E3599" t="s">
        <v>30</v>
      </c>
      <c r="F3599" t="s">
        <v>82</v>
      </c>
      <c r="G3599">
        <v>3.21</v>
      </c>
      <c r="H3599" t="s">
        <v>61</v>
      </c>
      <c r="I3599" t="s">
        <v>42</v>
      </c>
      <c r="M3599">
        <f>VLOOKUP(H3599,'Stage Order'!$A$2:$B$8,2,FALSE)</f>
        <v>1</v>
      </c>
      <c r="N3599" t="str">
        <f t="shared" si="112"/>
        <v>2. 1-24 hours</v>
      </c>
      <c r="O3599" t="str">
        <f t="shared" si="113"/>
        <v>2025-10</v>
      </c>
    </row>
    <row r="3600" spans="1:15" x14ac:dyDescent="0.3">
      <c r="A3600" t="s">
        <v>8502</v>
      </c>
      <c r="B3600" t="s">
        <v>8503</v>
      </c>
      <c r="C3600" t="s">
        <v>37</v>
      </c>
      <c r="D3600" t="s">
        <v>38</v>
      </c>
      <c r="E3600" t="s">
        <v>59</v>
      </c>
      <c r="F3600" t="s">
        <v>137</v>
      </c>
      <c r="G3600">
        <v>5.68</v>
      </c>
      <c r="H3600" t="s">
        <v>41</v>
      </c>
      <c r="I3600" t="s">
        <v>42</v>
      </c>
      <c r="M3600">
        <f>VLOOKUP(H3600,'Stage Order'!$A$2:$B$8,2,FALSE)</f>
        <v>2</v>
      </c>
      <c r="N3600" t="str">
        <f t="shared" si="112"/>
        <v>2. 1-24 hours</v>
      </c>
      <c r="O3600" t="str">
        <f t="shared" si="113"/>
        <v>2026-03</v>
      </c>
    </row>
    <row r="3601" spans="1:15" x14ac:dyDescent="0.3">
      <c r="A3601" t="s">
        <v>8504</v>
      </c>
      <c r="B3601" t="s">
        <v>8505</v>
      </c>
      <c r="C3601" t="s">
        <v>125</v>
      </c>
      <c r="D3601" t="s">
        <v>77</v>
      </c>
      <c r="E3601" t="s">
        <v>39</v>
      </c>
      <c r="F3601" t="s">
        <v>40</v>
      </c>
      <c r="G3601">
        <v>16.75</v>
      </c>
      <c r="H3601" t="s">
        <v>41</v>
      </c>
      <c r="I3601" t="s">
        <v>42</v>
      </c>
      <c r="M3601">
        <f>VLOOKUP(H3601,'Stage Order'!$A$2:$B$8,2,FALSE)</f>
        <v>2</v>
      </c>
      <c r="N3601" t="str">
        <f t="shared" si="112"/>
        <v>2. 1-24 hours</v>
      </c>
      <c r="O3601" t="str">
        <f t="shared" si="113"/>
        <v>2025-01</v>
      </c>
    </row>
    <row r="3602" spans="1:15" x14ac:dyDescent="0.3">
      <c r="A3602" t="s">
        <v>8506</v>
      </c>
      <c r="B3602" t="s">
        <v>8507</v>
      </c>
      <c r="C3602" t="s">
        <v>125</v>
      </c>
      <c r="D3602" t="s">
        <v>29</v>
      </c>
      <c r="E3602" t="s">
        <v>90</v>
      </c>
      <c r="F3602" t="s">
        <v>112</v>
      </c>
      <c r="G3602">
        <v>6.99</v>
      </c>
      <c r="H3602" t="s">
        <v>41</v>
      </c>
      <c r="I3602" t="s">
        <v>42</v>
      </c>
      <c r="M3602">
        <f>VLOOKUP(H3602,'Stage Order'!$A$2:$B$8,2,FALSE)</f>
        <v>2</v>
      </c>
      <c r="N3602" t="str">
        <f t="shared" si="112"/>
        <v>2. 1-24 hours</v>
      </c>
      <c r="O3602" t="str">
        <f t="shared" si="113"/>
        <v>2025-05</v>
      </c>
    </row>
    <row r="3603" spans="1:15" x14ac:dyDescent="0.3">
      <c r="A3603" t="s">
        <v>8508</v>
      </c>
      <c r="B3603" t="s">
        <v>8509</v>
      </c>
      <c r="C3603" t="s">
        <v>37</v>
      </c>
      <c r="D3603" t="s">
        <v>38</v>
      </c>
      <c r="E3603" t="s">
        <v>59</v>
      </c>
      <c r="F3603" t="s">
        <v>137</v>
      </c>
      <c r="G3603">
        <v>1.24</v>
      </c>
      <c r="H3603" t="s">
        <v>41</v>
      </c>
      <c r="I3603" t="s">
        <v>42</v>
      </c>
      <c r="M3603">
        <f>VLOOKUP(H3603,'Stage Order'!$A$2:$B$8,2,FALSE)</f>
        <v>2</v>
      </c>
      <c r="N3603" t="str">
        <f t="shared" si="112"/>
        <v>2. 1-24 hours</v>
      </c>
      <c r="O3603" t="str">
        <f t="shared" si="113"/>
        <v>2026-05</v>
      </c>
    </row>
    <row r="3604" spans="1:15" x14ac:dyDescent="0.3">
      <c r="A3604" t="s">
        <v>8510</v>
      </c>
      <c r="B3604" t="s">
        <v>8511</v>
      </c>
      <c r="C3604" t="s">
        <v>125</v>
      </c>
      <c r="D3604" t="s">
        <v>38</v>
      </c>
      <c r="E3604" t="s">
        <v>90</v>
      </c>
      <c r="F3604" t="s">
        <v>145</v>
      </c>
      <c r="G3604">
        <v>1.89</v>
      </c>
      <c r="H3604" t="s">
        <v>41</v>
      </c>
      <c r="I3604" t="s">
        <v>42</v>
      </c>
      <c r="M3604">
        <f>VLOOKUP(H3604,'Stage Order'!$A$2:$B$8,2,FALSE)</f>
        <v>2</v>
      </c>
      <c r="N3604" t="str">
        <f t="shared" si="112"/>
        <v>2. 1-24 hours</v>
      </c>
      <c r="O3604" t="str">
        <f t="shared" si="113"/>
        <v>2025-12</v>
      </c>
    </row>
    <row r="3605" spans="1:15" x14ac:dyDescent="0.3">
      <c r="A3605" t="s">
        <v>8512</v>
      </c>
      <c r="B3605" t="s">
        <v>8513</v>
      </c>
      <c r="C3605" t="s">
        <v>53</v>
      </c>
      <c r="D3605" t="s">
        <v>38</v>
      </c>
      <c r="E3605" t="s">
        <v>59</v>
      </c>
      <c r="F3605" t="s">
        <v>117</v>
      </c>
      <c r="G3605">
        <v>1.44</v>
      </c>
      <c r="H3605" t="s">
        <v>32</v>
      </c>
      <c r="I3605" t="s">
        <v>33</v>
      </c>
      <c r="K3605">
        <v>330.87</v>
      </c>
      <c r="L3605" t="s">
        <v>8514</v>
      </c>
      <c r="M3605">
        <f>VLOOKUP(H3605,'Stage Order'!$A$2:$B$8,2,FALSE)</f>
        <v>7</v>
      </c>
      <c r="N3605" t="str">
        <f t="shared" si="112"/>
        <v>2. 1-24 hours</v>
      </c>
      <c r="O3605" t="str">
        <f t="shared" si="113"/>
        <v>2025-12</v>
      </c>
    </row>
    <row r="3606" spans="1:15" x14ac:dyDescent="0.3">
      <c r="A3606" t="s">
        <v>8515</v>
      </c>
      <c r="B3606" t="s">
        <v>8516</v>
      </c>
      <c r="C3606" t="s">
        <v>58</v>
      </c>
      <c r="D3606" t="s">
        <v>77</v>
      </c>
      <c r="E3606" t="s">
        <v>59</v>
      </c>
      <c r="F3606" t="s">
        <v>60</v>
      </c>
      <c r="G3606">
        <v>0.47</v>
      </c>
      <c r="H3606" t="s">
        <v>41</v>
      </c>
      <c r="I3606" t="s">
        <v>42</v>
      </c>
      <c r="M3606">
        <f>VLOOKUP(H3606,'Stage Order'!$A$2:$B$8,2,FALSE)</f>
        <v>2</v>
      </c>
      <c r="N3606" t="str">
        <f t="shared" si="112"/>
        <v>1. Under 1 hour</v>
      </c>
      <c r="O3606" t="str">
        <f t="shared" si="113"/>
        <v>2025-01</v>
      </c>
    </row>
    <row r="3607" spans="1:15" x14ac:dyDescent="0.3">
      <c r="A3607" t="s">
        <v>8517</v>
      </c>
      <c r="B3607" t="s">
        <v>8518</v>
      </c>
      <c r="C3607" t="s">
        <v>37</v>
      </c>
      <c r="D3607" t="s">
        <v>38</v>
      </c>
      <c r="E3607" t="s">
        <v>30</v>
      </c>
      <c r="F3607" t="s">
        <v>31</v>
      </c>
      <c r="G3607">
        <v>5.95</v>
      </c>
      <c r="H3607" t="s">
        <v>41</v>
      </c>
      <c r="I3607" t="s">
        <v>42</v>
      </c>
      <c r="M3607">
        <f>VLOOKUP(H3607,'Stage Order'!$A$2:$B$8,2,FALSE)</f>
        <v>2</v>
      </c>
      <c r="N3607" t="str">
        <f t="shared" si="112"/>
        <v>2. 1-24 hours</v>
      </c>
      <c r="O3607" t="str">
        <f t="shared" si="113"/>
        <v>2025-06</v>
      </c>
    </row>
    <row r="3608" spans="1:15" x14ac:dyDescent="0.3">
      <c r="A3608" t="s">
        <v>8519</v>
      </c>
      <c r="B3608" t="s">
        <v>8520</v>
      </c>
      <c r="C3608" t="s">
        <v>37</v>
      </c>
      <c r="D3608" t="s">
        <v>29</v>
      </c>
      <c r="E3608" t="s">
        <v>59</v>
      </c>
      <c r="F3608" t="s">
        <v>137</v>
      </c>
      <c r="G3608">
        <v>19.420000000000002</v>
      </c>
      <c r="H3608" t="s">
        <v>61</v>
      </c>
      <c r="I3608" t="s">
        <v>42</v>
      </c>
      <c r="M3608">
        <f>VLOOKUP(H3608,'Stage Order'!$A$2:$B$8,2,FALSE)</f>
        <v>1</v>
      </c>
      <c r="N3608" t="str">
        <f t="shared" si="112"/>
        <v>2. 1-24 hours</v>
      </c>
      <c r="O3608" t="str">
        <f t="shared" si="113"/>
        <v>2025-02</v>
      </c>
    </row>
    <row r="3609" spans="1:15" x14ac:dyDescent="0.3">
      <c r="A3609" t="s">
        <v>8521</v>
      </c>
      <c r="B3609" t="s">
        <v>8522</v>
      </c>
      <c r="C3609" t="s">
        <v>58</v>
      </c>
      <c r="D3609" t="s">
        <v>54</v>
      </c>
      <c r="E3609" t="s">
        <v>90</v>
      </c>
      <c r="F3609" t="s">
        <v>112</v>
      </c>
      <c r="G3609">
        <v>1.75</v>
      </c>
      <c r="H3609" t="s">
        <v>41</v>
      </c>
      <c r="I3609" t="s">
        <v>42</v>
      </c>
      <c r="M3609">
        <f>VLOOKUP(H3609,'Stage Order'!$A$2:$B$8,2,FALSE)</f>
        <v>2</v>
      </c>
      <c r="N3609" t="str">
        <f t="shared" si="112"/>
        <v>2. 1-24 hours</v>
      </c>
      <c r="O3609" t="str">
        <f t="shared" si="113"/>
        <v>2025-03</v>
      </c>
    </row>
    <row r="3610" spans="1:15" x14ac:dyDescent="0.3">
      <c r="A3610" t="s">
        <v>8523</v>
      </c>
      <c r="B3610" t="s">
        <v>8524</v>
      </c>
      <c r="C3610" t="s">
        <v>58</v>
      </c>
      <c r="D3610" t="s">
        <v>97</v>
      </c>
      <c r="E3610" t="s">
        <v>39</v>
      </c>
      <c r="F3610" t="s">
        <v>106</v>
      </c>
      <c r="G3610">
        <v>22.59</v>
      </c>
      <c r="H3610" t="s">
        <v>41</v>
      </c>
      <c r="I3610" t="s">
        <v>42</v>
      </c>
      <c r="M3610">
        <f>VLOOKUP(H3610,'Stage Order'!$A$2:$B$8,2,FALSE)</f>
        <v>2</v>
      </c>
      <c r="N3610" t="str">
        <f t="shared" si="112"/>
        <v>2. 1-24 hours</v>
      </c>
      <c r="O3610" t="str">
        <f t="shared" si="113"/>
        <v>2025-03</v>
      </c>
    </row>
    <row r="3611" spans="1:15" x14ac:dyDescent="0.3">
      <c r="A3611" t="s">
        <v>8525</v>
      </c>
      <c r="B3611" t="s">
        <v>8526</v>
      </c>
      <c r="C3611" t="s">
        <v>37</v>
      </c>
      <c r="D3611" t="s">
        <v>54</v>
      </c>
      <c r="E3611" t="s">
        <v>39</v>
      </c>
      <c r="F3611" t="s">
        <v>66</v>
      </c>
      <c r="G3611">
        <v>2.2999999999999998</v>
      </c>
      <c r="H3611" t="s">
        <v>41</v>
      </c>
      <c r="I3611" t="s">
        <v>42</v>
      </c>
      <c r="M3611">
        <f>VLOOKUP(H3611,'Stage Order'!$A$2:$B$8,2,FALSE)</f>
        <v>2</v>
      </c>
      <c r="N3611" t="str">
        <f t="shared" si="112"/>
        <v>2. 1-24 hours</v>
      </c>
      <c r="O3611" t="str">
        <f t="shared" si="113"/>
        <v>2026-03</v>
      </c>
    </row>
    <row r="3612" spans="1:15" x14ac:dyDescent="0.3">
      <c r="A3612" t="s">
        <v>8527</v>
      </c>
      <c r="B3612" t="s">
        <v>8528</v>
      </c>
      <c r="C3612" t="s">
        <v>37</v>
      </c>
      <c r="D3612" t="s">
        <v>77</v>
      </c>
      <c r="E3612" t="s">
        <v>59</v>
      </c>
      <c r="F3612" t="s">
        <v>137</v>
      </c>
      <c r="G3612">
        <v>1.59</v>
      </c>
      <c r="H3612" t="s">
        <v>41</v>
      </c>
      <c r="I3612" t="s">
        <v>42</v>
      </c>
      <c r="M3612">
        <f>VLOOKUP(H3612,'Stage Order'!$A$2:$B$8,2,FALSE)</f>
        <v>2</v>
      </c>
      <c r="N3612" t="str">
        <f t="shared" si="112"/>
        <v>2. 1-24 hours</v>
      </c>
      <c r="O3612" t="str">
        <f t="shared" si="113"/>
        <v>2025-03</v>
      </c>
    </row>
    <row r="3613" spans="1:15" x14ac:dyDescent="0.3">
      <c r="A3613" t="s">
        <v>8529</v>
      </c>
      <c r="B3613" t="s">
        <v>8530</v>
      </c>
      <c r="C3613" t="s">
        <v>81</v>
      </c>
      <c r="D3613" t="s">
        <v>29</v>
      </c>
      <c r="E3613" t="s">
        <v>59</v>
      </c>
      <c r="F3613" t="s">
        <v>60</v>
      </c>
      <c r="G3613">
        <v>2.2200000000000002</v>
      </c>
      <c r="H3613" t="s">
        <v>41</v>
      </c>
      <c r="I3613" t="s">
        <v>42</v>
      </c>
      <c r="M3613">
        <f>VLOOKUP(H3613,'Stage Order'!$A$2:$B$8,2,FALSE)</f>
        <v>2</v>
      </c>
      <c r="N3613" t="str">
        <f t="shared" si="112"/>
        <v>2. 1-24 hours</v>
      </c>
      <c r="O3613" t="str">
        <f t="shared" si="113"/>
        <v>2025-10</v>
      </c>
    </row>
    <row r="3614" spans="1:15" x14ac:dyDescent="0.3">
      <c r="A3614" t="s">
        <v>8531</v>
      </c>
      <c r="B3614" t="s">
        <v>8532</v>
      </c>
      <c r="C3614" t="s">
        <v>58</v>
      </c>
      <c r="D3614" t="s">
        <v>54</v>
      </c>
      <c r="E3614" t="s">
        <v>90</v>
      </c>
      <c r="F3614" t="s">
        <v>145</v>
      </c>
      <c r="G3614">
        <v>2.2200000000000002</v>
      </c>
      <c r="H3614" t="s">
        <v>61</v>
      </c>
      <c r="I3614" t="s">
        <v>42</v>
      </c>
      <c r="M3614">
        <f>VLOOKUP(H3614,'Stage Order'!$A$2:$B$8,2,FALSE)</f>
        <v>1</v>
      </c>
      <c r="N3614" t="str">
        <f t="shared" si="112"/>
        <v>2. 1-24 hours</v>
      </c>
      <c r="O3614" t="str">
        <f t="shared" si="113"/>
        <v>2026-03</v>
      </c>
    </row>
    <row r="3615" spans="1:15" x14ac:dyDescent="0.3">
      <c r="A3615" t="s">
        <v>8533</v>
      </c>
      <c r="B3615" t="s">
        <v>8534</v>
      </c>
      <c r="C3615" t="s">
        <v>58</v>
      </c>
      <c r="D3615" t="s">
        <v>29</v>
      </c>
      <c r="E3615" t="s">
        <v>39</v>
      </c>
      <c r="F3615" t="s">
        <v>40</v>
      </c>
      <c r="G3615">
        <v>2.2200000000000002</v>
      </c>
      <c r="H3615" t="s">
        <v>41</v>
      </c>
      <c r="I3615" t="s">
        <v>42</v>
      </c>
      <c r="M3615">
        <f>VLOOKUP(H3615,'Stage Order'!$A$2:$B$8,2,FALSE)</f>
        <v>2</v>
      </c>
      <c r="N3615" t="str">
        <f t="shared" si="112"/>
        <v>2. 1-24 hours</v>
      </c>
      <c r="O3615" t="str">
        <f t="shared" si="113"/>
        <v>2025-08</v>
      </c>
    </row>
    <row r="3616" spans="1:15" x14ac:dyDescent="0.3">
      <c r="A3616" t="s">
        <v>8535</v>
      </c>
      <c r="B3616" t="s">
        <v>8536</v>
      </c>
      <c r="C3616" t="s">
        <v>125</v>
      </c>
      <c r="D3616" t="s">
        <v>29</v>
      </c>
      <c r="E3616" t="s">
        <v>39</v>
      </c>
      <c r="F3616" t="s">
        <v>106</v>
      </c>
      <c r="G3616">
        <v>1.86</v>
      </c>
      <c r="H3616" t="s">
        <v>128</v>
      </c>
      <c r="I3616" t="s">
        <v>42</v>
      </c>
      <c r="M3616">
        <f>VLOOKUP(H3616,'Stage Order'!$A$2:$B$8,2,FALSE)</f>
        <v>3</v>
      </c>
      <c r="N3616" t="str">
        <f t="shared" si="112"/>
        <v>2. 1-24 hours</v>
      </c>
      <c r="O3616" t="str">
        <f t="shared" si="113"/>
        <v>2026-03</v>
      </c>
    </row>
    <row r="3617" spans="1:15" x14ac:dyDescent="0.3">
      <c r="A3617" t="s">
        <v>8537</v>
      </c>
      <c r="B3617" t="s">
        <v>8538</v>
      </c>
      <c r="C3617" t="s">
        <v>125</v>
      </c>
      <c r="D3617" t="s">
        <v>54</v>
      </c>
      <c r="E3617" t="s">
        <v>39</v>
      </c>
      <c r="F3617" t="s">
        <v>66</v>
      </c>
      <c r="G3617">
        <v>4.3899999999999997</v>
      </c>
      <c r="H3617" t="s">
        <v>41</v>
      </c>
      <c r="I3617" t="s">
        <v>42</v>
      </c>
      <c r="M3617">
        <f>VLOOKUP(H3617,'Stage Order'!$A$2:$B$8,2,FALSE)</f>
        <v>2</v>
      </c>
      <c r="N3617" t="str">
        <f t="shared" si="112"/>
        <v>2. 1-24 hours</v>
      </c>
      <c r="O3617" t="str">
        <f t="shared" si="113"/>
        <v>2026-06</v>
      </c>
    </row>
    <row r="3618" spans="1:15" x14ac:dyDescent="0.3">
      <c r="A3618" t="s">
        <v>8539</v>
      </c>
      <c r="B3618" t="s">
        <v>8540</v>
      </c>
      <c r="C3618" t="s">
        <v>53</v>
      </c>
      <c r="D3618" t="s">
        <v>54</v>
      </c>
      <c r="E3618" t="s">
        <v>39</v>
      </c>
      <c r="F3618" t="s">
        <v>66</v>
      </c>
      <c r="G3618">
        <v>4.0199999999999996</v>
      </c>
      <c r="H3618" t="s">
        <v>41</v>
      </c>
      <c r="I3618" t="s">
        <v>42</v>
      </c>
      <c r="M3618">
        <f>VLOOKUP(H3618,'Stage Order'!$A$2:$B$8,2,FALSE)</f>
        <v>2</v>
      </c>
      <c r="N3618" t="str">
        <f t="shared" si="112"/>
        <v>2. 1-24 hours</v>
      </c>
      <c r="O3618" t="str">
        <f t="shared" si="113"/>
        <v>2025-06</v>
      </c>
    </row>
    <row r="3619" spans="1:15" x14ac:dyDescent="0.3">
      <c r="A3619" t="s">
        <v>8541</v>
      </c>
      <c r="B3619" t="s">
        <v>8542</v>
      </c>
      <c r="C3619" t="s">
        <v>58</v>
      </c>
      <c r="D3619" t="s">
        <v>97</v>
      </c>
      <c r="E3619" t="s">
        <v>59</v>
      </c>
      <c r="F3619" t="s">
        <v>117</v>
      </c>
      <c r="G3619">
        <v>0.6</v>
      </c>
      <c r="H3619" t="s">
        <v>138</v>
      </c>
      <c r="I3619" t="s">
        <v>48</v>
      </c>
      <c r="J3619" t="s">
        <v>98</v>
      </c>
      <c r="K3619">
        <v>1422.39</v>
      </c>
      <c r="L3619" t="s">
        <v>8543</v>
      </c>
      <c r="M3619">
        <f>VLOOKUP(H3619,'Stage Order'!$A$2:$B$8,2,FALSE)</f>
        <v>6</v>
      </c>
      <c r="N3619" t="str">
        <f t="shared" si="112"/>
        <v>1. Under 1 hour</v>
      </c>
      <c r="O3619" t="str">
        <f t="shared" si="113"/>
        <v>2025-01</v>
      </c>
    </row>
    <row r="3620" spans="1:15" x14ac:dyDescent="0.3">
      <c r="A3620" t="s">
        <v>8544</v>
      </c>
      <c r="B3620" t="s">
        <v>8545</v>
      </c>
      <c r="C3620" t="s">
        <v>125</v>
      </c>
      <c r="D3620" t="s">
        <v>38</v>
      </c>
      <c r="E3620" t="s">
        <v>39</v>
      </c>
      <c r="F3620" t="s">
        <v>106</v>
      </c>
      <c r="G3620">
        <v>1.67</v>
      </c>
      <c r="H3620" t="s">
        <v>41</v>
      </c>
      <c r="I3620" t="s">
        <v>42</v>
      </c>
      <c r="M3620">
        <f>VLOOKUP(H3620,'Stage Order'!$A$2:$B$8,2,FALSE)</f>
        <v>2</v>
      </c>
      <c r="N3620" t="str">
        <f t="shared" si="112"/>
        <v>2. 1-24 hours</v>
      </c>
      <c r="O3620" t="str">
        <f t="shared" si="113"/>
        <v>2025-02</v>
      </c>
    </row>
    <row r="3621" spans="1:15" x14ac:dyDescent="0.3">
      <c r="A3621" t="s">
        <v>8546</v>
      </c>
      <c r="B3621" t="s">
        <v>8547</v>
      </c>
      <c r="C3621" t="s">
        <v>58</v>
      </c>
      <c r="D3621" t="s">
        <v>29</v>
      </c>
      <c r="E3621" t="s">
        <v>45</v>
      </c>
      <c r="F3621" t="s">
        <v>94</v>
      </c>
      <c r="G3621">
        <v>2.64</v>
      </c>
      <c r="H3621" t="s">
        <v>41</v>
      </c>
      <c r="I3621" t="s">
        <v>42</v>
      </c>
      <c r="M3621">
        <f>VLOOKUP(H3621,'Stage Order'!$A$2:$B$8,2,FALSE)</f>
        <v>2</v>
      </c>
      <c r="N3621" t="str">
        <f t="shared" si="112"/>
        <v>2. 1-24 hours</v>
      </c>
      <c r="O3621" t="str">
        <f t="shared" si="113"/>
        <v>2026-03</v>
      </c>
    </row>
    <row r="3622" spans="1:15" x14ac:dyDescent="0.3">
      <c r="A3622" t="s">
        <v>8548</v>
      </c>
      <c r="B3622" t="s">
        <v>8549</v>
      </c>
      <c r="C3622" t="s">
        <v>37</v>
      </c>
      <c r="D3622" t="s">
        <v>29</v>
      </c>
      <c r="E3622" t="s">
        <v>45</v>
      </c>
      <c r="F3622" t="s">
        <v>46</v>
      </c>
      <c r="G3622">
        <v>1.1299999999999999</v>
      </c>
      <c r="H3622" t="s">
        <v>32</v>
      </c>
      <c r="I3622" t="s">
        <v>33</v>
      </c>
      <c r="K3622">
        <v>587.22</v>
      </c>
      <c r="L3622" t="s">
        <v>8550</v>
      </c>
      <c r="M3622">
        <f>VLOOKUP(H3622,'Stage Order'!$A$2:$B$8,2,FALSE)</f>
        <v>7</v>
      </c>
      <c r="N3622" t="str">
        <f t="shared" si="112"/>
        <v>2. 1-24 hours</v>
      </c>
      <c r="O3622" t="str">
        <f t="shared" si="113"/>
        <v>2025-06</v>
      </c>
    </row>
    <row r="3623" spans="1:15" x14ac:dyDescent="0.3">
      <c r="A3623" t="s">
        <v>8551</v>
      </c>
      <c r="B3623" t="s">
        <v>8552</v>
      </c>
      <c r="C3623" t="s">
        <v>53</v>
      </c>
      <c r="D3623" t="s">
        <v>54</v>
      </c>
      <c r="E3623" t="s">
        <v>59</v>
      </c>
      <c r="F3623" t="s">
        <v>137</v>
      </c>
      <c r="G3623">
        <v>0.84</v>
      </c>
      <c r="H3623" t="s">
        <v>41</v>
      </c>
      <c r="I3623" t="s">
        <v>42</v>
      </c>
      <c r="M3623">
        <f>VLOOKUP(H3623,'Stage Order'!$A$2:$B$8,2,FALSE)</f>
        <v>2</v>
      </c>
      <c r="N3623" t="str">
        <f t="shared" si="112"/>
        <v>1. Under 1 hour</v>
      </c>
      <c r="O3623" t="str">
        <f t="shared" si="113"/>
        <v>2025-02</v>
      </c>
    </row>
    <row r="3624" spans="1:15" x14ac:dyDescent="0.3">
      <c r="A3624" t="s">
        <v>8553</v>
      </c>
      <c r="B3624" t="s">
        <v>8554</v>
      </c>
      <c r="C3624" t="s">
        <v>37</v>
      </c>
      <c r="D3624" t="s">
        <v>97</v>
      </c>
      <c r="E3624" t="s">
        <v>39</v>
      </c>
      <c r="F3624" t="s">
        <v>66</v>
      </c>
      <c r="G3624">
        <v>7.45</v>
      </c>
      <c r="H3624" t="s">
        <v>61</v>
      </c>
      <c r="I3624" t="s">
        <v>42</v>
      </c>
      <c r="M3624">
        <f>VLOOKUP(H3624,'Stage Order'!$A$2:$B$8,2,FALSE)</f>
        <v>1</v>
      </c>
      <c r="N3624" t="str">
        <f t="shared" si="112"/>
        <v>2. 1-24 hours</v>
      </c>
      <c r="O3624" t="str">
        <f t="shared" si="113"/>
        <v>2025-06</v>
      </c>
    </row>
    <row r="3625" spans="1:15" x14ac:dyDescent="0.3">
      <c r="A3625" t="s">
        <v>8555</v>
      </c>
      <c r="B3625" t="s">
        <v>8556</v>
      </c>
      <c r="C3625" t="s">
        <v>37</v>
      </c>
      <c r="D3625" t="s">
        <v>38</v>
      </c>
      <c r="E3625" t="s">
        <v>39</v>
      </c>
      <c r="F3625" t="s">
        <v>40</v>
      </c>
      <c r="G3625">
        <v>3.49</v>
      </c>
      <c r="H3625" t="s">
        <v>146</v>
      </c>
      <c r="I3625" t="s">
        <v>48</v>
      </c>
      <c r="J3625" t="s">
        <v>139</v>
      </c>
      <c r="K3625">
        <v>349.47</v>
      </c>
      <c r="L3625" t="s">
        <v>8557</v>
      </c>
      <c r="M3625">
        <f>VLOOKUP(H3625,'Stage Order'!$A$2:$B$8,2,FALSE)</f>
        <v>5</v>
      </c>
      <c r="N3625" t="str">
        <f t="shared" si="112"/>
        <v>2. 1-24 hours</v>
      </c>
      <c r="O3625" t="str">
        <f t="shared" si="113"/>
        <v>2025-12</v>
      </c>
    </row>
    <row r="3626" spans="1:15" x14ac:dyDescent="0.3">
      <c r="A3626" t="s">
        <v>8558</v>
      </c>
      <c r="B3626" t="s">
        <v>8559</v>
      </c>
      <c r="C3626" t="s">
        <v>58</v>
      </c>
      <c r="D3626" t="s">
        <v>29</v>
      </c>
      <c r="E3626" t="s">
        <v>30</v>
      </c>
      <c r="F3626" t="s">
        <v>78</v>
      </c>
      <c r="G3626">
        <v>5.03</v>
      </c>
      <c r="H3626" t="s">
        <v>41</v>
      </c>
      <c r="I3626" t="s">
        <v>42</v>
      </c>
      <c r="M3626">
        <f>VLOOKUP(H3626,'Stage Order'!$A$2:$B$8,2,FALSE)</f>
        <v>2</v>
      </c>
      <c r="N3626" t="str">
        <f t="shared" si="112"/>
        <v>2. 1-24 hours</v>
      </c>
      <c r="O3626" t="str">
        <f t="shared" si="113"/>
        <v>2026-02</v>
      </c>
    </row>
    <row r="3627" spans="1:15" x14ac:dyDescent="0.3">
      <c r="A3627" t="s">
        <v>8560</v>
      </c>
      <c r="B3627" t="s">
        <v>8561</v>
      </c>
      <c r="C3627" t="s">
        <v>58</v>
      </c>
      <c r="D3627" t="s">
        <v>54</v>
      </c>
      <c r="E3627" t="s">
        <v>39</v>
      </c>
      <c r="F3627" t="s">
        <v>66</v>
      </c>
      <c r="G3627">
        <v>6.59</v>
      </c>
      <c r="H3627" t="s">
        <v>61</v>
      </c>
      <c r="I3627" t="s">
        <v>42</v>
      </c>
      <c r="M3627">
        <f>VLOOKUP(H3627,'Stage Order'!$A$2:$B$8,2,FALSE)</f>
        <v>1</v>
      </c>
      <c r="N3627" t="str">
        <f t="shared" si="112"/>
        <v>2. 1-24 hours</v>
      </c>
      <c r="O3627" t="str">
        <f t="shared" si="113"/>
        <v>2025-04</v>
      </c>
    </row>
    <row r="3628" spans="1:15" x14ac:dyDescent="0.3">
      <c r="A3628" t="s">
        <v>8562</v>
      </c>
      <c r="B3628" t="s">
        <v>8563</v>
      </c>
      <c r="C3628" t="s">
        <v>81</v>
      </c>
      <c r="D3628" t="s">
        <v>54</v>
      </c>
      <c r="E3628" t="s">
        <v>90</v>
      </c>
      <c r="F3628" t="s">
        <v>112</v>
      </c>
      <c r="G3628">
        <v>3.31</v>
      </c>
      <c r="H3628" t="s">
        <v>61</v>
      </c>
      <c r="I3628" t="s">
        <v>42</v>
      </c>
      <c r="M3628">
        <f>VLOOKUP(H3628,'Stage Order'!$A$2:$B$8,2,FALSE)</f>
        <v>1</v>
      </c>
      <c r="N3628" t="str">
        <f t="shared" si="112"/>
        <v>2. 1-24 hours</v>
      </c>
      <c r="O3628" t="str">
        <f t="shared" si="113"/>
        <v>2025-03</v>
      </c>
    </row>
    <row r="3629" spans="1:15" x14ac:dyDescent="0.3">
      <c r="A3629" t="s">
        <v>8564</v>
      </c>
      <c r="B3629" t="s">
        <v>8565</v>
      </c>
      <c r="C3629" t="s">
        <v>37</v>
      </c>
      <c r="D3629" t="s">
        <v>29</v>
      </c>
      <c r="E3629" t="s">
        <v>45</v>
      </c>
      <c r="F3629" t="s">
        <v>94</v>
      </c>
      <c r="G3629">
        <v>1.48</v>
      </c>
      <c r="H3629" t="s">
        <v>128</v>
      </c>
      <c r="I3629" t="s">
        <v>42</v>
      </c>
      <c r="M3629">
        <f>VLOOKUP(H3629,'Stage Order'!$A$2:$B$8,2,FALSE)</f>
        <v>3</v>
      </c>
      <c r="N3629" t="str">
        <f t="shared" si="112"/>
        <v>2. 1-24 hours</v>
      </c>
      <c r="O3629" t="str">
        <f t="shared" si="113"/>
        <v>2025-01</v>
      </c>
    </row>
    <row r="3630" spans="1:15" x14ac:dyDescent="0.3">
      <c r="A3630" t="s">
        <v>8566</v>
      </c>
      <c r="B3630" t="s">
        <v>8567</v>
      </c>
      <c r="C3630" t="s">
        <v>37</v>
      </c>
      <c r="D3630" t="s">
        <v>54</v>
      </c>
      <c r="E3630" t="s">
        <v>90</v>
      </c>
      <c r="F3630" t="s">
        <v>91</v>
      </c>
      <c r="G3630">
        <v>1.75</v>
      </c>
      <c r="H3630" t="s">
        <v>47</v>
      </c>
      <c r="I3630" t="s">
        <v>48</v>
      </c>
      <c r="J3630" t="s">
        <v>139</v>
      </c>
      <c r="K3630">
        <v>558.35</v>
      </c>
      <c r="L3630" t="s">
        <v>8568</v>
      </c>
      <c r="M3630">
        <f>VLOOKUP(H3630,'Stage Order'!$A$2:$B$8,2,FALSE)</f>
        <v>4</v>
      </c>
      <c r="N3630" t="str">
        <f t="shared" si="112"/>
        <v>2. 1-24 hours</v>
      </c>
      <c r="O3630" t="str">
        <f t="shared" si="113"/>
        <v>2025-05</v>
      </c>
    </row>
    <row r="3631" spans="1:15" x14ac:dyDescent="0.3">
      <c r="A3631" t="s">
        <v>8569</v>
      </c>
      <c r="B3631" t="s">
        <v>8570</v>
      </c>
      <c r="C3631" t="s">
        <v>58</v>
      </c>
      <c r="D3631" t="s">
        <v>29</v>
      </c>
      <c r="E3631" t="s">
        <v>39</v>
      </c>
      <c r="F3631" t="s">
        <v>66</v>
      </c>
      <c r="G3631">
        <v>0.26</v>
      </c>
      <c r="H3631" t="s">
        <v>41</v>
      </c>
      <c r="I3631" t="s">
        <v>42</v>
      </c>
      <c r="M3631">
        <f>VLOOKUP(H3631,'Stage Order'!$A$2:$B$8,2,FALSE)</f>
        <v>2</v>
      </c>
      <c r="N3631" t="str">
        <f t="shared" si="112"/>
        <v>1. Under 1 hour</v>
      </c>
      <c r="O3631" t="str">
        <f t="shared" si="113"/>
        <v>2025-08</v>
      </c>
    </row>
    <row r="3632" spans="1:15" x14ac:dyDescent="0.3">
      <c r="A3632" t="s">
        <v>8571</v>
      </c>
      <c r="B3632" t="s">
        <v>8572</v>
      </c>
      <c r="C3632" t="s">
        <v>37</v>
      </c>
      <c r="D3632" t="s">
        <v>97</v>
      </c>
      <c r="E3632" t="s">
        <v>45</v>
      </c>
      <c r="F3632" t="s">
        <v>94</v>
      </c>
      <c r="G3632">
        <v>0.79</v>
      </c>
      <c r="H3632" t="s">
        <v>138</v>
      </c>
      <c r="I3632" t="s">
        <v>48</v>
      </c>
      <c r="J3632" t="s">
        <v>139</v>
      </c>
      <c r="K3632">
        <v>1702.83</v>
      </c>
      <c r="L3632" t="s">
        <v>8573</v>
      </c>
      <c r="M3632">
        <f>VLOOKUP(H3632,'Stage Order'!$A$2:$B$8,2,FALSE)</f>
        <v>6</v>
      </c>
      <c r="N3632" t="str">
        <f t="shared" si="112"/>
        <v>1. Under 1 hour</v>
      </c>
      <c r="O3632" t="str">
        <f t="shared" si="113"/>
        <v>2025-12</v>
      </c>
    </row>
    <row r="3633" spans="1:15" x14ac:dyDescent="0.3">
      <c r="A3633" t="s">
        <v>8574</v>
      </c>
      <c r="B3633" t="s">
        <v>8575</v>
      </c>
      <c r="C3633" t="s">
        <v>81</v>
      </c>
      <c r="D3633" t="s">
        <v>38</v>
      </c>
      <c r="E3633" t="s">
        <v>90</v>
      </c>
      <c r="F3633" t="s">
        <v>91</v>
      </c>
      <c r="G3633">
        <v>2.62</v>
      </c>
      <c r="H3633" t="s">
        <v>61</v>
      </c>
      <c r="I3633" t="s">
        <v>42</v>
      </c>
      <c r="M3633">
        <f>VLOOKUP(H3633,'Stage Order'!$A$2:$B$8,2,FALSE)</f>
        <v>1</v>
      </c>
      <c r="N3633" t="str">
        <f t="shared" si="112"/>
        <v>2. 1-24 hours</v>
      </c>
      <c r="O3633" t="str">
        <f t="shared" si="113"/>
        <v>2025-10</v>
      </c>
    </row>
    <row r="3634" spans="1:15" x14ac:dyDescent="0.3">
      <c r="A3634" t="s">
        <v>8576</v>
      </c>
      <c r="B3634" t="s">
        <v>8577</v>
      </c>
      <c r="C3634" t="s">
        <v>58</v>
      </c>
      <c r="D3634" t="s">
        <v>97</v>
      </c>
      <c r="E3634" t="s">
        <v>39</v>
      </c>
      <c r="F3634" t="s">
        <v>66</v>
      </c>
      <c r="G3634">
        <v>1.43</v>
      </c>
      <c r="H3634" t="s">
        <v>61</v>
      </c>
      <c r="I3634" t="s">
        <v>42</v>
      </c>
      <c r="M3634">
        <f>VLOOKUP(H3634,'Stage Order'!$A$2:$B$8,2,FALSE)</f>
        <v>1</v>
      </c>
      <c r="N3634" t="str">
        <f t="shared" si="112"/>
        <v>2. 1-24 hours</v>
      </c>
      <c r="O3634" t="str">
        <f t="shared" si="113"/>
        <v>2026-01</v>
      </c>
    </row>
    <row r="3635" spans="1:15" x14ac:dyDescent="0.3">
      <c r="A3635" t="s">
        <v>8578</v>
      </c>
      <c r="B3635" t="s">
        <v>8579</v>
      </c>
      <c r="C3635" t="s">
        <v>125</v>
      </c>
      <c r="D3635" t="s">
        <v>29</v>
      </c>
      <c r="E3635" t="s">
        <v>30</v>
      </c>
      <c r="F3635" t="s">
        <v>78</v>
      </c>
      <c r="G3635">
        <v>4.49</v>
      </c>
      <c r="H3635" t="s">
        <v>41</v>
      </c>
      <c r="I3635" t="s">
        <v>42</v>
      </c>
      <c r="M3635">
        <f>VLOOKUP(H3635,'Stage Order'!$A$2:$B$8,2,FALSE)</f>
        <v>2</v>
      </c>
      <c r="N3635" t="str">
        <f t="shared" si="112"/>
        <v>2. 1-24 hours</v>
      </c>
      <c r="O3635" t="str">
        <f t="shared" si="113"/>
        <v>2025-06</v>
      </c>
    </row>
    <row r="3636" spans="1:15" x14ac:dyDescent="0.3">
      <c r="A3636" t="s">
        <v>8580</v>
      </c>
      <c r="B3636" t="s">
        <v>8581</v>
      </c>
      <c r="C3636" t="s">
        <v>76</v>
      </c>
      <c r="D3636" t="s">
        <v>54</v>
      </c>
      <c r="E3636" t="s">
        <v>90</v>
      </c>
      <c r="F3636" t="s">
        <v>91</v>
      </c>
      <c r="G3636">
        <v>1.42</v>
      </c>
      <c r="H3636" t="s">
        <v>41</v>
      </c>
      <c r="I3636" t="s">
        <v>42</v>
      </c>
      <c r="M3636">
        <f>VLOOKUP(H3636,'Stage Order'!$A$2:$B$8,2,FALSE)</f>
        <v>2</v>
      </c>
      <c r="N3636" t="str">
        <f t="shared" si="112"/>
        <v>2. 1-24 hours</v>
      </c>
      <c r="O3636" t="str">
        <f t="shared" si="113"/>
        <v>2025-01</v>
      </c>
    </row>
    <row r="3637" spans="1:15" x14ac:dyDescent="0.3">
      <c r="A3637" t="s">
        <v>8582</v>
      </c>
      <c r="B3637" t="s">
        <v>8583</v>
      </c>
      <c r="C3637" t="s">
        <v>37</v>
      </c>
      <c r="D3637" t="s">
        <v>97</v>
      </c>
      <c r="E3637" t="s">
        <v>45</v>
      </c>
      <c r="F3637" t="s">
        <v>94</v>
      </c>
      <c r="G3637">
        <v>1.89</v>
      </c>
      <c r="H3637" t="s">
        <v>32</v>
      </c>
      <c r="I3637" t="s">
        <v>33</v>
      </c>
      <c r="K3637">
        <v>1209.69</v>
      </c>
      <c r="L3637" t="s">
        <v>8584</v>
      </c>
      <c r="M3637">
        <f>VLOOKUP(H3637,'Stage Order'!$A$2:$B$8,2,FALSE)</f>
        <v>7</v>
      </c>
      <c r="N3637" t="str">
        <f t="shared" si="112"/>
        <v>2. 1-24 hours</v>
      </c>
      <c r="O3637" t="str">
        <f t="shared" si="113"/>
        <v>2025-07</v>
      </c>
    </row>
    <row r="3638" spans="1:15" x14ac:dyDescent="0.3">
      <c r="A3638" t="s">
        <v>8585</v>
      </c>
      <c r="B3638" t="s">
        <v>8586</v>
      </c>
      <c r="C3638" t="s">
        <v>58</v>
      </c>
      <c r="D3638" t="s">
        <v>29</v>
      </c>
      <c r="E3638" t="s">
        <v>39</v>
      </c>
      <c r="F3638" t="s">
        <v>40</v>
      </c>
      <c r="G3638">
        <v>4.6900000000000004</v>
      </c>
      <c r="H3638" t="s">
        <v>146</v>
      </c>
      <c r="I3638" t="s">
        <v>48</v>
      </c>
      <c r="J3638" t="s">
        <v>49</v>
      </c>
      <c r="K3638">
        <v>612.24</v>
      </c>
      <c r="L3638" t="s">
        <v>8587</v>
      </c>
      <c r="M3638">
        <f>VLOOKUP(H3638,'Stage Order'!$A$2:$B$8,2,FALSE)</f>
        <v>5</v>
      </c>
      <c r="N3638" t="str">
        <f t="shared" si="112"/>
        <v>2. 1-24 hours</v>
      </c>
      <c r="O3638" t="str">
        <f t="shared" si="113"/>
        <v>2025-02</v>
      </c>
    </row>
    <row r="3639" spans="1:15" x14ac:dyDescent="0.3">
      <c r="A3639" t="s">
        <v>8588</v>
      </c>
      <c r="B3639" t="s">
        <v>8589</v>
      </c>
      <c r="C3639" t="s">
        <v>58</v>
      </c>
      <c r="D3639" t="s">
        <v>29</v>
      </c>
      <c r="E3639" t="s">
        <v>90</v>
      </c>
      <c r="F3639" t="s">
        <v>145</v>
      </c>
      <c r="G3639">
        <v>0.9</v>
      </c>
      <c r="H3639" t="s">
        <v>41</v>
      </c>
      <c r="I3639" t="s">
        <v>42</v>
      </c>
      <c r="M3639">
        <f>VLOOKUP(H3639,'Stage Order'!$A$2:$B$8,2,FALSE)</f>
        <v>2</v>
      </c>
      <c r="N3639" t="str">
        <f t="shared" si="112"/>
        <v>1. Under 1 hour</v>
      </c>
      <c r="O3639" t="str">
        <f t="shared" si="113"/>
        <v>2025-11</v>
      </c>
    </row>
    <row r="3640" spans="1:15" x14ac:dyDescent="0.3">
      <c r="A3640" t="s">
        <v>8590</v>
      </c>
      <c r="B3640" t="s">
        <v>8591</v>
      </c>
      <c r="C3640" t="s">
        <v>37</v>
      </c>
      <c r="D3640" t="s">
        <v>77</v>
      </c>
      <c r="E3640" t="s">
        <v>90</v>
      </c>
      <c r="F3640" t="s">
        <v>91</v>
      </c>
      <c r="G3640">
        <v>2.92</v>
      </c>
      <c r="H3640" t="s">
        <v>146</v>
      </c>
      <c r="I3640" t="s">
        <v>48</v>
      </c>
      <c r="J3640" t="s">
        <v>139</v>
      </c>
      <c r="K3640">
        <v>1014.43</v>
      </c>
      <c r="L3640" t="s">
        <v>8592</v>
      </c>
      <c r="M3640">
        <f>VLOOKUP(H3640,'Stage Order'!$A$2:$B$8,2,FALSE)</f>
        <v>5</v>
      </c>
      <c r="N3640" t="str">
        <f t="shared" si="112"/>
        <v>2. 1-24 hours</v>
      </c>
      <c r="O3640" t="str">
        <f t="shared" si="113"/>
        <v>2026-01</v>
      </c>
    </row>
    <row r="3641" spans="1:15" x14ac:dyDescent="0.3">
      <c r="A3641" t="s">
        <v>8593</v>
      </c>
      <c r="B3641" t="s">
        <v>8594</v>
      </c>
      <c r="C3641" t="s">
        <v>81</v>
      </c>
      <c r="D3641" t="s">
        <v>29</v>
      </c>
      <c r="E3641" t="s">
        <v>45</v>
      </c>
      <c r="F3641" t="s">
        <v>55</v>
      </c>
      <c r="G3641">
        <v>2.21</v>
      </c>
      <c r="H3641" t="s">
        <v>41</v>
      </c>
      <c r="I3641" t="s">
        <v>42</v>
      </c>
      <c r="M3641">
        <f>VLOOKUP(H3641,'Stage Order'!$A$2:$B$8,2,FALSE)</f>
        <v>2</v>
      </c>
      <c r="N3641" t="str">
        <f t="shared" si="112"/>
        <v>2. 1-24 hours</v>
      </c>
      <c r="O3641" t="str">
        <f t="shared" si="113"/>
        <v>2025-09</v>
      </c>
    </row>
    <row r="3642" spans="1:15" x14ac:dyDescent="0.3">
      <c r="A3642" t="s">
        <v>8595</v>
      </c>
      <c r="B3642" t="s">
        <v>8596</v>
      </c>
      <c r="C3642" t="s">
        <v>125</v>
      </c>
      <c r="D3642" t="s">
        <v>54</v>
      </c>
      <c r="E3642" t="s">
        <v>59</v>
      </c>
      <c r="F3642" t="s">
        <v>117</v>
      </c>
      <c r="G3642">
        <v>1.81</v>
      </c>
      <c r="H3642" t="s">
        <v>138</v>
      </c>
      <c r="I3642" t="s">
        <v>48</v>
      </c>
      <c r="J3642" t="s">
        <v>742</v>
      </c>
      <c r="K3642">
        <v>487.1</v>
      </c>
      <c r="L3642" t="s">
        <v>8597</v>
      </c>
      <c r="M3642">
        <f>VLOOKUP(H3642,'Stage Order'!$A$2:$B$8,2,FALSE)</f>
        <v>6</v>
      </c>
      <c r="N3642" t="str">
        <f t="shared" si="112"/>
        <v>2. 1-24 hours</v>
      </c>
      <c r="O3642" t="str">
        <f t="shared" si="113"/>
        <v>2025-07</v>
      </c>
    </row>
    <row r="3643" spans="1:15" x14ac:dyDescent="0.3">
      <c r="A3643" t="s">
        <v>8598</v>
      </c>
      <c r="B3643" t="s">
        <v>8599</v>
      </c>
      <c r="C3643" t="s">
        <v>58</v>
      </c>
      <c r="D3643" t="s">
        <v>54</v>
      </c>
      <c r="E3643" t="s">
        <v>45</v>
      </c>
      <c r="F3643" t="s">
        <v>94</v>
      </c>
      <c r="G3643">
        <v>2.13</v>
      </c>
      <c r="H3643" t="s">
        <v>41</v>
      </c>
      <c r="I3643" t="s">
        <v>42</v>
      </c>
      <c r="M3643">
        <f>VLOOKUP(H3643,'Stage Order'!$A$2:$B$8,2,FALSE)</f>
        <v>2</v>
      </c>
      <c r="N3643" t="str">
        <f t="shared" si="112"/>
        <v>2. 1-24 hours</v>
      </c>
      <c r="O3643" t="str">
        <f t="shared" si="113"/>
        <v>2025-07</v>
      </c>
    </row>
    <row r="3644" spans="1:15" x14ac:dyDescent="0.3">
      <c r="A3644" t="s">
        <v>8600</v>
      </c>
      <c r="B3644" t="s">
        <v>8601</v>
      </c>
      <c r="C3644" t="s">
        <v>53</v>
      </c>
      <c r="D3644" t="s">
        <v>77</v>
      </c>
      <c r="E3644" t="s">
        <v>59</v>
      </c>
      <c r="F3644" t="s">
        <v>117</v>
      </c>
      <c r="G3644">
        <v>2.17</v>
      </c>
      <c r="H3644" t="s">
        <v>32</v>
      </c>
      <c r="I3644" t="s">
        <v>33</v>
      </c>
      <c r="K3644">
        <v>1033.43</v>
      </c>
      <c r="L3644" t="s">
        <v>8602</v>
      </c>
      <c r="M3644">
        <f>VLOOKUP(H3644,'Stage Order'!$A$2:$B$8,2,FALSE)</f>
        <v>7</v>
      </c>
      <c r="N3644" t="str">
        <f t="shared" si="112"/>
        <v>2. 1-24 hours</v>
      </c>
      <c r="O3644" t="str">
        <f t="shared" si="113"/>
        <v>2025-07</v>
      </c>
    </row>
    <row r="3645" spans="1:15" x14ac:dyDescent="0.3">
      <c r="A3645" t="s">
        <v>8603</v>
      </c>
      <c r="B3645" t="s">
        <v>8604</v>
      </c>
      <c r="C3645" t="s">
        <v>28</v>
      </c>
      <c r="D3645" t="s">
        <v>38</v>
      </c>
      <c r="E3645" t="s">
        <v>39</v>
      </c>
      <c r="F3645" t="s">
        <v>106</v>
      </c>
      <c r="G3645">
        <v>0.53</v>
      </c>
      <c r="H3645" t="s">
        <v>41</v>
      </c>
      <c r="I3645" t="s">
        <v>42</v>
      </c>
      <c r="M3645">
        <f>VLOOKUP(H3645,'Stage Order'!$A$2:$B$8,2,FALSE)</f>
        <v>2</v>
      </c>
      <c r="N3645" t="str">
        <f t="shared" si="112"/>
        <v>1. Under 1 hour</v>
      </c>
      <c r="O3645" t="str">
        <f t="shared" si="113"/>
        <v>2026-02</v>
      </c>
    </row>
    <row r="3646" spans="1:15" x14ac:dyDescent="0.3">
      <c r="A3646" t="s">
        <v>8605</v>
      </c>
      <c r="B3646" t="s">
        <v>8606</v>
      </c>
      <c r="C3646" t="s">
        <v>37</v>
      </c>
      <c r="D3646" t="s">
        <v>54</v>
      </c>
      <c r="E3646" t="s">
        <v>39</v>
      </c>
      <c r="F3646" t="s">
        <v>66</v>
      </c>
      <c r="G3646">
        <v>1.75</v>
      </c>
      <c r="H3646" t="s">
        <v>41</v>
      </c>
      <c r="I3646" t="s">
        <v>42</v>
      </c>
      <c r="M3646">
        <f>VLOOKUP(H3646,'Stage Order'!$A$2:$B$8,2,FALSE)</f>
        <v>2</v>
      </c>
      <c r="N3646" t="str">
        <f t="shared" si="112"/>
        <v>2. 1-24 hours</v>
      </c>
      <c r="O3646" t="str">
        <f t="shared" si="113"/>
        <v>2025-03</v>
      </c>
    </row>
    <row r="3647" spans="1:15" x14ac:dyDescent="0.3">
      <c r="A3647" t="s">
        <v>8607</v>
      </c>
      <c r="B3647" t="s">
        <v>8608</v>
      </c>
      <c r="C3647" t="s">
        <v>58</v>
      </c>
      <c r="D3647" t="s">
        <v>97</v>
      </c>
      <c r="E3647" t="s">
        <v>45</v>
      </c>
      <c r="F3647" t="s">
        <v>94</v>
      </c>
      <c r="G3647">
        <v>12.05</v>
      </c>
      <c r="H3647" t="s">
        <v>32</v>
      </c>
      <c r="I3647" t="s">
        <v>33</v>
      </c>
      <c r="K3647">
        <v>1523.11</v>
      </c>
      <c r="L3647" t="s">
        <v>8609</v>
      </c>
      <c r="M3647">
        <f>VLOOKUP(H3647,'Stage Order'!$A$2:$B$8,2,FALSE)</f>
        <v>7</v>
      </c>
      <c r="N3647" t="str">
        <f t="shared" si="112"/>
        <v>2. 1-24 hours</v>
      </c>
      <c r="O3647" t="str">
        <f t="shared" si="113"/>
        <v>2025-02</v>
      </c>
    </row>
    <row r="3648" spans="1:15" x14ac:dyDescent="0.3">
      <c r="A3648" t="s">
        <v>8610</v>
      </c>
      <c r="B3648" t="s">
        <v>8611</v>
      </c>
      <c r="C3648" t="s">
        <v>76</v>
      </c>
      <c r="D3648" t="s">
        <v>54</v>
      </c>
      <c r="E3648" t="s">
        <v>90</v>
      </c>
      <c r="F3648" t="s">
        <v>112</v>
      </c>
      <c r="G3648">
        <v>1.53</v>
      </c>
      <c r="H3648" t="s">
        <v>47</v>
      </c>
      <c r="I3648" t="s">
        <v>48</v>
      </c>
      <c r="J3648" t="s">
        <v>139</v>
      </c>
      <c r="K3648">
        <v>475.56</v>
      </c>
      <c r="L3648" t="s">
        <v>8612</v>
      </c>
      <c r="M3648">
        <f>VLOOKUP(H3648,'Stage Order'!$A$2:$B$8,2,FALSE)</f>
        <v>4</v>
      </c>
      <c r="N3648" t="str">
        <f t="shared" si="112"/>
        <v>2. 1-24 hours</v>
      </c>
      <c r="O3648" t="str">
        <f t="shared" si="113"/>
        <v>2025-02</v>
      </c>
    </row>
    <row r="3649" spans="1:15" x14ac:dyDescent="0.3">
      <c r="A3649" t="s">
        <v>8613</v>
      </c>
      <c r="B3649" t="s">
        <v>8614</v>
      </c>
      <c r="C3649" t="s">
        <v>58</v>
      </c>
      <c r="D3649" t="s">
        <v>77</v>
      </c>
      <c r="E3649" t="s">
        <v>59</v>
      </c>
      <c r="F3649" t="s">
        <v>60</v>
      </c>
      <c r="G3649">
        <v>8.68</v>
      </c>
      <c r="H3649" t="s">
        <v>61</v>
      </c>
      <c r="I3649" t="s">
        <v>42</v>
      </c>
      <c r="M3649">
        <f>VLOOKUP(H3649,'Stage Order'!$A$2:$B$8,2,FALSE)</f>
        <v>1</v>
      </c>
      <c r="N3649" t="str">
        <f t="shared" si="112"/>
        <v>2. 1-24 hours</v>
      </c>
      <c r="O3649" t="str">
        <f t="shared" si="113"/>
        <v>2025-11</v>
      </c>
    </row>
    <row r="3650" spans="1:15" x14ac:dyDescent="0.3">
      <c r="A3650" t="s">
        <v>8615</v>
      </c>
      <c r="B3650" t="s">
        <v>8616</v>
      </c>
      <c r="C3650" t="s">
        <v>37</v>
      </c>
      <c r="D3650" t="s">
        <v>77</v>
      </c>
      <c r="E3650" t="s">
        <v>39</v>
      </c>
      <c r="F3650" t="s">
        <v>66</v>
      </c>
      <c r="G3650">
        <v>5.71</v>
      </c>
      <c r="H3650" t="s">
        <v>41</v>
      </c>
      <c r="I3650" t="s">
        <v>42</v>
      </c>
      <c r="M3650">
        <f>VLOOKUP(H3650,'Stage Order'!$A$2:$B$8,2,FALSE)</f>
        <v>2</v>
      </c>
      <c r="N3650" t="str">
        <f t="shared" ref="N3650:N3713" si="114">IF(G3650&lt;=1,"1. Under 1 hour",IF(G3650&lt;=24,"2. 1-24 hours",IF(G3650&lt;=72,"3. 1-3 days","4. Over 3 days")))</f>
        <v>2. 1-24 hours</v>
      </c>
      <c r="O3650" t="str">
        <f t="shared" ref="O3650:O3713" si="115">TEXT(B3650,"YYYY-MM")</f>
        <v>2025-01</v>
      </c>
    </row>
    <row r="3651" spans="1:15" x14ac:dyDescent="0.3">
      <c r="A3651" t="s">
        <v>8617</v>
      </c>
      <c r="B3651" t="s">
        <v>8618</v>
      </c>
      <c r="C3651" t="s">
        <v>37</v>
      </c>
      <c r="D3651" t="s">
        <v>54</v>
      </c>
      <c r="E3651" t="s">
        <v>59</v>
      </c>
      <c r="F3651" t="s">
        <v>60</v>
      </c>
      <c r="G3651">
        <v>5.58</v>
      </c>
      <c r="H3651" t="s">
        <v>47</v>
      </c>
      <c r="I3651" t="s">
        <v>48</v>
      </c>
      <c r="J3651" t="s">
        <v>139</v>
      </c>
      <c r="K3651">
        <v>590.82000000000005</v>
      </c>
      <c r="L3651" t="s">
        <v>8619</v>
      </c>
      <c r="M3651">
        <f>VLOOKUP(H3651,'Stage Order'!$A$2:$B$8,2,FALSE)</f>
        <v>4</v>
      </c>
      <c r="N3651" t="str">
        <f t="shared" si="114"/>
        <v>2. 1-24 hours</v>
      </c>
      <c r="O3651" t="str">
        <f t="shared" si="115"/>
        <v>2025-10</v>
      </c>
    </row>
    <row r="3652" spans="1:15" x14ac:dyDescent="0.3">
      <c r="A3652" t="s">
        <v>8620</v>
      </c>
      <c r="B3652" t="s">
        <v>8621</v>
      </c>
      <c r="C3652" t="s">
        <v>81</v>
      </c>
      <c r="D3652" t="s">
        <v>38</v>
      </c>
      <c r="E3652" t="s">
        <v>59</v>
      </c>
      <c r="F3652" t="s">
        <v>60</v>
      </c>
      <c r="G3652">
        <v>3.25</v>
      </c>
      <c r="H3652" t="s">
        <v>128</v>
      </c>
      <c r="I3652" t="s">
        <v>42</v>
      </c>
      <c r="M3652">
        <f>VLOOKUP(H3652,'Stage Order'!$A$2:$B$8,2,FALSE)</f>
        <v>3</v>
      </c>
      <c r="N3652" t="str">
        <f t="shared" si="114"/>
        <v>2. 1-24 hours</v>
      </c>
      <c r="O3652" t="str">
        <f t="shared" si="115"/>
        <v>2025-11</v>
      </c>
    </row>
    <row r="3653" spans="1:15" x14ac:dyDescent="0.3">
      <c r="A3653" t="s">
        <v>8622</v>
      </c>
      <c r="B3653" t="s">
        <v>8623</v>
      </c>
      <c r="C3653" t="s">
        <v>28</v>
      </c>
      <c r="D3653" t="s">
        <v>97</v>
      </c>
      <c r="E3653" t="s">
        <v>45</v>
      </c>
      <c r="F3653" t="s">
        <v>94</v>
      </c>
      <c r="G3653">
        <v>1.23</v>
      </c>
      <c r="H3653" t="s">
        <v>32</v>
      </c>
      <c r="I3653" t="s">
        <v>33</v>
      </c>
      <c r="K3653">
        <v>1657.45</v>
      </c>
      <c r="L3653" t="s">
        <v>8624</v>
      </c>
      <c r="M3653">
        <f>VLOOKUP(H3653,'Stage Order'!$A$2:$B$8,2,FALSE)</f>
        <v>7</v>
      </c>
      <c r="N3653" t="str">
        <f t="shared" si="114"/>
        <v>2. 1-24 hours</v>
      </c>
      <c r="O3653" t="str">
        <f t="shared" si="115"/>
        <v>2025-06</v>
      </c>
    </row>
    <row r="3654" spans="1:15" x14ac:dyDescent="0.3">
      <c r="A3654" t="s">
        <v>8625</v>
      </c>
      <c r="B3654" t="s">
        <v>8626</v>
      </c>
      <c r="C3654" t="s">
        <v>37</v>
      </c>
      <c r="D3654" t="s">
        <v>29</v>
      </c>
      <c r="E3654" t="s">
        <v>30</v>
      </c>
      <c r="F3654" t="s">
        <v>78</v>
      </c>
      <c r="G3654">
        <v>1.4</v>
      </c>
      <c r="H3654" t="s">
        <v>41</v>
      </c>
      <c r="I3654" t="s">
        <v>42</v>
      </c>
      <c r="M3654">
        <f>VLOOKUP(H3654,'Stage Order'!$A$2:$B$8,2,FALSE)</f>
        <v>2</v>
      </c>
      <c r="N3654" t="str">
        <f t="shared" si="114"/>
        <v>2. 1-24 hours</v>
      </c>
      <c r="O3654" t="str">
        <f t="shared" si="115"/>
        <v>2025-09</v>
      </c>
    </row>
    <row r="3655" spans="1:15" x14ac:dyDescent="0.3">
      <c r="A3655" t="s">
        <v>8627</v>
      </c>
      <c r="B3655" t="s">
        <v>8628</v>
      </c>
      <c r="C3655" t="s">
        <v>81</v>
      </c>
      <c r="D3655" t="s">
        <v>38</v>
      </c>
      <c r="E3655" t="s">
        <v>39</v>
      </c>
      <c r="F3655" t="s">
        <v>40</v>
      </c>
      <c r="G3655">
        <v>5.4</v>
      </c>
      <c r="H3655" t="s">
        <v>146</v>
      </c>
      <c r="I3655" t="s">
        <v>48</v>
      </c>
      <c r="J3655" t="s">
        <v>113</v>
      </c>
      <c r="K3655">
        <v>351.39</v>
      </c>
      <c r="L3655" t="s">
        <v>8629</v>
      </c>
      <c r="M3655">
        <f>VLOOKUP(H3655,'Stage Order'!$A$2:$B$8,2,FALSE)</f>
        <v>5</v>
      </c>
      <c r="N3655" t="str">
        <f t="shared" si="114"/>
        <v>2. 1-24 hours</v>
      </c>
      <c r="O3655" t="str">
        <f t="shared" si="115"/>
        <v>2026-01</v>
      </c>
    </row>
    <row r="3656" spans="1:15" x14ac:dyDescent="0.3">
      <c r="A3656" t="s">
        <v>8630</v>
      </c>
      <c r="B3656" t="s">
        <v>8631</v>
      </c>
      <c r="C3656" t="s">
        <v>81</v>
      </c>
      <c r="D3656" t="s">
        <v>38</v>
      </c>
      <c r="E3656" t="s">
        <v>45</v>
      </c>
      <c r="F3656" t="s">
        <v>94</v>
      </c>
      <c r="G3656">
        <v>2.56</v>
      </c>
      <c r="H3656" t="s">
        <v>61</v>
      </c>
      <c r="I3656" t="s">
        <v>42</v>
      </c>
      <c r="M3656">
        <f>VLOOKUP(H3656,'Stage Order'!$A$2:$B$8,2,FALSE)</f>
        <v>1</v>
      </c>
      <c r="N3656" t="str">
        <f t="shared" si="114"/>
        <v>2. 1-24 hours</v>
      </c>
      <c r="O3656" t="str">
        <f t="shared" si="115"/>
        <v>2025-05</v>
      </c>
    </row>
    <row r="3657" spans="1:15" x14ac:dyDescent="0.3">
      <c r="A3657" t="s">
        <v>8632</v>
      </c>
      <c r="B3657" t="s">
        <v>8633</v>
      </c>
      <c r="C3657" t="s">
        <v>37</v>
      </c>
      <c r="D3657" t="s">
        <v>97</v>
      </c>
      <c r="E3657" t="s">
        <v>90</v>
      </c>
      <c r="F3657" t="s">
        <v>112</v>
      </c>
      <c r="G3657">
        <v>8.7899999999999991</v>
      </c>
      <c r="H3657" t="s">
        <v>41</v>
      </c>
      <c r="I3657" t="s">
        <v>42</v>
      </c>
      <c r="M3657">
        <f>VLOOKUP(H3657,'Stage Order'!$A$2:$B$8,2,FALSE)</f>
        <v>2</v>
      </c>
      <c r="N3657" t="str">
        <f t="shared" si="114"/>
        <v>2. 1-24 hours</v>
      </c>
      <c r="O3657" t="str">
        <f t="shared" si="115"/>
        <v>2025-05</v>
      </c>
    </row>
    <row r="3658" spans="1:15" x14ac:dyDescent="0.3">
      <c r="A3658" t="s">
        <v>8634</v>
      </c>
      <c r="B3658" t="s">
        <v>8635</v>
      </c>
      <c r="C3658" t="s">
        <v>58</v>
      </c>
      <c r="D3658" t="s">
        <v>77</v>
      </c>
      <c r="E3658" t="s">
        <v>59</v>
      </c>
      <c r="F3658" t="s">
        <v>117</v>
      </c>
      <c r="G3658">
        <v>2.15</v>
      </c>
      <c r="H3658" t="s">
        <v>32</v>
      </c>
      <c r="I3658" t="s">
        <v>33</v>
      </c>
      <c r="K3658">
        <v>902.66</v>
      </c>
      <c r="L3658" t="s">
        <v>8636</v>
      </c>
      <c r="M3658">
        <f>VLOOKUP(H3658,'Stage Order'!$A$2:$B$8,2,FALSE)</f>
        <v>7</v>
      </c>
      <c r="N3658" t="str">
        <f t="shared" si="114"/>
        <v>2. 1-24 hours</v>
      </c>
      <c r="O3658" t="str">
        <f t="shared" si="115"/>
        <v>2025-02</v>
      </c>
    </row>
    <row r="3659" spans="1:15" x14ac:dyDescent="0.3">
      <c r="A3659" t="s">
        <v>8637</v>
      </c>
      <c r="B3659" t="s">
        <v>8638</v>
      </c>
      <c r="C3659" t="s">
        <v>76</v>
      </c>
      <c r="D3659" t="s">
        <v>54</v>
      </c>
      <c r="E3659" t="s">
        <v>59</v>
      </c>
      <c r="F3659" t="s">
        <v>60</v>
      </c>
      <c r="G3659">
        <v>10.52</v>
      </c>
      <c r="H3659" t="s">
        <v>41</v>
      </c>
      <c r="I3659" t="s">
        <v>42</v>
      </c>
      <c r="M3659">
        <f>VLOOKUP(H3659,'Stage Order'!$A$2:$B$8,2,FALSE)</f>
        <v>2</v>
      </c>
      <c r="N3659" t="str">
        <f t="shared" si="114"/>
        <v>2. 1-24 hours</v>
      </c>
      <c r="O3659" t="str">
        <f t="shared" si="115"/>
        <v>2025-03</v>
      </c>
    </row>
    <row r="3660" spans="1:15" x14ac:dyDescent="0.3">
      <c r="A3660" t="s">
        <v>8639</v>
      </c>
      <c r="B3660" t="s">
        <v>8640</v>
      </c>
      <c r="C3660" t="s">
        <v>53</v>
      </c>
      <c r="D3660" t="s">
        <v>77</v>
      </c>
      <c r="E3660" t="s">
        <v>39</v>
      </c>
      <c r="F3660" t="s">
        <v>106</v>
      </c>
      <c r="G3660">
        <v>1.5</v>
      </c>
      <c r="H3660" t="s">
        <v>138</v>
      </c>
      <c r="I3660" t="s">
        <v>48</v>
      </c>
      <c r="J3660" t="s">
        <v>49</v>
      </c>
      <c r="K3660">
        <v>1077.6500000000001</v>
      </c>
      <c r="L3660" t="s">
        <v>8641</v>
      </c>
      <c r="M3660">
        <f>VLOOKUP(H3660,'Stage Order'!$A$2:$B$8,2,FALSE)</f>
        <v>6</v>
      </c>
      <c r="N3660" t="str">
        <f t="shared" si="114"/>
        <v>2. 1-24 hours</v>
      </c>
      <c r="O3660" t="str">
        <f t="shared" si="115"/>
        <v>2025-02</v>
      </c>
    </row>
    <row r="3661" spans="1:15" x14ac:dyDescent="0.3">
      <c r="A3661" t="s">
        <v>8642</v>
      </c>
      <c r="B3661" t="s">
        <v>8643</v>
      </c>
      <c r="C3661" t="s">
        <v>125</v>
      </c>
      <c r="D3661" t="s">
        <v>77</v>
      </c>
      <c r="E3661" t="s">
        <v>59</v>
      </c>
      <c r="F3661" t="s">
        <v>137</v>
      </c>
      <c r="G3661">
        <v>0.95</v>
      </c>
      <c r="H3661" t="s">
        <v>41</v>
      </c>
      <c r="I3661" t="s">
        <v>42</v>
      </c>
      <c r="M3661">
        <f>VLOOKUP(H3661,'Stage Order'!$A$2:$B$8,2,FALSE)</f>
        <v>2</v>
      </c>
      <c r="N3661" t="str">
        <f t="shared" si="114"/>
        <v>1. Under 1 hour</v>
      </c>
      <c r="O3661" t="str">
        <f t="shared" si="115"/>
        <v>2025-10</v>
      </c>
    </row>
    <row r="3662" spans="1:15" x14ac:dyDescent="0.3">
      <c r="A3662" t="s">
        <v>8644</v>
      </c>
      <c r="B3662" t="s">
        <v>8645</v>
      </c>
      <c r="C3662" t="s">
        <v>53</v>
      </c>
      <c r="D3662" t="s">
        <v>77</v>
      </c>
      <c r="E3662" t="s">
        <v>45</v>
      </c>
      <c r="F3662" t="s">
        <v>94</v>
      </c>
      <c r="G3662">
        <v>2.2200000000000002</v>
      </c>
      <c r="H3662" t="s">
        <v>61</v>
      </c>
      <c r="I3662" t="s">
        <v>42</v>
      </c>
      <c r="M3662">
        <f>VLOOKUP(H3662,'Stage Order'!$A$2:$B$8,2,FALSE)</f>
        <v>1</v>
      </c>
      <c r="N3662" t="str">
        <f t="shared" si="114"/>
        <v>2. 1-24 hours</v>
      </c>
      <c r="O3662" t="str">
        <f t="shared" si="115"/>
        <v>2025-06</v>
      </c>
    </row>
    <row r="3663" spans="1:15" x14ac:dyDescent="0.3">
      <c r="A3663" t="s">
        <v>8646</v>
      </c>
      <c r="B3663" t="s">
        <v>8647</v>
      </c>
      <c r="C3663" t="s">
        <v>81</v>
      </c>
      <c r="D3663" t="s">
        <v>29</v>
      </c>
      <c r="E3663" t="s">
        <v>39</v>
      </c>
      <c r="F3663" t="s">
        <v>40</v>
      </c>
      <c r="G3663">
        <v>1.35</v>
      </c>
      <c r="H3663" t="s">
        <v>61</v>
      </c>
      <c r="I3663" t="s">
        <v>42</v>
      </c>
      <c r="M3663">
        <f>VLOOKUP(H3663,'Stage Order'!$A$2:$B$8,2,FALSE)</f>
        <v>1</v>
      </c>
      <c r="N3663" t="str">
        <f t="shared" si="114"/>
        <v>2. 1-24 hours</v>
      </c>
      <c r="O3663" t="str">
        <f t="shared" si="115"/>
        <v>2025-02</v>
      </c>
    </row>
    <row r="3664" spans="1:15" x14ac:dyDescent="0.3">
      <c r="A3664" t="s">
        <v>8648</v>
      </c>
      <c r="B3664" t="s">
        <v>8649</v>
      </c>
      <c r="C3664" t="s">
        <v>37</v>
      </c>
      <c r="D3664" t="s">
        <v>77</v>
      </c>
      <c r="E3664" t="s">
        <v>59</v>
      </c>
      <c r="F3664" t="s">
        <v>137</v>
      </c>
      <c r="G3664">
        <v>13.42</v>
      </c>
      <c r="H3664" t="s">
        <v>32</v>
      </c>
      <c r="I3664" t="s">
        <v>33</v>
      </c>
      <c r="K3664">
        <v>875.59</v>
      </c>
      <c r="L3664" t="s">
        <v>8650</v>
      </c>
      <c r="M3664">
        <f>VLOOKUP(H3664,'Stage Order'!$A$2:$B$8,2,FALSE)</f>
        <v>7</v>
      </c>
      <c r="N3664" t="str">
        <f t="shared" si="114"/>
        <v>2. 1-24 hours</v>
      </c>
      <c r="O3664" t="str">
        <f t="shared" si="115"/>
        <v>2025-09</v>
      </c>
    </row>
    <row r="3665" spans="1:15" x14ac:dyDescent="0.3">
      <c r="A3665" t="s">
        <v>8651</v>
      </c>
      <c r="B3665" t="s">
        <v>8652</v>
      </c>
      <c r="C3665" t="s">
        <v>76</v>
      </c>
      <c r="D3665" t="s">
        <v>77</v>
      </c>
      <c r="E3665" t="s">
        <v>45</v>
      </c>
      <c r="F3665" t="s">
        <v>94</v>
      </c>
      <c r="G3665">
        <v>4.1399999999999997</v>
      </c>
      <c r="H3665" t="s">
        <v>32</v>
      </c>
      <c r="I3665" t="s">
        <v>33</v>
      </c>
      <c r="K3665">
        <v>1063.57</v>
      </c>
      <c r="L3665" t="s">
        <v>8653</v>
      </c>
      <c r="M3665">
        <f>VLOOKUP(H3665,'Stage Order'!$A$2:$B$8,2,FALSE)</f>
        <v>7</v>
      </c>
      <c r="N3665" t="str">
        <f t="shared" si="114"/>
        <v>2. 1-24 hours</v>
      </c>
      <c r="O3665" t="str">
        <f t="shared" si="115"/>
        <v>2025-05</v>
      </c>
    </row>
    <row r="3666" spans="1:15" x14ac:dyDescent="0.3">
      <c r="A3666" t="s">
        <v>8654</v>
      </c>
      <c r="B3666" t="s">
        <v>8655</v>
      </c>
      <c r="C3666" t="s">
        <v>53</v>
      </c>
      <c r="D3666" t="s">
        <v>97</v>
      </c>
      <c r="E3666" t="s">
        <v>39</v>
      </c>
      <c r="F3666" t="s">
        <v>66</v>
      </c>
      <c r="G3666">
        <v>4.6399999999999997</v>
      </c>
      <c r="H3666" t="s">
        <v>138</v>
      </c>
      <c r="I3666" t="s">
        <v>48</v>
      </c>
      <c r="J3666" t="s">
        <v>113</v>
      </c>
      <c r="K3666">
        <v>1549.33</v>
      </c>
      <c r="L3666" t="s">
        <v>8656</v>
      </c>
      <c r="M3666">
        <f>VLOOKUP(H3666,'Stage Order'!$A$2:$B$8,2,FALSE)</f>
        <v>6</v>
      </c>
      <c r="N3666" t="str">
        <f t="shared" si="114"/>
        <v>2. 1-24 hours</v>
      </c>
      <c r="O3666" t="str">
        <f t="shared" si="115"/>
        <v>2025-04</v>
      </c>
    </row>
    <row r="3667" spans="1:15" x14ac:dyDescent="0.3">
      <c r="A3667" t="s">
        <v>8657</v>
      </c>
      <c r="B3667" t="s">
        <v>8658</v>
      </c>
      <c r="C3667" t="s">
        <v>58</v>
      </c>
      <c r="D3667" t="s">
        <v>77</v>
      </c>
      <c r="E3667" t="s">
        <v>45</v>
      </c>
      <c r="F3667" t="s">
        <v>46</v>
      </c>
      <c r="G3667">
        <v>17.260000000000002</v>
      </c>
      <c r="H3667" t="s">
        <v>41</v>
      </c>
      <c r="I3667" t="s">
        <v>42</v>
      </c>
      <c r="M3667">
        <f>VLOOKUP(H3667,'Stage Order'!$A$2:$B$8,2,FALSE)</f>
        <v>2</v>
      </c>
      <c r="N3667" t="str">
        <f t="shared" si="114"/>
        <v>2. 1-24 hours</v>
      </c>
      <c r="O3667" t="str">
        <f t="shared" si="115"/>
        <v>2025-09</v>
      </c>
    </row>
    <row r="3668" spans="1:15" x14ac:dyDescent="0.3">
      <c r="A3668" t="s">
        <v>8659</v>
      </c>
      <c r="B3668" t="s">
        <v>8660</v>
      </c>
      <c r="C3668" t="s">
        <v>58</v>
      </c>
      <c r="D3668" t="s">
        <v>77</v>
      </c>
      <c r="E3668" t="s">
        <v>39</v>
      </c>
      <c r="F3668" t="s">
        <v>106</v>
      </c>
      <c r="G3668">
        <v>1.1000000000000001</v>
      </c>
      <c r="H3668" t="s">
        <v>41</v>
      </c>
      <c r="I3668" t="s">
        <v>42</v>
      </c>
      <c r="M3668">
        <f>VLOOKUP(H3668,'Stage Order'!$A$2:$B$8,2,FALSE)</f>
        <v>2</v>
      </c>
      <c r="N3668" t="str">
        <f t="shared" si="114"/>
        <v>2. 1-24 hours</v>
      </c>
      <c r="O3668" t="str">
        <f t="shared" si="115"/>
        <v>2026-02</v>
      </c>
    </row>
    <row r="3669" spans="1:15" x14ac:dyDescent="0.3">
      <c r="A3669" t="s">
        <v>8661</v>
      </c>
      <c r="B3669" t="s">
        <v>8662</v>
      </c>
      <c r="C3669" t="s">
        <v>58</v>
      </c>
      <c r="D3669" t="s">
        <v>29</v>
      </c>
      <c r="E3669" t="s">
        <v>39</v>
      </c>
      <c r="F3669" t="s">
        <v>40</v>
      </c>
      <c r="G3669">
        <v>10.59</v>
      </c>
      <c r="H3669" t="s">
        <v>41</v>
      </c>
      <c r="I3669" t="s">
        <v>42</v>
      </c>
      <c r="M3669">
        <f>VLOOKUP(H3669,'Stage Order'!$A$2:$B$8,2,FALSE)</f>
        <v>2</v>
      </c>
      <c r="N3669" t="str">
        <f t="shared" si="114"/>
        <v>2. 1-24 hours</v>
      </c>
      <c r="O3669" t="str">
        <f t="shared" si="115"/>
        <v>2026-04</v>
      </c>
    </row>
    <row r="3670" spans="1:15" x14ac:dyDescent="0.3">
      <c r="A3670" t="s">
        <v>8663</v>
      </c>
      <c r="B3670" t="s">
        <v>8664</v>
      </c>
      <c r="C3670" t="s">
        <v>125</v>
      </c>
      <c r="D3670" t="s">
        <v>29</v>
      </c>
      <c r="E3670" t="s">
        <v>59</v>
      </c>
      <c r="F3670" t="s">
        <v>60</v>
      </c>
      <c r="G3670">
        <v>0.87</v>
      </c>
      <c r="H3670" t="s">
        <v>47</v>
      </c>
      <c r="I3670" t="s">
        <v>48</v>
      </c>
      <c r="J3670" t="s">
        <v>139</v>
      </c>
      <c r="K3670">
        <v>712.75</v>
      </c>
      <c r="L3670" t="s">
        <v>8665</v>
      </c>
      <c r="M3670">
        <f>VLOOKUP(H3670,'Stage Order'!$A$2:$B$8,2,FALSE)</f>
        <v>4</v>
      </c>
      <c r="N3670" t="str">
        <f t="shared" si="114"/>
        <v>1. Under 1 hour</v>
      </c>
      <c r="O3670" t="str">
        <f t="shared" si="115"/>
        <v>2025-11</v>
      </c>
    </row>
    <row r="3671" spans="1:15" x14ac:dyDescent="0.3">
      <c r="A3671" t="s">
        <v>8666</v>
      </c>
      <c r="B3671" t="s">
        <v>8667</v>
      </c>
      <c r="C3671" t="s">
        <v>125</v>
      </c>
      <c r="D3671" t="s">
        <v>77</v>
      </c>
      <c r="E3671" t="s">
        <v>59</v>
      </c>
      <c r="F3671" t="s">
        <v>117</v>
      </c>
      <c r="G3671">
        <v>1.59</v>
      </c>
      <c r="H3671" t="s">
        <v>47</v>
      </c>
      <c r="I3671" t="s">
        <v>48</v>
      </c>
      <c r="J3671" t="s">
        <v>139</v>
      </c>
      <c r="K3671">
        <v>937.31</v>
      </c>
      <c r="L3671" t="s">
        <v>8668</v>
      </c>
      <c r="M3671">
        <f>VLOOKUP(H3671,'Stage Order'!$A$2:$B$8,2,FALSE)</f>
        <v>4</v>
      </c>
      <c r="N3671" t="str">
        <f t="shared" si="114"/>
        <v>2. 1-24 hours</v>
      </c>
      <c r="O3671" t="str">
        <f t="shared" si="115"/>
        <v>2026-01</v>
      </c>
    </row>
    <row r="3672" spans="1:15" x14ac:dyDescent="0.3">
      <c r="A3672" t="s">
        <v>8669</v>
      </c>
      <c r="B3672" t="s">
        <v>8670</v>
      </c>
      <c r="C3672" t="s">
        <v>125</v>
      </c>
      <c r="D3672" t="s">
        <v>54</v>
      </c>
      <c r="E3672" t="s">
        <v>30</v>
      </c>
      <c r="F3672" t="s">
        <v>31</v>
      </c>
      <c r="G3672">
        <v>6.66</v>
      </c>
      <c r="H3672" t="s">
        <v>146</v>
      </c>
      <c r="I3672" t="s">
        <v>48</v>
      </c>
      <c r="J3672" t="s">
        <v>113</v>
      </c>
      <c r="K3672">
        <v>493.13</v>
      </c>
      <c r="L3672" t="s">
        <v>8671</v>
      </c>
      <c r="M3672">
        <f>VLOOKUP(H3672,'Stage Order'!$A$2:$B$8,2,FALSE)</f>
        <v>5</v>
      </c>
      <c r="N3672" t="str">
        <f t="shared" si="114"/>
        <v>2. 1-24 hours</v>
      </c>
      <c r="O3672" t="str">
        <f t="shared" si="115"/>
        <v>2025-03</v>
      </c>
    </row>
    <row r="3673" spans="1:15" x14ac:dyDescent="0.3">
      <c r="A3673" t="s">
        <v>8672</v>
      </c>
      <c r="B3673" t="s">
        <v>8673</v>
      </c>
      <c r="C3673" t="s">
        <v>58</v>
      </c>
      <c r="D3673" t="s">
        <v>54</v>
      </c>
      <c r="E3673" t="s">
        <v>45</v>
      </c>
      <c r="F3673" t="s">
        <v>46</v>
      </c>
      <c r="G3673">
        <v>6.1</v>
      </c>
      <c r="H3673" t="s">
        <v>41</v>
      </c>
      <c r="I3673" t="s">
        <v>42</v>
      </c>
      <c r="M3673">
        <f>VLOOKUP(H3673,'Stage Order'!$A$2:$B$8,2,FALSE)</f>
        <v>2</v>
      </c>
      <c r="N3673" t="str">
        <f t="shared" si="114"/>
        <v>2. 1-24 hours</v>
      </c>
      <c r="O3673" t="str">
        <f t="shared" si="115"/>
        <v>2025-07</v>
      </c>
    </row>
    <row r="3674" spans="1:15" x14ac:dyDescent="0.3">
      <c r="A3674" t="s">
        <v>8674</v>
      </c>
      <c r="B3674" t="s">
        <v>8675</v>
      </c>
      <c r="C3674" t="s">
        <v>28</v>
      </c>
      <c r="D3674" t="s">
        <v>77</v>
      </c>
      <c r="E3674" t="s">
        <v>59</v>
      </c>
      <c r="F3674" t="s">
        <v>117</v>
      </c>
      <c r="G3674">
        <v>1.87</v>
      </c>
      <c r="H3674" t="s">
        <v>41</v>
      </c>
      <c r="I3674" t="s">
        <v>42</v>
      </c>
      <c r="M3674">
        <f>VLOOKUP(H3674,'Stage Order'!$A$2:$B$8,2,FALSE)</f>
        <v>2</v>
      </c>
      <c r="N3674" t="str">
        <f t="shared" si="114"/>
        <v>2. 1-24 hours</v>
      </c>
      <c r="O3674" t="str">
        <f t="shared" si="115"/>
        <v>2025-05</v>
      </c>
    </row>
    <row r="3675" spans="1:15" x14ac:dyDescent="0.3">
      <c r="A3675" t="s">
        <v>8676</v>
      </c>
      <c r="B3675" t="s">
        <v>8677</v>
      </c>
      <c r="C3675" t="s">
        <v>37</v>
      </c>
      <c r="D3675" t="s">
        <v>97</v>
      </c>
      <c r="E3675" t="s">
        <v>45</v>
      </c>
      <c r="F3675" t="s">
        <v>94</v>
      </c>
      <c r="G3675">
        <v>0.85</v>
      </c>
      <c r="H3675" t="s">
        <v>32</v>
      </c>
      <c r="I3675" t="s">
        <v>33</v>
      </c>
      <c r="K3675">
        <v>1220.1600000000001</v>
      </c>
      <c r="L3675" t="s">
        <v>8678</v>
      </c>
      <c r="M3675">
        <f>VLOOKUP(H3675,'Stage Order'!$A$2:$B$8,2,FALSE)</f>
        <v>7</v>
      </c>
      <c r="N3675" t="str">
        <f t="shared" si="114"/>
        <v>1. Under 1 hour</v>
      </c>
      <c r="O3675" t="str">
        <f t="shared" si="115"/>
        <v>2026-05</v>
      </c>
    </row>
    <row r="3676" spans="1:15" x14ac:dyDescent="0.3">
      <c r="A3676" t="s">
        <v>8679</v>
      </c>
      <c r="B3676" t="s">
        <v>8680</v>
      </c>
      <c r="C3676" t="s">
        <v>28</v>
      </c>
      <c r="D3676" t="s">
        <v>97</v>
      </c>
      <c r="E3676" t="s">
        <v>30</v>
      </c>
      <c r="F3676" t="s">
        <v>82</v>
      </c>
      <c r="G3676">
        <v>2.23</v>
      </c>
      <c r="H3676" t="s">
        <v>138</v>
      </c>
      <c r="I3676" t="s">
        <v>48</v>
      </c>
      <c r="J3676" t="s">
        <v>139</v>
      </c>
      <c r="K3676">
        <v>1693.52</v>
      </c>
      <c r="L3676" t="s">
        <v>8681</v>
      </c>
      <c r="M3676">
        <f>VLOOKUP(H3676,'Stage Order'!$A$2:$B$8,2,FALSE)</f>
        <v>6</v>
      </c>
      <c r="N3676" t="str">
        <f t="shared" si="114"/>
        <v>2. 1-24 hours</v>
      </c>
      <c r="O3676" t="str">
        <f t="shared" si="115"/>
        <v>2025-03</v>
      </c>
    </row>
    <row r="3677" spans="1:15" x14ac:dyDescent="0.3">
      <c r="A3677" t="s">
        <v>8682</v>
      </c>
      <c r="B3677" t="s">
        <v>8683</v>
      </c>
      <c r="C3677" t="s">
        <v>58</v>
      </c>
      <c r="D3677" t="s">
        <v>54</v>
      </c>
      <c r="E3677" t="s">
        <v>30</v>
      </c>
      <c r="F3677" t="s">
        <v>31</v>
      </c>
      <c r="G3677">
        <v>4.4000000000000004</v>
      </c>
      <c r="H3677" t="s">
        <v>41</v>
      </c>
      <c r="I3677" t="s">
        <v>42</v>
      </c>
      <c r="M3677">
        <f>VLOOKUP(H3677,'Stage Order'!$A$2:$B$8,2,FALSE)</f>
        <v>2</v>
      </c>
      <c r="N3677" t="str">
        <f t="shared" si="114"/>
        <v>2. 1-24 hours</v>
      </c>
      <c r="O3677" t="str">
        <f t="shared" si="115"/>
        <v>2025-11</v>
      </c>
    </row>
    <row r="3678" spans="1:15" x14ac:dyDescent="0.3">
      <c r="A3678" t="s">
        <v>8684</v>
      </c>
      <c r="B3678" t="s">
        <v>8685</v>
      </c>
      <c r="C3678" t="s">
        <v>37</v>
      </c>
      <c r="D3678" t="s">
        <v>77</v>
      </c>
      <c r="E3678" t="s">
        <v>45</v>
      </c>
      <c r="F3678" t="s">
        <v>94</v>
      </c>
      <c r="G3678">
        <v>3.71</v>
      </c>
      <c r="H3678" t="s">
        <v>138</v>
      </c>
      <c r="I3678" t="s">
        <v>48</v>
      </c>
      <c r="J3678" t="s">
        <v>113</v>
      </c>
      <c r="K3678">
        <v>1019.28</v>
      </c>
      <c r="L3678" t="s">
        <v>8686</v>
      </c>
      <c r="M3678">
        <f>VLOOKUP(H3678,'Stage Order'!$A$2:$B$8,2,FALSE)</f>
        <v>6</v>
      </c>
      <c r="N3678" t="str">
        <f t="shared" si="114"/>
        <v>2. 1-24 hours</v>
      </c>
      <c r="O3678" t="str">
        <f t="shared" si="115"/>
        <v>2025-02</v>
      </c>
    </row>
    <row r="3679" spans="1:15" x14ac:dyDescent="0.3">
      <c r="A3679" t="s">
        <v>8687</v>
      </c>
      <c r="B3679" t="s">
        <v>8688</v>
      </c>
      <c r="C3679" t="s">
        <v>37</v>
      </c>
      <c r="D3679" t="s">
        <v>54</v>
      </c>
      <c r="E3679" t="s">
        <v>39</v>
      </c>
      <c r="F3679" t="s">
        <v>66</v>
      </c>
      <c r="G3679">
        <v>1.56</v>
      </c>
      <c r="H3679" t="s">
        <v>41</v>
      </c>
      <c r="I3679" t="s">
        <v>42</v>
      </c>
      <c r="M3679">
        <f>VLOOKUP(H3679,'Stage Order'!$A$2:$B$8,2,FALSE)</f>
        <v>2</v>
      </c>
      <c r="N3679" t="str">
        <f t="shared" si="114"/>
        <v>2. 1-24 hours</v>
      </c>
      <c r="O3679" t="str">
        <f t="shared" si="115"/>
        <v>2025-05</v>
      </c>
    </row>
    <row r="3680" spans="1:15" x14ac:dyDescent="0.3">
      <c r="A3680" t="s">
        <v>8689</v>
      </c>
      <c r="B3680" t="s">
        <v>8690</v>
      </c>
      <c r="C3680" t="s">
        <v>125</v>
      </c>
      <c r="D3680" t="s">
        <v>54</v>
      </c>
      <c r="E3680" t="s">
        <v>59</v>
      </c>
      <c r="F3680" t="s">
        <v>60</v>
      </c>
      <c r="G3680">
        <v>6.02</v>
      </c>
      <c r="H3680" t="s">
        <v>41</v>
      </c>
      <c r="I3680" t="s">
        <v>42</v>
      </c>
      <c r="M3680">
        <f>VLOOKUP(H3680,'Stage Order'!$A$2:$B$8,2,FALSE)</f>
        <v>2</v>
      </c>
      <c r="N3680" t="str">
        <f t="shared" si="114"/>
        <v>2. 1-24 hours</v>
      </c>
      <c r="O3680" t="str">
        <f t="shared" si="115"/>
        <v>2025-04</v>
      </c>
    </row>
    <row r="3681" spans="1:15" x14ac:dyDescent="0.3">
      <c r="A3681" t="s">
        <v>8691</v>
      </c>
      <c r="B3681" t="s">
        <v>8692</v>
      </c>
      <c r="C3681" t="s">
        <v>125</v>
      </c>
      <c r="D3681" t="s">
        <v>54</v>
      </c>
      <c r="E3681" t="s">
        <v>39</v>
      </c>
      <c r="F3681" t="s">
        <v>106</v>
      </c>
      <c r="G3681">
        <v>3.38</v>
      </c>
      <c r="H3681" t="s">
        <v>61</v>
      </c>
      <c r="I3681" t="s">
        <v>42</v>
      </c>
      <c r="M3681">
        <f>VLOOKUP(H3681,'Stage Order'!$A$2:$B$8,2,FALSE)</f>
        <v>1</v>
      </c>
      <c r="N3681" t="str">
        <f t="shared" si="114"/>
        <v>2. 1-24 hours</v>
      </c>
      <c r="O3681" t="str">
        <f t="shared" si="115"/>
        <v>2025-10</v>
      </c>
    </row>
    <row r="3682" spans="1:15" x14ac:dyDescent="0.3">
      <c r="A3682" t="s">
        <v>8693</v>
      </c>
      <c r="B3682" t="s">
        <v>8694</v>
      </c>
      <c r="C3682" t="s">
        <v>76</v>
      </c>
      <c r="D3682" t="s">
        <v>54</v>
      </c>
      <c r="E3682" t="s">
        <v>59</v>
      </c>
      <c r="F3682" t="s">
        <v>117</v>
      </c>
      <c r="G3682">
        <v>0.39</v>
      </c>
      <c r="H3682" t="s">
        <v>32</v>
      </c>
      <c r="I3682" t="s">
        <v>33</v>
      </c>
      <c r="K3682">
        <v>592.54</v>
      </c>
      <c r="L3682" t="s">
        <v>8695</v>
      </c>
      <c r="M3682">
        <f>VLOOKUP(H3682,'Stage Order'!$A$2:$B$8,2,FALSE)</f>
        <v>7</v>
      </c>
      <c r="N3682" t="str">
        <f t="shared" si="114"/>
        <v>1. Under 1 hour</v>
      </c>
      <c r="O3682" t="str">
        <f t="shared" si="115"/>
        <v>2025-03</v>
      </c>
    </row>
    <row r="3683" spans="1:15" x14ac:dyDescent="0.3">
      <c r="A3683" t="s">
        <v>8696</v>
      </c>
      <c r="B3683" t="s">
        <v>8697</v>
      </c>
      <c r="C3683" t="s">
        <v>37</v>
      </c>
      <c r="D3683" t="s">
        <v>77</v>
      </c>
      <c r="E3683" t="s">
        <v>45</v>
      </c>
      <c r="F3683" t="s">
        <v>55</v>
      </c>
      <c r="G3683">
        <v>7.29</v>
      </c>
      <c r="H3683" t="s">
        <v>41</v>
      </c>
      <c r="I3683" t="s">
        <v>42</v>
      </c>
      <c r="M3683">
        <f>VLOOKUP(H3683,'Stage Order'!$A$2:$B$8,2,FALSE)</f>
        <v>2</v>
      </c>
      <c r="N3683" t="str">
        <f t="shared" si="114"/>
        <v>2. 1-24 hours</v>
      </c>
      <c r="O3683" t="str">
        <f t="shared" si="115"/>
        <v>2025-08</v>
      </c>
    </row>
    <row r="3684" spans="1:15" x14ac:dyDescent="0.3">
      <c r="A3684" t="s">
        <v>8698</v>
      </c>
      <c r="B3684" t="s">
        <v>8699</v>
      </c>
      <c r="C3684" t="s">
        <v>58</v>
      </c>
      <c r="D3684" t="s">
        <v>54</v>
      </c>
      <c r="E3684" t="s">
        <v>39</v>
      </c>
      <c r="F3684" t="s">
        <v>40</v>
      </c>
      <c r="G3684">
        <v>3.82</v>
      </c>
      <c r="H3684" t="s">
        <v>41</v>
      </c>
      <c r="I3684" t="s">
        <v>42</v>
      </c>
      <c r="M3684">
        <f>VLOOKUP(H3684,'Stage Order'!$A$2:$B$8,2,FALSE)</f>
        <v>2</v>
      </c>
      <c r="N3684" t="str">
        <f t="shared" si="114"/>
        <v>2. 1-24 hours</v>
      </c>
      <c r="O3684" t="str">
        <f t="shared" si="115"/>
        <v>2025-11</v>
      </c>
    </row>
    <row r="3685" spans="1:15" x14ac:dyDescent="0.3">
      <c r="A3685" t="s">
        <v>8700</v>
      </c>
      <c r="B3685" t="s">
        <v>8701</v>
      </c>
      <c r="C3685" t="s">
        <v>28</v>
      </c>
      <c r="D3685" t="s">
        <v>29</v>
      </c>
      <c r="E3685" t="s">
        <v>45</v>
      </c>
      <c r="F3685" t="s">
        <v>55</v>
      </c>
      <c r="G3685">
        <v>2.33</v>
      </c>
      <c r="H3685" t="s">
        <v>32</v>
      </c>
      <c r="I3685" t="s">
        <v>33</v>
      </c>
      <c r="K3685">
        <v>606.82000000000005</v>
      </c>
      <c r="L3685" t="s">
        <v>8702</v>
      </c>
      <c r="M3685">
        <f>VLOOKUP(H3685,'Stage Order'!$A$2:$B$8,2,FALSE)</f>
        <v>7</v>
      </c>
      <c r="N3685" t="str">
        <f t="shared" si="114"/>
        <v>2. 1-24 hours</v>
      </c>
      <c r="O3685" t="str">
        <f t="shared" si="115"/>
        <v>2025-04</v>
      </c>
    </row>
    <row r="3686" spans="1:15" x14ac:dyDescent="0.3">
      <c r="A3686" t="s">
        <v>8703</v>
      </c>
      <c r="B3686" t="s">
        <v>8704</v>
      </c>
      <c r="C3686" t="s">
        <v>58</v>
      </c>
      <c r="D3686" t="s">
        <v>38</v>
      </c>
      <c r="E3686" t="s">
        <v>30</v>
      </c>
      <c r="F3686" t="s">
        <v>78</v>
      </c>
      <c r="G3686">
        <v>7.2</v>
      </c>
      <c r="H3686" t="s">
        <v>61</v>
      </c>
      <c r="I3686" t="s">
        <v>42</v>
      </c>
      <c r="M3686">
        <f>VLOOKUP(H3686,'Stage Order'!$A$2:$B$8,2,FALSE)</f>
        <v>1</v>
      </c>
      <c r="N3686" t="str">
        <f t="shared" si="114"/>
        <v>2. 1-24 hours</v>
      </c>
      <c r="O3686" t="str">
        <f t="shared" si="115"/>
        <v>2025-11</v>
      </c>
    </row>
    <row r="3687" spans="1:15" x14ac:dyDescent="0.3">
      <c r="A3687" t="s">
        <v>8705</v>
      </c>
      <c r="B3687" t="s">
        <v>8706</v>
      </c>
      <c r="C3687" t="s">
        <v>37</v>
      </c>
      <c r="D3687" t="s">
        <v>77</v>
      </c>
      <c r="E3687" t="s">
        <v>39</v>
      </c>
      <c r="F3687" t="s">
        <v>106</v>
      </c>
      <c r="G3687">
        <v>2.35</v>
      </c>
      <c r="H3687" t="s">
        <v>41</v>
      </c>
      <c r="I3687" t="s">
        <v>42</v>
      </c>
      <c r="M3687">
        <f>VLOOKUP(H3687,'Stage Order'!$A$2:$B$8,2,FALSE)</f>
        <v>2</v>
      </c>
      <c r="N3687" t="str">
        <f t="shared" si="114"/>
        <v>2. 1-24 hours</v>
      </c>
      <c r="O3687" t="str">
        <f t="shared" si="115"/>
        <v>2025-03</v>
      </c>
    </row>
    <row r="3688" spans="1:15" x14ac:dyDescent="0.3">
      <c r="A3688" t="s">
        <v>8707</v>
      </c>
      <c r="B3688" t="s">
        <v>8708</v>
      </c>
      <c r="C3688" t="s">
        <v>53</v>
      </c>
      <c r="D3688" t="s">
        <v>77</v>
      </c>
      <c r="E3688" t="s">
        <v>90</v>
      </c>
      <c r="F3688" t="s">
        <v>91</v>
      </c>
      <c r="G3688">
        <v>1.1599999999999999</v>
      </c>
      <c r="H3688" t="s">
        <v>41</v>
      </c>
      <c r="I3688" t="s">
        <v>42</v>
      </c>
      <c r="M3688">
        <f>VLOOKUP(H3688,'Stage Order'!$A$2:$B$8,2,FALSE)</f>
        <v>2</v>
      </c>
      <c r="N3688" t="str">
        <f t="shared" si="114"/>
        <v>2. 1-24 hours</v>
      </c>
      <c r="O3688" t="str">
        <f t="shared" si="115"/>
        <v>2025-04</v>
      </c>
    </row>
    <row r="3689" spans="1:15" x14ac:dyDescent="0.3">
      <c r="A3689" t="s">
        <v>8709</v>
      </c>
      <c r="B3689" t="s">
        <v>8710</v>
      </c>
      <c r="C3689" t="s">
        <v>37</v>
      </c>
      <c r="D3689" t="s">
        <v>54</v>
      </c>
      <c r="E3689" t="s">
        <v>39</v>
      </c>
      <c r="F3689" t="s">
        <v>66</v>
      </c>
      <c r="G3689">
        <v>2.78</v>
      </c>
      <c r="H3689" t="s">
        <v>61</v>
      </c>
      <c r="I3689" t="s">
        <v>42</v>
      </c>
      <c r="M3689">
        <f>VLOOKUP(H3689,'Stage Order'!$A$2:$B$8,2,FALSE)</f>
        <v>1</v>
      </c>
      <c r="N3689" t="str">
        <f t="shared" si="114"/>
        <v>2. 1-24 hours</v>
      </c>
      <c r="O3689" t="str">
        <f t="shared" si="115"/>
        <v>2025-02</v>
      </c>
    </row>
    <row r="3690" spans="1:15" x14ac:dyDescent="0.3">
      <c r="A3690" t="s">
        <v>8711</v>
      </c>
      <c r="B3690" t="s">
        <v>8712</v>
      </c>
      <c r="C3690" t="s">
        <v>53</v>
      </c>
      <c r="D3690" t="s">
        <v>54</v>
      </c>
      <c r="E3690" t="s">
        <v>90</v>
      </c>
      <c r="F3690" t="s">
        <v>145</v>
      </c>
      <c r="G3690">
        <v>2.56</v>
      </c>
      <c r="H3690" t="s">
        <v>146</v>
      </c>
      <c r="I3690" t="s">
        <v>48</v>
      </c>
      <c r="J3690" t="s">
        <v>113</v>
      </c>
      <c r="K3690">
        <v>543.33000000000004</v>
      </c>
      <c r="L3690" t="s">
        <v>8713</v>
      </c>
      <c r="M3690">
        <f>VLOOKUP(H3690,'Stage Order'!$A$2:$B$8,2,FALSE)</f>
        <v>5</v>
      </c>
      <c r="N3690" t="str">
        <f t="shared" si="114"/>
        <v>2. 1-24 hours</v>
      </c>
      <c r="O3690" t="str">
        <f t="shared" si="115"/>
        <v>2026-05</v>
      </c>
    </row>
    <row r="3691" spans="1:15" x14ac:dyDescent="0.3">
      <c r="A3691" t="s">
        <v>8714</v>
      </c>
      <c r="B3691" t="s">
        <v>8715</v>
      </c>
      <c r="C3691" t="s">
        <v>28</v>
      </c>
      <c r="D3691" t="s">
        <v>77</v>
      </c>
      <c r="E3691" t="s">
        <v>45</v>
      </c>
      <c r="F3691" t="s">
        <v>46</v>
      </c>
      <c r="G3691">
        <v>1.44</v>
      </c>
      <c r="H3691" t="s">
        <v>41</v>
      </c>
      <c r="I3691" t="s">
        <v>42</v>
      </c>
      <c r="M3691">
        <f>VLOOKUP(H3691,'Stage Order'!$A$2:$B$8,2,FALSE)</f>
        <v>2</v>
      </c>
      <c r="N3691" t="str">
        <f t="shared" si="114"/>
        <v>2. 1-24 hours</v>
      </c>
      <c r="O3691" t="str">
        <f t="shared" si="115"/>
        <v>2025-12</v>
      </c>
    </row>
    <row r="3692" spans="1:15" x14ac:dyDescent="0.3">
      <c r="A3692" t="s">
        <v>8716</v>
      </c>
      <c r="B3692" t="s">
        <v>8717</v>
      </c>
      <c r="C3692" t="s">
        <v>58</v>
      </c>
      <c r="D3692" t="s">
        <v>77</v>
      </c>
      <c r="E3692" t="s">
        <v>45</v>
      </c>
      <c r="F3692" t="s">
        <v>46</v>
      </c>
      <c r="G3692">
        <v>13.22</v>
      </c>
      <c r="H3692" t="s">
        <v>41</v>
      </c>
      <c r="I3692" t="s">
        <v>42</v>
      </c>
      <c r="M3692">
        <f>VLOOKUP(H3692,'Stage Order'!$A$2:$B$8,2,FALSE)</f>
        <v>2</v>
      </c>
      <c r="N3692" t="str">
        <f t="shared" si="114"/>
        <v>2. 1-24 hours</v>
      </c>
      <c r="O3692" t="str">
        <f t="shared" si="115"/>
        <v>2026-03</v>
      </c>
    </row>
    <row r="3693" spans="1:15" x14ac:dyDescent="0.3">
      <c r="A3693" t="s">
        <v>8718</v>
      </c>
      <c r="B3693" t="s">
        <v>8719</v>
      </c>
      <c r="C3693" t="s">
        <v>37</v>
      </c>
      <c r="D3693" t="s">
        <v>77</v>
      </c>
      <c r="E3693" t="s">
        <v>45</v>
      </c>
      <c r="F3693" t="s">
        <v>55</v>
      </c>
      <c r="G3693">
        <v>5.32</v>
      </c>
      <c r="H3693" t="s">
        <v>41</v>
      </c>
      <c r="I3693" t="s">
        <v>42</v>
      </c>
      <c r="M3693">
        <f>VLOOKUP(H3693,'Stage Order'!$A$2:$B$8,2,FALSE)</f>
        <v>2</v>
      </c>
      <c r="N3693" t="str">
        <f t="shared" si="114"/>
        <v>2. 1-24 hours</v>
      </c>
      <c r="O3693" t="str">
        <f t="shared" si="115"/>
        <v>2025-04</v>
      </c>
    </row>
    <row r="3694" spans="1:15" x14ac:dyDescent="0.3">
      <c r="A3694" t="s">
        <v>8720</v>
      </c>
      <c r="B3694" t="s">
        <v>8721</v>
      </c>
      <c r="C3694" t="s">
        <v>125</v>
      </c>
      <c r="D3694" t="s">
        <v>29</v>
      </c>
      <c r="E3694" t="s">
        <v>45</v>
      </c>
      <c r="F3694" t="s">
        <v>94</v>
      </c>
      <c r="G3694">
        <v>4.6100000000000003</v>
      </c>
      <c r="H3694" t="s">
        <v>41</v>
      </c>
      <c r="I3694" t="s">
        <v>42</v>
      </c>
      <c r="M3694">
        <f>VLOOKUP(H3694,'Stage Order'!$A$2:$B$8,2,FALSE)</f>
        <v>2</v>
      </c>
      <c r="N3694" t="str">
        <f t="shared" si="114"/>
        <v>2. 1-24 hours</v>
      </c>
      <c r="O3694" t="str">
        <f t="shared" si="115"/>
        <v>2025-12</v>
      </c>
    </row>
    <row r="3695" spans="1:15" x14ac:dyDescent="0.3">
      <c r="A3695" t="s">
        <v>8722</v>
      </c>
      <c r="B3695" t="s">
        <v>8723</v>
      </c>
      <c r="C3695" t="s">
        <v>53</v>
      </c>
      <c r="D3695" t="s">
        <v>38</v>
      </c>
      <c r="E3695" t="s">
        <v>45</v>
      </c>
      <c r="F3695" t="s">
        <v>55</v>
      </c>
      <c r="G3695">
        <v>1.69</v>
      </c>
      <c r="H3695" t="s">
        <v>32</v>
      </c>
      <c r="I3695" t="s">
        <v>33</v>
      </c>
      <c r="K3695">
        <v>391.7</v>
      </c>
      <c r="L3695" t="s">
        <v>8724</v>
      </c>
      <c r="M3695">
        <f>VLOOKUP(H3695,'Stage Order'!$A$2:$B$8,2,FALSE)</f>
        <v>7</v>
      </c>
      <c r="N3695" t="str">
        <f t="shared" si="114"/>
        <v>2. 1-24 hours</v>
      </c>
      <c r="O3695" t="str">
        <f t="shared" si="115"/>
        <v>2025-08</v>
      </c>
    </row>
    <row r="3696" spans="1:15" x14ac:dyDescent="0.3">
      <c r="A3696" t="s">
        <v>8725</v>
      </c>
      <c r="B3696" t="s">
        <v>8726</v>
      </c>
      <c r="C3696" t="s">
        <v>58</v>
      </c>
      <c r="D3696" t="s">
        <v>77</v>
      </c>
      <c r="E3696" t="s">
        <v>45</v>
      </c>
      <c r="F3696" t="s">
        <v>55</v>
      </c>
      <c r="G3696">
        <v>3</v>
      </c>
      <c r="H3696" t="s">
        <v>41</v>
      </c>
      <c r="I3696" t="s">
        <v>42</v>
      </c>
      <c r="M3696">
        <f>VLOOKUP(H3696,'Stage Order'!$A$2:$B$8,2,FALSE)</f>
        <v>2</v>
      </c>
      <c r="N3696" t="str">
        <f t="shared" si="114"/>
        <v>2. 1-24 hours</v>
      </c>
      <c r="O3696" t="str">
        <f t="shared" si="115"/>
        <v>2025-01</v>
      </c>
    </row>
    <row r="3697" spans="1:15" x14ac:dyDescent="0.3">
      <c r="A3697" t="s">
        <v>8727</v>
      </c>
      <c r="B3697" t="s">
        <v>8728</v>
      </c>
      <c r="C3697" t="s">
        <v>58</v>
      </c>
      <c r="D3697" t="s">
        <v>38</v>
      </c>
      <c r="E3697" t="s">
        <v>45</v>
      </c>
      <c r="F3697" t="s">
        <v>55</v>
      </c>
      <c r="G3697">
        <v>1.38</v>
      </c>
      <c r="H3697" t="s">
        <v>61</v>
      </c>
      <c r="I3697" t="s">
        <v>42</v>
      </c>
      <c r="M3697">
        <f>VLOOKUP(H3697,'Stage Order'!$A$2:$B$8,2,FALSE)</f>
        <v>1</v>
      </c>
      <c r="N3697" t="str">
        <f t="shared" si="114"/>
        <v>2. 1-24 hours</v>
      </c>
      <c r="O3697" t="str">
        <f t="shared" si="115"/>
        <v>2025-08</v>
      </c>
    </row>
    <row r="3698" spans="1:15" x14ac:dyDescent="0.3">
      <c r="A3698" t="s">
        <v>8729</v>
      </c>
      <c r="B3698" t="s">
        <v>8730</v>
      </c>
      <c r="C3698" t="s">
        <v>58</v>
      </c>
      <c r="D3698" t="s">
        <v>29</v>
      </c>
      <c r="E3698" t="s">
        <v>59</v>
      </c>
      <c r="F3698" t="s">
        <v>60</v>
      </c>
      <c r="G3698">
        <v>4.33</v>
      </c>
      <c r="H3698" t="s">
        <v>138</v>
      </c>
      <c r="I3698" t="s">
        <v>48</v>
      </c>
      <c r="J3698" t="s">
        <v>139</v>
      </c>
      <c r="K3698">
        <v>735.2</v>
      </c>
      <c r="L3698" t="s">
        <v>8731</v>
      </c>
      <c r="M3698">
        <f>VLOOKUP(H3698,'Stage Order'!$A$2:$B$8,2,FALSE)</f>
        <v>6</v>
      </c>
      <c r="N3698" t="str">
        <f t="shared" si="114"/>
        <v>2. 1-24 hours</v>
      </c>
      <c r="O3698" t="str">
        <f t="shared" si="115"/>
        <v>2025-03</v>
      </c>
    </row>
    <row r="3699" spans="1:15" x14ac:dyDescent="0.3">
      <c r="A3699" t="s">
        <v>8732</v>
      </c>
      <c r="B3699" t="s">
        <v>8733</v>
      </c>
      <c r="C3699" t="s">
        <v>53</v>
      </c>
      <c r="D3699" t="s">
        <v>97</v>
      </c>
      <c r="E3699" t="s">
        <v>45</v>
      </c>
      <c r="F3699" t="s">
        <v>55</v>
      </c>
      <c r="G3699">
        <v>1.72</v>
      </c>
      <c r="H3699" t="s">
        <v>41</v>
      </c>
      <c r="I3699" t="s">
        <v>42</v>
      </c>
      <c r="M3699">
        <f>VLOOKUP(H3699,'Stage Order'!$A$2:$B$8,2,FALSE)</f>
        <v>2</v>
      </c>
      <c r="N3699" t="str">
        <f t="shared" si="114"/>
        <v>2. 1-24 hours</v>
      </c>
      <c r="O3699" t="str">
        <f t="shared" si="115"/>
        <v>2026-05</v>
      </c>
    </row>
    <row r="3700" spans="1:15" x14ac:dyDescent="0.3">
      <c r="A3700" t="s">
        <v>8734</v>
      </c>
      <c r="B3700" t="s">
        <v>8735</v>
      </c>
      <c r="C3700" t="s">
        <v>37</v>
      </c>
      <c r="D3700" t="s">
        <v>29</v>
      </c>
      <c r="E3700" t="s">
        <v>59</v>
      </c>
      <c r="F3700" t="s">
        <v>137</v>
      </c>
      <c r="G3700">
        <v>5.36</v>
      </c>
      <c r="H3700" t="s">
        <v>41</v>
      </c>
      <c r="I3700" t="s">
        <v>42</v>
      </c>
      <c r="M3700">
        <f>VLOOKUP(H3700,'Stage Order'!$A$2:$B$8,2,FALSE)</f>
        <v>2</v>
      </c>
      <c r="N3700" t="str">
        <f t="shared" si="114"/>
        <v>2. 1-24 hours</v>
      </c>
      <c r="O3700" t="str">
        <f t="shared" si="115"/>
        <v>2025-02</v>
      </c>
    </row>
    <row r="3701" spans="1:15" x14ac:dyDescent="0.3">
      <c r="A3701" t="s">
        <v>8736</v>
      </c>
      <c r="B3701" t="s">
        <v>8737</v>
      </c>
      <c r="C3701" t="s">
        <v>76</v>
      </c>
      <c r="D3701" t="s">
        <v>29</v>
      </c>
      <c r="E3701" t="s">
        <v>30</v>
      </c>
      <c r="F3701" t="s">
        <v>31</v>
      </c>
      <c r="G3701">
        <v>5.41</v>
      </c>
      <c r="H3701" t="s">
        <v>41</v>
      </c>
      <c r="I3701" t="s">
        <v>42</v>
      </c>
      <c r="M3701">
        <f>VLOOKUP(H3701,'Stage Order'!$A$2:$B$8,2,FALSE)</f>
        <v>2</v>
      </c>
      <c r="N3701" t="str">
        <f t="shared" si="114"/>
        <v>2. 1-24 hours</v>
      </c>
      <c r="O3701" t="str">
        <f t="shared" si="115"/>
        <v>2026-02</v>
      </c>
    </row>
    <row r="3702" spans="1:15" x14ac:dyDescent="0.3">
      <c r="A3702" t="s">
        <v>8738</v>
      </c>
      <c r="B3702" t="s">
        <v>8739</v>
      </c>
      <c r="C3702" t="s">
        <v>58</v>
      </c>
      <c r="D3702" t="s">
        <v>77</v>
      </c>
      <c r="E3702" t="s">
        <v>39</v>
      </c>
      <c r="F3702" t="s">
        <v>40</v>
      </c>
      <c r="G3702">
        <v>3.79</v>
      </c>
      <c r="H3702" t="s">
        <v>32</v>
      </c>
      <c r="I3702" t="s">
        <v>33</v>
      </c>
      <c r="K3702">
        <v>908.86</v>
      </c>
      <c r="L3702" t="s">
        <v>8740</v>
      </c>
      <c r="M3702">
        <f>VLOOKUP(H3702,'Stage Order'!$A$2:$B$8,2,FALSE)</f>
        <v>7</v>
      </c>
      <c r="N3702" t="str">
        <f t="shared" si="114"/>
        <v>2. 1-24 hours</v>
      </c>
      <c r="O3702" t="str">
        <f t="shared" si="115"/>
        <v>2026-01</v>
      </c>
    </row>
    <row r="3703" spans="1:15" x14ac:dyDescent="0.3">
      <c r="A3703" t="s">
        <v>8741</v>
      </c>
      <c r="B3703" t="s">
        <v>8742</v>
      </c>
      <c r="C3703" t="s">
        <v>81</v>
      </c>
      <c r="D3703" t="s">
        <v>54</v>
      </c>
      <c r="E3703" t="s">
        <v>39</v>
      </c>
      <c r="F3703" t="s">
        <v>40</v>
      </c>
      <c r="G3703">
        <v>15.37</v>
      </c>
      <c r="H3703" t="s">
        <v>41</v>
      </c>
      <c r="I3703" t="s">
        <v>42</v>
      </c>
      <c r="M3703">
        <f>VLOOKUP(H3703,'Stage Order'!$A$2:$B$8,2,FALSE)</f>
        <v>2</v>
      </c>
      <c r="N3703" t="str">
        <f t="shared" si="114"/>
        <v>2. 1-24 hours</v>
      </c>
      <c r="O3703" t="str">
        <f t="shared" si="115"/>
        <v>2025-09</v>
      </c>
    </row>
    <row r="3704" spans="1:15" x14ac:dyDescent="0.3">
      <c r="A3704" t="s">
        <v>8743</v>
      </c>
      <c r="B3704" t="s">
        <v>8744</v>
      </c>
      <c r="C3704" t="s">
        <v>81</v>
      </c>
      <c r="D3704" t="s">
        <v>97</v>
      </c>
      <c r="E3704" t="s">
        <v>45</v>
      </c>
      <c r="F3704" t="s">
        <v>46</v>
      </c>
      <c r="G3704">
        <v>2.56</v>
      </c>
      <c r="H3704" t="s">
        <v>61</v>
      </c>
      <c r="I3704" t="s">
        <v>42</v>
      </c>
      <c r="M3704">
        <f>VLOOKUP(H3704,'Stage Order'!$A$2:$B$8,2,FALSE)</f>
        <v>1</v>
      </c>
      <c r="N3704" t="str">
        <f t="shared" si="114"/>
        <v>2. 1-24 hours</v>
      </c>
      <c r="O3704" t="str">
        <f t="shared" si="115"/>
        <v>2025-01</v>
      </c>
    </row>
    <row r="3705" spans="1:15" x14ac:dyDescent="0.3">
      <c r="A3705" t="s">
        <v>8745</v>
      </c>
      <c r="B3705" t="s">
        <v>8746</v>
      </c>
      <c r="C3705" t="s">
        <v>37</v>
      </c>
      <c r="D3705" t="s">
        <v>77</v>
      </c>
      <c r="E3705" t="s">
        <v>30</v>
      </c>
      <c r="F3705" t="s">
        <v>82</v>
      </c>
      <c r="G3705">
        <v>8.86</v>
      </c>
      <c r="H3705" t="s">
        <v>41</v>
      </c>
      <c r="I3705" t="s">
        <v>42</v>
      </c>
      <c r="M3705">
        <f>VLOOKUP(H3705,'Stage Order'!$A$2:$B$8,2,FALSE)</f>
        <v>2</v>
      </c>
      <c r="N3705" t="str">
        <f t="shared" si="114"/>
        <v>2. 1-24 hours</v>
      </c>
      <c r="O3705" t="str">
        <f t="shared" si="115"/>
        <v>2025-08</v>
      </c>
    </row>
    <row r="3706" spans="1:15" x14ac:dyDescent="0.3">
      <c r="A3706" t="s">
        <v>8747</v>
      </c>
      <c r="B3706" t="s">
        <v>8748</v>
      </c>
      <c r="C3706" t="s">
        <v>58</v>
      </c>
      <c r="D3706" t="s">
        <v>97</v>
      </c>
      <c r="E3706" t="s">
        <v>90</v>
      </c>
      <c r="F3706" t="s">
        <v>112</v>
      </c>
      <c r="G3706">
        <v>0.97</v>
      </c>
      <c r="H3706" t="s">
        <v>41</v>
      </c>
      <c r="I3706" t="s">
        <v>42</v>
      </c>
      <c r="M3706">
        <f>VLOOKUP(H3706,'Stage Order'!$A$2:$B$8,2,FALSE)</f>
        <v>2</v>
      </c>
      <c r="N3706" t="str">
        <f t="shared" si="114"/>
        <v>1. Under 1 hour</v>
      </c>
      <c r="O3706" t="str">
        <f t="shared" si="115"/>
        <v>2025-01</v>
      </c>
    </row>
    <row r="3707" spans="1:15" x14ac:dyDescent="0.3">
      <c r="A3707" t="s">
        <v>8749</v>
      </c>
      <c r="B3707" t="s">
        <v>8750</v>
      </c>
      <c r="C3707" t="s">
        <v>53</v>
      </c>
      <c r="D3707" t="s">
        <v>54</v>
      </c>
      <c r="E3707" t="s">
        <v>59</v>
      </c>
      <c r="F3707" t="s">
        <v>117</v>
      </c>
      <c r="G3707">
        <v>1.75</v>
      </c>
      <c r="H3707" t="s">
        <v>32</v>
      </c>
      <c r="I3707" t="s">
        <v>33</v>
      </c>
      <c r="K3707">
        <v>482.17</v>
      </c>
      <c r="L3707" t="s">
        <v>8751</v>
      </c>
      <c r="M3707">
        <f>VLOOKUP(H3707,'Stage Order'!$A$2:$B$8,2,FALSE)</f>
        <v>7</v>
      </c>
      <c r="N3707" t="str">
        <f t="shared" si="114"/>
        <v>2. 1-24 hours</v>
      </c>
      <c r="O3707" t="str">
        <f t="shared" si="115"/>
        <v>2025-04</v>
      </c>
    </row>
    <row r="3708" spans="1:15" x14ac:dyDescent="0.3">
      <c r="A3708" t="s">
        <v>8752</v>
      </c>
      <c r="B3708" t="s">
        <v>8753</v>
      </c>
      <c r="C3708" t="s">
        <v>37</v>
      </c>
      <c r="D3708" t="s">
        <v>97</v>
      </c>
      <c r="E3708" t="s">
        <v>59</v>
      </c>
      <c r="F3708" t="s">
        <v>60</v>
      </c>
      <c r="G3708">
        <v>19.78</v>
      </c>
      <c r="H3708" t="s">
        <v>32</v>
      </c>
      <c r="I3708" t="s">
        <v>33</v>
      </c>
      <c r="K3708">
        <v>1334.58</v>
      </c>
      <c r="L3708" t="s">
        <v>8754</v>
      </c>
      <c r="M3708">
        <f>VLOOKUP(H3708,'Stage Order'!$A$2:$B$8,2,FALSE)</f>
        <v>7</v>
      </c>
      <c r="N3708" t="str">
        <f t="shared" si="114"/>
        <v>2. 1-24 hours</v>
      </c>
      <c r="O3708" t="str">
        <f t="shared" si="115"/>
        <v>2025-11</v>
      </c>
    </row>
    <row r="3709" spans="1:15" x14ac:dyDescent="0.3">
      <c r="A3709" t="s">
        <v>8755</v>
      </c>
      <c r="B3709" t="s">
        <v>8756</v>
      </c>
      <c r="C3709" t="s">
        <v>76</v>
      </c>
      <c r="D3709" t="s">
        <v>54</v>
      </c>
      <c r="E3709" t="s">
        <v>39</v>
      </c>
      <c r="F3709" t="s">
        <v>40</v>
      </c>
      <c r="G3709">
        <v>1.1000000000000001</v>
      </c>
      <c r="H3709" t="s">
        <v>41</v>
      </c>
      <c r="I3709" t="s">
        <v>42</v>
      </c>
      <c r="M3709">
        <f>VLOOKUP(H3709,'Stage Order'!$A$2:$B$8,2,FALSE)</f>
        <v>2</v>
      </c>
      <c r="N3709" t="str">
        <f t="shared" si="114"/>
        <v>2. 1-24 hours</v>
      </c>
      <c r="O3709" t="str">
        <f t="shared" si="115"/>
        <v>2025-02</v>
      </c>
    </row>
    <row r="3710" spans="1:15" x14ac:dyDescent="0.3">
      <c r="A3710" t="s">
        <v>8757</v>
      </c>
      <c r="B3710" t="s">
        <v>8758</v>
      </c>
      <c r="C3710" t="s">
        <v>37</v>
      </c>
      <c r="D3710" t="s">
        <v>38</v>
      </c>
      <c r="E3710" t="s">
        <v>39</v>
      </c>
      <c r="F3710" t="s">
        <v>106</v>
      </c>
      <c r="G3710">
        <v>1.25</v>
      </c>
      <c r="H3710" t="s">
        <v>138</v>
      </c>
      <c r="I3710" t="s">
        <v>48</v>
      </c>
      <c r="J3710" t="s">
        <v>113</v>
      </c>
      <c r="K3710">
        <v>374.44</v>
      </c>
      <c r="L3710" t="s">
        <v>8759</v>
      </c>
      <c r="M3710">
        <f>VLOOKUP(H3710,'Stage Order'!$A$2:$B$8,2,FALSE)</f>
        <v>6</v>
      </c>
      <c r="N3710" t="str">
        <f t="shared" si="114"/>
        <v>2. 1-24 hours</v>
      </c>
      <c r="O3710" t="str">
        <f t="shared" si="115"/>
        <v>2026-06</v>
      </c>
    </row>
    <row r="3711" spans="1:15" x14ac:dyDescent="0.3">
      <c r="A3711" t="s">
        <v>8760</v>
      </c>
      <c r="B3711" t="s">
        <v>8761</v>
      </c>
      <c r="C3711" t="s">
        <v>53</v>
      </c>
      <c r="D3711" t="s">
        <v>54</v>
      </c>
      <c r="E3711" t="s">
        <v>39</v>
      </c>
      <c r="F3711" t="s">
        <v>106</v>
      </c>
      <c r="G3711">
        <v>14.05</v>
      </c>
      <c r="H3711" t="s">
        <v>41</v>
      </c>
      <c r="I3711" t="s">
        <v>42</v>
      </c>
      <c r="M3711">
        <f>VLOOKUP(H3711,'Stage Order'!$A$2:$B$8,2,FALSE)</f>
        <v>2</v>
      </c>
      <c r="N3711" t="str">
        <f t="shared" si="114"/>
        <v>2. 1-24 hours</v>
      </c>
      <c r="O3711" t="str">
        <f t="shared" si="115"/>
        <v>2026-06</v>
      </c>
    </row>
    <row r="3712" spans="1:15" x14ac:dyDescent="0.3">
      <c r="A3712" t="s">
        <v>8762</v>
      </c>
      <c r="B3712" t="s">
        <v>8763</v>
      </c>
      <c r="C3712" t="s">
        <v>81</v>
      </c>
      <c r="D3712" t="s">
        <v>29</v>
      </c>
      <c r="E3712" t="s">
        <v>45</v>
      </c>
      <c r="F3712" t="s">
        <v>55</v>
      </c>
      <c r="G3712">
        <v>12.69</v>
      </c>
      <c r="H3712" t="s">
        <v>61</v>
      </c>
      <c r="I3712" t="s">
        <v>42</v>
      </c>
      <c r="M3712">
        <f>VLOOKUP(H3712,'Stage Order'!$A$2:$B$8,2,FALSE)</f>
        <v>1</v>
      </c>
      <c r="N3712" t="str">
        <f t="shared" si="114"/>
        <v>2. 1-24 hours</v>
      </c>
      <c r="O3712" t="str">
        <f t="shared" si="115"/>
        <v>2026-06</v>
      </c>
    </row>
    <row r="3713" spans="1:15" x14ac:dyDescent="0.3">
      <c r="A3713" t="s">
        <v>8764</v>
      </c>
      <c r="B3713" t="s">
        <v>8765</v>
      </c>
      <c r="C3713" t="s">
        <v>125</v>
      </c>
      <c r="D3713" t="s">
        <v>54</v>
      </c>
      <c r="E3713" t="s">
        <v>59</v>
      </c>
      <c r="F3713" t="s">
        <v>117</v>
      </c>
      <c r="G3713">
        <v>1.32</v>
      </c>
      <c r="H3713" t="s">
        <v>41</v>
      </c>
      <c r="I3713" t="s">
        <v>42</v>
      </c>
      <c r="M3713">
        <f>VLOOKUP(H3713,'Stage Order'!$A$2:$B$8,2,FALSE)</f>
        <v>2</v>
      </c>
      <c r="N3713" t="str">
        <f t="shared" si="114"/>
        <v>2. 1-24 hours</v>
      </c>
      <c r="O3713" t="str">
        <f t="shared" si="115"/>
        <v>2025-10</v>
      </c>
    </row>
    <row r="3714" spans="1:15" x14ac:dyDescent="0.3">
      <c r="A3714" t="s">
        <v>8766</v>
      </c>
      <c r="B3714" t="s">
        <v>8767</v>
      </c>
      <c r="C3714" t="s">
        <v>53</v>
      </c>
      <c r="D3714" t="s">
        <v>54</v>
      </c>
      <c r="E3714" t="s">
        <v>59</v>
      </c>
      <c r="F3714" t="s">
        <v>60</v>
      </c>
      <c r="G3714">
        <v>2.34</v>
      </c>
      <c r="H3714" t="s">
        <v>41</v>
      </c>
      <c r="I3714" t="s">
        <v>42</v>
      </c>
      <c r="M3714">
        <f>VLOOKUP(H3714,'Stage Order'!$A$2:$B$8,2,FALSE)</f>
        <v>2</v>
      </c>
      <c r="N3714" t="str">
        <f t="shared" ref="N3714:N3777" si="116">IF(G3714&lt;=1,"1. Under 1 hour",IF(G3714&lt;=24,"2. 1-24 hours",IF(G3714&lt;=72,"3. 1-3 days","4. Over 3 days")))</f>
        <v>2. 1-24 hours</v>
      </c>
      <c r="O3714" t="str">
        <f t="shared" ref="O3714:O3777" si="117">TEXT(B3714,"YYYY-MM")</f>
        <v>2025-08</v>
      </c>
    </row>
    <row r="3715" spans="1:15" x14ac:dyDescent="0.3">
      <c r="A3715" t="s">
        <v>8768</v>
      </c>
      <c r="B3715" t="s">
        <v>8769</v>
      </c>
      <c r="C3715" t="s">
        <v>81</v>
      </c>
      <c r="D3715" t="s">
        <v>77</v>
      </c>
      <c r="E3715" t="s">
        <v>39</v>
      </c>
      <c r="F3715" t="s">
        <v>40</v>
      </c>
      <c r="G3715">
        <v>3.64</v>
      </c>
      <c r="H3715" t="s">
        <v>61</v>
      </c>
      <c r="I3715" t="s">
        <v>42</v>
      </c>
      <c r="M3715">
        <f>VLOOKUP(H3715,'Stage Order'!$A$2:$B$8,2,FALSE)</f>
        <v>1</v>
      </c>
      <c r="N3715" t="str">
        <f t="shared" si="116"/>
        <v>2. 1-24 hours</v>
      </c>
      <c r="O3715" t="str">
        <f t="shared" si="117"/>
        <v>2025-10</v>
      </c>
    </row>
    <row r="3716" spans="1:15" x14ac:dyDescent="0.3">
      <c r="A3716" t="s">
        <v>8770</v>
      </c>
      <c r="B3716" t="s">
        <v>8771</v>
      </c>
      <c r="C3716" t="s">
        <v>58</v>
      </c>
      <c r="D3716" t="s">
        <v>54</v>
      </c>
      <c r="E3716" t="s">
        <v>45</v>
      </c>
      <c r="F3716" t="s">
        <v>46</v>
      </c>
      <c r="G3716">
        <v>2.1</v>
      </c>
      <c r="H3716" t="s">
        <v>41</v>
      </c>
      <c r="I3716" t="s">
        <v>42</v>
      </c>
      <c r="M3716">
        <f>VLOOKUP(H3716,'Stage Order'!$A$2:$B$8,2,FALSE)</f>
        <v>2</v>
      </c>
      <c r="N3716" t="str">
        <f t="shared" si="116"/>
        <v>2. 1-24 hours</v>
      </c>
      <c r="O3716" t="str">
        <f t="shared" si="117"/>
        <v>2025-10</v>
      </c>
    </row>
    <row r="3717" spans="1:15" x14ac:dyDescent="0.3">
      <c r="A3717" t="s">
        <v>8772</v>
      </c>
      <c r="B3717" t="s">
        <v>8773</v>
      </c>
      <c r="C3717" t="s">
        <v>81</v>
      </c>
      <c r="D3717" t="s">
        <v>38</v>
      </c>
      <c r="E3717" t="s">
        <v>45</v>
      </c>
      <c r="F3717" t="s">
        <v>94</v>
      </c>
      <c r="G3717">
        <v>19.510000000000002</v>
      </c>
      <c r="H3717" t="s">
        <v>128</v>
      </c>
      <c r="I3717" t="s">
        <v>42</v>
      </c>
      <c r="M3717">
        <f>VLOOKUP(H3717,'Stage Order'!$A$2:$B$8,2,FALSE)</f>
        <v>3</v>
      </c>
      <c r="N3717" t="str">
        <f t="shared" si="116"/>
        <v>2. 1-24 hours</v>
      </c>
      <c r="O3717" t="str">
        <f t="shared" si="117"/>
        <v>2026-06</v>
      </c>
    </row>
    <row r="3718" spans="1:15" x14ac:dyDescent="0.3">
      <c r="A3718" t="s">
        <v>8774</v>
      </c>
      <c r="B3718" t="s">
        <v>8775</v>
      </c>
      <c r="C3718" t="s">
        <v>58</v>
      </c>
      <c r="D3718" t="s">
        <v>38</v>
      </c>
      <c r="E3718" t="s">
        <v>45</v>
      </c>
      <c r="F3718" t="s">
        <v>46</v>
      </c>
      <c r="G3718">
        <v>6.59</v>
      </c>
      <c r="H3718" t="s">
        <v>146</v>
      </c>
      <c r="I3718" t="s">
        <v>48</v>
      </c>
      <c r="J3718" t="s">
        <v>113</v>
      </c>
      <c r="K3718">
        <v>342.85</v>
      </c>
      <c r="L3718" t="s">
        <v>8776</v>
      </c>
      <c r="M3718">
        <f>VLOOKUP(H3718,'Stage Order'!$A$2:$B$8,2,FALSE)</f>
        <v>5</v>
      </c>
      <c r="N3718" t="str">
        <f t="shared" si="116"/>
        <v>2. 1-24 hours</v>
      </c>
      <c r="O3718" t="str">
        <f t="shared" si="117"/>
        <v>2025-06</v>
      </c>
    </row>
    <row r="3719" spans="1:15" x14ac:dyDescent="0.3">
      <c r="A3719" t="s">
        <v>8777</v>
      </c>
      <c r="B3719" t="s">
        <v>8778</v>
      </c>
      <c r="C3719" t="s">
        <v>81</v>
      </c>
      <c r="D3719" t="s">
        <v>29</v>
      </c>
      <c r="E3719" t="s">
        <v>39</v>
      </c>
      <c r="F3719" t="s">
        <v>40</v>
      </c>
      <c r="G3719">
        <v>1.28</v>
      </c>
      <c r="H3719" t="s">
        <v>41</v>
      </c>
      <c r="I3719" t="s">
        <v>42</v>
      </c>
      <c r="M3719">
        <f>VLOOKUP(H3719,'Stage Order'!$A$2:$B$8,2,FALSE)</f>
        <v>2</v>
      </c>
      <c r="N3719" t="str">
        <f t="shared" si="116"/>
        <v>2. 1-24 hours</v>
      </c>
      <c r="O3719" t="str">
        <f t="shared" si="117"/>
        <v>2026-06</v>
      </c>
    </row>
    <row r="3720" spans="1:15" x14ac:dyDescent="0.3">
      <c r="A3720" t="s">
        <v>8779</v>
      </c>
      <c r="B3720" t="s">
        <v>8780</v>
      </c>
      <c r="C3720" t="s">
        <v>28</v>
      </c>
      <c r="D3720" t="s">
        <v>54</v>
      </c>
      <c r="E3720" t="s">
        <v>39</v>
      </c>
      <c r="F3720" t="s">
        <v>40</v>
      </c>
      <c r="G3720">
        <v>2.15</v>
      </c>
      <c r="H3720" t="s">
        <v>32</v>
      </c>
      <c r="I3720" t="s">
        <v>33</v>
      </c>
      <c r="K3720">
        <v>525.9</v>
      </c>
      <c r="L3720" t="s">
        <v>8781</v>
      </c>
      <c r="M3720">
        <f>VLOOKUP(H3720,'Stage Order'!$A$2:$B$8,2,FALSE)</f>
        <v>7</v>
      </c>
      <c r="N3720" t="str">
        <f t="shared" si="116"/>
        <v>2. 1-24 hours</v>
      </c>
      <c r="O3720" t="str">
        <f t="shared" si="117"/>
        <v>2025-12</v>
      </c>
    </row>
    <row r="3721" spans="1:15" x14ac:dyDescent="0.3">
      <c r="A3721" t="s">
        <v>8782</v>
      </c>
      <c r="B3721" t="s">
        <v>8783</v>
      </c>
      <c r="C3721" t="s">
        <v>125</v>
      </c>
      <c r="D3721" t="s">
        <v>77</v>
      </c>
      <c r="E3721" t="s">
        <v>45</v>
      </c>
      <c r="F3721" t="s">
        <v>55</v>
      </c>
      <c r="G3721">
        <v>2.72</v>
      </c>
      <c r="H3721" t="s">
        <v>47</v>
      </c>
      <c r="I3721" t="s">
        <v>48</v>
      </c>
      <c r="J3721" t="s">
        <v>49</v>
      </c>
      <c r="K3721">
        <v>1050.3499999999999</v>
      </c>
      <c r="L3721" t="s">
        <v>8784</v>
      </c>
      <c r="M3721">
        <f>VLOOKUP(H3721,'Stage Order'!$A$2:$B$8,2,FALSE)</f>
        <v>4</v>
      </c>
      <c r="N3721" t="str">
        <f t="shared" si="116"/>
        <v>2. 1-24 hours</v>
      </c>
      <c r="O3721" t="str">
        <f t="shared" si="117"/>
        <v>2025-01</v>
      </c>
    </row>
    <row r="3722" spans="1:15" x14ac:dyDescent="0.3">
      <c r="A3722" t="s">
        <v>8785</v>
      </c>
      <c r="B3722" t="s">
        <v>8786</v>
      </c>
      <c r="C3722" t="s">
        <v>37</v>
      </c>
      <c r="D3722" t="s">
        <v>97</v>
      </c>
      <c r="E3722" t="s">
        <v>45</v>
      </c>
      <c r="F3722" t="s">
        <v>46</v>
      </c>
      <c r="G3722">
        <v>1.24</v>
      </c>
      <c r="H3722" t="s">
        <v>138</v>
      </c>
      <c r="I3722" t="s">
        <v>48</v>
      </c>
      <c r="J3722" t="s">
        <v>98</v>
      </c>
      <c r="K3722">
        <v>1277.75</v>
      </c>
      <c r="L3722" t="s">
        <v>8787</v>
      </c>
      <c r="M3722">
        <f>VLOOKUP(H3722,'Stage Order'!$A$2:$B$8,2,FALSE)</f>
        <v>6</v>
      </c>
      <c r="N3722" t="str">
        <f t="shared" si="116"/>
        <v>2. 1-24 hours</v>
      </c>
      <c r="O3722" t="str">
        <f t="shared" si="117"/>
        <v>2026-04</v>
      </c>
    </row>
    <row r="3723" spans="1:15" x14ac:dyDescent="0.3">
      <c r="A3723" t="s">
        <v>8788</v>
      </c>
      <c r="B3723" t="s">
        <v>8789</v>
      </c>
      <c r="C3723" t="s">
        <v>37</v>
      </c>
      <c r="D3723" t="s">
        <v>77</v>
      </c>
      <c r="E3723" t="s">
        <v>90</v>
      </c>
      <c r="F3723" t="s">
        <v>91</v>
      </c>
      <c r="G3723">
        <v>5.99</v>
      </c>
      <c r="H3723" t="s">
        <v>128</v>
      </c>
      <c r="I3723" t="s">
        <v>42</v>
      </c>
      <c r="M3723">
        <f>VLOOKUP(H3723,'Stage Order'!$A$2:$B$8,2,FALSE)</f>
        <v>3</v>
      </c>
      <c r="N3723" t="str">
        <f t="shared" si="116"/>
        <v>2. 1-24 hours</v>
      </c>
      <c r="O3723" t="str">
        <f t="shared" si="117"/>
        <v>2026-04</v>
      </c>
    </row>
    <row r="3724" spans="1:15" x14ac:dyDescent="0.3">
      <c r="A3724" t="s">
        <v>8790</v>
      </c>
      <c r="B3724" t="s">
        <v>8791</v>
      </c>
      <c r="C3724" t="s">
        <v>28</v>
      </c>
      <c r="D3724" t="s">
        <v>54</v>
      </c>
      <c r="E3724" t="s">
        <v>90</v>
      </c>
      <c r="F3724" t="s">
        <v>112</v>
      </c>
      <c r="G3724">
        <v>0.98</v>
      </c>
      <c r="H3724" t="s">
        <v>41</v>
      </c>
      <c r="I3724" t="s">
        <v>42</v>
      </c>
      <c r="M3724">
        <f>VLOOKUP(H3724,'Stage Order'!$A$2:$B$8,2,FALSE)</f>
        <v>2</v>
      </c>
      <c r="N3724" t="str">
        <f t="shared" si="116"/>
        <v>1. Under 1 hour</v>
      </c>
      <c r="O3724" t="str">
        <f t="shared" si="117"/>
        <v>2026-01</v>
      </c>
    </row>
    <row r="3725" spans="1:15" x14ac:dyDescent="0.3">
      <c r="A3725" t="s">
        <v>8792</v>
      </c>
      <c r="B3725" t="s">
        <v>8793</v>
      </c>
      <c r="C3725" t="s">
        <v>53</v>
      </c>
      <c r="D3725" t="s">
        <v>38</v>
      </c>
      <c r="E3725" t="s">
        <v>39</v>
      </c>
      <c r="F3725" t="s">
        <v>66</v>
      </c>
      <c r="G3725">
        <v>4.46</v>
      </c>
      <c r="H3725" t="s">
        <v>41</v>
      </c>
      <c r="I3725" t="s">
        <v>42</v>
      </c>
      <c r="M3725">
        <f>VLOOKUP(H3725,'Stage Order'!$A$2:$B$8,2,FALSE)</f>
        <v>2</v>
      </c>
      <c r="N3725" t="str">
        <f t="shared" si="116"/>
        <v>2. 1-24 hours</v>
      </c>
      <c r="O3725" t="str">
        <f t="shared" si="117"/>
        <v>2025-07</v>
      </c>
    </row>
    <row r="3726" spans="1:15" x14ac:dyDescent="0.3">
      <c r="A3726" t="s">
        <v>8794</v>
      </c>
      <c r="B3726" t="s">
        <v>8795</v>
      </c>
      <c r="C3726" t="s">
        <v>125</v>
      </c>
      <c r="D3726" t="s">
        <v>97</v>
      </c>
      <c r="E3726" t="s">
        <v>90</v>
      </c>
      <c r="F3726" t="s">
        <v>145</v>
      </c>
      <c r="G3726">
        <v>2.97</v>
      </c>
      <c r="H3726" t="s">
        <v>41</v>
      </c>
      <c r="I3726" t="s">
        <v>42</v>
      </c>
      <c r="M3726">
        <f>VLOOKUP(H3726,'Stage Order'!$A$2:$B$8,2,FALSE)</f>
        <v>2</v>
      </c>
      <c r="N3726" t="str">
        <f t="shared" si="116"/>
        <v>2. 1-24 hours</v>
      </c>
      <c r="O3726" t="str">
        <f t="shared" si="117"/>
        <v>2025-04</v>
      </c>
    </row>
    <row r="3727" spans="1:15" x14ac:dyDescent="0.3">
      <c r="A3727" t="s">
        <v>8796</v>
      </c>
      <c r="B3727" t="s">
        <v>8797</v>
      </c>
      <c r="C3727" t="s">
        <v>53</v>
      </c>
      <c r="D3727" t="s">
        <v>29</v>
      </c>
      <c r="E3727" t="s">
        <v>45</v>
      </c>
      <c r="F3727" t="s">
        <v>94</v>
      </c>
      <c r="G3727">
        <v>2.58</v>
      </c>
      <c r="H3727" t="s">
        <v>41</v>
      </c>
      <c r="I3727" t="s">
        <v>42</v>
      </c>
      <c r="M3727">
        <f>VLOOKUP(H3727,'Stage Order'!$A$2:$B$8,2,FALSE)</f>
        <v>2</v>
      </c>
      <c r="N3727" t="str">
        <f t="shared" si="116"/>
        <v>2. 1-24 hours</v>
      </c>
      <c r="O3727" t="str">
        <f t="shared" si="117"/>
        <v>2025-10</v>
      </c>
    </row>
    <row r="3728" spans="1:15" x14ac:dyDescent="0.3">
      <c r="A3728" t="s">
        <v>8798</v>
      </c>
      <c r="B3728" t="s">
        <v>8799</v>
      </c>
      <c r="C3728" t="s">
        <v>53</v>
      </c>
      <c r="D3728" t="s">
        <v>77</v>
      </c>
      <c r="E3728" t="s">
        <v>90</v>
      </c>
      <c r="F3728" t="s">
        <v>91</v>
      </c>
      <c r="G3728">
        <v>2.23</v>
      </c>
      <c r="H3728" t="s">
        <v>146</v>
      </c>
      <c r="I3728" t="s">
        <v>48</v>
      </c>
      <c r="J3728" t="s">
        <v>49</v>
      </c>
      <c r="K3728">
        <v>1159.25</v>
      </c>
      <c r="L3728" t="s">
        <v>8800</v>
      </c>
      <c r="M3728">
        <f>VLOOKUP(H3728,'Stage Order'!$A$2:$B$8,2,FALSE)</f>
        <v>5</v>
      </c>
      <c r="N3728" t="str">
        <f t="shared" si="116"/>
        <v>2. 1-24 hours</v>
      </c>
      <c r="O3728" t="str">
        <f t="shared" si="117"/>
        <v>2025-07</v>
      </c>
    </row>
    <row r="3729" spans="1:15" x14ac:dyDescent="0.3">
      <c r="A3729" t="s">
        <v>8801</v>
      </c>
      <c r="B3729" t="s">
        <v>8802</v>
      </c>
      <c r="C3729" t="s">
        <v>37</v>
      </c>
      <c r="D3729" t="s">
        <v>97</v>
      </c>
      <c r="E3729" t="s">
        <v>45</v>
      </c>
      <c r="F3729" t="s">
        <v>94</v>
      </c>
      <c r="G3729">
        <v>3.24</v>
      </c>
      <c r="H3729" t="s">
        <v>41</v>
      </c>
      <c r="I3729" t="s">
        <v>42</v>
      </c>
      <c r="M3729">
        <f>VLOOKUP(H3729,'Stage Order'!$A$2:$B$8,2,FALSE)</f>
        <v>2</v>
      </c>
      <c r="N3729" t="str">
        <f t="shared" si="116"/>
        <v>2. 1-24 hours</v>
      </c>
      <c r="O3729" t="str">
        <f t="shared" si="117"/>
        <v>2026-01</v>
      </c>
    </row>
    <row r="3730" spans="1:15" x14ac:dyDescent="0.3">
      <c r="A3730" t="s">
        <v>8803</v>
      </c>
      <c r="B3730" t="s">
        <v>8804</v>
      </c>
      <c r="C3730" t="s">
        <v>58</v>
      </c>
      <c r="D3730" t="s">
        <v>54</v>
      </c>
      <c r="E3730" t="s">
        <v>45</v>
      </c>
      <c r="F3730" t="s">
        <v>46</v>
      </c>
      <c r="G3730">
        <v>0.92</v>
      </c>
      <c r="H3730" t="s">
        <v>41</v>
      </c>
      <c r="I3730" t="s">
        <v>42</v>
      </c>
      <c r="M3730">
        <f>VLOOKUP(H3730,'Stage Order'!$A$2:$B$8,2,FALSE)</f>
        <v>2</v>
      </c>
      <c r="N3730" t="str">
        <f t="shared" si="116"/>
        <v>1. Under 1 hour</v>
      </c>
      <c r="O3730" t="str">
        <f t="shared" si="117"/>
        <v>2025-06</v>
      </c>
    </row>
    <row r="3731" spans="1:15" x14ac:dyDescent="0.3">
      <c r="A3731" t="s">
        <v>8805</v>
      </c>
      <c r="B3731" t="s">
        <v>8806</v>
      </c>
      <c r="C3731" t="s">
        <v>53</v>
      </c>
      <c r="D3731" t="s">
        <v>77</v>
      </c>
      <c r="E3731" t="s">
        <v>39</v>
      </c>
      <c r="F3731" t="s">
        <v>40</v>
      </c>
      <c r="G3731">
        <v>4.28</v>
      </c>
      <c r="H3731" t="s">
        <v>41</v>
      </c>
      <c r="I3731" t="s">
        <v>42</v>
      </c>
      <c r="M3731">
        <f>VLOOKUP(H3731,'Stage Order'!$A$2:$B$8,2,FALSE)</f>
        <v>2</v>
      </c>
      <c r="N3731" t="str">
        <f t="shared" si="116"/>
        <v>2. 1-24 hours</v>
      </c>
      <c r="O3731" t="str">
        <f t="shared" si="117"/>
        <v>2025-10</v>
      </c>
    </row>
    <row r="3732" spans="1:15" x14ac:dyDescent="0.3">
      <c r="A3732" t="s">
        <v>8807</v>
      </c>
      <c r="B3732" t="s">
        <v>8808</v>
      </c>
      <c r="C3732" t="s">
        <v>53</v>
      </c>
      <c r="D3732" t="s">
        <v>97</v>
      </c>
      <c r="E3732" t="s">
        <v>39</v>
      </c>
      <c r="F3732" t="s">
        <v>106</v>
      </c>
      <c r="G3732">
        <v>4.51</v>
      </c>
      <c r="H3732" t="s">
        <v>32</v>
      </c>
      <c r="I3732" t="s">
        <v>33</v>
      </c>
      <c r="K3732">
        <v>1491.15</v>
      </c>
      <c r="L3732" t="s">
        <v>8809</v>
      </c>
      <c r="M3732">
        <f>VLOOKUP(H3732,'Stage Order'!$A$2:$B$8,2,FALSE)</f>
        <v>7</v>
      </c>
      <c r="N3732" t="str">
        <f t="shared" si="116"/>
        <v>2. 1-24 hours</v>
      </c>
      <c r="O3732" t="str">
        <f t="shared" si="117"/>
        <v>2025-11</v>
      </c>
    </row>
    <row r="3733" spans="1:15" x14ac:dyDescent="0.3">
      <c r="A3733" t="s">
        <v>8810</v>
      </c>
      <c r="B3733" t="s">
        <v>8811</v>
      </c>
      <c r="C3733" t="s">
        <v>125</v>
      </c>
      <c r="D3733" t="s">
        <v>77</v>
      </c>
      <c r="E3733" t="s">
        <v>30</v>
      </c>
      <c r="F3733" t="s">
        <v>78</v>
      </c>
      <c r="G3733">
        <v>1.78</v>
      </c>
      <c r="H3733" t="s">
        <v>41</v>
      </c>
      <c r="I3733" t="s">
        <v>42</v>
      </c>
      <c r="M3733">
        <f>VLOOKUP(H3733,'Stage Order'!$A$2:$B$8,2,FALSE)</f>
        <v>2</v>
      </c>
      <c r="N3733" t="str">
        <f t="shared" si="116"/>
        <v>2. 1-24 hours</v>
      </c>
      <c r="O3733" t="str">
        <f t="shared" si="117"/>
        <v>2026-02</v>
      </c>
    </row>
    <row r="3734" spans="1:15" x14ac:dyDescent="0.3">
      <c r="A3734" t="s">
        <v>8812</v>
      </c>
      <c r="B3734" t="s">
        <v>8813</v>
      </c>
      <c r="C3734" t="s">
        <v>53</v>
      </c>
      <c r="D3734" t="s">
        <v>77</v>
      </c>
      <c r="E3734" t="s">
        <v>45</v>
      </c>
      <c r="F3734" t="s">
        <v>46</v>
      </c>
      <c r="G3734">
        <v>3.93</v>
      </c>
      <c r="H3734" t="s">
        <v>41</v>
      </c>
      <c r="I3734" t="s">
        <v>42</v>
      </c>
      <c r="M3734">
        <f>VLOOKUP(H3734,'Stage Order'!$A$2:$B$8,2,FALSE)</f>
        <v>2</v>
      </c>
      <c r="N3734" t="str">
        <f t="shared" si="116"/>
        <v>2. 1-24 hours</v>
      </c>
      <c r="O3734" t="str">
        <f t="shared" si="117"/>
        <v>2025-04</v>
      </c>
    </row>
    <row r="3735" spans="1:15" x14ac:dyDescent="0.3">
      <c r="A3735" t="s">
        <v>8814</v>
      </c>
      <c r="B3735" t="s">
        <v>8815</v>
      </c>
      <c r="C3735" t="s">
        <v>37</v>
      </c>
      <c r="D3735" t="s">
        <v>77</v>
      </c>
      <c r="E3735" t="s">
        <v>90</v>
      </c>
      <c r="F3735" t="s">
        <v>145</v>
      </c>
      <c r="G3735">
        <v>2.37</v>
      </c>
      <c r="H3735" t="s">
        <v>41</v>
      </c>
      <c r="I3735" t="s">
        <v>42</v>
      </c>
      <c r="M3735">
        <f>VLOOKUP(H3735,'Stage Order'!$A$2:$B$8,2,FALSE)</f>
        <v>2</v>
      </c>
      <c r="N3735" t="str">
        <f t="shared" si="116"/>
        <v>2. 1-24 hours</v>
      </c>
      <c r="O3735" t="str">
        <f t="shared" si="117"/>
        <v>2025-08</v>
      </c>
    </row>
    <row r="3736" spans="1:15" x14ac:dyDescent="0.3">
      <c r="A3736" t="s">
        <v>8816</v>
      </c>
      <c r="B3736" t="s">
        <v>8817</v>
      </c>
      <c r="C3736" t="s">
        <v>53</v>
      </c>
      <c r="D3736" t="s">
        <v>77</v>
      </c>
      <c r="E3736" t="s">
        <v>39</v>
      </c>
      <c r="F3736" t="s">
        <v>66</v>
      </c>
      <c r="G3736">
        <v>4.4400000000000004</v>
      </c>
      <c r="H3736" t="s">
        <v>41</v>
      </c>
      <c r="I3736" t="s">
        <v>42</v>
      </c>
      <c r="M3736">
        <f>VLOOKUP(H3736,'Stage Order'!$A$2:$B$8,2,FALSE)</f>
        <v>2</v>
      </c>
      <c r="N3736" t="str">
        <f t="shared" si="116"/>
        <v>2. 1-24 hours</v>
      </c>
      <c r="O3736" t="str">
        <f t="shared" si="117"/>
        <v>2025-01</v>
      </c>
    </row>
    <row r="3737" spans="1:15" x14ac:dyDescent="0.3">
      <c r="A3737" t="s">
        <v>8818</v>
      </c>
      <c r="B3737" t="s">
        <v>8819</v>
      </c>
      <c r="C3737" t="s">
        <v>58</v>
      </c>
      <c r="D3737" t="s">
        <v>77</v>
      </c>
      <c r="E3737" t="s">
        <v>39</v>
      </c>
      <c r="F3737" t="s">
        <v>66</v>
      </c>
      <c r="G3737">
        <v>12.07</v>
      </c>
      <c r="H3737" t="s">
        <v>138</v>
      </c>
      <c r="I3737" t="s">
        <v>48</v>
      </c>
      <c r="J3737" t="s">
        <v>113</v>
      </c>
      <c r="K3737">
        <v>947.64</v>
      </c>
      <c r="L3737" t="s">
        <v>8820</v>
      </c>
      <c r="M3737">
        <f>VLOOKUP(H3737,'Stage Order'!$A$2:$B$8,2,FALSE)</f>
        <v>6</v>
      </c>
      <c r="N3737" t="str">
        <f t="shared" si="116"/>
        <v>2. 1-24 hours</v>
      </c>
      <c r="O3737" t="str">
        <f t="shared" si="117"/>
        <v>2025-08</v>
      </c>
    </row>
    <row r="3738" spans="1:15" x14ac:dyDescent="0.3">
      <c r="A3738" t="s">
        <v>8821</v>
      </c>
      <c r="B3738" t="s">
        <v>8822</v>
      </c>
      <c r="C3738" t="s">
        <v>76</v>
      </c>
      <c r="D3738" t="s">
        <v>54</v>
      </c>
      <c r="E3738" t="s">
        <v>59</v>
      </c>
      <c r="F3738" t="s">
        <v>117</v>
      </c>
      <c r="G3738">
        <v>1.98</v>
      </c>
      <c r="H3738" t="s">
        <v>32</v>
      </c>
      <c r="I3738" t="s">
        <v>33</v>
      </c>
      <c r="K3738">
        <v>579.92999999999995</v>
      </c>
      <c r="L3738" t="s">
        <v>8823</v>
      </c>
      <c r="M3738">
        <f>VLOOKUP(H3738,'Stage Order'!$A$2:$B$8,2,FALSE)</f>
        <v>7</v>
      </c>
      <c r="N3738" t="str">
        <f t="shared" si="116"/>
        <v>2. 1-24 hours</v>
      </c>
      <c r="O3738" t="str">
        <f t="shared" si="117"/>
        <v>2025-09</v>
      </c>
    </row>
    <row r="3739" spans="1:15" x14ac:dyDescent="0.3">
      <c r="A3739" t="s">
        <v>8824</v>
      </c>
      <c r="B3739" t="s">
        <v>8825</v>
      </c>
      <c r="C3739" t="s">
        <v>125</v>
      </c>
      <c r="D3739" t="s">
        <v>38</v>
      </c>
      <c r="E3739" t="s">
        <v>59</v>
      </c>
      <c r="F3739" t="s">
        <v>117</v>
      </c>
      <c r="G3739">
        <v>10.07</v>
      </c>
      <c r="H3739" t="s">
        <v>41</v>
      </c>
      <c r="I3739" t="s">
        <v>42</v>
      </c>
      <c r="M3739">
        <f>VLOOKUP(H3739,'Stage Order'!$A$2:$B$8,2,FALSE)</f>
        <v>2</v>
      </c>
      <c r="N3739" t="str">
        <f t="shared" si="116"/>
        <v>2. 1-24 hours</v>
      </c>
      <c r="O3739" t="str">
        <f t="shared" si="117"/>
        <v>2026-05</v>
      </c>
    </row>
    <row r="3740" spans="1:15" x14ac:dyDescent="0.3">
      <c r="A3740" t="s">
        <v>8826</v>
      </c>
      <c r="B3740" t="s">
        <v>8827</v>
      </c>
      <c r="C3740" t="s">
        <v>53</v>
      </c>
      <c r="D3740" t="s">
        <v>77</v>
      </c>
      <c r="E3740" t="s">
        <v>90</v>
      </c>
      <c r="F3740" t="s">
        <v>91</v>
      </c>
      <c r="G3740">
        <v>5.46</v>
      </c>
      <c r="H3740" t="s">
        <v>41</v>
      </c>
      <c r="I3740" t="s">
        <v>42</v>
      </c>
      <c r="M3740">
        <f>VLOOKUP(H3740,'Stage Order'!$A$2:$B$8,2,FALSE)</f>
        <v>2</v>
      </c>
      <c r="N3740" t="str">
        <f t="shared" si="116"/>
        <v>2. 1-24 hours</v>
      </c>
      <c r="O3740" t="str">
        <f t="shared" si="117"/>
        <v>2026-05</v>
      </c>
    </row>
    <row r="3741" spans="1:15" x14ac:dyDescent="0.3">
      <c r="A3741" t="s">
        <v>8828</v>
      </c>
      <c r="B3741" t="s">
        <v>8829</v>
      </c>
      <c r="C3741" t="s">
        <v>125</v>
      </c>
      <c r="D3741" t="s">
        <v>29</v>
      </c>
      <c r="E3741" t="s">
        <v>45</v>
      </c>
      <c r="F3741" t="s">
        <v>46</v>
      </c>
      <c r="G3741">
        <v>0.92</v>
      </c>
      <c r="H3741" t="s">
        <v>61</v>
      </c>
      <c r="I3741" t="s">
        <v>42</v>
      </c>
      <c r="M3741">
        <f>VLOOKUP(H3741,'Stage Order'!$A$2:$B$8,2,FALSE)</f>
        <v>1</v>
      </c>
      <c r="N3741" t="str">
        <f t="shared" si="116"/>
        <v>1. Under 1 hour</v>
      </c>
      <c r="O3741" t="str">
        <f t="shared" si="117"/>
        <v>2026-01</v>
      </c>
    </row>
    <row r="3742" spans="1:15" x14ac:dyDescent="0.3">
      <c r="A3742" t="s">
        <v>8830</v>
      </c>
      <c r="B3742" t="s">
        <v>8831</v>
      </c>
      <c r="C3742" t="s">
        <v>53</v>
      </c>
      <c r="D3742" t="s">
        <v>97</v>
      </c>
      <c r="E3742" t="s">
        <v>90</v>
      </c>
      <c r="F3742" t="s">
        <v>145</v>
      </c>
      <c r="G3742">
        <v>10.18</v>
      </c>
      <c r="H3742" t="s">
        <v>41</v>
      </c>
      <c r="I3742" t="s">
        <v>42</v>
      </c>
      <c r="M3742">
        <f>VLOOKUP(H3742,'Stage Order'!$A$2:$B$8,2,FALSE)</f>
        <v>2</v>
      </c>
      <c r="N3742" t="str">
        <f t="shared" si="116"/>
        <v>2. 1-24 hours</v>
      </c>
      <c r="O3742" t="str">
        <f t="shared" si="117"/>
        <v>2025-04</v>
      </c>
    </row>
    <row r="3743" spans="1:15" x14ac:dyDescent="0.3">
      <c r="A3743" t="s">
        <v>8832</v>
      </c>
      <c r="B3743" t="s">
        <v>8833</v>
      </c>
      <c r="C3743" t="s">
        <v>58</v>
      </c>
      <c r="D3743" t="s">
        <v>77</v>
      </c>
      <c r="E3743" t="s">
        <v>59</v>
      </c>
      <c r="F3743" t="s">
        <v>117</v>
      </c>
      <c r="G3743">
        <v>1.07</v>
      </c>
      <c r="H3743" t="s">
        <v>41</v>
      </c>
      <c r="I3743" t="s">
        <v>42</v>
      </c>
      <c r="M3743">
        <f>VLOOKUP(H3743,'Stage Order'!$A$2:$B$8,2,FALSE)</f>
        <v>2</v>
      </c>
      <c r="N3743" t="str">
        <f t="shared" si="116"/>
        <v>2. 1-24 hours</v>
      </c>
      <c r="O3743" t="str">
        <f t="shared" si="117"/>
        <v>2026-04</v>
      </c>
    </row>
    <row r="3744" spans="1:15" x14ac:dyDescent="0.3">
      <c r="A3744" t="s">
        <v>8834</v>
      </c>
      <c r="B3744" t="s">
        <v>8835</v>
      </c>
      <c r="C3744" t="s">
        <v>125</v>
      </c>
      <c r="D3744" t="s">
        <v>38</v>
      </c>
      <c r="E3744" t="s">
        <v>39</v>
      </c>
      <c r="F3744" t="s">
        <v>40</v>
      </c>
      <c r="G3744">
        <v>4.5199999999999996</v>
      </c>
      <c r="H3744" t="s">
        <v>41</v>
      </c>
      <c r="I3744" t="s">
        <v>42</v>
      </c>
      <c r="M3744">
        <f>VLOOKUP(H3744,'Stage Order'!$A$2:$B$8,2,FALSE)</f>
        <v>2</v>
      </c>
      <c r="N3744" t="str">
        <f t="shared" si="116"/>
        <v>2. 1-24 hours</v>
      </c>
      <c r="O3744" t="str">
        <f t="shared" si="117"/>
        <v>2026-04</v>
      </c>
    </row>
    <row r="3745" spans="1:15" x14ac:dyDescent="0.3">
      <c r="A3745" t="s">
        <v>8836</v>
      </c>
      <c r="B3745" t="s">
        <v>8837</v>
      </c>
      <c r="C3745" t="s">
        <v>37</v>
      </c>
      <c r="D3745" t="s">
        <v>77</v>
      </c>
      <c r="E3745" t="s">
        <v>39</v>
      </c>
      <c r="F3745" t="s">
        <v>106</v>
      </c>
      <c r="G3745">
        <v>1.46</v>
      </c>
      <c r="H3745" t="s">
        <v>41</v>
      </c>
      <c r="I3745" t="s">
        <v>42</v>
      </c>
      <c r="M3745">
        <f>VLOOKUP(H3745,'Stage Order'!$A$2:$B$8,2,FALSE)</f>
        <v>2</v>
      </c>
      <c r="N3745" t="str">
        <f t="shared" si="116"/>
        <v>2. 1-24 hours</v>
      </c>
      <c r="O3745" t="str">
        <f t="shared" si="117"/>
        <v>2026-06</v>
      </c>
    </row>
    <row r="3746" spans="1:15" x14ac:dyDescent="0.3">
      <c r="A3746" t="s">
        <v>8838</v>
      </c>
      <c r="B3746" t="s">
        <v>8839</v>
      </c>
      <c r="C3746" t="s">
        <v>76</v>
      </c>
      <c r="D3746" t="s">
        <v>77</v>
      </c>
      <c r="E3746" t="s">
        <v>59</v>
      </c>
      <c r="F3746" t="s">
        <v>60</v>
      </c>
      <c r="G3746">
        <v>0.82</v>
      </c>
      <c r="H3746" t="s">
        <v>32</v>
      </c>
      <c r="I3746" t="s">
        <v>33</v>
      </c>
      <c r="K3746">
        <v>951.13</v>
      </c>
      <c r="L3746" t="s">
        <v>8840</v>
      </c>
      <c r="M3746">
        <f>VLOOKUP(H3746,'Stage Order'!$A$2:$B$8,2,FALSE)</f>
        <v>7</v>
      </c>
      <c r="N3746" t="str">
        <f t="shared" si="116"/>
        <v>1. Under 1 hour</v>
      </c>
      <c r="O3746" t="str">
        <f t="shared" si="117"/>
        <v>2026-03</v>
      </c>
    </row>
    <row r="3747" spans="1:15" x14ac:dyDescent="0.3">
      <c r="A3747" t="s">
        <v>8841</v>
      </c>
      <c r="B3747" t="s">
        <v>8842</v>
      </c>
      <c r="C3747" t="s">
        <v>58</v>
      </c>
      <c r="D3747" t="s">
        <v>77</v>
      </c>
      <c r="E3747" t="s">
        <v>90</v>
      </c>
      <c r="F3747" t="s">
        <v>112</v>
      </c>
      <c r="G3747">
        <v>3.23</v>
      </c>
      <c r="H3747" t="s">
        <v>61</v>
      </c>
      <c r="I3747" t="s">
        <v>42</v>
      </c>
      <c r="M3747">
        <f>VLOOKUP(H3747,'Stage Order'!$A$2:$B$8,2,FALSE)</f>
        <v>1</v>
      </c>
      <c r="N3747" t="str">
        <f t="shared" si="116"/>
        <v>2. 1-24 hours</v>
      </c>
      <c r="O3747" t="str">
        <f t="shared" si="117"/>
        <v>2025-07</v>
      </c>
    </row>
    <row r="3748" spans="1:15" x14ac:dyDescent="0.3">
      <c r="A3748" t="s">
        <v>8843</v>
      </c>
      <c r="B3748" t="s">
        <v>8844</v>
      </c>
      <c r="C3748" t="s">
        <v>76</v>
      </c>
      <c r="D3748" t="s">
        <v>77</v>
      </c>
      <c r="E3748" t="s">
        <v>90</v>
      </c>
      <c r="F3748" t="s">
        <v>91</v>
      </c>
      <c r="G3748">
        <v>1.1200000000000001</v>
      </c>
      <c r="H3748" t="s">
        <v>61</v>
      </c>
      <c r="I3748" t="s">
        <v>42</v>
      </c>
      <c r="M3748">
        <f>VLOOKUP(H3748,'Stage Order'!$A$2:$B$8,2,FALSE)</f>
        <v>1</v>
      </c>
      <c r="N3748" t="str">
        <f t="shared" si="116"/>
        <v>2. 1-24 hours</v>
      </c>
      <c r="O3748" t="str">
        <f t="shared" si="117"/>
        <v>2025-12</v>
      </c>
    </row>
    <row r="3749" spans="1:15" x14ac:dyDescent="0.3">
      <c r="A3749" t="s">
        <v>8845</v>
      </c>
      <c r="B3749" t="s">
        <v>8846</v>
      </c>
      <c r="C3749" t="s">
        <v>53</v>
      </c>
      <c r="D3749" t="s">
        <v>97</v>
      </c>
      <c r="E3749" t="s">
        <v>45</v>
      </c>
      <c r="F3749" t="s">
        <v>46</v>
      </c>
      <c r="G3749">
        <v>7.12</v>
      </c>
      <c r="H3749" t="s">
        <v>32</v>
      </c>
      <c r="I3749" t="s">
        <v>33</v>
      </c>
      <c r="K3749">
        <v>1383.49</v>
      </c>
      <c r="L3749" t="s">
        <v>8847</v>
      </c>
      <c r="M3749">
        <f>VLOOKUP(H3749,'Stage Order'!$A$2:$B$8,2,FALSE)</f>
        <v>7</v>
      </c>
      <c r="N3749" t="str">
        <f t="shared" si="116"/>
        <v>2. 1-24 hours</v>
      </c>
      <c r="O3749" t="str">
        <f t="shared" si="117"/>
        <v>2026-04</v>
      </c>
    </row>
    <row r="3750" spans="1:15" x14ac:dyDescent="0.3">
      <c r="A3750" t="s">
        <v>8848</v>
      </c>
      <c r="B3750" t="s">
        <v>8849</v>
      </c>
      <c r="C3750" t="s">
        <v>37</v>
      </c>
      <c r="D3750" t="s">
        <v>38</v>
      </c>
      <c r="E3750" t="s">
        <v>45</v>
      </c>
      <c r="F3750" t="s">
        <v>46</v>
      </c>
      <c r="G3750">
        <v>0.84</v>
      </c>
      <c r="H3750" t="s">
        <v>41</v>
      </c>
      <c r="I3750" t="s">
        <v>42</v>
      </c>
      <c r="M3750">
        <f>VLOOKUP(H3750,'Stage Order'!$A$2:$B$8,2,FALSE)</f>
        <v>2</v>
      </c>
      <c r="N3750" t="str">
        <f t="shared" si="116"/>
        <v>1. Under 1 hour</v>
      </c>
      <c r="O3750" t="str">
        <f t="shared" si="117"/>
        <v>2026-04</v>
      </c>
    </row>
    <row r="3751" spans="1:15" x14ac:dyDescent="0.3">
      <c r="A3751" t="s">
        <v>8850</v>
      </c>
      <c r="B3751" t="s">
        <v>8851</v>
      </c>
      <c r="C3751" t="s">
        <v>37</v>
      </c>
      <c r="D3751" t="s">
        <v>38</v>
      </c>
      <c r="E3751" t="s">
        <v>59</v>
      </c>
      <c r="F3751" t="s">
        <v>137</v>
      </c>
      <c r="G3751">
        <v>3.32</v>
      </c>
      <c r="H3751" t="s">
        <v>41</v>
      </c>
      <c r="I3751" t="s">
        <v>42</v>
      </c>
      <c r="M3751">
        <f>VLOOKUP(H3751,'Stage Order'!$A$2:$B$8,2,FALSE)</f>
        <v>2</v>
      </c>
      <c r="N3751" t="str">
        <f t="shared" si="116"/>
        <v>2. 1-24 hours</v>
      </c>
      <c r="O3751" t="str">
        <f t="shared" si="117"/>
        <v>2025-11</v>
      </c>
    </row>
    <row r="3752" spans="1:15" x14ac:dyDescent="0.3">
      <c r="A3752" t="s">
        <v>8852</v>
      </c>
      <c r="B3752" t="s">
        <v>8853</v>
      </c>
      <c r="C3752" t="s">
        <v>81</v>
      </c>
      <c r="D3752" t="s">
        <v>54</v>
      </c>
      <c r="E3752" t="s">
        <v>59</v>
      </c>
      <c r="F3752" t="s">
        <v>137</v>
      </c>
      <c r="G3752">
        <v>3.66</v>
      </c>
      <c r="H3752" t="s">
        <v>41</v>
      </c>
      <c r="I3752" t="s">
        <v>42</v>
      </c>
      <c r="M3752">
        <f>VLOOKUP(H3752,'Stage Order'!$A$2:$B$8,2,FALSE)</f>
        <v>2</v>
      </c>
      <c r="N3752" t="str">
        <f t="shared" si="116"/>
        <v>2. 1-24 hours</v>
      </c>
      <c r="O3752" t="str">
        <f t="shared" si="117"/>
        <v>2026-03</v>
      </c>
    </row>
    <row r="3753" spans="1:15" x14ac:dyDescent="0.3">
      <c r="A3753" t="s">
        <v>8854</v>
      </c>
      <c r="B3753" t="s">
        <v>8855</v>
      </c>
      <c r="C3753" t="s">
        <v>37</v>
      </c>
      <c r="D3753" t="s">
        <v>97</v>
      </c>
      <c r="E3753" t="s">
        <v>45</v>
      </c>
      <c r="F3753" t="s">
        <v>55</v>
      </c>
      <c r="G3753">
        <v>0.97</v>
      </c>
      <c r="H3753" t="s">
        <v>41</v>
      </c>
      <c r="I3753" t="s">
        <v>42</v>
      </c>
      <c r="M3753">
        <f>VLOOKUP(H3753,'Stage Order'!$A$2:$B$8,2,FALSE)</f>
        <v>2</v>
      </c>
      <c r="N3753" t="str">
        <f t="shared" si="116"/>
        <v>1. Under 1 hour</v>
      </c>
      <c r="O3753" t="str">
        <f t="shared" si="117"/>
        <v>2025-12</v>
      </c>
    </row>
    <row r="3754" spans="1:15" x14ac:dyDescent="0.3">
      <c r="A3754" t="s">
        <v>8856</v>
      </c>
      <c r="B3754" t="s">
        <v>8857</v>
      </c>
      <c r="C3754" t="s">
        <v>53</v>
      </c>
      <c r="D3754" t="s">
        <v>38</v>
      </c>
      <c r="E3754" t="s">
        <v>45</v>
      </c>
      <c r="F3754" t="s">
        <v>94</v>
      </c>
      <c r="G3754">
        <v>10.94</v>
      </c>
      <c r="H3754" t="s">
        <v>32</v>
      </c>
      <c r="I3754" t="s">
        <v>33</v>
      </c>
      <c r="K3754">
        <v>324.26</v>
      </c>
      <c r="L3754" t="s">
        <v>8858</v>
      </c>
      <c r="M3754">
        <f>VLOOKUP(H3754,'Stage Order'!$A$2:$B$8,2,FALSE)</f>
        <v>7</v>
      </c>
      <c r="N3754" t="str">
        <f t="shared" si="116"/>
        <v>2. 1-24 hours</v>
      </c>
      <c r="O3754" t="str">
        <f t="shared" si="117"/>
        <v>2025-10</v>
      </c>
    </row>
    <row r="3755" spans="1:15" x14ac:dyDescent="0.3">
      <c r="A3755" t="s">
        <v>8859</v>
      </c>
      <c r="B3755" t="s">
        <v>8860</v>
      </c>
      <c r="C3755" t="s">
        <v>28</v>
      </c>
      <c r="D3755" t="s">
        <v>77</v>
      </c>
      <c r="E3755" t="s">
        <v>39</v>
      </c>
      <c r="F3755" t="s">
        <v>40</v>
      </c>
      <c r="G3755">
        <v>1.87</v>
      </c>
      <c r="H3755" t="s">
        <v>138</v>
      </c>
      <c r="I3755" t="s">
        <v>48</v>
      </c>
      <c r="J3755" t="s">
        <v>139</v>
      </c>
      <c r="K3755">
        <v>1012.8</v>
      </c>
      <c r="L3755" t="s">
        <v>8861</v>
      </c>
      <c r="M3755">
        <f>VLOOKUP(H3755,'Stage Order'!$A$2:$B$8,2,FALSE)</f>
        <v>6</v>
      </c>
      <c r="N3755" t="str">
        <f t="shared" si="116"/>
        <v>2. 1-24 hours</v>
      </c>
      <c r="O3755" t="str">
        <f t="shared" si="117"/>
        <v>2025-01</v>
      </c>
    </row>
    <row r="3756" spans="1:15" x14ac:dyDescent="0.3">
      <c r="A3756" t="s">
        <v>8862</v>
      </c>
      <c r="B3756" t="s">
        <v>8863</v>
      </c>
      <c r="C3756" t="s">
        <v>81</v>
      </c>
      <c r="D3756" t="s">
        <v>77</v>
      </c>
      <c r="E3756" t="s">
        <v>90</v>
      </c>
      <c r="F3756" t="s">
        <v>91</v>
      </c>
      <c r="G3756">
        <v>0.93</v>
      </c>
      <c r="H3756" t="s">
        <v>61</v>
      </c>
      <c r="I3756" t="s">
        <v>42</v>
      </c>
      <c r="M3756">
        <f>VLOOKUP(H3756,'Stage Order'!$A$2:$B$8,2,FALSE)</f>
        <v>1</v>
      </c>
      <c r="N3756" t="str">
        <f t="shared" si="116"/>
        <v>1. Under 1 hour</v>
      </c>
      <c r="O3756" t="str">
        <f t="shared" si="117"/>
        <v>2025-12</v>
      </c>
    </row>
    <row r="3757" spans="1:15" x14ac:dyDescent="0.3">
      <c r="A3757" t="s">
        <v>8864</v>
      </c>
      <c r="B3757" t="s">
        <v>8865</v>
      </c>
      <c r="C3757" t="s">
        <v>37</v>
      </c>
      <c r="D3757" t="s">
        <v>97</v>
      </c>
      <c r="E3757" t="s">
        <v>39</v>
      </c>
      <c r="F3757" t="s">
        <v>40</v>
      </c>
      <c r="G3757">
        <v>2.16</v>
      </c>
      <c r="H3757" t="s">
        <v>41</v>
      </c>
      <c r="I3757" t="s">
        <v>42</v>
      </c>
      <c r="M3757">
        <f>VLOOKUP(H3757,'Stage Order'!$A$2:$B$8,2,FALSE)</f>
        <v>2</v>
      </c>
      <c r="N3757" t="str">
        <f t="shared" si="116"/>
        <v>2. 1-24 hours</v>
      </c>
      <c r="O3757" t="str">
        <f t="shared" si="117"/>
        <v>2026-01</v>
      </c>
    </row>
    <row r="3758" spans="1:15" x14ac:dyDescent="0.3">
      <c r="A3758" t="s">
        <v>8866</v>
      </c>
      <c r="B3758" t="s">
        <v>8867</v>
      </c>
      <c r="C3758" t="s">
        <v>81</v>
      </c>
      <c r="D3758" t="s">
        <v>54</v>
      </c>
      <c r="E3758" t="s">
        <v>90</v>
      </c>
      <c r="F3758" t="s">
        <v>145</v>
      </c>
      <c r="G3758">
        <v>1.72</v>
      </c>
      <c r="H3758" t="s">
        <v>128</v>
      </c>
      <c r="I3758" t="s">
        <v>42</v>
      </c>
      <c r="M3758">
        <f>VLOOKUP(H3758,'Stage Order'!$A$2:$B$8,2,FALSE)</f>
        <v>3</v>
      </c>
      <c r="N3758" t="str">
        <f t="shared" si="116"/>
        <v>2. 1-24 hours</v>
      </c>
      <c r="O3758" t="str">
        <f t="shared" si="117"/>
        <v>2026-06</v>
      </c>
    </row>
    <row r="3759" spans="1:15" x14ac:dyDescent="0.3">
      <c r="A3759" t="s">
        <v>8868</v>
      </c>
      <c r="B3759" t="s">
        <v>8869</v>
      </c>
      <c r="C3759" t="s">
        <v>125</v>
      </c>
      <c r="D3759" t="s">
        <v>54</v>
      </c>
      <c r="E3759" t="s">
        <v>59</v>
      </c>
      <c r="F3759" t="s">
        <v>117</v>
      </c>
      <c r="G3759">
        <v>2.92</v>
      </c>
      <c r="H3759" t="s">
        <v>41</v>
      </c>
      <c r="I3759" t="s">
        <v>42</v>
      </c>
      <c r="M3759">
        <f>VLOOKUP(H3759,'Stage Order'!$A$2:$B$8,2,FALSE)</f>
        <v>2</v>
      </c>
      <c r="N3759" t="str">
        <f t="shared" si="116"/>
        <v>2. 1-24 hours</v>
      </c>
      <c r="O3759" t="str">
        <f t="shared" si="117"/>
        <v>2025-03</v>
      </c>
    </row>
    <row r="3760" spans="1:15" x14ac:dyDescent="0.3">
      <c r="A3760" t="s">
        <v>8870</v>
      </c>
      <c r="B3760" t="s">
        <v>8871</v>
      </c>
      <c r="C3760" t="s">
        <v>37</v>
      </c>
      <c r="D3760" t="s">
        <v>38</v>
      </c>
      <c r="E3760" t="s">
        <v>90</v>
      </c>
      <c r="F3760" t="s">
        <v>91</v>
      </c>
      <c r="G3760">
        <v>16.670000000000002</v>
      </c>
      <c r="H3760" t="s">
        <v>47</v>
      </c>
      <c r="I3760" t="s">
        <v>48</v>
      </c>
      <c r="J3760" t="s">
        <v>139</v>
      </c>
      <c r="K3760">
        <v>356.26</v>
      </c>
      <c r="L3760" t="s">
        <v>8872</v>
      </c>
      <c r="M3760">
        <f>VLOOKUP(H3760,'Stage Order'!$A$2:$B$8,2,FALSE)</f>
        <v>4</v>
      </c>
      <c r="N3760" t="str">
        <f t="shared" si="116"/>
        <v>2. 1-24 hours</v>
      </c>
      <c r="O3760" t="str">
        <f t="shared" si="117"/>
        <v>2025-04</v>
      </c>
    </row>
    <row r="3761" spans="1:15" x14ac:dyDescent="0.3">
      <c r="A3761" t="s">
        <v>8873</v>
      </c>
      <c r="B3761" t="s">
        <v>8874</v>
      </c>
      <c r="C3761" t="s">
        <v>125</v>
      </c>
      <c r="D3761" t="s">
        <v>77</v>
      </c>
      <c r="E3761" t="s">
        <v>30</v>
      </c>
      <c r="F3761" t="s">
        <v>82</v>
      </c>
      <c r="G3761">
        <v>10.66</v>
      </c>
      <c r="H3761" t="s">
        <v>41</v>
      </c>
      <c r="I3761" t="s">
        <v>42</v>
      </c>
      <c r="M3761">
        <f>VLOOKUP(H3761,'Stage Order'!$A$2:$B$8,2,FALSE)</f>
        <v>2</v>
      </c>
      <c r="N3761" t="str">
        <f t="shared" si="116"/>
        <v>2. 1-24 hours</v>
      </c>
      <c r="O3761" t="str">
        <f t="shared" si="117"/>
        <v>2025-09</v>
      </c>
    </row>
    <row r="3762" spans="1:15" x14ac:dyDescent="0.3">
      <c r="A3762" t="s">
        <v>8875</v>
      </c>
      <c r="B3762" t="s">
        <v>8876</v>
      </c>
      <c r="C3762" t="s">
        <v>81</v>
      </c>
      <c r="D3762" t="s">
        <v>97</v>
      </c>
      <c r="E3762" t="s">
        <v>59</v>
      </c>
      <c r="F3762" t="s">
        <v>60</v>
      </c>
      <c r="G3762">
        <v>4.51</v>
      </c>
      <c r="H3762" t="s">
        <v>41</v>
      </c>
      <c r="I3762" t="s">
        <v>42</v>
      </c>
      <c r="M3762">
        <f>VLOOKUP(H3762,'Stage Order'!$A$2:$B$8,2,FALSE)</f>
        <v>2</v>
      </c>
      <c r="N3762" t="str">
        <f t="shared" si="116"/>
        <v>2. 1-24 hours</v>
      </c>
      <c r="O3762" t="str">
        <f t="shared" si="117"/>
        <v>2026-06</v>
      </c>
    </row>
    <row r="3763" spans="1:15" x14ac:dyDescent="0.3">
      <c r="A3763" t="s">
        <v>8877</v>
      </c>
      <c r="B3763" t="s">
        <v>8878</v>
      </c>
      <c r="C3763" t="s">
        <v>76</v>
      </c>
      <c r="D3763" t="s">
        <v>54</v>
      </c>
      <c r="E3763" t="s">
        <v>30</v>
      </c>
      <c r="F3763" t="s">
        <v>31</v>
      </c>
      <c r="G3763">
        <v>6.41</v>
      </c>
      <c r="H3763" t="s">
        <v>41</v>
      </c>
      <c r="I3763" t="s">
        <v>42</v>
      </c>
      <c r="M3763">
        <f>VLOOKUP(H3763,'Stage Order'!$A$2:$B$8,2,FALSE)</f>
        <v>2</v>
      </c>
      <c r="N3763" t="str">
        <f t="shared" si="116"/>
        <v>2. 1-24 hours</v>
      </c>
      <c r="O3763" t="str">
        <f t="shared" si="117"/>
        <v>2026-04</v>
      </c>
    </row>
    <row r="3764" spans="1:15" x14ac:dyDescent="0.3">
      <c r="A3764" t="s">
        <v>8879</v>
      </c>
      <c r="B3764" t="s">
        <v>8880</v>
      </c>
      <c r="C3764" t="s">
        <v>58</v>
      </c>
      <c r="D3764" t="s">
        <v>77</v>
      </c>
      <c r="E3764" t="s">
        <v>30</v>
      </c>
      <c r="F3764" t="s">
        <v>78</v>
      </c>
      <c r="G3764">
        <v>4.8499999999999996</v>
      </c>
      <c r="H3764" t="s">
        <v>41</v>
      </c>
      <c r="I3764" t="s">
        <v>42</v>
      </c>
      <c r="M3764">
        <f>VLOOKUP(H3764,'Stage Order'!$A$2:$B$8,2,FALSE)</f>
        <v>2</v>
      </c>
      <c r="N3764" t="str">
        <f t="shared" si="116"/>
        <v>2. 1-24 hours</v>
      </c>
      <c r="O3764" t="str">
        <f t="shared" si="117"/>
        <v>2026-02</v>
      </c>
    </row>
    <row r="3765" spans="1:15" x14ac:dyDescent="0.3">
      <c r="A3765" t="s">
        <v>8881</v>
      </c>
      <c r="B3765" t="s">
        <v>8882</v>
      </c>
      <c r="C3765" t="s">
        <v>37</v>
      </c>
      <c r="D3765" t="s">
        <v>77</v>
      </c>
      <c r="E3765" t="s">
        <v>45</v>
      </c>
      <c r="F3765" t="s">
        <v>46</v>
      </c>
      <c r="G3765">
        <v>0.67</v>
      </c>
      <c r="H3765" t="s">
        <v>41</v>
      </c>
      <c r="I3765" t="s">
        <v>42</v>
      </c>
      <c r="M3765">
        <f>VLOOKUP(H3765,'Stage Order'!$A$2:$B$8,2,FALSE)</f>
        <v>2</v>
      </c>
      <c r="N3765" t="str">
        <f t="shared" si="116"/>
        <v>1. Under 1 hour</v>
      </c>
      <c r="O3765" t="str">
        <f t="shared" si="117"/>
        <v>2026-05</v>
      </c>
    </row>
    <row r="3766" spans="1:15" x14ac:dyDescent="0.3">
      <c r="A3766" t="s">
        <v>8883</v>
      </c>
      <c r="B3766" t="s">
        <v>8884</v>
      </c>
      <c r="C3766" t="s">
        <v>28</v>
      </c>
      <c r="D3766" t="s">
        <v>97</v>
      </c>
      <c r="E3766" t="s">
        <v>45</v>
      </c>
      <c r="F3766" t="s">
        <v>55</v>
      </c>
      <c r="G3766">
        <v>0.78</v>
      </c>
      <c r="H3766" t="s">
        <v>32</v>
      </c>
      <c r="I3766" t="s">
        <v>33</v>
      </c>
      <c r="K3766">
        <v>1580.34</v>
      </c>
      <c r="L3766" t="s">
        <v>8885</v>
      </c>
      <c r="M3766">
        <f>VLOOKUP(H3766,'Stage Order'!$A$2:$B$8,2,FALSE)</f>
        <v>7</v>
      </c>
      <c r="N3766" t="str">
        <f t="shared" si="116"/>
        <v>1. Under 1 hour</v>
      </c>
      <c r="O3766" t="str">
        <f t="shared" si="117"/>
        <v>2025-12</v>
      </c>
    </row>
    <row r="3767" spans="1:15" x14ac:dyDescent="0.3">
      <c r="A3767" t="s">
        <v>8886</v>
      </c>
      <c r="B3767" t="s">
        <v>8887</v>
      </c>
      <c r="C3767" t="s">
        <v>37</v>
      </c>
      <c r="D3767" t="s">
        <v>29</v>
      </c>
      <c r="E3767" t="s">
        <v>59</v>
      </c>
      <c r="F3767" t="s">
        <v>137</v>
      </c>
      <c r="G3767">
        <v>7.97</v>
      </c>
      <c r="H3767" t="s">
        <v>41</v>
      </c>
      <c r="I3767" t="s">
        <v>42</v>
      </c>
      <c r="M3767">
        <f>VLOOKUP(H3767,'Stage Order'!$A$2:$B$8,2,FALSE)</f>
        <v>2</v>
      </c>
      <c r="N3767" t="str">
        <f t="shared" si="116"/>
        <v>2. 1-24 hours</v>
      </c>
      <c r="O3767" t="str">
        <f t="shared" si="117"/>
        <v>2025-10</v>
      </c>
    </row>
    <row r="3768" spans="1:15" x14ac:dyDescent="0.3">
      <c r="A3768" t="s">
        <v>8888</v>
      </c>
      <c r="B3768" t="s">
        <v>8889</v>
      </c>
      <c r="C3768" t="s">
        <v>81</v>
      </c>
      <c r="D3768" t="s">
        <v>38</v>
      </c>
      <c r="E3768" t="s">
        <v>45</v>
      </c>
      <c r="F3768" t="s">
        <v>46</v>
      </c>
      <c r="G3768">
        <v>3.25</v>
      </c>
      <c r="H3768" t="s">
        <v>41</v>
      </c>
      <c r="I3768" t="s">
        <v>42</v>
      </c>
      <c r="M3768">
        <f>VLOOKUP(H3768,'Stage Order'!$A$2:$B$8,2,FALSE)</f>
        <v>2</v>
      </c>
      <c r="N3768" t="str">
        <f t="shared" si="116"/>
        <v>2. 1-24 hours</v>
      </c>
      <c r="O3768" t="str">
        <f t="shared" si="117"/>
        <v>2025-01</v>
      </c>
    </row>
    <row r="3769" spans="1:15" x14ac:dyDescent="0.3">
      <c r="A3769" t="s">
        <v>8890</v>
      </c>
      <c r="B3769" t="s">
        <v>8891</v>
      </c>
      <c r="C3769" t="s">
        <v>37</v>
      </c>
      <c r="D3769" t="s">
        <v>54</v>
      </c>
      <c r="E3769" t="s">
        <v>45</v>
      </c>
      <c r="F3769" t="s">
        <v>46</v>
      </c>
      <c r="G3769">
        <v>2.2999999999999998</v>
      </c>
      <c r="H3769" t="s">
        <v>41</v>
      </c>
      <c r="I3769" t="s">
        <v>42</v>
      </c>
      <c r="M3769">
        <f>VLOOKUP(H3769,'Stage Order'!$A$2:$B$8,2,FALSE)</f>
        <v>2</v>
      </c>
      <c r="N3769" t="str">
        <f t="shared" si="116"/>
        <v>2. 1-24 hours</v>
      </c>
      <c r="O3769" t="str">
        <f t="shared" si="117"/>
        <v>2025-02</v>
      </c>
    </row>
    <row r="3770" spans="1:15" x14ac:dyDescent="0.3">
      <c r="A3770" t="s">
        <v>8892</v>
      </c>
      <c r="B3770" t="s">
        <v>7976</v>
      </c>
      <c r="C3770" t="s">
        <v>58</v>
      </c>
      <c r="D3770" t="s">
        <v>54</v>
      </c>
      <c r="E3770" t="s">
        <v>45</v>
      </c>
      <c r="F3770" t="s">
        <v>55</v>
      </c>
      <c r="G3770">
        <v>8.34</v>
      </c>
      <c r="H3770" t="s">
        <v>61</v>
      </c>
      <c r="I3770" t="s">
        <v>42</v>
      </c>
      <c r="M3770">
        <f>VLOOKUP(H3770,'Stage Order'!$A$2:$B$8,2,FALSE)</f>
        <v>1</v>
      </c>
      <c r="N3770" t="str">
        <f t="shared" si="116"/>
        <v>2. 1-24 hours</v>
      </c>
      <c r="O3770" t="str">
        <f t="shared" si="117"/>
        <v>2026-03</v>
      </c>
    </row>
    <row r="3771" spans="1:15" x14ac:dyDescent="0.3">
      <c r="A3771" t="s">
        <v>8893</v>
      </c>
      <c r="B3771" t="s">
        <v>8894</v>
      </c>
      <c r="C3771" t="s">
        <v>58</v>
      </c>
      <c r="D3771" t="s">
        <v>54</v>
      </c>
      <c r="E3771" t="s">
        <v>59</v>
      </c>
      <c r="F3771" t="s">
        <v>137</v>
      </c>
      <c r="G3771">
        <v>0.99</v>
      </c>
      <c r="H3771" t="s">
        <v>41</v>
      </c>
      <c r="I3771" t="s">
        <v>42</v>
      </c>
      <c r="M3771">
        <f>VLOOKUP(H3771,'Stage Order'!$A$2:$B$8,2,FALSE)</f>
        <v>2</v>
      </c>
      <c r="N3771" t="str">
        <f t="shared" si="116"/>
        <v>1. Under 1 hour</v>
      </c>
      <c r="O3771" t="str">
        <f t="shared" si="117"/>
        <v>2025-04</v>
      </c>
    </row>
    <row r="3772" spans="1:15" x14ac:dyDescent="0.3">
      <c r="A3772" t="s">
        <v>8895</v>
      </c>
      <c r="B3772" t="s">
        <v>8896</v>
      </c>
      <c r="C3772" t="s">
        <v>81</v>
      </c>
      <c r="D3772" t="s">
        <v>97</v>
      </c>
      <c r="E3772" t="s">
        <v>39</v>
      </c>
      <c r="F3772" t="s">
        <v>40</v>
      </c>
      <c r="G3772">
        <v>4.21</v>
      </c>
      <c r="H3772" t="s">
        <v>61</v>
      </c>
      <c r="I3772" t="s">
        <v>42</v>
      </c>
      <c r="M3772">
        <f>VLOOKUP(H3772,'Stage Order'!$A$2:$B$8,2,FALSE)</f>
        <v>1</v>
      </c>
      <c r="N3772" t="str">
        <f t="shared" si="116"/>
        <v>2. 1-24 hours</v>
      </c>
      <c r="O3772" t="str">
        <f t="shared" si="117"/>
        <v>2025-04</v>
      </c>
    </row>
    <row r="3773" spans="1:15" x14ac:dyDescent="0.3">
      <c r="A3773" t="s">
        <v>8897</v>
      </c>
      <c r="B3773" t="s">
        <v>8898</v>
      </c>
      <c r="C3773" t="s">
        <v>37</v>
      </c>
      <c r="D3773" t="s">
        <v>54</v>
      </c>
      <c r="E3773" t="s">
        <v>39</v>
      </c>
      <c r="F3773" t="s">
        <v>40</v>
      </c>
      <c r="G3773">
        <v>3.63</v>
      </c>
      <c r="H3773" t="s">
        <v>41</v>
      </c>
      <c r="I3773" t="s">
        <v>42</v>
      </c>
      <c r="M3773">
        <f>VLOOKUP(H3773,'Stage Order'!$A$2:$B$8,2,FALSE)</f>
        <v>2</v>
      </c>
      <c r="N3773" t="str">
        <f t="shared" si="116"/>
        <v>2. 1-24 hours</v>
      </c>
      <c r="O3773" t="str">
        <f t="shared" si="117"/>
        <v>2025-07</v>
      </c>
    </row>
    <row r="3774" spans="1:15" x14ac:dyDescent="0.3">
      <c r="A3774" t="s">
        <v>8899</v>
      </c>
      <c r="B3774" t="s">
        <v>8900</v>
      </c>
      <c r="C3774" t="s">
        <v>37</v>
      </c>
      <c r="D3774" t="s">
        <v>77</v>
      </c>
      <c r="E3774" t="s">
        <v>45</v>
      </c>
      <c r="F3774" t="s">
        <v>46</v>
      </c>
      <c r="G3774">
        <v>14.22</v>
      </c>
      <c r="H3774" t="s">
        <v>32</v>
      </c>
      <c r="I3774" t="s">
        <v>33</v>
      </c>
      <c r="K3774">
        <v>824</v>
      </c>
      <c r="L3774" t="s">
        <v>8901</v>
      </c>
      <c r="M3774">
        <f>VLOOKUP(H3774,'Stage Order'!$A$2:$B$8,2,FALSE)</f>
        <v>7</v>
      </c>
      <c r="N3774" t="str">
        <f t="shared" si="116"/>
        <v>2. 1-24 hours</v>
      </c>
      <c r="O3774" t="str">
        <f t="shared" si="117"/>
        <v>2026-04</v>
      </c>
    </row>
    <row r="3775" spans="1:15" x14ac:dyDescent="0.3">
      <c r="A3775" t="s">
        <v>8902</v>
      </c>
      <c r="B3775" t="s">
        <v>8903</v>
      </c>
      <c r="C3775" t="s">
        <v>53</v>
      </c>
      <c r="D3775" t="s">
        <v>54</v>
      </c>
      <c r="E3775" t="s">
        <v>90</v>
      </c>
      <c r="F3775" t="s">
        <v>112</v>
      </c>
      <c r="G3775">
        <v>3.92</v>
      </c>
      <c r="H3775" t="s">
        <v>41</v>
      </c>
      <c r="I3775" t="s">
        <v>42</v>
      </c>
      <c r="M3775">
        <f>VLOOKUP(H3775,'Stage Order'!$A$2:$B$8,2,FALSE)</f>
        <v>2</v>
      </c>
      <c r="N3775" t="str">
        <f t="shared" si="116"/>
        <v>2. 1-24 hours</v>
      </c>
      <c r="O3775" t="str">
        <f t="shared" si="117"/>
        <v>2025-03</v>
      </c>
    </row>
    <row r="3776" spans="1:15" x14ac:dyDescent="0.3">
      <c r="A3776" t="s">
        <v>8904</v>
      </c>
      <c r="B3776" t="s">
        <v>8905</v>
      </c>
      <c r="C3776" t="s">
        <v>76</v>
      </c>
      <c r="D3776" t="s">
        <v>97</v>
      </c>
      <c r="E3776" t="s">
        <v>59</v>
      </c>
      <c r="F3776" t="s">
        <v>117</v>
      </c>
      <c r="G3776">
        <v>1.0900000000000001</v>
      </c>
      <c r="H3776" t="s">
        <v>32</v>
      </c>
      <c r="I3776" t="s">
        <v>33</v>
      </c>
      <c r="K3776">
        <v>1282.4000000000001</v>
      </c>
      <c r="L3776" t="s">
        <v>8906</v>
      </c>
      <c r="M3776">
        <f>VLOOKUP(H3776,'Stage Order'!$A$2:$B$8,2,FALSE)</f>
        <v>7</v>
      </c>
      <c r="N3776" t="str">
        <f t="shared" si="116"/>
        <v>2. 1-24 hours</v>
      </c>
      <c r="O3776" t="str">
        <f t="shared" si="117"/>
        <v>2025-10</v>
      </c>
    </row>
    <row r="3777" spans="1:15" x14ac:dyDescent="0.3">
      <c r="A3777" t="s">
        <v>8907</v>
      </c>
      <c r="B3777" t="s">
        <v>8908</v>
      </c>
      <c r="C3777" t="s">
        <v>37</v>
      </c>
      <c r="D3777" t="s">
        <v>29</v>
      </c>
      <c r="E3777" t="s">
        <v>45</v>
      </c>
      <c r="F3777" t="s">
        <v>46</v>
      </c>
      <c r="G3777">
        <v>5.0999999999999996</v>
      </c>
      <c r="H3777" t="s">
        <v>41</v>
      </c>
      <c r="I3777" t="s">
        <v>42</v>
      </c>
      <c r="M3777">
        <f>VLOOKUP(H3777,'Stage Order'!$A$2:$B$8,2,FALSE)</f>
        <v>2</v>
      </c>
      <c r="N3777" t="str">
        <f t="shared" si="116"/>
        <v>2. 1-24 hours</v>
      </c>
      <c r="O3777" t="str">
        <f t="shared" si="117"/>
        <v>2026-04</v>
      </c>
    </row>
    <row r="3778" spans="1:15" x14ac:dyDescent="0.3">
      <c r="A3778" t="s">
        <v>8909</v>
      </c>
      <c r="B3778" t="s">
        <v>8910</v>
      </c>
      <c r="C3778" t="s">
        <v>81</v>
      </c>
      <c r="D3778" t="s">
        <v>38</v>
      </c>
      <c r="E3778" t="s">
        <v>30</v>
      </c>
      <c r="F3778" t="s">
        <v>82</v>
      </c>
      <c r="G3778">
        <v>1.78</v>
      </c>
      <c r="H3778" t="s">
        <v>61</v>
      </c>
      <c r="I3778" t="s">
        <v>42</v>
      </c>
      <c r="M3778">
        <f>VLOOKUP(H3778,'Stage Order'!$A$2:$B$8,2,FALSE)</f>
        <v>1</v>
      </c>
      <c r="N3778" t="str">
        <f t="shared" ref="N3778:N3841" si="118">IF(G3778&lt;=1,"1. Under 1 hour",IF(G3778&lt;=24,"2. 1-24 hours",IF(G3778&lt;=72,"3. 1-3 days","4. Over 3 days")))</f>
        <v>2. 1-24 hours</v>
      </c>
      <c r="O3778" t="str">
        <f t="shared" ref="O3778:O3841" si="119">TEXT(B3778,"YYYY-MM")</f>
        <v>2025-01</v>
      </c>
    </row>
    <row r="3779" spans="1:15" x14ac:dyDescent="0.3">
      <c r="A3779" t="s">
        <v>8911</v>
      </c>
      <c r="B3779" t="s">
        <v>8912</v>
      </c>
      <c r="C3779" t="s">
        <v>58</v>
      </c>
      <c r="D3779" t="s">
        <v>97</v>
      </c>
      <c r="E3779" t="s">
        <v>39</v>
      </c>
      <c r="F3779" t="s">
        <v>66</v>
      </c>
      <c r="G3779">
        <v>2.2000000000000002</v>
      </c>
      <c r="H3779" t="s">
        <v>61</v>
      </c>
      <c r="I3779" t="s">
        <v>42</v>
      </c>
      <c r="M3779">
        <f>VLOOKUP(H3779,'Stage Order'!$A$2:$B$8,2,FALSE)</f>
        <v>1</v>
      </c>
      <c r="N3779" t="str">
        <f t="shared" si="118"/>
        <v>2. 1-24 hours</v>
      </c>
      <c r="O3779" t="str">
        <f t="shared" si="119"/>
        <v>2025-06</v>
      </c>
    </row>
    <row r="3780" spans="1:15" x14ac:dyDescent="0.3">
      <c r="A3780" t="s">
        <v>8913</v>
      </c>
      <c r="B3780" t="s">
        <v>8914</v>
      </c>
      <c r="C3780" t="s">
        <v>37</v>
      </c>
      <c r="D3780" t="s">
        <v>29</v>
      </c>
      <c r="E3780" t="s">
        <v>45</v>
      </c>
      <c r="F3780" t="s">
        <v>55</v>
      </c>
      <c r="G3780">
        <v>8.82</v>
      </c>
      <c r="H3780" t="s">
        <v>146</v>
      </c>
      <c r="I3780" t="s">
        <v>48</v>
      </c>
      <c r="J3780" t="s">
        <v>113</v>
      </c>
      <c r="K3780">
        <v>672.19</v>
      </c>
      <c r="L3780" t="s">
        <v>8915</v>
      </c>
      <c r="M3780">
        <f>VLOOKUP(H3780,'Stage Order'!$A$2:$B$8,2,FALSE)</f>
        <v>5</v>
      </c>
      <c r="N3780" t="str">
        <f t="shared" si="118"/>
        <v>2. 1-24 hours</v>
      </c>
      <c r="O3780" t="str">
        <f t="shared" si="119"/>
        <v>2025-06</v>
      </c>
    </row>
    <row r="3781" spans="1:15" x14ac:dyDescent="0.3">
      <c r="A3781" t="s">
        <v>8916</v>
      </c>
      <c r="B3781" t="s">
        <v>8917</v>
      </c>
      <c r="C3781" t="s">
        <v>53</v>
      </c>
      <c r="D3781" t="s">
        <v>54</v>
      </c>
      <c r="E3781" t="s">
        <v>39</v>
      </c>
      <c r="F3781" t="s">
        <v>106</v>
      </c>
      <c r="G3781">
        <v>24.31</v>
      </c>
      <c r="H3781" t="s">
        <v>41</v>
      </c>
      <c r="I3781" t="s">
        <v>42</v>
      </c>
      <c r="M3781">
        <f>VLOOKUP(H3781,'Stage Order'!$A$2:$B$8,2,FALSE)</f>
        <v>2</v>
      </c>
      <c r="N3781" t="str">
        <f t="shared" si="118"/>
        <v>3. 1-3 days</v>
      </c>
      <c r="O3781" t="str">
        <f t="shared" si="119"/>
        <v>2026-06</v>
      </c>
    </row>
    <row r="3782" spans="1:15" x14ac:dyDescent="0.3">
      <c r="A3782" t="s">
        <v>8918</v>
      </c>
      <c r="B3782" t="s">
        <v>8919</v>
      </c>
      <c r="C3782" t="s">
        <v>53</v>
      </c>
      <c r="D3782" t="s">
        <v>54</v>
      </c>
      <c r="E3782" t="s">
        <v>90</v>
      </c>
      <c r="F3782" t="s">
        <v>112</v>
      </c>
      <c r="G3782">
        <v>1.26</v>
      </c>
      <c r="H3782" t="s">
        <v>41</v>
      </c>
      <c r="I3782" t="s">
        <v>42</v>
      </c>
      <c r="M3782">
        <f>VLOOKUP(H3782,'Stage Order'!$A$2:$B$8,2,FALSE)</f>
        <v>2</v>
      </c>
      <c r="N3782" t="str">
        <f t="shared" si="118"/>
        <v>2. 1-24 hours</v>
      </c>
      <c r="O3782" t="str">
        <f t="shared" si="119"/>
        <v>2025-05</v>
      </c>
    </row>
    <row r="3783" spans="1:15" x14ac:dyDescent="0.3">
      <c r="A3783" t="s">
        <v>8920</v>
      </c>
      <c r="B3783" t="s">
        <v>8921</v>
      </c>
      <c r="C3783" t="s">
        <v>81</v>
      </c>
      <c r="D3783" t="s">
        <v>77</v>
      </c>
      <c r="E3783" t="s">
        <v>59</v>
      </c>
      <c r="F3783" t="s">
        <v>60</v>
      </c>
      <c r="G3783">
        <v>1.58</v>
      </c>
      <c r="H3783" t="s">
        <v>41</v>
      </c>
      <c r="I3783" t="s">
        <v>42</v>
      </c>
      <c r="M3783">
        <f>VLOOKUP(H3783,'Stage Order'!$A$2:$B$8,2,FALSE)</f>
        <v>2</v>
      </c>
      <c r="N3783" t="str">
        <f t="shared" si="118"/>
        <v>2. 1-24 hours</v>
      </c>
      <c r="O3783" t="str">
        <f t="shared" si="119"/>
        <v>2025-03</v>
      </c>
    </row>
    <row r="3784" spans="1:15" x14ac:dyDescent="0.3">
      <c r="A3784" t="s">
        <v>8922</v>
      </c>
      <c r="B3784" t="s">
        <v>8923</v>
      </c>
      <c r="C3784" t="s">
        <v>58</v>
      </c>
      <c r="D3784" t="s">
        <v>77</v>
      </c>
      <c r="E3784" t="s">
        <v>45</v>
      </c>
      <c r="F3784" t="s">
        <v>55</v>
      </c>
      <c r="G3784">
        <v>1.58</v>
      </c>
      <c r="H3784" t="s">
        <v>61</v>
      </c>
      <c r="I3784" t="s">
        <v>42</v>
      </c>
      <c r="M3784">
        <f>VLOOKUP(H3784,'Stage Order'!$A$2:$B$8,2,FALSE)</f>
        <v>1</v>
      </c>
      <c r="N3784" t="str">
        <f t="shared" si="118"/>
        <v>2. 1-24 hours</v>
      </c>
      <c r="O3784" t="str">
        <f t="shared" si="119"/>
        <v>2025-07</v>
      </c>
    </row>
    <row r="3785" spans="1:15" x14ac:dyDescent="0.3">
      <c r="A3785" t="s">
        <v>8924</v>
      </c>
      <c r="B3785" t="s">
        <v>8925</v>
      </c>
      <c r="C3785" t="s">
        <v>58</v>
      </c>
      <c r="D3785" t="s">
        <v>38</v>
      </c>
      <c r="E3785" t="s">
        <v>45</v>
      </c>
      <c r="F3785" t="s">
        <v>46</v>
      </c>
      <c r="G3785">
        <v>1.68</v>
      </c>
      <c r="H3785" t="s">
        <v>61</v>
      </c>
      <c r="I3785" t="s">
        <v>42</v>
      </c>
      <c r="M3785">
        <f>VLOOKUP(H3785,'Stage Order'!$A$2:$B$8,2,FALSE)</f>
        <v>1</v>
      </c>
      <c r="N3785" t="str">
        <f t="shared" si="118"/>
        <v>2. 1-24 hours</v>
      </c>
      <c r="O3785" t="str">
        <f t="shared" si="119"/>
        <v>2026-03</v>
      </c>
    </row>
    <row r="3786" spans="1:15" x14ac:dyDescent="0.3">
      <c r="A3786" t="s">
        <v>8926</v>
      </c>
      <c r="B3786" t="s">
        <v>8927</v>
      </c>
      <c r="C3786" t="s">
        <v>37</v>
      </c>
      <c r="D3786" t="s">
        <v>38</v>
      </c>
      <c r="E3786" t="s">
        <v>90</v>
      </c>
      <c r="F3786" t="s">
        <v>112</v>
      </c>
      <c r="G3786">
        <v>1.58</v>
      </c>
      <c r="H3786" t="s">
        <v>41</v>
      </c>
      <c r="I3786" t="s">
        <v>42</v>
      </c>
      <c r="M3786">
        <f>VLOOKUP(H3786,'Stage Order'!$A$2:$B$8,2,FALSE)</f>
        <v>2</v>
      </c>
      <c r="N3786" t="str">
        <f t="shared" si="118"/>
        <v>2. 1-24 hours</v>
      </c>
      <c r="O3786" t="str">
        <f t="shared" si="119"/>
        <v>2025-04</v>
      </c>
    </row>
    <row r="3787" spans="1:15" x14ac:dyDescent="0.3">
      <c r="A3787" t="s">
        <v>8928</v>
      </c>
      <c r="B3787" t="s">
        <v>8929</v>
      </c>
      <c r="C3787" t="s">
        <v>53</v>
      </c>
      <c r="D3787" t="s">
        <v>77</v>
      </c>
      <c r="E3787" t="s">
        <v>90</v>
      </c>
      <c r="F3787" t="s">
        <v>91</v>
      </c>
      <c r="G3787">
        <v>2.08</v>
      </c>
      <c r="H3787" t="s">
        <v>41</v>
      </c>
      <c r="I3787" t="s">
        <v>42</v>
      </c>
      <c r="M3787">
        <f>VLOOKUP(H3787,'Stage Order'!$A$2:$B$8,2,FALSE)</f>
        <v>2</v>
      </c>
      <c r="N3787" t="str">
        <f t="shared" si="118"/>
        <v>2. 1-24 hours</v>
      </c>
      <c r="O3787" t="str">
        <f t="shared" si="119"/>
        <v>2026-01</v>
      </c>
    </row>
    <row r="3788" spans="1:15" x14ac:dyDescent="0.3">
      <c r="A3788" t="s">
        <v>8930</v>
      </c>
      <c r="B3788" t="s">
        <v>8931</v>
      </c>
      <c r="C3788" t="s">
        <v>37</v>
      </c>
      <c r="D3788" t="s">
        <v>29</v>
      </c>
      <c r="E3788" t="s">
        <v>30</v>
      </c>
      <c r="F3788" t="s">
        <v>78</v>
      </c>
      <c r="G3788">
        <v>1.21</v>
      </c>
      <c r="H3788" t="s">
        <v>41</v>
      </c>
      <c r="I3788" t="s">
        <v>42</v>
      </c>
      <c r="M3788">
        <f>VLOOKUP(H3788,'Stage Order'!$A$2:$B$8,2,FALSE)</f>
        <v>2</v>
      </c>
      <c r="N3788" t="str">
        <f t="shared" si="118"/>
        <v>2. 1-24 hours</v>
      </c>
      <c r="O3788" t="str">
        <f t="shared" si="119"/>
        <v>2025-02</v>
      </c>
    </row>
    <row r="3789" spans="1:15" x14ac:dyDescent="0.3">
      <c r="A3789" t="s">
        <v>8932</v>
      </c>
      <c r="B3789" t="s">
        <v>8933</v>
      </c>
      <c r="C3789" t="s">
        <v>58</v>
      </c>
      <c r="D3789" t="s">
        <v>97</v>
      </c>
      <c r="E3789" t="s">
        <v>39</v>
      </c>
      <c r="F3789" t="s">
        <v>106</v>
      </c>
      <c r="G3789">
        <v>12.85</v>
      </c>
      <c r="H3789" t="s">
        <v>41</v>
      </c>
      <c r="I3789" t="s">
        <v>42</v>
      </c>
      <c r="M3789">
        <f>VLOOKUP(H3789,'Stage Order'!$A$2:$B$8,2,FALSE)</f>
        <v>2</v>
      </c>
      <c r="N3789" t="str">
        <f t="shared" si="118"/>
        <v>2. 1-24 hours</v>
      </c>
      <c r="O3789" t="str">
        <f t="shared" si="119"/>
        <v>2026-03</v>
      </c>
    </row>
    <row r="3790" spans="1:15" x14ac:dyDescent="0.3">
      <c r="A3790" t="s">
        <v>8934</v>
      </c>
      <c r="B3790" t="s">
        <v>8935</v>
      </c>
      <c r="C3790" t="s">
        <v>125</v>
      </c>
      <c r="D3790" t="s">
        <v>54</v>
      </c>
      <c r="E3790" t="s">
        <v>39</v>
      </c>
      <c r="F3790" t="s">
        <v>66</v>
      </c>
      <c r="G3790">
        <v>28.02</v>
      </c>
      <c r="H3790" t="s">
        <v>41</v>
      </c>
      <c r="I3790" t="s">
        <v>42</v>
      </c>
      <c r="M3790">
        <f>VLOOKUP(H3790,'Stage Order'!$A$2:$B$8,2,FALSE)</f>
        <v>2</v>
      </c>
      <c r="N3790" t="str">
        <f t="shared" si="118"/>
        <v>3. 1-3 days</v>
      </c>
      <c r="O3790" t="str">
        <f t="shared" si="119"/>
        <v>2025-12</v>
      </c>
    </row>
    <row r="3791" spans="1:15" x14ac:dyDescent="0.3">
      <c r="A3791" t="s">
        <v>8936</v>
      </c>
      <c r="B3791" t="s">
        <v>8937</v>
      </c>
      <c r="C3791" t="s">
        <v>125</v>
      </c>
      <c r="D3791" t="s">
        <v>54</v>
      </c>
      <c r="E3791" t="s">
        <v>39</v>
      </c>
      <c r="F3791" t="s">
        <v>66</v>
      </c>
      <c r="G3791">
        <v>4.91</v>
      </c>
      <c r="H3791" t="s">
        <v>41</v>
      </c>
      <c r="I3791" t="s">
        <v>42</v>
      </c>
      <c r="M3791">
        <f>VLOOKUP(H3791,'Stage Order'!$A$2:$B$8,2,FALSE)</f>
        <v>2</v>
      </c>
      <c r="N3791" t="str">
        <f t="shared" si="118"/>
        <v>2. 1-24 hours</v>
      </c>
      <c r="O3791" t="str">
        <f t="shared" si="119"/>
        <v>2025-11</v>
      </c>
    </row>
    <row r="3792" spans="1:15" x14ac:dyDescent="0.3">
      <c r="A3792" t="s">
        <v>8938</v>
      </c>
      <c r="B3792" t="s">
        <v>8939</v>
      </c>
      <c r="C3792" t="s">
        <v>37</v>
      </c>
      <c r="D3792" t="s">
        <v>54</v>
      </c>
      <c r="E3792" t="s">
        <v>45</v>
      </c>
      <c r="F3792" t="s">
        <v>55</v>
      </c>
      <c r="G3792">
        <v>0.81</v>
      </c>
      <c r="H3792" t="s">
        <v>138</v>
      </c>
      <c r="I3792" t="s">
        <v>48</v>
      </c>
      <c r="J3792" t="s">
        <v>98</v>
      </c>
      <c r="K3792">
        <v>445.51</v>
      </c>
      <c r="L3792" t="s">
        <v>8940</v>
      </c>
      <c r="M3792">
        <f>VLOOKUP(H3792,'Stage Order'!$A$2:$B$8,2,FALSE)</f>
        <v>6</v>
      </c>
      <c r="N3792" t="str">
        <f t="shared" si="118"/>
        <v>1. Under 1 hour</v>
      </c>
      <c r="O3792" t="str">
        <f t="shared" si="119"/>
        <v>2025-02</v>
      </c>
    </row>
    <row r="3793" spans="1:15" x14ac:dyDescent="0.3">
      <c r="A3793" t="s">
        <v>8941</v>
      </c>
      <c r="B3793" t="s">
        <v>8942</v>
      </c>
      <c r="C3793" t="s">
        <v>58</v>
      </c>
      <c r="D3793" t="s">
        <v>54</v>
      </c>
      <c r="E3793" t="s">
        <v>59</v>
      </c>
      <c r="F3793" t="s">
        <v>137</v>
      </c>
      <c r="G3793">
        <v>3.37</v>
      </c>
      <c r="H3793" t="s">
        <v>41</v>
      </c>
      <c r="I3793" t="s">
        <v>42</v>
      </c>
      <c r="M3793">
        <f>VLOOKUP(H3793,'Stage Order'!$A$2:$B$8,2,FALSE)</f>
        <v>2</v>
      </c>
      <c r="N3793" t="str">
        <f t="shared" si="118"/>
        <v>2. 1-24 hours</v>
      </c>
      <c r="O3793" t="str">
        <f t="shared" si="119"/>
        <v>2025-03</v>
      </c>
    </row>
    <row r="3794" spans="1:15" x14ac:dyDescent="0.3">
      <c r="A3794" t="s">
        <v>8943</v>
      </c>
      <c r="B3794" t="s">
        <v>8944</v>
      </c>
      <c r="C3794" t="s">
        <v>58</v>
      </c>
      <c r="D3794" t="s">
        <v>29</v>
      </c>
      <c r="E3794" t="s">
        <v>39</v>
      </c>
      <c r="F3794" t="s">
        <v>106</v>
      </c>
      <c r="G3794">
        <v>5.87</v>
      </c>
      <c r="H3794" t="s">
        <v>41</v>
      </c>
      <c r="I3794" t="s">
        <v>42</v>
      </c>
      <c r="M3794">
        <f>VLOOKUP(H3794,'Stage Order'!$A$2:$B$8,2,FALSE)</f>
        <v>2</v>
      </c>
      <c r="N3794" t="str">
        <f t="shared" si="118"/>
        <v>2. 1-24 hours</v>
      </c>
      <c r="O3794" t="str">
        <f t="shared" si="119"/>
        <v>2025-11</v>
      </c>
    </row>
    <row r="3795" spans="1:15" x14ac:dyDescent="0.3">
      <c r="A3795" t="s">
        <v>8945</v>
      </c>
      <c r="B3795" t="s">
        <v>8946</v>
      </c>
      <c r="C3795" t="s">
        <v>58</v>
      </c>
      <c r="D3795" t="s">
        <v>77</v>
      </c>
      <c r="E3795" t="s">
        <v>39</v>
      </c>
      <c r="F3795" t="s">
        <v>106</v>
      </c>
      <c r="G3795">
        <v>1.06</v>
      </c>
      <c r="H3795" t="s">
        <v>41</v>
      </c>
      <c r="I3795" t="s">
        <v>42</v>
      </c>
      <c r="M3795">
        <f>VLOOKUP(H3795,'Stage Order'!$A$2:$B$8,2,FALSE)</f>
        <v>2</v>
      </c>
      <c r="N3795" t="str">
        <f t="shared" si="118"/>
        <v>2. 1-24 hours</v>
      </c>
      <c r="O3795" t="str">
        <f t="shared" si="119"/>
        <v>2025-12</v>
      </c>
    </row>
    <row r="3796" spans="1:15" x14ac:dyDescent="0.3">
      <c r="A3796" t="s">
        <v>8947</v>
      </c>
      <c r="B3796" t="s">
        <v>8948</v>
      </c>
      <c r="C3796" t="s">
        <v>37</v>
      </c>
      <c r="D3796" t="s">
        <v>29</v>
      </c>
      <c r="E3796" t="s">
        <v>59</v>
      </c>
      <c r="F3796" t="s">
        <v>60</v>
      </c>
      <c r="G3796">
        <v>3.65</v>
      </c>
      <c r="H3796" t="s">
        <v>41</v>
      </c>
      <c r="I3796" t="s">
        <v>42</v>
      </c>
      <c r="M3796">
        <f>VLOOKUP(H3796,'Stage Order'!$A$2:$B$8,2,FALSE)</f>
        <v>2</v>
      </c>
      <c r="N3796" t="str">
        <f t="shared" si="118"/>
        <v>2. 1-24 hours</v>
      </c>
      <c r="O3796" t="str">
        <f t="shared" si="119"/>
        <v>2025-08</v>
      </c>
    </row>
    <row r="3797" spans="1:15" x14ac:dyDescent="0.3">
      <c r="A3797" t="s">
        <v>8949</v>
      </c>
      <c r="B3797" t="s">
        <v>8950</v>
      </c>
      <c r="C3797" t="s">
        <v>37</v>
      </c>
      <c r="D3797" t="s">
        <v>29</v>
      </c>
      <c r="E3797" t="s">
        <v>45</v>
      </c>
      <c r="F3797" t="s">
        <v>94</v>
      </c>
      <c r="G3797">
        <v>2.2799999999999998</v>
      </c>
      <c r="H3797" t="s">
        <v>41</v>
      </c>
      <c r="I3797" t="s">
        <v>42</v>
      </c>
      <c r="M3797">
        <f>VLOOKUP(H3797,'Stage Order'!$A$2:$B$8,2,FALSE)</f>
        <v>2</v>
      </c>
      <c r="N3797" t="str">
        <f t="shared" si="118"/>
        <v>2. 1-24 hours</v>
      </c>
      <c r="O3797" t="str">
        <f t="shared" si="119"/>
        <v>2025-08</v>
      </c>
    </row>
    <row r="3798" spans="1:15" x14ac:dyDescent="0.3">
      <c r="A3798" t="s">
        <v>8951</v>
      </c>
      <c r="B3798" t="s">
        <v>8952</v>
      </c>
      <c r="C3798" t="s">
        <v>53</v>
      </c>
      <c r="D3798" t="s">
        <v>38</v>
      </c>
      <c r="E3798" t="s">
        <v>30</v>
      </c>
      <c r="F3798" t="s">
        <v>82</v>
      </c>
      <c r="G3798">
        <v>1.84</v>
      </c>
      <c r="H3798" t="s">
        <v>32</v>
      </c>
      <c r="I3798" t="s">
        <v>33</v>
      </c>
      <c r="K3798">
        <v>315.05</v>
      </c>
      <c r="L3798" t="s">
        <v>8953</v>
      </c>
      <c r="M3798">
        <f>VLOOKUP(H3798,'Stage Order'!$A$2:$B$8,2,FALSE)</f>
        <v>7</v>
      </c>
      <c r="N3798" t="str">
        <f t="shared" si="118"/>
        <v>2. 1-24 hours</v>
      </c>
      <c r="O3798" t="str">
        <f t="shared" si="119"/>
        <v>2025-05</v>
      </c>
    </row>
    <row r="3799" spans="1:15" x14ac:dyDescent="0.3">
      <c r="A3799" t="s">
        <v>8954</v>
      </c>
      <c r="B3799" t="s">
        <v>8955</v>
      </c>
      <c r="C3799" t="s">
        <v>53</v>
      </c>
      <c r="D3799" t="s">
        <v>77</v>
      </c>
      <c r="E3799" t="s">
        <v>59</v>
      </c>
      <c r="F3799" t="s">
        <v>60</v>
      </c>
      <c r="G3799">
        <v>3.52</v>
      </c>
      <c r="H3799" t="s">
        <v>138</v>
      </c>
      <c r="I3799" t="s">
        <v>48</v>
      </c>
      <c r="J3799" t="s">
        <v>139</v>
      </c>
      <c r="K3799">
        <v>1121.96</v>
      </c>
      <c r="L3799" t="s">
        <v>8956</v>
      </c>
      <c r="M3799">
        <f>VLOOKUP(H3799,'Stage Order'!$A$2:$B$8,2,FALSE)</f>
        <v>6</v>
      </c>
      <c r="N3799" t="str">
        <f t="shared" si="118"/>
        <v>2. 1-24 hours</v>
      </c>
      <c r="O3799" t="str">
        <f t="shared" si="119"/>
        <v>2026-01</v>
      </c>
    </row>
    <row r="3800" spans="1:15" x14ac:dyDescent="0.3">
      <c r="A3800" t="s">
        <v>8957</v>
      </c>
      <c r="B3800" t="s">
        <v>8958</v>
      </c>
      <c r="C3800" t="s">
        <v>58</v>
      </c>
      <c r="D3800" t="s">
        <v>54</v>
      </c>
      <c r="E3800" t="s">
        <v>45</v>
      </c>
      <c r="F3800" t="s">
        <v>94</v>
      </c>
      <c r="G3800">
        <v>8.3800000000000008</v>
      </c>
      <c r="H3800" t="s">
        <v>41</v>
      </c>
      <c r="I3800" t="s">
        <v>42</v>
      </c>
      <c r="M3800">
        <f>VLOOKUP(H3800,'Stage Order'!$A$2:$B$8,2,FALSE)</f>
        <v>2</v>
      </c>
      <c r="N3800" t="str">
        <f t="shared" si="118"/>
        <v>2. 1-24 hours</v>
      </c>
      <c r="O3800" t="str">
        <f t="shared" si="119"/>
        <v>2025-07</v>
      </c>
    </row>
    <row r="3801" spans="1:15" x14ac:dyDescent="0.3">
      <c r="A3801" t="s">
        <v>8959</v>
      </c>
      <c r="B3801" t="s">
        <v>8960</v>
      </c>
      <c r="C3801" t="s">
        <v>58</v>
      </c>
      <c r="D3801" t="s">
        <v>54</v>
      </c>
      <c r="E3801" t="s">
        <v>45</v>
      </c>
      <c r="F3801" t="s">
        <v>94</v>
      </c>
      <c r="G3801">
        <v>4.9000000000000004</v>
      </c>
      <c r="H3801" t="s">
        <v>41</v>
      </c>
      <c r="I3801" t="s">
        <v>42</v>
      </c>
      <c r="M3801">
        <f>VLOOKUP(H3801,'Stage Order'!$A$2:$B$8,2,FALSE)</f>
        <v>2</v>
      </c>
      <c r="N3801" t="str">
        <f t="shared" si="118"/>
        <v>2. 1-24 hours</v>
      </c>
      <c r="O3801" t="str">
        <f t="shared" si="119"/>
        <v>2025-08</v>
      </c>
    </row>
    <row r="3802" spans="1:15" x14ac:dyDescent="0.3">
      <c r="A3802" t="s">
        <v>8961</v>
      </c>
      <c r="B3802" t="s">
        <v>8962</v>
      </c>
      <c r="C3802" t="s">
        <v>125</v>
      </c>
      <c r="D3802" t="s">
        <v>38</v>
      </c>
      <c r="E3802" t="s">
        <v>39</v>
      </c>
      <c r="F3802" t="s">
        <v>66</v>
      </c>
      <c r="G3802">
        <v>3.4</v>
      </c>
      <c r="H3802" t="s">
        <v>61</v>
      </c>
      <c r="I3802" t="s">
        <v>42</v>
      </c>
      <c r="M3802">
        <f>VLOOKUP(H3802,'Stage Order'!$A$2:$B$8,2,FALSE)</f>
        <v>1</v>
      </c>
      <c r="N3802" t="str">
        <f t="shared" si="118"/>
        <v>2. 1-24 hours</v>
      </c>
      <c r="O3802" t="str">
        <f t="shared" si="119"/>
        <v>2025-02</v>
      </c>
    </row>
    <row r="3803" spans="1:15" x14ac:dyDescent="0.3">
      <c r="A3803" t="s">
        <v>8963</v>
      </c>
      <c r="B3803" t="s">
        <v>8964</v>
      </c>
      <c r="C3803" t="s">
        <v>37</v>
      </c>
      <c r="D3803" t="s">
        <v>97</v>
      </c>
      <c r="E3803" t="s">
        <v>45</v>
      </c>
      <c r="F3803" t="s">
        <v>94</v>
      </c>
      <c r="G3803">
        <v>2.83</v>
      </c>
      <c r="H3803" t="s">
        <v>61</v>
      </c>
      <c r="I3803" t="s">
        <v>42</v>
      </c>
      <c r="M3803">
        <f>VLOOKUP(H3803,'Stage Order'!$A$2:$B$8,2,FALSE)</f>
        <v>1</v>
      </c>
      <c r="N3803" t="str">
        <f t="shared" si="118"/>
        <v>2. 1-24 hours</v>
      </c>
      <c r="O3803" t="str">
        <f t="shared" si="119"/>
        <v>2025-09</v>
      </c>
    </row>
    <row r="3804" spans="1:15" x14ac:dyDescent="0.3">
      <c r="A3804" t="s">
        <v>8965</v>
      </c>
      <c r="B3804" t="s">
        <v>8966</v>
      </c>
      <c r="C3804" t="s">
        <v>81</v>
      </c>
      <c r="D3804" t="s">
        <v>54</v>
      </c>
      <c r="E3804" t="s">
        <v>90</v>
      </c>
      <c r="F3804" t="s">
        <v>91</v>
      </c>
      <c r="G3804">
        <v>5.96</v>
      </c>
      <c r="H3804" t="s">
        <v>61</v>
      </c>
      <c r="I3804" t="s">
        <v>42</v>
      </c>
      <c r="M3804">
        <f>VLOOKUP(H3804,'Stage Order'!$A$2:$B$8,2,FALSE)</f>
        <v>1</v>
      </c>
      <c r="N3804" t="str">
        <f t="shared" si="118"/>
        <v>2. 1-24 hours</v>
      </c>
      <c r="O3804" t="str">
        <f t="shared" si="119"/>
        <v>2025-03</v>
      </c>
    </row>
    <row r="3805" spans="1:15" x14ac:dyDescent="0.3">
      <c r="A3805" t="s">
        <v>8967</v>
      </c>
      <c r="B3805" t="s">
        <v>8968</v>
      </c>
      <c r="C3805" t="s">
        <v>53</v>
      </c>
      <c r="D3805" t="s">
        <v>97</v>
      </c>
      <c r="E3805" t="s">
        <v>30</v>
      </c>
      <c r="F3805" t="s">
        <v>78</v>
      </c>
      <c r="G3805">
        <v>4.43</v>
      </c>
      <c r="H3805" t="s">
        <v>47</v>
      </c>
      <c r="I3805" t="s">
        <v>48</v>
      </c>
      <c r="J3805" t="s">
        <v>139</v>
      </c>
      <c r="K3805">
        <v>1611.53</v>
      </c>
      <c r="L3805" t="s">
        <v>8969</v>
      </c>
      <c r="M3805">
        <f>VLOOKUP(H3805,'Stage Order'!$A$2:$B$8,2,FALSE)</f>
        <v>4</v>
      </c>
      <c r="N3805" t="str">
        <f t="shared" si="118"/>
        <v>2. 1-24 hours</v>
      </c>
      <c r="O3805" t="str">
        <f t="shared" si="119"/>
        <v>2026-03</v>
      </c>
    </row>
    <row r="3806" spans="1:15" x14ac:dyDescent="0.3">
      <c r="A3806" t="s">
        <v>8970</v>
      </c>
      <c r="B3806" t="s">
        <v>8971</v>
      </c>
      <c r="C3806" t="s">
        <v>81</v>
      </c>
      <c r="D3806" t="s">
        <v>54</v>
      </c>
      <c r="E3806" t="s">
        <v>59</v>
      </c>
      <c r="F3806" t="s">
        <v>117</v>
      </c>
      <c r="G3806">
        <v>5.57</v>
      </c>
      <c r="H3806" t="s">
        <v>41</v>
      </c>
      <c r="I3806" t="s">
        <v>42</v>
      </c>
      <c r="M3806">
        <f>VLOOKUP(H3806,'Stage Order'!$A$2:$B$8,2,FALSE)</f>
        <v>2</v>
      </c>
      <c r="N3806" t="str">
        <f t="shared" si="118"/>
        <v>2. 1-24 hours</v>
      </c>
      <c r="O3806" t="str">
        <f t="shared" si="119"/>
        <v>2026-03</v>
      </c>
    </row>
    <row r="3807" spans="1:15" x14ac:dyDescent="0.3">
      <c r="A3807" t="s">
        <v>8972</v>
      </c>
      <c r="B3807" t="s">
        <v>8973</v>
      </c>
      <c r="C3807" t="s">
        <v>37</v>
      </c>
      <c r="D3807" t="s">
        <v>54</v>
      </c>
      <c r="E3807" t="s">
        <v>39</v>
      </c>
      <c r="F3807" t="s">
        <v>40</v>
      </c>
      <c r="G3807">
        <v>1.78</v>
      </c>
      <c r="H3807" t="s">
        <v>32</v>
      </c>
      <c r="I3807" t="s">
        <v>33</v>
      </c>
      <c r="K3807">
        <v>468.8</v>
      </c>
      <c r="L3807" t="s">
        <v>8974</v>
      </c>
      <c r="M3807">
        <f>VLOOKUP(H3807,'Stage Order'!$A$2:$B$8,2,FALSE)</f>
        <v>7</v>
      </c>
      <c r="N3807" t="str">
        <f t="shared" si="118"/>
        <v>2. 1-24 hours</v>
      </c>
      <c r="O3807" t="str">
        <f t="shared" si="119"/>
        <v>2026-04</v>
      </c>
    </row>
    <row r="3808" spans="1:15" x14ac:dyDescent="0.3">
      <c r="A3808" t="s">
        <v>8975</v>
      </c>
      <c r="B3808" t="s">
        <v>8976</v>
      </c>
      <c r="C3808" t="s">
        <v>58</v>
      </c>
      <c r="D3808" t="s">
        <v>54</v>
      </c>
      <c r="E3808" t="s">
        <v>30</v>
      </c>
      <c r="F3808" t="s">
        <v>78</v>
      </c>
      <c r="G3808">
        <v>1.02</v>
      </c>
      <c r="H3808" t="s">
        <v>41</v>
      </c>
      <c r="I3808" t="s">
        <v>42</v>
      </c>
      <c r="M3808">
        <f>VLOOKUP(H3808,'Stage Order'!$A$2:$B$8,2,FALSE)</f>
        <v>2</v>
      </c>
      <c r="N3808" t="str">
        <f t="shared" si="118"/>
        <v>2. 1-24 hours</v>
      </c>
      <c r="O3808" t="str">
        <f t="shared" si="119"/>
        <v>2025-09</v>
      </c>
    </row>
    <row r="3809" spans="1:15" x14ac:dyDescent="0.3">
      <c r="A3809" t="s">
        <v>8977</v>
      </c>
      <c r="B3809" t="s">
        <v>8978</v>
      </c>
      <c r="C3809" t="s">
        <v>53</v>
      </c>
      <c r="D3809" t="s">
        <v>29</v>
      </c>
      <c r="E3809" t="s">
        <v>39</v>
      </c>
      <c r="F3809" t="s">
        <v>106</v>
      </c>
      <c r="G3809">
        <v>4.5999999999999996</v>
      </c>
      <c r="H3809" t="s">
        <v>41</v>
      </c>
      <c r="I3809" t="s">
        <v>42</v>
      </c>
      <c r="M3809">
        <f>VLOOKUP(H3809,'Stage Order'!$A$2:$B$8,2,FALSE)</f>
        <v>2</v>
      </c>
      <c r="N3809" t="str">
        <f t="shared" si="118"/>
        <v>2. 1-24 hours</v>
      </c>
      <c r="O3809" t="str">
        <f t="shared" si="119"/>
        <v>2026-01</v>
      </c>
    </row>
    <row r="3810" spans="1:15" x14ac:dyDescent="0.3">
      <c r="A3810" t="s">
        <v>8979</v>
      </c>
      <c r="B3810" t="s">
        <v>8980</v>
      </c>
      <c r="C3810" t="s">
        <v>58</v>
      </c>
      <c r="D3810" t="s">
        <v>77</v>
      </c>
      <c r="E3810" t="s">
        <v>45</v>
      </c>
      <c r="F3810" t="s">
        <v>55</v>
      </c>
      <c r="G3810">
        <v>0.48</v>
      </c>
      <c r="H3810" t="s">
        <v>41</v>
      </c>
      <c r="I3810" t="s">
        <v>42</v>
      </c>
      <c r="M3810">
        <f>VLOOKUP(H3810,'Stage Order'!$A$2:$B$8,2,FALSE)</f>
        <v>2</v>
      </c>
      <c r="N3810" t="str">
        <f t="shared" si="118"/>
        <v>1. Under 1 hour</v>
      </c>
      <c r="O3810" t="str">
        <f t="shared" si="119"/>
        <v>2025-07</v>
      </c>
    </row>
    <row r="3811" spans="1:15" x14ac:dyDescent="0.3">
      <c r="A3811" t="s">
        <v>8981</v>
      </c>
      <c r="B3811" t="s">
        <v>8982</v>
      </c>
      <c r="C3811" t="s">
        <v>53</v>
      </c>
      <c r="D3811" t="s">
        <v>97</v>
      </c>
      <c r="E3811" t="s">
        <v>45</v>
      </c>
      <c r="F3811" t="s">
        <v>94</v>
      </c>
      <c r="G3811">
        <v>7.95</v>
      </c>
      <c r="H3811" t="s">
        <v>32</v>
      </c>
      <c r="I3811" t="s">
        <v>33</v>
      </c>
      <c r="K3811">
        <v>1476.55</v>
      </c>
      <c r="L3811" t="s">
        <v>8983</v>
      </c>
      <c r="M3811">
        <f>VLOOKUP(H3811,'Stage Order'!$A$2:$B$8,2,FALSE)</f>
        <v>7</v>
      </c>
      <c r="N3811" t="str">
        <f t="shared" si="118"/>
        <v>2. 1-24 hours</v>
      </c>
      <c r="O3811" t="str">
        <f t="shared" si="119"/>
        <v>2026-02</v>
      </c>
    </row>
    <row r="3812" spans="1:15" x14ac:dyDescent="0.3">
      <c r="A3812" t="s">
        <v>8984</v>
      </c>
      <c r="B3812" t="s">
        <v>8985</v>
      </c>
      <c r="C3812" t="s">
        <v>76</v>
      </c>
      <c r="D3812" t="s">
        <v>54</v>
      </c>
      <c r="E3812" t="s">
        <v>30</v>
      </c>
      <c r="F3812" t="s">
        <v>78</v>
      </c>
      <c r="G3812">
        <v>2.4500000000000002</v>
      </c>
      <c r="H3812" t="s">
        <v>41</v>
      </c>
      <c r="I3812" t="s">
        <v>42</v>
      </c>
      <c r="M3812">
        <f>VLOOKUP(H3812,'Stage Order'!$A$2:$B$8,2,FALSE)</f>
        <v>2</v>
      </c>
      <c r="N3812" t="str">
        <f t="shared" si="118"/>
        <v>2. 1-24 hours</v>
      </c>
      <c r="O3812" t="str">
        <f t="shared" si="119"/>
        <v>2026-01</v>
      </c>
    </row>
    <row r="3813" spans="1:15" x14ac:dyDescent="0.3">
      <c r="A3813" t="s">
        <v>8986</v>
      </c>
      <c r="B3813" t="s">
        <v>8987</v>
      </c>
      <c r="C3813" t="s">
        <v>76</v>
      </c>
      <c r="D3813" t="s">
        <v>54</v>
      </c>
      <c r="E3813" t="s">
        <v>90</v>
      </c>
      <c r="F3813" t="s">
        <v>112</v>
      </c>
      <c r="G3813">
        <v>1.1100000000000001</v>
      </c>
      <c r="H3813" t="s">
        <v>128</v>
      </c>
      <c r="I3813" t="s">
        <v>42</v>
      </c>
      <c r="M3813">
        <f>VLOOKUP(H3813,'Stage Order'!$A$2:$B$8,2,FALSE)</f>
        <v>3</v>
      </c>
      <c r="N3813" t="str">
        <f t="shared" si="118"/>
        <v>2. 1-24 hours</v>
      </c>
      <c r="O3813" t="str">
        <f t="shared" si="119"/>
        <v>2025-08</v>
      </c>
    </row>
    <row r="3814" spans="1:15" x14ac:dyDescent="0.3">
      <c r="A3814" t="s">
        <v>8988</v>
      </c>
      <c r="B3814" t="s">
        <v>8989</v>
      </c>
      <c r="C3814" t="s">
        <v>53</v>
      </c>
      <c r="D3814" t="s">
        <v>54</v>
      </c>
      <c r="E3814" t="s">
        <v>45</v>
      </c>
      <c r="F3814" t="s">
        <v>46</v>
      </c>
      <c r="G3814">
        <v>2.37</v>
      </c>
      <c r="H3814" t="s">
        <v>32</v>
      </c>
      <c r="I3814" t="s">
        <v>33</v>
      </c>
      <c r="K3814">
        <v>542.19000000000005</v>
      </c>
      <c r="L3814" t="s">
        <v>8990</v>
      </c>
      <c r="M3814">
        <f>VLOOKUP(H3814,'Stage Order'!$A$2:$B$8,2,FALSE)</f>
        <v>7</v>
      </c>
      <c r="N3814" t="str">
        <f t="shared" si="118"/>
        <v>2. 1-24 hours</v>
      </c>
      <c r="O3814" t="str">
        <f t="shared" si="119"/>
        <v>2025-09</v>
      </c>
    </row>
    <row r="3815" spans="1:15" x14ac:dyDescent="0.3">
      <c r="A3815" t="s">
        <v>8991</v>
      </c>
      <c r="B3815" t="s">
        <v>8992</v>
      </c>
      <c r="C3815" t="s">
        <v>37</v>
      </c>
      <c r="D3815" t="s">
        <v>54</v>
      </c>
      <c r="E3815" t="s">
        <v>45</v>
      </c>
      <c r="F3815" t="s">
        <v>55</v>
      </c>
      <c r="G3815">
        <v>2.9</v>
      </c>
      <c r="H3815" t="s">
        <v>146</v>
      </c>
      <c r="I3815" t="s">
        <v>48</v>
      </c>
      <c r="J3815" t="s">
        <v>139</v>
      </c>
      <c r="K3815">
        <v>584.82000000000005</v>
      </c>
      <c r="L3815" t="s">
        <v>8993</v>
      </c>
      <c r="M3815">
        <f>VLOOKUP(H3815,'Stage Order'!$A$2:$B$8,2,FALSE)</f>
        <v>5</v>
      </c>
      <c r="N3815" t="str">
        <f t="shared" si="118"/>
        <v>2. 1-24 hours</v>
      </c>
      <c r="O3815" t="str">
        <f t="shared" si="119"/>
        <v>2025-01</v>
      </c>
    </row>
    <row r="3816" spans="1:15" x14ac:dyDescent="0.3">
      <c r="A3816" t="s">
        <v>8994</v>
      </c>
      <c r="B3816" t="s">
        <v>8995</v>
      </c>
      <c r="C3816" t="s">
        <v>81</v>
      </c>
      <c r="D3816" t="s">
        <v>54</v>
      </c>
      <c r="E3816" t="s">
        <v>59</v>
      </c>
      <c r="F3816" t="s">
        <v>60</v>
      </c>
      <c r="G3816">
        <v>3.83</v>
      </c>
      <c r="H3816" t="s">
        <v>47</v>
      </c>
      <c r="I3816" t="s">
        <v>48</v>
      </c>
      <c r="J3816" t="s">
        <v>139</v>
      </c>
      <c r="K3816">
        <v>494.83</v>
      </c>
      <c r="L3816" t="s">
        <v>8996</v>
      </c>
      <c r="M3816">
        <f>VLOOKUP(H3816,'Stage Order'!$A$2:$B$8,2,FALSE)</f>
        <v>4</v>
      </c>
      <c r="N3816" t="str">
        <f t="shared" si="118"/>
        <v>2. 1-24 hours</v>
      </c>
      <c r="O3816" t="str">
        <f t="shared" si="119"/>
        <v>2025-05</v>
      </c>
    </row>
    <row r="3817" spans="1:15" x14ac:dyDescent="0.3">
      <c r="A3817" t="s">
        <v>8997</v>
      </c>
      <c r="B3817" t="s">
        <v>8998</v>
      </c>
      <c r="C3817" t="s">
        <v>37</v>
      </c>
      <c r="D3817" t="s">
        <v>77</v>
      </c>
      <c r="E3817" t="s">
        <v>45</v>
      </c>
      <c r="F3817" t="s">
        <v>55</v>
      </c>
      <c r="G3817">
        <v>3.12</v>
      </c>
      <c r="H3817" t="s">
        <v>41</v>
      </c>
      <c r="I3817" t="s">
        <v>42</v>
      </c>
      <c r="M3817">
        <f>VLOOKUP(H3817,'Stage Order'!$A$2:$B$8,2,FALSE)</f>
        <v>2</v>
      </c>
      <c r="N3817" t="str">
        <f t="shared" si="118"/>
        <v>2. 1-24 hours</v>
      </c>
      <c r="O3817" t="str">
        <f t="shared" si="119"/>
        <v>2026-06</v>
      </c>
    </row>
    <row r="3818" spans="1:15" x14ac:dyDescent="0.3">
      <c r="A3818" t="s">
        <v>8999</v>
      </c>
      <c r="B3818" t="s">
        <v>9000</v>
      </c>
      <c r="C3818" t="s">
        <v>37</v>
      </c>
      <c r="D3818" t="s">
        <v>77</v>
      </c>
      <c r="E3818" t="s">
        <v>45</v>
      </c>
      <c r="F3818" t="s">
        <v>55</v>
      </c>
      <c r="G3818">
        <v>4.99</v>
      </c>
      <c r="H3818" t="s">
        <v>146</v>
      </c>
      <c r="I3818" t="s">
        <v>48</v>
      </c>
      <c r="J3818" t="s">
        <v>139</v>
      </c>
      <c r="K3818">
        <v>940.53</v>
      </c>
      <c r="L3818" t="s">
        <v>9001</v>
      </c>
      <c r="M3818">
        <f>VLOOKUP(H3818,'Stage Order'!$A$2:$B$8,2,FALSE)</f>
        <v>5</v>
      </c>
      <c r="N3818" t="str">
        <f t="shared" si="118"/>
        <v>2. 1-24 hours</v>
      </c>
      <c r="O3818" t="str">
        <f t="shared" si="119"/>
        <v>2025-10</v>
      </c>
    </row>
    <row r="3819" spans="1:15" x14ac:dyDescent="0.3">
      <c r="A3819" t="s">
        <v>9002</v>
      </c>
      <c r="B3819" t="s">
        <v>9003</v>
      </c>
      <c r="C3819" t="s">
        <v>37</v>
      </c>
      <c r="D3819" t="s">
        <v>29</v>
      </c>
      <c r="E3819" t="s">
        <v>45</v>
      </c>
      <c r="F3819" t="s">
        <v>55</v>
      </c>
      <c r="G3819">
        <v>5.75</v>
      </c>
      <c r="H3819" t="s">
        <v>41</v>
      </c>
      <c r="I3819" t="s">
        <v>42</v>
      </c>
      <c r="M3819">
        <f>VLOOKUP(H3819,'Stage Order'!$A$2:$B$8,2,FALSE)</f>
        <v>2</v>
      </c>
      <c r="N3819" t="str">
        <f t="shared" si="118"/>
        <v>2. 1-24 hours</v>
      </c>
      <c r="O3819" t="str">
        <f t="shared" si="119"/>
        <v>2025-01</v>
      </c>
    </row>
    <row r="3820" spans="1:15" x14ac:dyDescent="0.3">
      <c r="A3820" t="s">
        <v>9004</v>
      </c>
      <c r="B3820" t="s">
        <v>9005</v>
      </c>
      <c r="C3820" t="s">
        <v>37</v>
      </c>
      <c r="D3820" t="s">
        <v>54</v>
      </c>
      <c r="E3820" t="s">
        <v>45</v>
      </c>
      <c r="F3820" t="s">
        <v>46</v>
      </c>
      <c r="G3820">
        <v>0.34</v>
      </c>
      <c r="H3820" t="s">
        <v>138</v>
      </c>
      <c r="I3820" t="s">
        <v>48</v>
      </c>
      <c r="J3820" t="s">
        <v>49</v>
      </c>
      <c r="K3820">
        <v>599.74</v>
      </c>
      <c r="L3820" t="s">
        <v>9006</v>
      </c>
      <c r="M3820">
        <f>VLOOKUP(H3820,'Stage Order'!$A$2:$B$8,2,FALSE)</f>
        <v>6</v>
      </c>
      <c r="N3820" t="str">
        <f t="shared" si="118"/>
        <v>1. Under 1 hour</v>
      </c>
      <c r="O3820" t="str">
        <f t="shared" si="119"/>
        <v>2026-03</v>
      </c>
    </row>
    <row r="3821" spans="1:15" x14ac:dyDescent="0.3">
      <c r="A3821" t="s">
        <v>9007</v>
      </c>
      <c r="B3821" t="s">
        <v>9008</v>
      </c>
      <c r="C3821" t="s">
        <v>81</v>
      </c>
      <c r="D3821" t="s">
        <v>77</v>
      </c>
      <c r="E3821" t="s">
        <v>90</v>
      </c>
      <c r="F3821" t="s">
        <v>91</v>
      </c>
      <c r="G3821">
        <v>1.2</v>
      </c>
      <c r="H3821" t="s">
        <v>61</v>
      </c>
      <c r="I3821" t="s">
        <v>42</v>
      </c>
      <c r="M3821">
        <f>VLOOKUP(H3821,'Stage Order'!$A$2:$B$8,2,FALSE)</f>
        <v>1</v>
      </c>
      <c r="N3821" t="str">
        <f t="shared" si="118"/>
        <v>2. 1-24 hours</v>
      </c>
      <c r="O3821" t="str">
        <f t="shared" si="119"/>
        <v>2025-09</v>
      </c>
    </row>
    <row r="3822" spans="1:15" x14ac:dyDescent="0.3">
      <c r="A3822" t="s">
        <v>9009</v>
      </c>
      <c r="B3822" t="s">
        <v>9010</v>
      </c>
      <c r="C3822" t="s">
        <v>125</v>
      </c>
      <c r="D3822" t="s">
        <v>29</v>
      </c>
      <c r="E3822" t="s">
        <v>90</v>
      </c>
      <c r="F3822" t="s">
        <v>112</v>
      </c>
      <c r="G3822">
        <v>4.47</v>
      </c>
      <c r="H3822" t="s">
        <v>61</v>
      </c>
      <c r="I3822" t="s">
        <v>42</v>
      </c>
      <c r="M3822">
        <f>VLOOKUP(H3822,'Stage Order'!$A$2:$B$8,2,FALSE)</f>
        <v>1</v>
      </c>
      <c r="N3822" t="str">
        <f t="shared" si="118"/>
        <v>2. 1-24 hours</v>
      </c>
      <c r="O3822" t="str">
        <f t="shared" si="119"/>
        <v>2026-05</v>
      </c>
    </row>
    <row r="3823" spans="1:15" x14ac:dyDescent="0.3">
      <c r="A3823" t="s">
        <v>9011</v>
      </c>
      <c r="B3823" t="s">
        <v>9012</v>
      </c>
      <c r="C3823" t="s">
        <v>53</v>
      </c>
      <c r="D3823" t="s">
        <v>54</v>
      </c>
      <c r="E3823" t="s">
        <v>90</v>
      </c>
      <c r="F3823" t="s">
        <v>91</v>
      </c>
      <c r="G3823">
        <v>7.51</v>
      </c>
      <c r="H3823" t="s">
        <v>32</v>
      </c>
      <c r="I3823" t="s">
        <v>33</v>
      </c>
      <c r="K3823">
        <v>556.09</v>
      </c>
      <c r="L3823" t="s">
        <v>9013</v>
      </c>
      <c r="M3823">
        <f>VLOOKUP(H3823,'Stage Order'!$A$2:$B$8,2,FALSE)</f>
        <v>7</v>
      </c>
      <c r="N3823" t="str">
        <f t="shared" si="118"/>
        <v>2. 1-24 hours</v>
      </c>
      <c r="O3823" t="str">
        <f t="shared" si="119"/>
        <v>2025-11</v>
      </c>
    </row>
    <row r="3824" spans="1:15" x14ac:dyDescent="0.3">
      <c r="A3824" t="s">
        <v>9014</v>
      </c>
      <c r="B3824" t="s">
        <v>9015</v>
      </c>
      <c r="C3824" t="s">
        <v>53</v>
      </c>
      <c r="D3824" t="s">
        <v>77</v>
      </c>
      <c r="E3824" t="s">
        <v>39</v>
      </c>
      <c r="F3824" t="s">
        <v>66</v>
      </c>
      <c r="G3824">
        <v>2.39</v>
      </c>
      <c r="H3824" t="s">
        <v>41</v>
      </c>
      <c r="I3824" t="s">
        <v>42</v>
      </c>
      <c r="M3824">
        <f>VLOOKUP(H3824,'Stage Order'!$A$2:$B$8,2,FALSE)</f>
        <v>2</v>
      </c>
      <c r="N3824" t="str">
        <f t="shared" si="118"/>
        <v>2. 1-24 hours</v>
      </c>
      <c r="O3824" t="str">
        <f t="shared" si="119"/>
        <v>2025-06</v>
      </c>
    </row>
    <row r="3825" spans="1:15" x14ac:dyDescent="0.3">
      <c r="A3825" t="s">
        <v>9016</v>
      </c>
      <c r="B3825" t="s">
        <v>9017</v>
      </c>
      <c r="C3825" t="s">
        <v>53</v>
      </c>
      <c r="D3825" t="s">
        <v>77</v>
      </c>
      <c r="E3825" t="s">
        <v>90</v>
      </c>
      <c r="F3825" t="s">
        <v>112</v>
      </c>
      <c r="G3825">
        <v>8.9700000000000006</v>
      </c>
      <c r="H3825" t="s">
        <v>32</v>
      </c>
      <c r="I3825" t="s">
        <v>33</v>
      </c>
      <c r="K3825">
        <v>870.22</v>
      </c>
      <c r="L3825" t="s">
        <v>9018</v>
      </c>
      <c r="M3825">
        <f>VLOOKUP(H3825,'Stage Order'!$A$2:$B$8,2,FALSE)</f>
        <v>7</v>
      </c>
      <c r="N3825" t="str">
        <f t="shared" si="118"/>
        <v>2. 1-24 hours</v>
      </c>
      <c r="O3825" t="str">
        <f t="shared" si="119"/>
        <v>2025-09</v>
      </c>
    </row>
    <row r="3826" spans="1:15" x14ac:dyDescent="0.3">
      <c r="A3826" t="s">
        <v>9019</v>
      </c>
      <c r="B3826" t="s">
        <v>9020</v>
      </c>
      <c r="C3826" t="s">
        <v>53</v>
      </c>
      <c r="D3826" t="s">
        <v>54</v>
      </c>
      <c r="E3826" t="s">
        <v>39</v>
      </c>
      <c r="F3826" t="s">
        <v>66</v>
      </c>
      <c r="G3826">
        <v>7.33</v>
      </c>
      <c r="H3826" t="s">
        <v>41</v>
      </c>
      <c r="I3826" t="s">
        <v>42</v>
      </c>
      <c r="M3826">
        <f>VLOOKUP(H3826,'Stage Order'!$A$2:$B$8,2,FALSE)</f>
        <v>2</v>
      </c>
      <c r="N3826" t="str">
        <f t="shared" si="118"/>
        <v>2. 1-24 hours</v>
      </c>
      <c r="O3826" t="str">
        <f t="shared" si="119"/>
        <v>2025-03</v>
      </c>
    </row>
    <row r="3827" spans="1:15" x14ac:dyDescent="0.3">
      <c r="A3827" t="s">
        <v>9021</v>
      </c>
      <c r="B3827" t="s">
        <v>9022</v>
      </c>
      <c r="C3827" t="s">
        <v>37</v>
      </c>
      <c r="D3827" t="s">
        <v>97</v>
      </c>
      <c r="E3827" t="s">
        <v>45</v>
      </c>
      <c r="F3827" t="s">
        <v>46</v>
      </c>
      <c r="G3827">
        <v>8.89</v>
      </c>
      <c r="H3827" t="s">
        <v>47</v>
      </c>
      <c r="I3827" t="s">
        <v>48</v>
      </c>
      <c r="J3827" t="s">
        <v>742</v>
      </c>
      <c r="K3827">
        <v>1433.39</v>
      </c>
      <c r="L3827" t="s">
        <v>9023</v>
      </c>
      <c r="M3827">
        <f>VLOOKUP(H3827,'Stage Order'!$A$2:$B$8,2,FALSE)</f>
        <v>4</v>
      </c>
      <c r="N3827" t="str">
        <f t="shared" si="118"/>
        <v>2. 1-24 hours</v>
      </c>
      <c r="O3827" t="str">
        <f t="shared" si="119"/>
        <v>2025-05</v>
      </c>
    </row>
    <row r="3828" spans="1:15" x14ac:dyDescent="0.3">
      <c r="A3828" t="s">
        <v>9024</v>
      </c>
      <c r="B3828" t="s">
        <v>9025</v>
      </c>
      <c r="C3828" t="s">
        <v>58</v>
      </c>
      <c r="D3828" t="s">
        <v>54</v>
      </c>
      <c r="E3828" t="s">
        <v>30</v>
      </c>
      <c r="F3828" t="s">
        <v>78</v>
      </c>
      <c r="G3828">
        <v>7.76</v>
      </c>
      <c r="H3828" t="s">
        <v>41</v>
      </c>
      <c r="I3828" t="s">
        <v>42</v>
      </c>
      <c r="M3828">
        <f>VLOOKUP(H3828,'Stage Order'!$A$2:$B$8,2,FALSE)</f>
        <v>2</v>
      </c>
      <c r="N3828" t="str">
        <f t="shared" si="118"/>
        <v>2. 1-24 hours</v>
      </c>
      <c r="O3828" t="str">
        <f t="shared" si="119"/>
        <v>2026-05</v>
      </c>
    </row>
    <row r="3829" spans="1:15" x14ac:dyDescent="0.3">
      <c r="A3829" t="s">
        <v>9026</v>
      </c>
      <c r="B3829" t="s">
        <v>9027</v>
      </c>
      <c r="C3829" t="s">
        <v>58</v>
      </c>
      <c r="D3829" t="s">
        <v>54</v>
      </c>
      <c r="E3829" t="s">
        <v>90</v>
      </c>
      <c r="F3829" t="s">
        <v>112</v>
      </c>
      <c r="G3829">
        <v>2.4500000000000002</v>
      </c>
      <c r="H3829" t="s">
        <v>32</v>
      </c>
      <c r="I3829" t="s">
        <v>33</v>
      </c>
      <c r="K3829">
        <v>426.8</v>
      </c>
      <c r="L3829" t="s">
        <v>9028</v>
      </c>
      <c r="M3829">
        <f>VLOOKUP(H3829,'Stage Order'!$A$2:$B$8,2,FALSE)</f>
        <v>7</v>
      </c>
      <c r="N3829" t="str">
        <f t="shared" si="118"/>
        <v>2. 1-24 hours</v>
      </c>
      <c r="O3829" t="str">
        <f t="shared" si="119"/>
        <v>2025-03</v>
      </c>
    </row>
    <row r="3830" spans="1:15" x14ac:dyDescent="0.3">
      <c r="A3830" t="s">
        <v>9029</v>
      </c>
      <c r="B3830" t="s">
        <v>9030</v>
      </c>
      <c r="C3830" t="s">
        <v>58</v>
      </c>
      <c r="D3830" t="s">
        <v>97</v>
      </c>
      <c r="E3830" t="s">
        <v>90</v>
      </c>
      <c r="F3830" t="s">
        <v>91</v>
      </c>
      <c r="G3830">
        <v>3.33</v>
      </c>
      <c r="H3830" t="s">
        <v>61</v>
      </c>
      <c r="I3830" t="s">
        <v>42</v>
      </c>
      <c r="M3830">
        <f>VLOOKUP(H3830,'Stage Order'!$A$2:$B$8,2,FALSE)</f>
        <v>1</v>
      </c>
      <c r="N3830" t="str">
        <f t="shared" si="118"/>
        <v>2. 1-24 hours</v>
      </c>
      <c r="O3830" t="str">
        <f t="shared" si="119"/>
        <v>2025-08</v>
      </c>
    </row>
    <row r="3831" spans="1:15" x14ac:dyDescent="0.3">
      <c r="A3831" t="s">
        <v>9031</v>
      </c>
      <c r="B3831" t="s">
        <v>9032</v>
      </c>
      <c r="C3831" t="s">
        <v>37</v>
      </c>
      <c r="D3831" t="s">
        <v>97</v>
      </c>
      <c r="E3831" t="s">
        <v>59</v>
      </c>
      <c r="F3831" t="s">
        <v>117</v>
      </c>
      <c r="G3831">
        <v>0.65</v>
      </c>
      <c r="H3831" t="s">
        <v>41</v>
      </c>
      <c r="I3831" t="s">
        <v>42</v>
      </c>
      <c r="M3831">
        <f>VLOOKUP(H3831,'Stage Order'!$A$2:$B$8,2,FALSE)</f>
        <v>2</v>
      </c>
      <c r="N3831" t="str">
        <f t="shared" si="118"/>
        <v>1. Under 1 hour</v>
      </c>
      <c r="O3831" t="str">
        <f t="shared" si="119"/>
        <v>2025-06</v>
      </c>
    </row>
    <row r="3832" spans="1:15" x14ac:dyDescent="0.3">
      <c r="A3832" t="s">
        <v>9033</v>
      </c>
      <c r="B3832" t="s">
        <v>9034</v>
      </c>
      <c r="C3832" t="s">
        <v>37</v>
      </c>
      <c r="D3832" t="s">
        <v>77</v>
      </c>
      <c r="E3832" t="s">
        <v>45</v>
      </c>
      <c r="F3832" t="s">
        <v>55</v>
      </c>
      <c r="G3832">
        <v>3.88</v>
      </c>
      <c r="H3832" t="s">
        <v>41</v>
      </c>
      <c r="I3832" t="s">
        <v>42</v>
      </c>
      <c r="M3832">
        <f>VLOOKUP(H3832,'Stage Order'!$A$2:$B$8,2,FALSE)</f>
        <v>2</v>
      </c>
      <c r="N3832" t="str">
        <f t="shared" si="118"/>
        <v>2. 1-24 hours</v>
      </c>
      <c r="O3832" t="str">
        <f t="shared" si="119"/>
        <v>2026-01</v>
      </c>
    </row>
    <row r="3833" spans="1:15" x14ac:dyDescent="0.3">
      <c r="A3833" t="s">
        <v>9035</v>
      </c>
      <c r="B3833" t="s">
        <v>9036</v>
      </c>
      <c r="C3833" t="s">
        <v>28</v>
      </c>
      <c r="D3833" t="s">
        <v>54</v>
      </c>
      <c r="E3833" t="s">
        <v>45</v>
      </c>
      <c r="F3833" t="s">
        <v>55</v>
      </c>
      <c r="G3833">
        <v>0.88</v>
      </c>
      <c r="H3833" t="s">
        <v>32</v>
      </c>
      <c r="I3833" t="s">
        <v>33</v>
      </c>
      <c r="K3833">
        <v>419.87</v>
      </c>
      <c r="L3833" t="s">
        <v>9037</v>
      </c>
      <c r="M3833">
        <f>VLOOKUP(H3833,'Stage Order'!$A$2:$B$8,2,FALSE)</f>
        <v>7</v>
      </c>
      <c r="N3833" t="str">
        <f t="shared" si="118"/>
        <v>1. Under 1 hour</v>
      </c>
      <c r="O3833" t="str">
        <f t="shared" si="119"/>
        <v>2026-05</v>
      </c>
    </row>
    <row r="3834" spans="1:15" x14ac:dyDescent="0.3">
      <c r="A3834" t="s">
        <v>9038</v>
      </c>
      <c r="B3834" t="s">
        <v>9039</v>
      </c>
      <c r="C3834" t="s">
        <v>28</v>
      </c>
      <c r="D3834" t="s">
        <v>77</v>
      </c>
      <c r="E3834" t="s">
        <v>39</v>
      </c>
      <c r="F3834" t="s">
        <v>40</v>
      </c>
      <c r="G3834">
        <v>1.34</v>
      </c>
      <c r="H3834" t="s">
        <v>32</v>
      </c>
      <c r="I3834" t="s">
        <v>33</v>
      </c>
      <c r="K3834">
        <v>923.21</v>
      </c>
      <c r="L3834" t="s">
        <v>9040</v>
      </c>
      <c r="M3834">
        <f>VLOOKUP(H3834,'Stage Order'!$A$2:$B$8,2,FALSE)</f>
        <v>7</v>
      </c>
      <c r="N3834" t="str">
        <f t="shared" si="118"/>
        <v>2. 1-24 hours</v>
      </c>
      <c r="O3834" t="str">
        <f t="shared" si="119"/>
        <v>2025-07</v>
      </c>
    </row>
    <row r="3835" spans="1:15" x14ac:dyDescent="0.3">
      <c r="A3835" t="s">
        <v>9041</v>
      </c>
      <c r="B3835" t="s">
        <v>9042</v>
      </c>
      <c r="C3835" t="s">
        <v>37</v>
      </c>
      <c r="D3835" t="s">
        <v>38</v>
      </c>
      <c r="E3835" t="s">
        <v>90</v>
      </c>
      <c r="F3835" t="s">
        <v>91</v>
      </c>
      <c r="G3835">
        <v>1.89</v>
      </c>
      <c r="H3835" t="s">
        <v>41</v>
      </c>
      <c r="I3835" t="s">
        <v>42</v>
      </c>
      <c r="M3835">
        <f>VLOOKUP(H3835,'Stage Order'!$A$2:$B$8,2,FALSE)</f>
        <v>2</v>
      </c>
      <c r="N3835" t="str">
        <f t="shared" si="118"/>
        <v>2. 1-24 hours</v>
      </c>
      <c r="O3835" t="str">
        <f t="shared" si="119"/>
        <v>2025-01</v>
      </c>
    </row>
    <row r="3836" spans="1:15" x14ac:dyDescent="0.3">
      <c r="A3836" t="s">
        <v>9043</v>
      </c>
      <c r="B3836" t="s">
        <v>9044</v>
      </c>
      <c r="C3836" t="s">
        <v>125</v>
      </c>
      <c r="D3836" t="s">
        <v>54</v>
      </c>
      <c r="E3836" t="s">
        <v>30</v>
      </c>
      <c r="F3836" t="s">
        <v>82</v>
      </c>
      <c r="G3836">
        <v>17.47</v>
      </c>
      <c r="H3836" t="s">
        <v>61</v>
      </c>
      <c r="I3836" t="s">
        <v>42</v>
      </c>
      <c r="M3836">
        <f>VLOOKUP(H3836,'Stage Order'!$A$2:$B$8,2,FALSE)</f>
        <v>1</v>
      </c>
      <c r="N3836" t="str">
        <f t="shared" si="118"/>
        <v>2. 1-24 hours</v>
      </c>
      <c r="O3836" t="str">
        <f t="shared" si="119"/>
        <v>2026-04</v>
      </c>
    </row>
    <row r="3837" spans="1:15" x14ac:dyDescent="0.3">
      <c r="A3837" t="s">
        <v>9045</v>
      </c>
      <c r="B3837" t="s">
        <v>9046</v>
      </c>
      <c r="C3837" t="s">
        <v>58</v>
      </c>
      <c r="D3837" t="s">
        <v>77</v>
      </c>
      <c r="E3837" t="s">
        <v>90</v>
      </c>
      <c r="F3837" t="s">
        <v>91</v>
      </c>
      <c r="G3837">
        <v>3.96</v>
      </c>
      <c r="H3837" t="s">
        <v>41</v>
      </c>
      <c r="I3837" t="s">
        <v>42</v>
      </c>
      <c r="M3837">
        <f>VLOOKUP(H3837,'Stage Order'!$A$2:$B$8,2,FALSE)</f>
        <v>2</v>
      </c>
      <c r="N3837" t="str">
        <f t="shared" si="118"/>
        <v>2. 1-24 hours</v>
      </c>
      <c r="O3837" t="str">
        <f t="shared" si="119"/>
        <v>2025-03</v>
      </c>
    </row>
    <row r="3838" spans="1:15" x14ac:dyDescent="0.3">
      <c r="A3838" t="s">
        <v>9047</v>
      </c>
      <c r="B3838" t="s">
        <v>9048</v>
      </c>
      <c r="C3838" t="s">
        <v>53</v>
      </c>
      <c r="D3838" t="s">
        <v>97</v>
      </c>
      <c r="E3838" t="s">
        <v>45</v>
      </c>
      <c r="F3838" t="s">
        <v>55</v>
      </c>
      <c r="G3838">
        <v>3.14</v>
      </c>
      <c r="H3838" t="s">
        <v>41</v>
      </c>
      <c r="I3838" t="s">
        <v>42</v>
      </c>
      <c r="M3838">
        <f>VLOOKUP(H3838,'Stage Order'!$A$2:$B$8,2,FALSE)</f>
        <v>2</v>
      </c>
      <c r="N3838" t="str">
        <f t="shared" si="118"/>
        <v>2. 1-24 hours</v>
      </c>
      <c r="O3838" t="str">
        <f t="shared" si="119"/>
        <v>2025-05</v>
      </c>
    </row>
    <row r="3839" spans="1:15" x14ac:dyDescent="0.3">
      <c r="A3839" t="s">
        <v>9049</v>
      </c>
      <c r="B3839" t="s">
        <v>9050</v>
      </c>
      <c r="C3839" t="s">
        <v>125</v>
      </c>
      <c r="D3839" t="s">
        <v>29</v>
      </c>
      <c r="E3839" t="s">
        <v>45</v>
      </c>
      <c r="F3839" t="s">
        <v>55</v>
      </c>
      <c r="G3839">
        <v>2.13</v>
      </c>
      <c r="H3839" t="s">
        <v>61</v>
      </c>
      <c r="I3839" t="s">
        <v>42</v>
      </c>
      <c r="M3839">
        <f>VLOOKUP(H3839,'Stage Order'!$A$2:$B$8,2,FALSE)</f>
        <v>1</v>
      </c>
      <c r="N3839" t="str">
        <f t="shared" si="118"/>
        <v>2. 1-24 hours</v>
      </c>
      <c r="O3839" t="str">
        <f t="shared" si="119"/>
        <v>2025-06</v>
      </c>
    </row>
    <row r="3840" spans="1:15" x14ac:dyDescent="0.3">
      <c r="A3840" t="s">
        <v>9051</v>
      </c>
      <c r="B3840" t="s">
        <v>9052</v>
      </c>
      <c r="C3840" t="s">
        <v>37</v>
      </c>
      <c r="D3840" t="s">
        <v>54</v>
      </c>
      <c r="E3840" t="s">
        <v>45</v>
      </c>
      <c r="F3840" t="s">
        <v>94</v>
      </c>
      <c r="G3840">
        <v>2.56</v>
      </c>
      <c r="H3840" t="s">
        <v>41</v>
      </c>
      <c r="I3840" t="s">
        <v>42</v>
      </c>
      <c r="M3840">
        <f>VLOOKUP(H3840,'Stage Order'!$A$2:$B$8,2,FALSE)</f>
        <v>2</v>
      </c>
      <c r="N3840" t="str">
        <f t="shared" si="118"/>
        <v>2. 1-24 hours</v>
      </c>
      <c r="O3840" t="str">
        <f t="shared" si="119"/>
        <v>2026-04</v>
      </c>
    </row>
    <row r="3841" spans="1:15" x14ac:dyDescent="0.3">
      <c r="A3841" t="s">
        <v>9053</v>
      </c>
      <c r="B3841" t="s">
        <v>9054</v>
      </c>
      <c r="C3841" t="s">
        <v>53</v>
      </c>
      <c r="D3841" t="s">
        <v>77</v>
      </c>
      <c r="E3841" t="s">
        <v>90</v>
      </c>
      <c r="F3841" t="s">
        <v>91</v>
      </c>
      <c r="G3841">
        <v>7.63</v>
      </c>
      <c r="H3841" t="s">
        <v>32</v>
      </c>
      <c r="I3841" t="s">
        <v>33</v>
      </c>
      <c r="K3841">
        <v>912.11</v>
      </c>
      <c r="L3841" t="s">
        <v>9055</v>
      </c>
      <c r="M3841">
        <f>VLOOKUP(H3841,'Stage Order'!$A$2:$B$8,2,FALSE)</f>
        <v>7</v>
      </c>
      <c r="N3841" t="str">
        <f t="shared" si="118"/>
        <v>2. 1-24 hours</v>
      </c>
      <c r="O3841" t="str">
        <f t="shared" si="119"/>
        <v>2025-04</v>
      </c>
    </row>
    <row r="3842" spans="1:15" x14ac:dyDescent="0.3">
      <c r="A3842" t="s">
        <v>9056</v>
      </c>
      <c r="B3842" t="s">
        <v>9057</v>
      </c>
      <c r="C3842" t="s">
        <v>28</v>
      </c>
      <c r="D3842" t="s">
        <v>77</v>
      </c>
      <c r="E3842" t="s">
        <v>90</v>
      </c>
      <c r="F3842" t="s">
        <v>91</v>
      </c>
      <c r="G3842">
        <v>1.44</v>
      </c>
      <c r="H3842" t="s">
        <v>41</v>
      </c>
      <c r="I3842" t="s">
        <v>42</v>
      </c>
      <c r="M3842">
        <f>VLOOKUP(H3842,'Stage Order'!$A$2:$B$8,2,FALSE)</f>
        <v>2</v>
      </c>
      <c r="N3842" t="str">
        <f t="shared" ref="N3842:N3905" si="120">IF(G3842&lt;=1,"1. Under 1 hour",IF(G3842&lt;=24,"2. 1-24 hours",IF(G3842&lt;=72,"3. 1-3 days","4. Over 3 days")))</f>
        <v>2. 1-24 hours</v>
      </c>
      <c r="O3842" t="str">
        <f t="shared" ref="O3842:O3905" si="121">TEXT(B3842,"YYYY-MM")</f>
        <v>2025-10</v>
      </c>
    </row>
    <row r="3843" spans="1:15" x14ac:dyDescent="0.3">
      <c r="A3843" t="s">
        <v>9058</v>
      </c>
      <c r="B3843" t="s">
        <v>9059</v>
      </c>
      <c r="C3843" t="s">
        <v>37</v>
      </c>
      <c r="D3843" t="s">
        <v>77</v>
      </c>
      <c r="E3843" t="s">
        <v>30</v>
      </c>
      <c r="F3843" t="s">
        <v>82</v>
      </c>
      <c r="G3843">
        <v>0.79</v>
      </c>
      <c r="H3843" t="s">
        <v>146</v>
      </c>
      <c r="I3843" t="s">
        <v>48</v>
      </c>
      <c r="J3843" t="s">
        <v>742</v>
      </c>
      <c r="K3843">
        <v>1090.76</v>
      </c>
      <c r="L3843" t="s">
        <v>9060</v>
      </c>
      <c r="M3843">
        <f>VLOOKUP(H3843,'Stage Order'!$A$2:$B$8,2,FALSE)</f>
        <v>5</v>
      </c>
      <c r="N3843" t="str">
        <f t="shared" si="120"/>
        <v>1. Under 1 hour</v>
      </c>
      <c r="O3843" t="str">
        <f t="shared" si="121"/>
        <v>2025-05</v>
      </c>
    </row>
    <row r="3844" spans="1:15" x14ac:dyDescent="0.3">
      <c r="A3844" t="s">
        <v>9061</v>
      </c>
      <c r="B3844" t="s">
        <v>9062</v>
      </c>
      <c r="C3844" t="s">
        <v>76</v>
      </c>
      <c r="D3844" t="s">
        <v>54</v>
      </c>
      <c r="E3844" t="s">
        <v>59</v>
      </c>
      <c r="F3844" t="s">
        <v>137</v>
      </c>
      <c r="G3844">
        <v>14.37</v>
      </c>
      <c r="H3844" t="s">
        <v>47</v>
      </c>
      <c r="I3844" t="s">
        <v>48</v>
      </c>
      <c r="J3844" t="s">
        <v>113</v>
      </c>
      <c r="K3844">
        <v>473.29</v>
      </c>
      <c r="L3844" t="s">
        <v>9063</v>
      </c>
      <c r="M3844">
        <f>VLOOKUP(H3844,'Stage Order'!$A$2:$B$8,2,FALSE)</f>
        <v>4</v>
      </c>
      <c r="N3844" t="str">
        <f t="shared" si="120"/>
        <v>2. 1-24 hours</v>
      </c>
      <c r="O3844" t="str">
        <f t="shared" si="121"/>
        <v>2025-04</v>
      </c>
    </row>
    <row r="3845" spans="1:15" x14ac:dyDescent="0.3">
      <c r="A3845" t="s">
        <v>9064</v>
      </c>
      <c r="B3845" t="s">
        <v>9065</v>
      </c>
      <c r="C3845" t="s">
        <v>37</v>
      </c>
      <c r="D3845" t="s">
        <v>77</v>
      </c>
      <c r="E3845" t="s">
        <v>45</v>
      </c>
      <c r="F3845" t="s">
        <v>55</v>
      </c>
      <c r="G3845">
        <v>2.78</v>
      </c>
      <c r="H3845" t="s">
        <v>41</v>
      </c>
      <c r="I3845" t="s">
        <v>42</v>
      </c>
      <c r="M3845">
        <f>VLOOKUP(H3845,'Stage Order'!$A$2:$B$8,2,FALSE)</f>
        <v>2</v>
      </c>
      <c r="N3845" t="str">
        <f t="shared" si="120"/>
        <v>2. 1-24 hours</v>
      </c>
      <c r="O3845" t="str">
        <f t="shared" si="121"/>
        <v>2026-02</v>
      </c>
    </row>
    <row r="3846" spans="1:15" x14ac:dyDescent="0.3">
      <c r="A3846" t="s">
        <v>9066</v>
      </c>
      <c r="B3846" t="s">
        <v>9067</v>
      </c>
      <c r="C3846" t="s">
        <v>37</v>
      </c>
      <c r="D3846" t="s">
        <v>97</v>
      </c>
      <c r="E3846" t="s">
        <v>90</v>
      </c>
      <c r="F3846" t="s">
        <v>145</v>
      </c>
      <c r="G3846">
        <v>22.12</v>
      </c>
      <c r="H3846" t="s">
        <v>41</v>
      </c>
      <c r="I3846" t="s">
        <v>42</v>
      </c>
      <c r="M3846">
        <f>VLOOKUP(H3846,'Stage Order'!$A$2:$B$8,2,FALSE)</f>
        <v>2</v>
      </c>
      <c r="N3846" t="str">
        <f t="shared" si="120"/>
        <v>2. 1-24 hours</v>
      </c>
      <c r="O3846" t="str">
        <f t="shared" si="121"/>
        <v>2025-07</v>
      </c>
    </row>
    <row r="3847" spans="1:15" x14ac:dyDescent="0.3">
      <c r="A3847" t="s">
        <v>9068</v>
      </c>
      <c r="B3847" t="s">
        <v>9069</v>
      </c>
      <c r="C3847" t="s">
        <v>28</v>
      </c>
      <c r="D3847" t="s">
        <v>97</v>
      </c>
      <c r="E3847" t="s">
        <v>59</v>
      </c>
      <c r="F3847" t="s">
        <v>137</v>
      </c>
      <c r="G3847">
        <v>2.1</v>
      </c>
      <c r="H3847" t="s">
        <v>138</v>
      </c>
      <c r="I3847" t="s">
        <v>48</v>
      </c>
      <c r="J3847" t="s">
        <v>139</v>
      </c>
      <c r="K3847">
        <v>1610.85</v>
      </c>
      <c r="L3847" t="s">
        <v>9070</v>
      </c>
      <c r="M3847">
        <f>VLOOKUP(H3847,'Stage Order'!$A$2:$B$8,2,FALSE)</f>
        <v>6</v>
      </c>
      <c r="N3847" t="str">
        <f t="shared" si="120"/>
        <v>2. 1-24 hours</v>
      </c>
      <c r="O3847" t="str">
        <f t="shared" si="121"/>
        <v>2025-03</v>
      </c>
    </row>
    <row r="3848" spans="1:15" x14ac:dyDescent="0.3">
      <c r="A3848" t="s">
        <v>9071</v>
      </c>
      <c r="B3848" t="s">
        <v>9072</v>
      </c>
      <c r="C3848" t="s">
        <v>81</v>
      </c>
      <c r="D3848" t="s">
        <v>54</v>
      </c>
      <c r="E3848" t="s">
        <v>39</v>
      </c>
      <c r="F3848" t="s">
        <v>106</v>
      </c>
      <c r="G3848">
        <v>2.5</v>
      </c>
      <c r="H3848" t="s">
        <v>41</v>
      </c>
      <c r="I3848" t="s">
        <v>42</v>
      </c>
      <c r="M3848">
        <f>VLOOKUP(H3848,'Stage Order'!$A$2:$B$8,2,FALSE)</f>
        <v>2</v>
      </c>
      <c r="N3848" t="str">
        <f t="shared" si="120"/>
        <v>2. 1-24 hours</v>
      </c>
      <c r="O3848" t="str">
        <f t="shared" si="121"/>
        <v>2025-04</v>
      </c>
    </row>
    <row r="3849" spans="1:15" x14ac:dyDescent="0.3">
      <c r="A3849" t="s">
        <v>9073</v>
      </c>
      <c r="B3849" t="s">
        <v>9074</v>
      </c>
      <c r="C3849" t="s">
        <v>125</v>
      </c>
      <c r="D3849" t="s">
        <v>29</v>
      </c>
      <c r="E3849" t="s">
        <v>39</v>
      </c>
      <c r="F3849" t="s">
        <v>66</v>
      </c>
      <c r="G3849">
        <v>9.4700000000000006</v>
      </c>
      <c r="H3849" t="s">
        <v>61</v>
      </c>
      <c r="I3849" t="s">
        <v>42</v>
      </c>
      <c r="M3849">
        <f>VLOOKUP(H3849,'Stage Order'!$A$2:$B$8,2,FALSE)</f>
        <v>1</v>
      </c>
      <c r="N3849" t="str">
        <f t="shared" si="120"/>
        <v>2. 1-24 hours</v>
      </c>
      <c r="O3849" t="str">
        <f t="shared" si="121"/>
        <v>2026-02</v>
      </c>
    </row>
    <row r="3850" spans="1:15" x14ac:dyDescent="0.3">
      <c r="A3850" t="s">
        <v>9075</v>
      </c>
      <c r="B3850" t="s">
        <v>9076</v>
      </c>
      <c r="C3850" t="s">
        <v>28</v>
      </c>
      <c r="D3850" t="s">
        <v>97</v>
      </c>
      <c r="E3850" t="s">
        <v>39</v>
      </c>
      <c r="F3850" t="s">
        <v>106</v>
      </c>
      <c r="G3850">
        <v>1.06</v>
      </c>
      <c r="H3850" t="s">
        <v>41</v>
      </c>
      <c r="I3850" t="s">
        <v>42</v>
      </c>
      <c r="M3850">
        <f>VLOOKUP(H3850,'Stage Order'!$A$2:$B$8,2,FALSE)</f>
        <v>2</v>
      </c>
      <c r="N3850" t="str">
        <f t="shared" si="120"/>
        <v>2. 1-24 hours</v>
      </c>
      <c r="O3850" t="str">
        <f t="shared" si="121"/>
        <v>2025-12</v>
      </c>
    </row>
    <row r="3851" spans="1:15" x14ac:dyDescent="0.3">
      <c r="A3851" t="s">
        <v>9077</v>
      </c>
      <c r="B3851" t="s">
        <v>9078</v>
      </c>
      <c r="C3851" t="s">
        <v>58</v>
      </c>
      <c r="D3851" t="s">
        <v>97</v>
      </c>
      <c r="E3851" t="s">
        <v>90</v>
      </c>
      <c r="F3851" t="s">
        <v>112</v>
      </c>
      <c r="G3851">
        <v>1.39</v>
      </c>
      <c r="H3851" t="s">
        <v>61</v>
      </c>
      <c r="I3851" t="s">
        <v>42</v>
      </c>
      <c r="M3851">
        <f>VLOOKUP(H3851,'Stage Order'!$A$2:$B$8,2,FALSE)</f>
        <v>1</v>
      </c>
      <c r="N3851" t="str">
        <f t="shared" si="120"/>
        <v>2. 1-24 hours</v>
      </c>
      <c r="O3851" t="str">
        <f t="shared" si="121"/>
        <v>2026-04</v>
      </c>
    </row>
    <row r="3852" spans="1:15" x14ac:dyDescent="0.3">
      <c r="A3852" t="s">
        <v>9079</v>
      </c>
      <c r="B3852" t="s">
        <v>9080</v>
      </c>
      <c r="C3852" t="s">
        <v>58</v>
      </c>
      <c r="D3852" t="s">
        <v>77</v>
      </c>
      <c r="E3852" t="s">
        <v>45</v>
      </c>
      <c r="F3852" t="s">
        <v>55</v>
      </c>
      <c r="G3852">
        <v>1.18</v>
      </c>
      <c r="H3852" t="s">
        <v>61</v>
      </c>
      <c r="I3852" t="s">
        <v>42</v>
      </c>
      <c r="M3852">
        <f>VLOOKUP(H3852,'Stage Order'!$A$2:$B$8,2,FALSE)</f>
        <v>1</v>
      </c>
      <c r="N3852" t="str">
        <f t="shared" si="120"/>
        <v>2. 1-24 hours</v>
      </c>
      <c r="O3852" t="str">
        <f t="shared" si="121"/>
        <v>2025-04</v>
      </c>
    </row>
    <row r="3853" spans="1:15" x14ac:dyDescent="0.3">
      <c r="A3853" t="s">
        <v>9081</v>
      </c>
      <c r="B3853" t="s">
        <v>9082</v>
      </c>
      <c r="C3853" t="s">
        <v>37</v>
      </c>
      <c r="D3853" t="s">
        <v>54</v>
      </c>
      <c r="E3853" t="s">
        <v>45</v>
      </c>
      <c r="F3853" t="s">
        <v>46</v>
      </c>
      <c r="G3853">
        <v>5.0999999999999996</v>
      </c>
      <c r="H3853" t="s">
        <v>32</v>
      </c>
      <c r="I3853" t="s">
        <v>33</v>
      </c>
      <c r="K3853">
        <v>558.44000000000005</v>
      </c>
      <c r="L3853" t="s">
        <v>9083</v>
      </c>
      <c r="M3853">
        <f>VLOOKUP(H3853,'Stage Order'!$A$2:$B$8,2,FALSE)</f>
        <v>7</v>
      </c>
      <c r="N3853" t="str">
        <f t="shared" si="120"/>
        <v>2. 1-24 hours</v>
      </c>
      <c r="O3853" t="str">
        <f t="shared" si="121"/>
        <v>2025-12</v>
      </c>
    </row>
    <row r="3854" spans="1:15" x14ac:dyDescent="0.3">
      <c r="A3854" t="s">
        <v>9084</v>
      </c>
      <c r="B3854" t="s">
        <v>9085</v>
      </c>
      <c r="C3854" t="s">
        <v>53</v>
      </c>
      <c r="D3854" t="s">
        <v>54</v>
      </c>
      <c r="E3854" t="s">
        <v>45</v>
      </c>
      <c r="F3854" t="s">
        <v>55</v>
      </c>
      <c r="G3854">
        <v>3.27</v>
      </c>
      <c r="H3854" t="s">
        <v>41</v>
      </c>
      <c r="I3854" t="s">
        <v>42</v>
      </c>
      <c r="M3854">
        <f>VLOOKUP(H3854,'Stage Order'!$A$2:$B$8,2,FALSE)</f>
        <v>2</v>
      </c>
      <c r="N3854" t="str">
        <f t="shared" si="120"/>
        <v>2. 1-24 hours</v>
      </c>
      <c r="O3854" t="str">
        <f t="shared" si="121"/>
        <v>2025-11</v>
      </c>
    </row>
    <row r="3855" spans="1:15" x14ac:dyDescent="0.3">
      <c r="A3855" t="s">
        <v>9086</v>
      </c>
      <c r="B3855" t="s">
        <v>9087</v>
      </c>
      <c r="C3855" t="s">
        <v>81</v>
      </c>
      <c r="D3855" t="s">
        <v>97</v>
      </c>
      <c r="E3855" t="s">
        <v>45</v>
      </c>
      <c r="F3855" t="s">
        <v>94</v>
      </c>
      <c r="G3855">
        <v>0.91</v>
      </c>
      <c r="H3855" t="s">
        <v>61</v>
      </c>
      <c r="I3855" t="s">
        <v>42</v>
      </c>
      <c r="M3855">
        <f>VLOOKUP(H3855,'Stage Order'!$A$2:$B$8,2,FALSE)</f>
        <v>1</v>
      </c>
      <c r="N3855" t="str">
        <f t="shared" si="120"/>
        <v>1. Under 1 hour</v>
      </c>
      <c r="O3855" t="str">
        <f t="shared" si="121"/>
        <v>2025-07</v>
      </c>
    </row>
    <row r="3856" spans="1:15" x14ac:dyDescent="0.3">
      <c r="A3856" t="s">
        <v>9088</v>
      </c>
      <c r="B3856" t="s">
        <v>9089</v>
      </c>
      <c r="C3856" t="s">
        <v>53</v>
      </c>
      <c r="D3856" t="s">
        <v>77</v>
      </c>
      <c r="E3856" t="s">
        <v>90</v>
      </c>
      <c r="F3856" t="s">
        <v>112</v>
      </c>
      <c r="G3856">
        <v>4.17</v>
      </c>
      <c r="H3856" t="s">
        <v>32</v>
      </c>
      <c r="I3856" t="s">
        <v>33</v>
      </c>
      <c r="K3856">
        <v>1009.36</v>
      </c>
      <c r="L3856" t="s">
        <v>9090</v>
      </c>
      <c r="M3856">
        <f>VLOOKUP(H3856,'Stage Order'!$A$2:$B$8,2,FALSE)</f>
        <v>7</v>
      </c>
      <c r="N3856" t="str">
        <f t="shared" si="120"/>
        <v>2. 1-24 hours</v>
      </c>
      <c r="O3856" t="str">
        <f t="shared" si="121"/>
        <v>2025-02</v>
      </c>
    </row>
    <row r="3857" spans="1:15" x14ac:dyDescent="0.3">
      <c r="A3857" t="s">
        <v>9091</v>
      </c>
      <c r="B3857" t="s">
        <v>9092</v>
      </c>
      <c r="C3857" t="s">
        <v>58</v>
      </c>
      <c r="D3857" t="s">
        <v>54</v>
      </c>
      <c r="E3857" t="s">
        <v>45</v>
      </c>
      <c r="F3857" t="s">
        <v>46</v>
      </c>
      <c r="G3857">
        <v>5.23</v>
      </c>
      <c r="H3857" t="s">
        <v>41</v>
      </c>
      <c r="I3857" t="s">
        <v>42</v>
      </c>
      <c r="M3857">
        <f>VLOOKUP(H3857,'Stage Order'!$A$2:$B$8,2,FALSE)</f>
        <v>2</v>
      </c>
      <c r="N3857" t="str">
        <f t="shared" si="120"/>
        <v>2. 1-24 hours</v>
      </c>
      <c r="O3857" t="str">
        <f t="shared" si="121"/>
        <v>2026-03</v>
      </c>
    </row>
    <row r="3858" spans="1:15" x14ac:dyDescent="0.3">
      <c r="A3858" t="s">
        <v>9093</v>
      </c>
      <c r="B3858" t="s">
        <v>9094</v>
      </c>
      <c r="C3858" t="s">
        <v>53</v>
      </c>
      <c r="D3858" t="s">
        <v>38</v>
      </c>
      <c r="E3858" t="s">
        <v>45</v>
      </c>
      <c r="F3858" t="s">
        <v>94</v>
      </c>
      <c r="G3858">
        <v>1.61</v>
      </c>
      <c r="H3858" t="s">
        <v>32</v>
      </c>
      <c r="I3858" t="s">
        <v>33</v>
      </c>
      <c r="K3858">
        <v>337.43</v>
      </c>
      <c r="L3858" t="s">
        <v>9095</v>
      </c>
      <c r="M3858">
        <f>VLOOKUP(H3858,'Stage Order'!$A$2:$B$8,2,FALSE)</f>
        <v>7</v>
      </c>
      <c r="N3858" t="str">
        <f t="shared" si="120"/>
        <v>2. 1-24 hours</v>
      </c>
      <c r="O3858" t="str">
        <f t="shared" si="121"/>
        <v>2025-07</v>
      </c>
    </row>
    <row r="3859" spans="1:15" x14ac:dyDescent="0.3">
      <c r="A3859" t="s">
        <v>9096</v>
      </c>
      <c r="B3859" t="s">
        <v>9097</v>
      </c>
      <c r="C3859" t="s">
        <v>37</v>
      </c>
      <c r="D3859" t="s">
        <v>77</v>
      </c>
      <c r="E3859" t="s">
        <v>59</v>
      </c>
      <c r="F3859" t="s">
        <v>137</v>
      </c>
      <c r="G3859">
        <v>2.1</v>
      </c>
      <c r="H3859" t="s">
        <v>41</v>
      </c>
      <c r="I3859" t="s">
        <v>42</v>
      </c>
      <c r="M3859">
        <f>VLOOKUP(H3859,'Stage Order'!$A$2:$B$8,2,FALSE)</f>
        <v>2</v>
      </c>
      <c r="N3859" t="str">
        <f t="shared" si="120"/>
        <v>2. 1-24 hours</v>
      </c>
      <c r="O3859" t="str">
        <f t="shared" si="121"/>
        <v>2025-04</v>
      </c>
    </row>
    <row r="3860" spans="1:15" x14ac:dyDescent="0.3">
      <c r="A3860" t="s">
        <v>9098</v>
      </c>
      <c r="B3860" t="s">
        <v>9099</v>
      </c>
      <c r="C3860" t="s">
        <v>28</v>
      </c>
      <c r="D3860" t="s">
        <v>29</v>
      </c>
      <c r="E3860" t="s">
        <v>45</v>
      </c>
      <c r="F3860" t="s">
        <v>94</v>
      </c>
      <c r="G3860">
        <v>6.22</v>
      </c>
      <c r="H3860" t="s">
        <v>138</v>
      </c>
      <c r="I3860" t="s">
        <v>48</v>
      </c>
      <c r="J3860" t="s">
        <v>98</v>
      </c>
      <c r="K3860">
        <v>614.23</v>
      </c>
      <c r="L3860" t="s">
        <v>9100</v>
      </c>
      <c r="M3860">
        <f>VLOOKUP(H3860,'Stage Order'!$A$2:$B$8,2,FALSE)</f>
        <v>6</v>
      </c>
      <c r="N3860" t="str">
        <f t="shared" si="120"/>
        <v>2. 1-24 hours</v>
      </c>
      <c r="O3860" t="str">
        <f t="shared" si="121"/>
        <v>2026-05</v>
      </c>
    </row>
    <row r="3861" spans="1:15" x14ac:dyDescent="0.3">
      <c r="A3861" t="s">
        <v>9101</v>
      </c>
      <c r="B3861" t="s">
        <v>9102</v>
      </c>
      <c r="C3861" t="s">
        <v>53</v>
      </c>
      <c r="D3861" t="s">
        <v>77</v>
      </c>
      <c r="E3861" t="s">
        <v>39</v>
      </c>
      <c r="F3861" t="s">
        <v>106</v>
      </c>
      <c r="G3861">
        <v>7.21</v>
      </c>
      <c r="H3861" t="s">
        <v>32</v>
      </c>
      <c r="I3861" t="s">
        <v>33</v>
      </c>
      <c r="K3861">
        <v>848.82</v>
      </c>
      <c r="L3861" t="s">
        <v>9103</v>
      </c>
      <c r="M3861">
        <f>VLOOKUP(H3861,'Stage Order'!$A$2:$B$8,2,FALSE)</f>
        <v>7</v>
      </c>
      <c r="N3861" t="str">
        <f t="shared" si="120"/>
        <v>2. 1-24 hours</v>
      </c>
      <c r="O3861" t="str">
        <f t="shared" si="121"/>
        <v>2026-04</v>
      </c>
    </row>
    <row r="3862" spans="1:15" x14ac:dyDescent="0.3">
      <c r="A3862" t="s">
        <v>9104</v>
      </c>
      <c r="B3862" t="s">
        <v>9105</v>
      </c>
      <c r="C3862" t="s">
        <v>76</v>
      </c>
      <c r="D3862" t="s">
        <v>77</v>
      </c>
      <c r="E3862" t="s">
        <v>30</v>
      </c>
      <c r="F3862" t="s">
        <v>78</v>
      </c>
      <c r="G3862">
        <v>3.75</v>
      </c>
      <c r="H3862" t="s">
        <v>138</v>
      </c>
      <c r="I3862" t="s">
        <v>48</v>
      </c>
      <c r="J3862" t="s">
        <v>113</v>
      </c>
      <c r="K3862">
        <v>955.38</v>
      </c>
      <c r="L3862" t="s">
        <v>9106</v>
      </c>
      <c r="M3862">
        <f>VLOOKUP(H3862,'Stage Order'!$A$2:$B$8,2,FALSE)</f>
        <v>6</v>
      </c>
      <c r="N3862" t="str">
        <f t="shared" si="120"/>
        <v>2. 1-24 hours</v>
      </c>
      <c r="O3862" t="str">
        <f t="shared" si="121"/>
        <v>2026-02</v>
      </c>
    </row>
    <row r="3863" spans="1:15" x14ac:dyDescent="0.3">
      <c r="A3863" t="s">
        <v>9107</v>
      </c>
      <c r="B3863" t="s">
        <v>9108</v>
      </c>
      <c r="C3863" t="s">
        <v>37</v>
      </c>
      <c r="D3863" t="s">
        <v>29</v>
      </c>
      <c r="E3863" t="s">
        <v>59</v>
      </c>
      <c r="F3863" t="s">
        <v>117</v>
      </c>
      <c r="G3863">
        <v>1.18</v>
      </c>
      <c r="H3863" t="s">
        <v>146</v>
      </c>
      <c r="I3863" t="s">
        <v>48</v>
      </c>
      <c r="J3863" t="s">
        <v>49</v>
      </c>
      <c r="K3863">
        <v>746.37</v>
      </c>
      <c r="L3863" t="s">
        <v>9109</v>
      </c>
      <c r="M3863">
        <f>VLOOKUP(H3863,'Stage Order'!$A$2:$B$8,2,FALSE)</f>
        <v>5</v>
      </c>
      <c r="N3863" t="str">
        <f t="shared" si="120"/>
        <v>2. 1-24 hours</v>
      </c>
      <c r="O3863" t="str">
        <f t="shared" si="121"/>
        <v>2025-03</v>
      </c>
    </row>
    <row r="3864" spans="1:15" x14ac:dyDescent="0.3">
      <c r="A3864" t="s">
        <v>9110</v>
      </c>
      <c r="B3864" t="s">
        <v>9111</v>
      </c>
      <c r="C3864" t="s">
        <v>37</v>
      </c>
      <c r="D3864" t="s">
        <v>77</v>
      </c>
      <c r="E3864" t="s">
        <v>30</v>
      </c>
      <c r="F3864" t="s">
        <v>31</v>
      </c>
      <c r="G3864">
        <v>0.81</v>
      </c>
      <c r="H3864" t="s">
        <v>41</v>
      </c>
      <c r="I3864" t="s">
        <v>42</v>
      </c>
      <c r="M3864">
        <f>VLOOKUP(H3864,'Stage Order'!$A$2:$B$8,2,FALSE)</f>
        <v>2</v>
      </c>
      <c r="N3864" t="str">
        <f t="shared" si="120"/>
        <v>1. Under 1 hour</v>
      </c>
      <c r="O3864" t="str">
        <f t="shared" si="121"/>
        <v>2025-04</v>
      </c>
    </row>
    <row r="3865" spans="1:15" x14ac:dyDescent="0.3">
      <c r="A3865" t="s">
        <v>9112</v>
      </c>
      <c r="B3865" t="s">
        <v>9113</v>
      </c>
      <c r="C3865" t="s">
        <v>53</v>
      </c>
      <c r="D3865" t="s">
        <v>29</v>
      </c>
      <c r="E3865" t="s">
        <v>39</v>
      </c>
      <c r="F3865" t="s">
        <v>66</v>
      </c>
      <c r="G3865">
        <v>0.87</v>
      </c>
      <c r="H3865" t="s">
        <v>41</v>
      </c>
      <c r="I3865" t="s">
        <v>42</v>
      </c>
      <c r="M3865">
        <f>VLOOKUP(H3865,'Stage Order'!$A$2:$B$8,2,FALSE)</f>
        <v>2</v>
      </c>
      <c r="N3865" t="str">
        <f t="shared" si="120"/>
        <v>1. Under 1 hour</v>
      </c>
      <c r="O3865" t="str">
        <f t="shared" si="121"/>
        <v>2025-04</v>
      </c>
    </row>
    <row r="3866" spans="1:15" x14ac:dyDescent="0.3">
      <c r="A3866" t="s">
        <v>9114</v>
      </c>
      <c r="B3866" t="s">
        <v>9115</v>
      </c>
      <c r="C3866" t="s">
        <v>125</v>
      </c>
      <c r="D3866" t="s">
        <v>29</v>
      </c>
      <c r="E3866" t="s">
        <v>59</v>
      </c>
      <c r="F3866" t="s">
        <v>60</v>
      </c>
      <c r="G3866">
        <v>0.81</v>
      </c>
      <c r="H3866" t="s">
        <v>146</v>
      </c>
      <c r="I3866" t="s">
        <v>48</v>
      </c>
      <c r="J3866" t="s">
        <v>49</v>
      </c>
      <c r="K3866">
        <v>558.23</v>
      </c>
      <c r="L3866" t="s">
        <v>9116</v>
      </c>
      <c r="M3866">
        <f>VLOOKUP(H3866,'Stage Order'!$A$2:$B$8,2,FALSE)</f>
        <v>5</v>
      </c>
      <c r="N3866" t="str">
        <f t="shared" si="120"/>
        <v>1. Under 1 hour</v>
      </c>
      <c r="O3866" t="str">
        <f t="shared" si="121"/>
        <v>2026-04</v>
      </c>
    </row>
    <row r="3867" spans="1:15" x14ac:dyDescent="0.3">
      <c r="A3867" t="s">
        <v>9117</v>
      </c>
      <c r="B3867" t="s">
        <v>9118</v>
      </c>
      <c r="C3867" t="s">
        <v>37</v>
      </c>
      <c r="D3867" t="s">
        <v>54</v>
      </c>
      <c r="E3867" t="s">
        <v>59</v>
      </c>
      <c r="F3867" t="s">
        <v>117</v>
      </c>
      <c r="G3867">
        <v>1.45</v>
      </c>
      <c r="H3867" t="s">
        <v>41</v>
      </c>
      <c r="I3867" t="s">
        <v>42</v>
      </c>
      <c r="M3867">
        <f>VLOOKUP(H3867,'Stage Order'!$A$2:$B$8,2,FALSE)</f>
        <v>2</v>
      </c>
      <c r="N3867" t="str">
        <f t="shared" si="120"/>
        <v>2. 1-24 hours</v>
      </c>
      <c r="O3867" t="str">
        <f t="shared" si="121"/>
        <v>2025-12</v>
      </c>
    </row>
    <row r="3868" spans="1:15" x14ac:dyDescent="0.3">
      <c r="A3868" t="s">
        <v>9119</v>
      </c>
      <c r="B3868" t="s">
        <v>9120</v>
      </c>
      <c r="C3868" t="s">
        <v>53</v>
      </c>
      <c r="D3868" t="s">
        <v>54</v>
      </c>
      <c r="E3868" t="s">
        <v>39</v>
      </c>
      <c r="F3868" t="s">
        <v>66</v>
      </c>
      <c r="G3868">
        <v>4.08</v>
      </c>
      <c r="H3868" t="s">
        <v>138</v>
      </c>
      <c r="I3868" t="s">
        <v>48</v>
      </c>
      <c r="J3868" t="s">
        <v>49</v>
      </c>
      <c r="K3868">
        <v>579.19000000000005</v>
      </c>
      <c r="L3868" t="s">
        <v>9121</v>
      </c>
      <c r="M3868">
        <f>VLOOKUP(H3868,'Stage Order'!$A$2:$B$8,2,FALSE)</f>
        <v>6</v>
      </c>
      <c r="N3868" t="str">
        <f t="shared" si="120"/>
        <v>2. 1-24 hours</v>
      </c>
      <c r="O3868" t="str">
        <f t="shared" si="121"/>
        <v>2026-04</v>
      </c>
    </row>
    <row r="3869" spans="1:15" x14ac:dyDescent="0.3">
      <c r="A3869" t="s">
        <v>9122</v>
      </c>
      <c r="B3869" t="s">
        <v>9123</v>
      </c>
      <c r="C3869" t="s">
        <v>58</v>
      </c>
      <c r="D3869" t="s">
        <v>54</v>
      </c>
      <c r="E3869" t="s">
        <v>59</v>
      </c>
      <c r="F3869" t="s">
        <v>60</v>
      </c>
      <c r="G3869">
        <v>6.8</v>
      </c>
      <c r="H3869" t="s">
        <v>138</v>
      </c>
      <c r="I3869" t="s">
        <v>48</v>
      </c>
      <c r="J3869" t="s">
        <v>98</v>
      </c>
      <c r="K3869">
        <v>416.26</v>
      </c>
      <c r="L3869" t="s">
        <v>9124</v>
      </c>
      <c r="M3869">
        <f>VLOOKUP(H3869,'Stage Order'!$A$2:$B$8,2,FALSE)</f>
        <v>6</v>
      </c>
      <c r="N3869" t="str">
        <f t="shared" si="120"/>
        <v>2. 1-24 hours</v>
      </c>
      <c r="O3869" t="str">
        <f t="shared" si="121"/>
        <v>2025-08</v>
      </c>
    </row>
    <row r="3870" spans="1:15" x14ac:dyDescent="0.3">
      <c r="A3870" t="s">
        <v>9125</v>
      </c>
      <c r="B3870" t="s">
        <v>9126</v>
      </c>
      <c r="C3870" t="s">
        <v>58</v>
      </c>
      <c r="D3870" t="s">
        <v>38</v>
      </c>
      <c r="E3870" t="s">
        <v>39</v>
      </c>
      <c r="F3870" t="s">
        <v>66</v>
      </c>
      <c r="G3870">
        <v>3.51</v>
      </c>
      <c r="H3870" t="s">
        <v>41</v>
      </c>
      <c r="I3870" t="s">
        <v>42</v>
      </c>
      <c r="M3870">
        <f>VLOOKUP(H3870,'Stage Order'!$A$2:$B$8,2,FALSE)</f>
        <v>2</v>
      </c>
      <c r="N3870" t="str">
        <f t="shared" si="120"/>
        <v>2. 1-24 hours</v>
      </c>
      <c r="O3870" t="str">
        <f t="shared" si="121"/>
        <v>2025-04</v>
      </c>
    </row>
    <row r="3871" spans="1:15" x14ac:dyDescent="0.3">
      <c r="A3871" t="s">
        <v>9127</v>
      </c>
      <c r="B3871" t="s">
        <v>9128</v>
      </c>
      <c r="C3871" t="s">
        <v>125</v>
      </c>
      <c r="D3871" t="s">
        <v>54</v>
      </c>
      <c r="E3871" t="s">
        <v>45</v>
      </c>
      <c r="F3871" t="s">
        <v>55</v>
      </c>
      <c r="G3871">
        <v>1.73</v>
      </c>
      <c r="H3871" t="s">
        <v>41</v>
      </c>
      <c r="I3871" t="s">
        <v>42</v>
      </c>
      <c r="M3871">
        <f>VLOOKUP(H3871,'Stage Order'!$A$2:$B$8,2,FALSE)</f>
        <v>2</v>
      </c>
      <c r="N3871" t="str">
        <f t="shared" si="120"/>
        <v>2. 1-24 hours</v>
      </c>
      <c r="O3871" t="str">
        <f t="shared" si="121"/>
        <v>2025-08</v>
      </c>
    </row>
    <row r="3872" spans="1:15" x14ac:dyDescent="0.3">
      <c r="A3872" t="s">
        <v>9129</v>
      </c>
      <c r="B3872" t="s">
        <v>9130</v>
      </c>
      <c r="C3872" t="s">
        <v>37</v>
      </c>
      <c r="D3872" t="s">
        <v>29</v>
      </c>
      <c r="E3872" t="s">
        <v>59</v>
      </c>
      <c r="F3872" t="s">
        <v>60</v>
      </c>
      <c r="G3872">
        <v>2.3199999999999998</v>
      </c>
      <c r="H3872" t="s">
        <v>146</v>
      </c>
      <c r="I3872" t="s">
        <v>48</v>
      </c>
      <c r="J3872" t="s">
        <v>139</v>
      </c>
      <c r="K3872">
        <v>577.91999999999996</v>
      </c>
      <c r="L3872" t="s">
        <v>9131</v>
      </c>
      <c r="M3872">
        <f>VLOOKUP(H3872,'Stage Order'!$A$2:$B$8,2,FALSE)</f>
        <v>5</v>
      </c>
      <c r="N3872" t="str">
        <f t="shared" si="120"/>
        <v>2. 1-24 hours</v>
      </c>
      <c r="O3872" t="str">
        <f t="shared" si="121"/>
        <v>2025-12</v>
      </c>
    </row>
    <row r="3873" spans="1:15" x14ac:dyDescent="0.3">
      <c r="A3873" t="s">
        <v>9132</v>
      </c>
      <c r="B3873" t="s">
        <v>9133</v>
      </c>
      <c r="C3873" t="s">
        <v>81</v>
      </c>
      <c r="D3873" t="s">
        <v>38</v>
      </c>
      <c r="E3873" t="s">
        <v>59</v>
      </c>
      <c r="F3873" t="s">
        <v>137</v>
      </c>
      <c r="G3873">
        <v>0.91</v>
      </c>
      <c r="H3873" t="s">
        <v>41</v>
      </c>
      <c r="I3873" t="s">
        <v>42</v>
      </c>
      <c r="M3873">
        <f>VLOOKUP(H3873,'Stage Order'!$A$2:$B$8,2,FALSE)</f>
        <v>2</v>
      </c>
      <c r="N3873" t="str">
        <f t="shared" si="120"/>
        <v>1. Under 1 hour</v>
      </c>
      <c r="O3873" t="str">
        <f t="shared" si="121"/>
        <v>2025-11</v>
      </c>
    </row>
    <row r="3874" spans="1:15" x14ac:dyDescent="0.3">
      <c r="A3874" t="s">
        <v>9134</v>
      </c>
      <c r="B3874" t="s">
        <v>9135</v>
      </c>
      <c r="C3874" t="s">
        <v>125</v>
      </c>
      <c r="D3874" t="s">
        <v>77</v>
      </c>
      <c r="E3874" t="s">
        <v>39</v>
      </c>
      <c r="F3874" t="s">
        <v>40</v>
      </c>
      <c r="G3874">
        <v>1.9</v>
      </c>
      <c r="H3874" t="s">
        <v>61</v>
      </c>
      <c r="I3874" t="s">
        <v>42</v>
      </c>
      <c r="M3874">
        <f>VLOOKUP(H3874,'Stage Order'!$A$2:$B$8,2,FALSE)</f>
        <v>1</v>
      </c>
      <c r="N3874" t="str">
        <f t="shared" si="120"/>
        <v>2. 1-24 hours</v>
      </c>
      <c r="O3874" t="str">
        <f t="shared" si="121"/>
        <v>2026-03</v>
      </c>
    </row>
    <row r="3875" spans="1:15" x14ac:dyDescent="0.3">
      <c r="A3875" t="s">
        <v>9136</v>
      </c>
      <c r="B3875" t="s">
        <v>9137</v>
      </c>
      <c r="C3875" t="s">
        <v>58</v>
      </c>
      <c r="D3875" t="s">
        <v>54</v>
      </c>
      <c r="E3875" t="s">
        <v>45</v>
      </c>
      <c r="F3875" t="s">
        <v>94</v>
      </c>
      <c r="G3875">
        <v>4.01</v>
      </c>
      <c r="H3875" t="s">
        <v>41</v>
      </c>
      <c r="I3875" t="s">
        <v>42</v>
      </c>
      <c r="M3875">
        <f>VLOOKUP(H3875,'Stage Order'!$A$2:$B$8,2,FALSE)</f>
        <v>2</v>
      </c>
      <c r="N3875" t="str">
        <f t="shared" si="120"/>
        <v>2. 1-24 hours</v>
      </c>
      <c r="O3875" t="str">
        <f t="shared" si="121"/>
        <v>2025-10</v>
      </c>
    </row>
    <row r="3876" spans="1:15" x14ac:dyDescent="0.3">
      <c r="A3876" t="s">
        <v>9138</v>
      </c>
      <c r="B3876" t="s">
        <v>9139</v>
      </c>
      <c r="C3876" t="s">
        <v>125</v>
      </c>
      <c r="D3876" t="s">
        <v>38</v>
      </c>
      <c r="E3876" t="s">
        <v>30</v>
      </c>
      <c r="F3876" t="s">
        <v>78</v>
      </c>
      <c r="G3876">
        <v>3.34</v>
      </c>
      <c r="H3876" t="s">
        <v>41</v>
      </c>
      <c r="I3876" t="s">
        <v>42</v>
      </c>
      <c r="M3876">
        <f>VLOOKUP(H3876,'Stage Order'!$A$2:$B$8,2,FALSE)</f>
        <v>2</v>
      </c>
      <c r="N3876" t="str">
        <f t="shared" si="120"/>
        <v>2. 1-24 hours</v>
      </c>
      <c r="O3876" t="str">
        <f t="shared" si="121"/>
        <v>2026-03</v>
      </c>
    </row>
    <row r="3877" spans="1:15" x14ac:dyDescent="0.3">
      <c r="A3877" t="s">
        <v>9140</v>
      </c>
      <c r="B3877" t="s">
        <v>9141</v>
      </c>
      <c r="C3877" t="s">
        <v>28</v>
      </c>
      <c r="D3877" t="s">
        <v>29</v>
      </c>
      <c r="E3877" t="s">
        <v>45</v>
      </c>
      <c r="F3877" t="s">
        <v>55</v>
      </c>
      <c r="G3877">
        <v>2.8</v>
      </c>
      <c r="H3877" t="s">
        <v>41</v>
      </c>
      <c r="I3877" t="s">
        <v>42</v>
      </c>
      <c r="M3877">
        <f>VLOOKUP(H3877,'Stage Order'!$A$2:$B$8,2,FALSE)</f>
        <v>2</v>
      </c>
      <c r="N3877" t="str">
        <f t="shared" si="120"/>
        <v>2. 1-24 hours</v>
      </c>
      <c r="O3877" t="str">
        <f t="shared" si="121"/>
        <v>2025-08</v>
      </c>
    </row>
    <row r="3878" spans="1:15" x14ac:dyDescent="0.3">
      <c r="A3878" t="s">
        <v>9142</v>
      </c>
      <c r="B3878" t="s">
        <v>9143</v>
      </c>
      <c r="C3878" t="s">
        <v>53</v>
      </c>
      <c r="D3878" t="s">
        <v>97</v>
      </c>
      <c r="E3878" t="s">
        <v>45</v>
      </c>
      <c r="F3878" t="s">
        <v>46</v>
      </c>
      <c r="G3878">
        <v>7.85</v>
      </c>
      <c r="H3878" t="s">
        <v>32</v>
      </c>
      <c r="I3878" t="s">
        <v>33</v>
      </c>
      <c r="K3878">
        <v>1692.75</v>
      </c>
      <c r="L3878" t="s">
        <v>9144</v>
      </c>
      <c r="M3878">
        <f>VLOOKUP(H3878,'Stage Order'!$A$2:$B$8,2,FALSE)</f>
        <v>7</v>
      </c>
      <c r="N3878" t="str">
        <f t="shared" si="120"/>
        <v>2. 1-24 hours</v>
      </c>
      <c r="O3878" t="str">
        <f t="shared" si="121"/>
        <v>2025-04</v>
      </c>
    </row>
    <row r="3879" spans="1:15" x14ac:dyDescent="0.3">
      <c r="A3879" t="s">
        <v>9145</v>
      </c>
      <c r="B3879" t="s">
        <v>9146</v>
      </c>
      <c r="C3879" t="s">
        <v>28</v>
      </c>
      <c r="D3879" t="s">
        <v>97</v>
      </c>
      <c r="E3879" t="s">
        <v>45</v>
      </c>
      <c r="F3879" t="s">
        <v>46</v>
      </c>
      <c r="G3879">
        <v>3.86</v>
      </c>
      <c r="H3879" t="s">
        <v>32</v>
      </c>
      <c r="I3879" t="s">
        <v>33</v>
      </c>
      <c r="K3879">
        <v>1527.61</v>
      </c>
      <c r="L3879" t="s">
        <v>9147</v>
      </c>
      <c r="M3879">
        <f>VLOOKUP(H3879,'Stage Order'!$A$2:$B$8,2,FALSE)</f>
        <v>7</v>
      </c>
      <c r="N3879" t="str">
        <f t="shared" si="120"/>
        <v>2. 1-24 hours</v>
      </c>
      <c r="O3879" t="str">
        <f t="shared" si="121"/>
        <v>2025-08</v>
      </c>
    </row>
    <row r="3880" spans="1:15" x14ac:dyDescent="0.3">
      <c r="A3880" t="s">
        <v>9148</v>
      </c>
      <c r="B3880" t="s">
        <v>9149</v>
      </c>
      <c r="C3880" t="s">
        <v>58</v>
      </c>
      <c r="D3880" t="s">
        <v>54</v>
      </c>
      <c r="E3880" t="s">
        <v>39</v>
      </c>
      <c r="F3880" t="s">
        <v>66</v>
      </c>
      <c r="G3880">
        <v>2.66</v>
      </c>
      <c r="H3880" t="s">
        <v>128</v>
      </c>
      <c r="I3880" t="s">
        <v>42</v>
      </c>
      <c r="M3880">
        <f>VLOOKUP(H3880,'Stage Order'!$A$2:$B$8,2,FALSE)</f>
        <v>3</v>
      </c>
      <c r="N3880" t="str">
        <f t="shared" si="120"/>
        <v>2. 1-24 hours</v>
      </c>
      <c r="O3880" t="str">
        <f t="shared" si="121"/>
        <v>2025-04</v>
      </c>
    </row>
    <row r="3881" spans="1:15" x14ac:dyDescent="0.3">
      <c r="A3881" t="s">
        <v>9150</v>
      </c>
      <c r="B3881" t="s">
        <v>9151</v>
      </c>
      <c r="C3881" t="s">
        <v>37</v>
      </c>
      <c r="D3881" t="s">
        <v>54</v>
      </c>
      <c r="E3881" t="s">
        <v>45</v>
      </c>
      <c r="F3881" t="s">
        <v>94</v>
      </c>
      <c r="G3881">
        <v>6.8</v>
      </c>
      <c r="H3881" t="s">
        <v>41</v>
      </c>
      <c r="I3881" t="s">
        <v>42</v>
      </c>
      <c r="M3881">
        <f>VLOOKUP(H3881,'Stage Order'!$A$2:$B$8,2,FALSE)</f>
        <v>2</v>
      </c>
      <c r="N3881" t="str">
        <f t="shared" si="120"/>
        <v>2. 1-24 hours</v>
      </c>
      <c r="O3881" t="str">
        <f t="shared" si="121"/>
        <v>2026-06</v>
      </c>
    </row>
    <row r="3882" spans="1:15" x14ac:dyDescent="0.3">
      <c r="A3882" t="s">
        <v>9152</v>
      </c>
      <c r="B3882" t="s">
        <v>9153</v>
      </c>
      <c r="C3882" t="s">
        <v>125</v>
      </c>
      <c r="D3882" t="s">
        <v>77</v>
      </c>
      <c r="E3882" t="s">
        <v>90</v>
      </c>
      <c r="F3882" t="s">
        <v>145</v>
      </c>
      <c r="G3882">
        <v>2.79</v>
      </c>
      <c r="H3882" t="s">
        <v>61</v>
      </c>
      <c r="I3882" t="s">
        <v>42</v>
      </c>
      <c r="M3882">
        <f>VLOOKUP(H3882,'Stage Order'!$A$2:$B$8,2,FALSE)</f>
        <v>1</v>
      </c>
      <c r="N3882" t="str">
        <f t="shared" si="120"/>
        <v>2. 1-24 hours</v>
      </c>
      <c r="O3882" t="str">
        <f t="shared" si="121"/>
        <v>2025-06</v>
      </c>
    </row>
    <row r="3883" spans="1:15" x14ac:dyDescent="0.3">
      <c r="A3883" t="s">
        <v>9154</v>
      </c>
      <c r="B3883" t="s">
        <v>9155</v>
      </c>
      <c r="C3883" t="s">
        <v>58</v>
      </c>
      <c r="D3883" t="s">
        <v>54</v>
      </c>
      <c r="E3883" t="s">
        <v>45</v>
      </c>
      <c r="F3883" t="s">
        <v>55</v>
      </c>
      <c r="G3883">
        <v>2.95</v>
      </c>
      <c r="H3883" t="s">
        <v>41</v>
      </c>
      <c r="I3883" t="s">
        <v>42</v>
      </c>
      <c r="M3883">
        <f>VLOOKUP(H3883,'Stage Order'!$A$2:$B$8,2,FALSE)</f>
        <v>2</v>
      </c>
      <c r="N3883" t="str">
        <f t="shared" si="120"/>
        <v>2. 1-24 hours</v>
      </c>
      <c r="O3883" t="str">
        <f t="shared" si="121"/>
        <v>2025-01</v>
      </c>
    </row>
    <row r="3884" spans="1:15" x14ac:dyDescent="0.3">
      <c r="A3884" t="s">
        <v>9156</v>
      </c>
      <c r="B3884" t="s">
        <v>9157</v>
      </c>
      <c r="C3884" t="s">
        <v>37</v>
      </c>
      <c r="D3884" t="s">
        <v>97</v>
      </c>
      <c r="E3884" t="s">
        <v>39</v>
      </c>
      <c r="F3884" t="s">
        <v>106</v>
      </c>
      <c r="G3884">
        <v>5.69</v>
      </c>
      <c r="H3884" t="s">
        <v>41</v>
      </c>
      <c r="I3884" t="s">
        <v>42</v>
      </c>
      <c r="M3884">
        <f>VLOOKUP(H3884,'Stage Order'!$A$2:$B$8,2,FALSE)</f>
        <v>2</v>
      </c>
      <c r="N3884" t="str">
        <f t="shared" si="120"/>
        <v>2. 1-24 hours</v>
      </c>
      <c r="O3884" t="str">
        <f t="shared" si="121"/>
        <v>2025-06</v>
      </c>
    </row>
    <row r="3885" spans="1:15" x14ac:dyDescent="0.3">
      <c r="A3885" t="s">
        <v>9158</v>
      </c>
      <c r="B3885" t="s">
        <v>9159</v>
      </c>
      <c r="C3885" t="s">
        <v>76</v>
      </c>
      <c r="D3885" t="s">
        <v>38</v>
      </c>
      <c r="E3885" t="s">
        <v>90</v>
      </c>
      <c r="F3885" t="s">
        <v>91</v>
      </c>
      <c r="G3885">
        <v>1.81</v>
      </c>
      <c r="H3885" t="s">
        <v>41</v>
      </c>
      <c r="I3885" t="s">
        <v>42</v>
      </c>
      <c r="M3885">
        <f>VLOOKUP(H3885,'Stage Order'!$A$2:$B$8,2,FALSE)</f>
        <v>2</v>
      </c>
      <c r="N3885" t="str">
        <f t="shared" si="120"/>
        <v>2. 1-24 hours</v>
      </c>
      <c r="O3885" t="str">
        <f t="shared" si="121"/>
        <v>2025-10</v>
      </c>
    </row>
    <row r="3886" spans="1:15" x14ac:dyDescent="0.3">
      <c r="A3886" t="s">
        <v>9160</v>
      </c>
      <c r="B3886" t="s">
        <v>9161</v>
      </c>
      <c r="C3886" t="s">
        <v>53</v>
      </c>
      <c r="D3886" t="s">
        <v>29</v>
      </c>
      <c r="E3886" t="s">
        <v>45</v>
      </c>
      <c r="F3886" t="s">
        <v>46</v>
      </c>
      <c r="G3886">
        <v>3.38</v>
      </c>
      <c r="H3886" t="s">
        <v>41</v>
      </c>
      <c r="I3886" t="s">
        <v>42</v>
      </c>
      <c r="M3886">
        <f>VLOOKUP(H3886,'Stage Order'!$A$2:$B$8,2,FALSE)</f>
        <v>2</v>
      </c>
      <c r="N3886" t="str">
        <f t="shared" si="120"/>
        <v>2. 1-24 hours</v>
      </c>
      <c r="O3886" t="str">
        <f t="shared" si="121"/>
        <v>2026-03</v>
      </c>
    </row>
    <row r="3887" spans="1:15" x14ac:dyDescent="0.3">
      <c r="A3887" t="s">
        <v>9162</v>
      </c>
      <c r="B3887" t="s">
        <v>9163</v>
      </c>
      <c r="C3887" t="s">
        <v>76</v>
      </c>
      <c r="D3887" t="s">
        <v>97</v>
      </c>
      <c r="E3887" t="s">
        <v>59</v>
      </c>
      <c r="F3887" t="s">
        <v>117</v>
      </c>
      <c r="G3887">
        <v>0.19</v>
      </c>
      <c r="H3887" t="s">
        <v>32</v>
      </c>
      <c r="I3887" t="s">
        <v>33</v>
      </c>
      <c r="K3887">
        <v>1351.07</v>
      </c>
      <c r="L3887" t="s">
        <v>9164</v>
      </c>
      <c r="M3887">
        <f>VLOOKUP(H3887,'Stage Order'!$A$2:$B$8,2,FALSE)</f>
        <v>7</v>
      </c>
      <c r="N3887" t="str">
        <f t="shared" si="120"/>
        <v>1. Under 1 hour</v>
      </c>
      <c r="O3887" t="str">
        <f t="shared" si="121"/>
        <v>2025-12</v>
      </c>
    </row>
    <row r="3888" spans="1:15" x14ac:dyDescent="0.3">
      <c r="A3888" t="s">
        <v>9165</v>
      </c>
      <c r="B3888" t="s">
        <v>9166</v>
      </c>
      <c r="C3888" t="s">
        <v>28</v>
      </c>
      <c r="D3888" t="s">
        <v>38</v>
      </c>
      <c r="E3888" t="s">
        <v>39</v>
      </c>
      <c r="F3888" t="s">
        <v>66</v>
      </c>
      <c r="G3888">
        <v>3.31</v>
      </c>
      <c r="H3888" t="s">
        <v>41</v>
      </c>
      <c r="I3888" t="s">
        <v>42</v>
      </c>
      <c r="M3888">
        <f>VLOOKUP(H3888,'Stage Order'!$A$2:$B$8,2,FALSE)</f>
        <v>2</v>
      </c>
      <c r="N3888" t="str">
        <f t="shared" si="120"/>
        <v>2. 1-24 hours</v>
      </c>
      <c r="O3888" t="str">
        <f t="shared" si="121"/>
        <v>2025-05</v>
      </c>
    </row>
    <row r="3889" spans="1:15" x14ac:dyDescent="0.3">
      <c r="A3889" t="s">
        <v>9167</v>
      </c>
      <c r="B3889" t="s">
        <v>9168</v>
      </c>
      <c r="C3889" t="s">
        <v>28</v>
      </c>
      <c r="D3889" t="s">
        <v>38</v>
      </c>
      <c r="E3889" t="s">
        <v>59</v>
      </c>
      <c r="F3889" t="s">
        <v>117</v>
      </c>
      <c r="G3889">
        <v>1.96</v>
      </c>
      <c r="H3889" t="s">
        <v>41</v>
      </c>
      <c r="I3889" t="s">
        <v>42</v>
      </c>
      <c r="M3889">
        <f>VLOOKUP(H3889,'Stage Order'!$A$2:$B$8,2,FALSE)</f>
        <v>2</v>
      </c>
      <c r="N3889" t="str">
        <f t="shared" si="120"/>
        <v>2. 1-24 hours</v>
      </c>
      <c r="O3889" t="str">
        <f t="shared" si="121"/>
        <v>2025-02</v>
      </c>
    </row>
    <row r="3890" spans="1:15" x14ac:dyDescent="0.3">
      <c r="A3890" t="s">
        <v>9169</v>
      </c>
      <c r="B3890" t="s">
        <v>9170</v>
      </c>
      <c r="C3890" t="s">
        <v>81</v>
      </c>
      <c r="D3890" t="s">
        <v>29</v>
      </c>
      <c r="E3890" t="s">
        <v>39</v>
      </c>
      <c r="F3890" t="s">
        <v>66</v>
      </c>
      <c r="G3890">
        <v>2.13</v>
      </c>
      <c r="H3890" t="s">
        <v>61</v>
      </c>
      <c r="I3890" t="s">
        <v>42</v>
      </c>
      <c r="M3890">
        <f>VLOOKUP(H3890,'Stage Order'!$A$2:$B$8,2,FALSE)</f>
        <v>1</v>
      </c>
      <c r="N3890" t="str">
        <f t="shared" si="120"/>
        <v>2. 1-24 hours</v>
      </c>
      <c r="O3890" t="str">
        <f t="shared" si="121"/>
        <v>2025-07</v>
      </c>
    </row>
    <row r="3891" spans="1:15" x14ac:dyDescent="0.3">
      <c r="A3891" t="s">
        <v>9171</v>
      </c>
      <c r="B3891" t="s">
        <v>9172</v>
      </c>
      <c r="C3891" t="s">
        <v>58</v>
      </c>
      <c r="D3891" t="s">
        <v>77</v>
      </c>
      <c r="E3891" t="s">
        <v>39</v>
      </c>
      <c r="F3891" t="s">
        <v>66</v>
      </c>
      <c r="G3891">
        <v>2.84</v>
      </c>
      <c r="H3891" t="s">
        <v>61</v>
      </c>
      <c r="I3891" t="s">
        <v>42</v>
      </c>
      <c r="M3891">
        <f>VLOOKUP(H3891,'Stage Order'!$A$2:$B$8,2,FALSE)</f>
        <v>1</v>
      </c>
      <c r="N3891" t="str">
        <f t="shared" si="120"/>
        <v>2. 1-24 hours</v>
      </c>
      <c r="O3891" t="str">
        <f t="shared" si="121"/>
        <v>2026-05</v>
      </c>
    </row>
    <row r="3892" spans="1:15" x14ac:dyDescent="0.3">
      <c r="A3892" t="s">
        <v>9173</v>
      </c>
      <c r="B3892" t="s">
        <v>9174</v>
      </c>
      <c r="C3892" t="s">
        <v>37</v>
      </c>
      <c r="D3892" t="s">
        <v>54</v>
      </c>
      <c r="E3892" t="s">
        <v>45</v>
      </c>
      <c r="F3892" t="s">
        <v>55</v>
      </c>
      <c r="G3892">
        <v>4.7699999999999996</v>
      </c>
      <c r="H3892" t="s">
        <v>41</v>
      </c>
      <c r="I3892" t="s">
        <v>42</v>
      </c>
      <c r="M3892">
        <f>VLOOKUP(H3892,'Stage Order'!$A$2:$B$8,2,FALSE)</f>
        <v>2</v>
      </c>
      <c r="N3892" t="str">
        <f t="shared" si="120"/>
        <v>2. 1-24 hours</v>
      </c>
      <c r="O3892" t="str">
        <f t="shared" si="121"/>
        <v>2025-06</v>
      </c>
    </row>
    <row r="3893" spans="1:15" x14ac:dyDescent="0.3">
      <c r="A3893" t="s">
        <v>9175</v>
      </c>
      <c r="B3893" t="s">
        <v>9176</v>
      </c>
      <c r="C3893" t="s">
        <v>53</v>
      </c>
      <c r="D3893" t="s">
        <v>77</v>
      </c>
      <c r="E3893" t="s">
        <v>45</v>
      </c>
      <c r="F3893" t="s">
        <v>94</v>
      </c>
      <c r="G3893">
        <v>0.52</v>
      </c>
      <c r="H3893" t="s">
        <v>32</v>
      </c>
      <c r="I3893" t="s">
        <v>33</v>
      </c>
      <c r="K3893">
        <v>1158.5899999999999</v>
      </c>
      <c r="L3893" t="s">
        <v>9177</v>
      </c>
      <c r="M3893">
        <f>VLOOKUP(H3893,'Stage Order'!$A$2:$B$8,2,FALSE)</f>
        <v>7</v>
      </c>
      <c r="N3893" t="str">
        <f t="shared" si="120"/>
        <v>1. Under 1 hour</v>
      </c>
      <c r="O3893" t="str">
        <f t="shared" si="121"/>
        <v>2026-01</v>
      </c>
    </row>
    <row r="3894" spans="1:15" x14ac:dyDescent="0.3">
      <c r="A3894" t="s">
        <v>9178</v>
      </c>
      <c r="B3894" t="s">
        <v>9179</v>
      </c>
      <c r="C3894" t="s">
        <v>37</v>
      </c>
      <c r="D3894" t="s">
        <v>29</v>
      </c>
      <c r="E3894" t="s">
        <v>39</v>
      </c>
      <c r="F3894" t="s">
        <v>106</v>
      </c>
      <c r="G3894">
        <v>1.48</v>
      </c>
      <c r="H3894" t="s">
        <v>32</v>
      </c>
      <c r="I3894" t="s">
        <v>33</v>
      </c>
      <c r="K3894">
        <v>767.37</v>
      </c>
      <c r="L3894" t="s">
        <v>9180</v>
      </c>
      <c r="M3894">
        <f>VLOOKUP(H3894,'Stage Order'!$A$2:$B$8,2,FALSE)</f>
        <v>7</v>
      </c>
      <c r="N3894" t="str">
        <f t="shared" si="120"/>
        <v>2. 1-24 hours</v>
      </c>
      <c r="O3894" t="str">
        <f t="shared" si="121"/>
        <v>2026-06</v>
      </c>
    </row>
    <row r="3895" spans="1:15" x14ac:dyDescent="0.3">
      <c r="A3895" t="s">
        <v>9181</v>
      </c>
      <c r="B3895" t="s">
        <v>9182</v>
      </c>
      <c r="C3895" t="s">
        <v>125</v>
      </c>
      <c r="D3895" t="s">
        <v>54</v>
      </c>
      <c r="E3895" t="s">
        <v>59</v>
      </c>
      <c r="F3895" t="s">
        <v>117</v>
      </c>
      <c r="G3895">
        <v>1.59</v>
      </c>
      <c r="H3895" t="s">
        <v>47</v>
      </c>
      <c r="I3895" t="s">
        <v>48</v>
      </c>
      <c r="J3895" t="s">
        <v>113</v>
      </c>
      <c r="K3895">
        <v>487.62</v>
      </c>
      <c r="L3895" t="s">
        <v>9183</v>
      </c>
      <c r="M3895">
        <f>VLOOKUP(H3895,'Stage Order'!$A$2:$B$8,2,FALSE)</f>
        <v>4</v>
      </c>
      <c r="N3895" t="str">
        <f t="shared" si="120"/>
        <v>2. 1-24 hours</v>
      </c>
      <c r="O3895" t="str">
        <f t="shared" si="121"/>
        <v>2025-11</v>
      </c>
    </row>
    <row r="3896" spans="1:15" x14ac:dyDescent="0.3">
      <c r="A3896" t="s">
        <v>9184</v>
      </c>
      <c r="B3896" t="s">
        <v>9185</v>
      </c>
      <c r="C3896" t="s">
        <v>76</v>
      </c>
      <c r="D3896" t="s">
        <v>77</v>
      </c>
      <c r="E3896" t="s">
        <v>39</v>
      </c>
      <c r="F3896" t="s">
        <v>106</v>
      </c>
      <c r="G3896">
        <v>1.68</v>
      </c>
      <c r="H3896" t="s">
        <v>146</v>
      </c>
      <c r="I3896" t="s">
        <v>48</v>
      </c>
      <c r="J3896" t="s">
        <v>139</v>
      </c>
      <c r="K3896">
        <v>1046.6199999999999</v>
      </c>
      <c r="L3896" t="s">
        <v>9186</v>
      </c>
      <c r="M3896">
        <f>VLOOKUP(H3896,'Stage Order'!$A$2:$B$8,2,FALSE)</f>
        <v>5</v>
      </c>
      <c r="N3896" t="str">
        <f t="shared" si="120"/>
        <v>2. 1-24 hours</v>
      </c>
      <c r="O3896" t="str">
        <f t="shared" si="121"/>
        <v>2025-01</v>
      </c>
    </row>
    <row r="3897" spans="1:15" x14ac:dyDescent="0.3">
      <c r="A3897" t="s">
        <v>9187</v>
      </c>
      <c r="B3897" t="s">
        <v>9188</v>
      </c>
      <c r="C3897" t="s">
        <v>125</v>
      </c>
      <c r="D3897" t="s">
        <v>54</v>
      </c>
      <c r="E3897" t="s">
        <v>59</v>
      </c>
      <c r="F3897" t="s">
        <v>137</v>
      </c>
      <c r="G3897">
        <v>1.02</v>
      </c>
      <c r="H3897" t="s">
        <v>41</v>
      </c>
      <c r="I3897" t="s">
        <v>42</v>
      </c>
      <c r="M3897">
        <f>VLOOKUP(H3897,'Stage Order'!$A$2:$B$8,2,FALSE)</f>
        <v>2</v>
      </c>
      <c r="N3897" t="str">
        <f t="shared" si="120"/>
        <v>2. 1-24 hours</v>
      </c>
      <c r="O3897" t="str">
        <f t="shared" si="121"/>
        <v>2026-01</v>
      </c>
    </row>
    <row r="3898" spans="1:15" x14ac:dyDescent="0.3">
      <c r="A3898" t="s">
        <v>9189</v>
      </c>
      <c r="B3898" t="s">
        <v>9190</v>
      </c>
      <c r="C3898" t="s">
        <v>81</v>
      </c>
      <c r="D3898" t="s">
        <v>77</v>
      </c>
      <c r="E3898" t="s">
        <v>59</v>
      </c>
      <c r="F3898" t="s">
        <v>60</v>
      </c>
      <c r="G3898">
        <v>0.99</v>
      </c>
      <c r="H3898" t="s">
        <v>41</v>
      </c>
      <c r="I3898" t="s">
        <v>42</v>
      </c>
      <c r="M3898">
        <f>VLOOKUP(H3898,'Stage Order'!$A$2:$B$8,2,FALSE)</f>
        <v>2</v>
      </c>
      <c r="N3898" t="str">
        <f t="shared" si="120"/>
        <v>1. Under 1 hour</v>
      </c>
      <c r="O3898" t="str">
        <f t="shared" si="121"/>
        <v>2025-09</v>
      </c>
    </row>
    <row r="3899" spans="1:15" x14ac:dyDescent="0.3">
      <c r="A3899" t="s">
        <v>9191</v>
      </c>
      <c r="B3899" t="s">
        <v>9192</v>
      </c>
      <c r="C3899" t="s">
        <v>53</v>
      </c>
      <c r="D3899" t="s">
        <v>38</v>
      </c>
      <c r="E3899" t="s">
        <v>59</v>
      </c>
      <c r="F3899" t="s">
        <v>137</v>
      </c>
      <c r="G3899">
        <v>1.2</v>
      </c>
      <c r="H3899" t="s">
        <v>32</v>
      </c>
      <c r="I3899" t="s">
        <v>33</v>
      </c>
      <c r="K3899">
        <v>409.66</v>
      </c>
      <c r="L3899" t="s">
        <v>9193</v>
      </c>
      <c r="M3899">
        <f>VLOOKUP(H3899,'Stage Order'!$A$2:$B$8,2,FALSE)</f>
        <v>7</v>
      </c>
      <c r="N3899" t="str">
        <f t="shared" si="120"/>
        <v>2. 1-24 hours</v>
      </c>
      <c r="O3899" t="str">
        <f t="shared" si="121"/>
        <v>2026-04</v>
      </c>
    </row>
    <row r="3900" spans="1:15" x14ac:dyDescent="0.3">
      <c r="A3900" t="s">
        <v>9194</v>
      </c>
      <c r="B3900" t="s">
        <v>9195</v>
      </c>
      <c r="C3900" t="s">
        <v>58</v>
      </c>
      <c r="D3900" t="s">
        <v>29</v>
      </c>
      <c r="E3900" t="s">
        <v>39</v>
      </c>
      <c r="F3900" t="s">
        <v>40</v>
      </c>
      <c r="G3900">
        <v>3.55</v>
      </c>
      <c r="H3900" t="s">
        <v>146</v>
      </c>
      <c r="I3900" t="s">
        <v>48</v>
      </c>
      <c r="J3900" t="s">
        <v>113</v>
      </c>
      <c r="K3900">
        <v>620.5</v>
      </c>
      <c r="L3900" t="s">
        <v>9196</v>
      </c>
      <c r="M3900">
        <f>VLOOKUP(H3900,'Stage Order'!$A$2:$B$8,2,FALSE)</f>
        <v>5</v>
      </c>
      <c r="N3900" t="str">
        <f t="shared" si="120"/>
        <v>2. 1-24 hours</v>
      </c>
      <c r="O3900" t="str">
        <f t="shared" si="121"/>
        <v>2025-05</v>
      </c>
    </row>
    <row r="3901" spans="1:15" x14ac:dyDescent="0.3">
      <c r="A3901" t="s">
        <v>9197</v>
      </c>
      <c r="B3901" t="s">
        <v>9198</v>
      </c>
      <c r="C3901" t="s">
        <v>37</v>
      </c>
      <c r="D3901" t="s">
        <v>77</v>
      </c>
      <c r="E3901" t="s">
        <v>59</v>
      </c>
      <c r="F3901" t="s">
        <v>137</v>
      </c>
      <c r="G3901">
        <v>7.31</v>
      </c>
      <c r="H3901" t="s">
        <v>41</v>
      </c>
      <c r="I3901" t="s">
        <v>42</v>
      </c>
      <c r="M3901">
        <f>VLOOKUP(H3901,'Stage Order'!$A$2:$B$8,2,FALSE)</f>
        <v>2</v>
      </c>
      <c r="N3901" t="str">
        <f t="shared" si="120"/>
        <v>2. 1-24 hours</v>
      </c>
      <c r="O3901" t="str">
        <f t="shared" si="121"/>
        <v>2025-12</v>
      </c>
    </row>
    <row r="3902" spans="1:15" x14ac:dyDescent="0.3">
      <c r="A3902" t="s">
        <v>9199</v>
      </c>
      <c r="B3902" t="s">
        <v>9200</v>
      </c>
      <c r="C3902" t="s">
        <v>125</v>
      </c>
      <c r="D3902" t="s">
        <v>77</v>
      </c>
      <c r="E3902" t="s">
        <v>45</v>
      </c>
      <c r="F3902" t="s">
        <v>46</v>
      </c>
      <c r="G3902">
        <v>2.06</v>
      </c>
      <c r="H3902" t="s">
        <v>32</v>
      </c>
      <c r="I3902" t="s">
        <v>33</v>
      </c>
      <c r="K3902">
        <v>907.55</v>
      </c>
      <c r="L3902" t="s">
        <v>9201</v>
      </c>
      <c r="M3902">
        <f>VLOOKUP(H3902,'Stage Order'!$A$2:$B$8,2,FALSE)</f>
        <v>7</v>
      </c>
      <c r="N3902" t="str">
        <f t="shared" si="120"/>
        <v>2. 1-24 hours</v>
      </c>
      <c r="O3902" t="str">
        <f t="shared" si="121"/>
        <v>2026-05</v>
      </c>
    </row>
    <row r="3903" spans="1:15" x14ac:dyDescent="0.3">
      <c r="A3903" t="s">
        <v>9202</v>
      </c>
      <c r="B3903" t="s">
        <v>9203</v>
      </c>
      <c r="C3903" t="s">
        <v>37</v>
      </c>
      <c r="D3903" t="s">
        <v>38</v>
      </c>
      <c r="E3903" t="s">
        <v>59</v>
      </c>
      <c r="F3903" t="s">
        <v>117</v>
      </c>
      <c r="G3903">
        <v>5.53</v>
      </c>
      <c r="H3903" t="s">
        <v>138</v>
      </c>
      <c r="I3903" t="s">
        <v>48</v>
      </c>
      <c r="J3903" t="s">
        <v>139</v>
      </c>
      <c r="K3903">
        <v>304.98</v>
      </c>
      <c r="L3903" t="s">
        <v>9204</v>
      </c>
      <c r="M3903">
        <f>VLOOKUP(H3903,'Stage Order'!$A$2:$B$8,2,FALSE)</f>
        <v>6</v>
      </c>
      <c r="N3903" t="str">
        <f t="shared" si="120"/>
        <v>2. 1-24 hours</v>
      </c>
      <c r="O3903" t="str">
        <f t="shared" si="121"/>
        <v>2025-06</v>
      </c>
    </row>
    <row r="3904" spans="1:15" x14ac:dyDescent="0.3">
      <c r="A3904" t="s">
        <v>9205</v>
      </c>
      <c r="B3904" t="s">
        <v>9206</v>
      </c>
      <c r="C3904" t="s">
        <v>125</v>
      </c>
      <c r="D3904" t="s">
        <v>54</v>
      </c>
      <c r="E3904" t="s">
        <v>90</v>
      </c>
      <c r="F3904" t="s">
        <v>145</v>
      </c>
      <c r="G3904">
        <v>6.74</v>
      </c>
      <c r="H3904" t="s">
        <v>128</v>
      </c>
      <c r="I3904" t="s">
        <v>42</v>
      </c>
      <c r="M3904">
        <f>VLOOKUP(H3904,'Stage Order'!$A$2:$B$8,2,FALSE)</f>
        <v>3</v>
      </c>
      <c r="N3904" t="str">
        <f t="shared" si="120"/>
        <v>2. 1-24 hours</v>
      </c>
      <c r="O3904" t="str">
        <f t="shared" si="121"/>
        <v>2025-02</v>
      </c>
    </row>
    <row r="3905" spans="1:15" x14ac:dyDescent="0.3">
      <c r="A3905" t="s">
        <v>9207</v>
      </c>
      <c r="B3905" t="s">
        <v>9208</v>
      </c>
      <c r="C3905" t="s">
        <v>76</v>
      </c>
      <c r="D3905" t="s">
        <v>29</v>
      </c>
      <c r="E3905" t="s">
        <v>45</v>
      </c>
      <c r="F3905" t="s">
        <v>46</v>
      </c>
      <c r="G3905">
        <v>1.98</v>
      </c>
      <c r="H3905" t="s">
        <v>32</v>
      </c>
      <c r="I3905" t="s">
        <v>33</v>
      </c>
      <c r="K3905">
        <v>752.3</v>
      </c>
      <c r="L3905" t="s">
        <v>9209</v>
      </c>
      <c r="M3905">
        <f>VLOOKUP(H3905,'Stage Order'!$A$2:$B$8,2,FALSE)</f>
        <v>7</v>
      </c>
      <c r="N3905" t="str">
        <f t="shared" si="120"/>
        <v>2. 1-24 hours</v>
      </c>
      <c r="O3905" t="str">
        <f t="shared" si="121"/>
        <v>2025-12</v>
      </c>
    </row>
    <row r="3906" spans="1:15" x14ac:dyDescent="0.3">
      <c r="A3906" t="s">
        <v>9210</v>
      </c>
      <c r="B3906" t="s">
        <v>9211</v>
      </c>
      <c r="C3906" t="s">
        <v>58</v>
      </c>
      <c r="D3906" t="s">
        <v>97</v>
      </c>
      <c r="E3906" t="s">
        <v>45</v>
      </c>
      <c r="F3906" t="s">
        <v>94</v>
      </c>
      <c r="G3906">
        <v>1.43</v>
      </c>
      <c r="H3906" t="s">
        <v>146</v>
      </c>
      <c r="I3906" t="s">
        <v>48</v>
      </c>
      <c r="J3906" t="s">
        <v>49</v>
      </c>
      <c r="K3906">
        <v>1682.82</v>
      </c>
      <c r="L3906" t="s">
        <v>9212</v>
      </c>
      <c r="M3906">
        <f>VLOOKUP(H3906,'Stage Order'!$A$2:$B$8,2,FALSE)</f>
        <v>5</v>
      </c>
      <c r="N3906" t="str">
        <f t="shared" ref="N3906:N3969" si="122">IF(G3906&lt;=1,"1. Under 1 hour",IF(G3906&lt;=24,"2. 1-24 hours",IF(G3906&lt;=72,"3. 1-3 days","4. Over 3 days")))</f>
        <v>2. 1-24 hours</v>
      </c>
      <c r="O3906" t="str">
        <f t="shared" ref="O3906:O3969" si="123">TEXT(B3906,"YYYY-MM")</f>
        <v>2025-07</v>
      </c>
    </row>
    <row r="3907" spans="1:15" x14ac:dyDescent="0.3">
      <c r="A3907" t="s">
        <v>9213</v>
      </c>
      <c r="B3907" t="s">
        <v>9214</v>
      </c>
      <c r="C3907" t="s">
        <v>58</v>
      </c>
      <c r="D3907" t="s">
        <v>77</v>
      </c>
      <c r="E3907" t="s">
        <v>45</v>
      </c>
      <c r="F3907" t="s">
        <v>94</v>
      </c>
      <c r="G3907">
        <v>10.01</v>
      </c>
      <c r="H3907" t="s">
        <v>146</v>
      </c>
      <c r="I3907" t="s">
        <v>48</v>
      </c>
      <c r="J3907" t="s">
        <v>49</v>
      </c>
      <c r="K3907">
        <v>962.95</v>
      </c>
      <c r="L3907" t="s">
        <v>9215</v>
      </c>
      <c r="M3907">
        <f>VLOOKUP(H3907,'Stage Order'!$A$2:$B$8,2,FALSE)</f>
        <v>5</v>
      </c>
      <c r="N3907" t="str">
        <f t="shared" si="122"/>
        <v>2. 1-24 hours</v>
      </c>
      <c r="O3907" t="str">
        <f t="shared" si="123"/>
        <v>2026-02</v>
      </c>
    </row>
    <row r="3908" spans="1:15" x14ac:dyDescent="0.3">
      <c r="A3908" t="s">
        <v>9216</v>
      </c>
      <c r="B3908" t="s">
        <v>9217</v>
      </c>
      <c r="C3908" t="s">
        <v>53</v>
      </c>
      <c r="D3908" t="s">
        <v>29</v>
      </c>
      <c r="E3908" t="s">
        <v>90</v>
      </c>
      <c r="F3908" t="s">
        <v>112</v>
      </c>
      <c r="G3908">
        <v>10.39</v>
      </c>
      <c r="H3908" t="s">
        <v>41</v>
      </c>
      <c r="I3908" t="s">
        <v>42</v>
      </c>
      <c r="M3908">
        <f>VLOOKUP(H3908,'Stage Order'!$A$2:$B$8,2,FALSE)</f>
        <v>2</v>
      </c>
      <c r="N3908" t="str">
        <f t="shared" si="122"/>
        <v>2. 1-24 hours</v>
      </c>
      <c r="O3908" t="str">
        <f t="shared" si="123"/>
        <v>2026-02</v>
      </c>
    </row>
    <row r="3909" spans="1:15" x14ac:dyDescent="0.3">
      <c r="A3909" t="s">
        <v>9218</v>
      </c>
      <c r="B3909" t="s">
        <v>9219</v>
      </c>
      <c r="C3909" t="s">
        <v>125</v>
      </c>
      <c r="D3909" t="s">
        <v>29</v>
      </c>
      <c r="E3909" t="s">
        <v>39</v>
      </c>
      <c r="F3909" t="s">
        <v>106</v>
      </c>
      <c r="G3909">
        <v>2.09</v>
      </c>
      <c r="H3909" t="s">
        <v>32</v>
      </c>
      <c r="I3909" t="s">
        <v>33</v>
      </c>
      <c r="K3909">
        <v>753.15</v>
      </c>
      <c r="L3909" t="s">
        <v>9220</v>
      </c>
      <c r="M3909">
        <f>VLOOKUP(H3909,'Stage Order'!$A$2:$B$8,2,FALSE)</f>
        <v>7</v>
      </c>
      <c r="N3909" t="str">
        <f t="shared" si="122"/>
        <v>2. 1-24 hours</v>
      </c>
      <c r="O3909" t="str">
        <f t="shared" si="123"/>
        <v>2026-03</v>
      </c>
    </row>
    <row r="3910" spans="1:15" x14ac:dyDescent="0.3">
      <c r="A3910" t="s">
        <v>9221</v>
      </c>
      <c r="B3910" t="s">
        <v>9222</v>
      </c>
      <c r="C3910" t="s">
        <v>58</v>
      </c>
      <c r="D3910" t="s">
        <v>77</v>
      </c>
      <c r="E3910" t="s">
        <v>59</v>
      </c>
      <c r="F3910" t="s">
        <v>137</v>
      </c>
      <c r="G3910">
        <v>1.17</v>
      </c>
      <c r="H3910" t="s">
        <v>61</v>
      </c>
      <c r="I3910" t="s">
        <v>42</v>
      </c>
      <c r="M3910">
        <f>VLOOKUP(H3910,'Stage Order'!$A$2:$B$8,2,FALSE)</f>
        <v>1</v>
      </c>
      <c r="N3910" t="str">
        <f t="shared" si="122"/>
        <v>2. 1-24 hours</v>
      </c>
      <c r="O3910" t="str">
        <f t="shared" si="123"/>
        <v>2026-01</v>
      </c>
    </row>
    <row r="3911" spans="1:15" x14ac:dyDescent="0.3">
      <c r="A3911" t="s">
        <v>9223</v>
      </c>
      <c r="B3911" t="s">
        <v>9224</v>
      </c>
      <c r="C3911" t="s">
        <v>37</v>
      </c>
      <c r="D3911" t="s">
        <v>54</v>
      </c>
      <c r="E3911" t="s">
        <v>45</v>
      </c>
      <c r="F3911" t="s">
        <v>46</v>
      </c>
      <c r="G3911">
        <v>1.64</v>
      </c>
      <c r="H3911" t="s">
        <v>41</v>
      </c>
      <c r="I3911" t="s">
        <v>42</v>
      </c>
      <c r="M3911">
        <f>VLOOKUP(H3911,'Stage Order'!$A$2:$B$8,2,FALSE)</f>
        <v>2</v>
      </c>
      <c r="N3911" t="str">
        <f t="shared" si="122"/>
        <v>2. 1-24 hours</v>
      </c>
      <c r="O3911" t="str">
        <f t="shared" si="123"/>
        <v>2025-06</v>
      </c>
    </row>
    <row r="3912" spans="1:15" x14ac:dyDescent="0.3">
      <c r="A3912" t="s">
        <v>9225</v>
      </c>
      <c r="B3912" t="s">
        <v>9226</v>
      </c>
      <c r="C3912" t="s">
        <v>58</v>
      </c>
      <c r="D3912" t="s">
        <v>97</v>
      </c>
      <c r="E3912" t="s">
        <v>59</v>
      </c>
      <c r="F3912" t="s">
        <v>137</v>
      </c>
      <c r="G3912">
        <v>1.55</v>
      </c>
      <c r="H3912" t="s">
        <v>146</v>
      </c>
      <c r="I3912" t="s">
        <v>48</v>
      </c>
      <c r="J3912" t="s">
        <v>139</v>
      </c>
      <c r="K3912">
        <v>1376.98</v>
      </c>
      <c r="L3912" t="s">
        <v>9227</v>
      </c>
      <c r="M3912">
        <f>VLOOKUP(H3912,'Stage Order'!$A$2:$B$8,2,FALSE)</f>
        <v>5</v>
      </c>
      <c r="N3912" t="str">
        <f t="shared" si="122"/>
        <v>2. 1-24 hours</v>
      </c>
      <c r="O3912" t="str">
        <f t="shared" si="123"/>
        <v>2025-02</v>
      </c>
    </row>
    <row r="3913" spans="1:15" x14ac:dyDescent="0.3">
      <c r="A3913" t="s">
        <v>9228</v>
      </c>
      <c r="B3913" t="s">
        <v>9229</v>
      </c>
      <c r="C3913" t="s">
        <v>125</v>
      </c>
      <c r="D3913" t="s">
        <v>29</v>
      </c>
      <c r="E3913" t="s">
        <v>39</v>
      </c>
      <c r="F3913" t="s">
        <v>106</v>
      </c>
      <c r="G3913">
        <v>2.37</v>
      </c>
      <c r="H3913" t="s">
        <v>146</v>
      </c>
      <c r="I3913" t="s">
        <v>48</v>
      </c>
      <c r="J3913" t="s">
        <v>139</v>
      </c>
      <c r="K3913">
        <v>620.32000000000005</v>
      </c>
      <c r="L3913" t="s">
        <v>9230</v>
      </c>
      <c r="M3913">
        <f>VLOOKUP(H3913,'Stage Order'!$A$2:$B$8,2,FALSE)</f>
        <v>5</v>
      </c>
      <c r="N3913" t="str">
        <f t="shared" si="122"/>
        <v>2. 1-24 hours</v>
      </c>
      <c r="O3913" t="str">
        <f t="shared" si="123"/>
        <v>2025-07</v>
      </c>
    </row>
    <row r="3914" spans="1:15" x14ac:dyDescent="0.3">
      <c r="A3914" t="s">
        <v>9231</v>
      </c>
      <c r="B3914" t="s">
        <v>9232</v>
      </c>
      <c r="C3914" t="s">
        <v>125</v>
      </c>
      <c r="D3914" t="s">
        <v>77</v>
      </c>
      <c r="E3914" t="s">
        <v>90</v>
      </c>
      <c r="F3914" t="s">
        <v>91</v>
      </c>
      <c r="G3914">
        <v>28.1</v>
      </c>
      <c r="H3914" t="s">
        <v>61</v>
      </c>
      <c r="I3914" t="s">
        <v>42</v>
      </c>
      <c r="M3914">
        <f>VLOOKUP(H3914,'Stage Order'!$A$2:$B$8,2,FALSE)</f>
        <v>1</v>
      </c>
      <c r="N3914" t="str">
        <f t="shared" si="122"/>
        <v>3. 1-3 days</v>
      </c>
      <c r="O3914" t="str">
        <f t="shared" si="123"/>
        <v>2025-05</v>
      </c>
    </row>
    <row r="3915" spans="1:15" x14ac:dyDescent="0.3">
      <c r="A3915" t="s">
        <v>9233</v>
      </c>
      <c r="B3915" t="s">
        <v>9234</v>
      </c>
      <c r="C3915" t="s">
        <v>28</v>
      </c>
      <c r="D3915" t="s">
        <v>38</v>
      </c>
      <c r="E3915" t="s">
        <v>59</v>
      </c>
      <c r="F3915" t="s">
        <v>60</v>
      </c>
      <c r="G3915">
        <v>6.66</v>
      </c>
      <c r="H3915" t="s">
        <v>32</v>
      </c>
      <c r="I3915" t="s">
        <v>33</v>
      </c>
      <c r="K3915">
        <v>399.42</v>
      </c>
      <c r="L3915" t="s">
        <v>9235</v>
      </c>
      <c r="M3915">
        <f>VLOOKUP(H3915,'Stage Order'!$A$2:$B$8,2,FALSE)</f>
        <v>7</v>
      </c>
      <c r="N3915" t="str">
        <f t="shared" si="122"/>
        <v>2. 1-24 hours</v>
      </c>
      <c r="O3915" t="str">
        <f t="shared" si="123"/>
        <v>2025-11</v>
      </c>
    </row>
    <row r="3916" spans="1:15" x14ac:dyDescent="0.3">
      <c r="A3916" t="s">
        <v>9236</v>
      </c>
      <c r="B3916" t="s">
        <v>9237</v>
      </c>
      <c r="C3916" t="s">
        <v>37</v>
      </c>
      <c r="D3916" t="s">
        <v>54</v>
      </c>
      <c r="E3916" t="s">
        <v>39</v>
      </c>
      <c r="F3916" t="s">
        <v>66</v>
      </c>
      <c r="G3916">
        <v>7.07</v>
      </c>
      <c r="H3916" t="s">
        <v>61</v>
      </c>
      <c r="I3916" t="s">
        <v>42</v>
      </c>
      <c r="M3916">
        <f>VLOOKUP(H3916,'Stage Order'!$A$2:$B$8,2,FALSE)</f>
        <v>1</v>
      </c>
      <c r="N3916" t="str">
        <f t="shared" si="122"/>
        <v>2. 1-24 hours</v>
      </c>
      <c r="O3916" t="str">
        <f t="shared" si="123"/>
        <v>2025-10</v>
      </c>
    </row>
    <row r="3917" spans="1:15" x14ac:dyDescent="0.3">
      <c r="A3917" t="s">
        <v>9238</v>
      </c>
      <c r="B3917" t="s">
        <v>9239</v>
      </c>
      <c r="C3917" t="s">
        <v>37</v>
      </c>
      <c r="D3917" t="s">
        <v>54</v>
      </c>
      <c r="E3917" t="s">
        <v>90</v>
      </c>
      <c r="F3917" t="s">
        <v>91</v>
      </c>
      <c r="G3917">
        <v>0.61</v>
      </c>
      <c r="H3917" t="s">
        <v>41</v>
      </c>
      <c r="I3917" t="s">
        <v>42</v>
      </c>
      <c r="M3917">
        <f>VLOOKUP(H3917,'Stage Order'!$A$2:$B$8,2,FALSE)</f>
        <v>2</v>
      </c>
      <c r="N3917" t="str">
        <f t="shared" si="122"/>
        <v>1. Under 1 hour</v>
      </c>
      <c r="O3917" t="str">
        <f t="shared" si="123"/>
        <v>2025-08</v>
      </c>
    </row>
    <row r="3918" spans="1:15" x14ac:dyDescent="0.3">
      <c r="A3918" t="s">
        <v>9240</v>
      </c>
      <c r="B3918" t="s">
        <v>9241</v>
      </c>
      <c r="C3918" t="s">
        <v>28</v>
      </c>
      <c r="D3918" t="s">
        <v>54</v>
      </c>
      <c r="E3918" t="s">
        <v>90</v>
      </c>
      <c r="F3918" t="s">
        <v>145</v>
      </c>
      <c r="G3918">
        <v>0.71</v>
      </c>
      <c r="H3918" t="s">
        <v>138</v>
      </c>
      <c r="I3918" t="s">
        <v>48</v>
      </c>
      <c r="J3918" t="s">
        <v>113</v>
      </c>
      <c r="K3918">
        <v>453.7</v>
      </c>
      <c r="L3918" t="s">
        <v>9242</v>
      </c>
      <c r="M3918">
        <f>VLOOKUP(H3918,'Stage Order'!$A$2:$B$8,2,FALSE)</f>
        <v>6</v>
      </c>
      <c r="N3918" t="str">
        <f t="shared" si="122"/>
        <v>1. Under 1 hour</v>
      </c>
      <c r="O3918" t="str">
        <f t="shared" si="123"/>
        <v>2025-11</v>
      </c>
    </row>
    <row r="3919" spans="1:15" x14ac:dyDescent="0.3">
      <c r="A3919" t="s">
        <v>9243</v>
      </c>
      <c r="B3919" t="s">
        <v>9244</v>
      </c>
      <c r="C3919" t="s">
        <v>37</v>
      </c>
      <c r="D3919" t="s">
        <v>29</v>
      </c>
      <c r="E3919" t="s">
        <v>90</v>
      </c>
      <c r="F3919" t="s">
        <v>145</v>
      </c>
      <c r="G3919">
        <v>1.77</v>
      </c>
      <c r="H3919" t="s">
        <v>61</v>
      </c>
      <c r="I3919" t="s">
        <v>42</v>
      </c>
      <c r="M3919">
        <f>VLOOKUP(H3919,'Stage Order'!$A$2:$B$8,2,FALSE)</f>
        <v>1</v>
      </c>
      <c r="N3919" t="str">
        <f t="shared" si="122"/>
        <v>2. 1-24 hours</v>
      </c>
      <c r="O3919" t="str">
        <f t="shared" si="123"/>
        <v>2025-10</v>
      </c>
    </row>
    <row r="3920" spans="1:15" x14ac:dyDescent="0.3">
      <c r="A3920" t="s">
        <v>9245</v>
      </c>
      <c r="B3920" t="s">
        <v>9246</v>
      </c>
      <c r="C3920" t="s">
        <v>81</v>
      </c>
      <c r="D3920" t="s">
        <v>77</v>
      </c>
      <c r="E3920" t="s">
        <v>30</v>
      </c>
      <c r="F3920" t="s">
        <v>82</v>
      </c>
      <c r="G3920">
        <v>5.46</v>
      </c>
      <c r="H3920" t="s">
        <v>61</v>
      </c>
      <c r="I3920" t="s">
        <v>42</v>
      </c>
      <c r="M3920">
        <f>VLOOKUP(H3920,'Stage Order'!$A$2:$B$8,2,FALSE)</f>
        <v>1</v>
      </c>
      <c r="N3920" t="str">
        <f t="shared" si="122"/>
        <v>2. 1-24 hours</v>
      </c>
      <c r="O3920" t="str">
        <f t="shared" si="123"/>
        <v>2026-03</v>
      </c>
    </row>
    <row r="3921" spans="1:15" x14ac:dyDescent="0.3">
      <c r="A3921" t="s">
        <v>9247</v>
      </c>
      <c r="B3921" t="s">
        <v>9248</v>
      </c>
      <c r="C3921" t="s">
        <v>28</v>
      </c>
      <c r="D3921" t="s">
        <v>54</v>
      </c>
      <c r="E3921" t="s">
        <v>90</v>
      </c>
      <c r="F3921" t="s">
        <v>145</v>
      </c>
      <c r="G3921">
        <v>1.06</v>
      </c>
      <c r="H3921" t="s">
        <v>41</v>
      </c>
      <c r="I3921" t="s">
        <v>42</v>
      </c>
      <c r="M3921">
        <f>VLOOKUP(H3921,'Stage Order'!$A$2:$B$8,2,FALSE)</f>
        <v>2</v>
      </c>
      <c r="N3921" t="str">
        <f t="shared" si="122"/>
        <v>2. 1-24 hours</v>
      </c>
      <c r="O3921" t="str">
        <f t="shared" si="123"/>
        <v>2025-07</v>
      </c>
    </row>
    <row r="3922" spans="1:15" x14ac:dyDescent="0.3">
      <c r="A3922" t="s">
        <v>9249</v>
      </c>
      <c r="B3922" t="s">
        <v>9250</v>
      </c>
      <c r="C3922" t="s">
        <v>53</v>
      </c>
      <c r="D3922" t="s">
        <v>97</v>
      </c>
      <c r="E3922" t="s">
        <v>45</v>
      </c>
      <c r="F3922" t="s">
        <v>94</v>
      </c>
      <c r="G3922">
        <v>1.33</v>
      </c>
      <c r="H3922" t="s">
        <v>61</v>
      </c>
      <c r="I3922" t="s">
        <v>42</v>
      </c>
      <c r="M3922">
        <f>VLOOKUP(H3922,'Stage Order'!$A$2:$B$8,2,FALSE)</f>
        <v>1</v>
      </c>
      <c r="N3922" t="str">
        <f t="shared" si="122"/>
        <v>2. 1-24 hours</v>
      </c>
      <c r="O3922" t="str">
        <f t="shared" si="123"/>
        <v>2025-09</v>
      </c>
    </row>
    <row r="3923" spans="1:15" x14ac:dyDescent="0.3">
      <c r="A3923" t="s">
        <v>9251</v>
      </c>
      <c r="B3923" t="s">
        <v>9252</v>
      </c>
      <c r="C3923" t="s">
        <v>58</v>
      </c>
      <c r="D3923" t="s">
        <v>54</v>
      </c>
      <c r="E3923" t="s">
        <v>59</v>
      </c>
      <c r="F3923" t="s">
        <v>117</v>
      </c>
      <c r="G3923">
        <v>3.5</v>
      </c>
      <c r="H3923" t="s">
        <v>41</v>
      </c>
      <c r="I3923" t="s">
        <v>42</v>
      </c>
      <c r="M3923">
        <f>VLOOKUP(H3923,'Stage Order'!$A$2:$B$8,2,FALSE)</f>
        <v>2</v>
      </c>
      <c r="N3923" t="str">
        <f t="shared" si="122"/>
        <v>2. 1-24 hours</v>
      </c>
      <c r="O3923" t="str">
        <f t="shared" si="123"/>
        <v>2025-07</v>
      </c>
    </row>
    <row r="3924" spans="1:15" x14ac:dyDescent="0.3">
      <c r="A3924" t="s">
        <v>9253</v>
      </c>
      <c r="B3924" t="s">
        <v>9254</v>
      </c>
      <c r="C3924" t="s">
        <v>76</v>
      </c>
      <c r="D3924" t="s">
        <v>77</v>
      </c>
      <c r="E3924" t="s">
        <v>45</v>
      </c>
      <c r="F3924" t="s">
        <v>55</v>
      </c>
      <c r="G3924">
        <v>6.43</v>
      </c>
      <c r="H3924" t="s">
        <v>138</v>
      </c>
      <c r="I3924" t="s">
        <v>48</v>
      </c>
      <c r="J3924" t="s">
        <v>742</v>
      </c>
      <c r="K3924">
        <v>828.62</v>
      </c>
      <c r="L3924" t="s">
        <v>9255</v>
      </c>
      <c r="M3924">
        <f>VLOOKUP(H3924,'Stage Order'!$A$2:$B$8,2,FALSE)</f>
        <v>6</v>
      </c>
      <c r="N3924" t="str">
        <f t="shared" si="122"/>
        <v>2. 1-24 hours</v>
      </c>
      <c r="O3924" t="str">
        <f t="shared" si="123"/>
        <v>2026-03</v>
      </c>
    </row>
    <row r="3925" spans="1:15" x14ac:dyDescent="0.3">
      <c r="A3925" t="s">
        <v>9256</v>
      </c>
      <c r="B3925" t="s">
        <v>9257</v>
      </c>
      <c r="C3925" t="s">
        <v>37</v>
      </c>
      <c r="D3925" t="s">
        <v>38</v>
      </c>
      <c r="E3925" t="s">
        <v>45</v>
      </c>
      <c r="F3925" t="s">
        <v>46</v>
      </c>
      <c r="G3925">
        <v>0.81</v>
      </c>
      <c r="H3925" t="s">
        <v>32</v>
      </c>
      <c r="I3925" t="s">
        <v>33</v>
      </c>
      <c r="K3925">
        <v>347.66</v>
      </c>
      <c r="L3925" t="s">
        <v>9258</v>
      </c>
      <c r="M3925">
        <f>VLOOKUP(H3925,'Stage Order'!$A$2:$B$8,2,FALSE)</f>
        <v>7</v>
      </c>
      <c r="N3925" t="str">
        <f t="shared" si="122"/>
        <v>1. Under 1 hour</v>
      </c>
      <c r="O3925" t="str">
        <f t="shared" si="123"/>
        <v>2025-04</v>
      </c>
    </row>
    <row r="3926" spans="1:15" x14ac:dyDescent="0.3">
      <c r="A3926" t="s">
        <v>9259</v>
      </c>
      <c r="B3926" t="s">
        <v>9260</v>
      </c>
      <c r="C3926" t="s">
        <v>53</v>
      </c>
      <c r="D3926" t="s">
        <v>77</v>
      </c>
      <c r="E3926" t="s">
        <v>59</v>
      </c>
      <c r="F3926" t="s">
        <v>60</v>
      </c>
      <c r="G3926">
        <v>1.76</v>
      </c>
      <c r="H3926" t="s">
        <v>128</v>
      </c>
      <c r="I3926" t="s">
        <v>42</v>
      </c>
      <c r="M3926">
        <f>VLOOKUP(H3926,'Stage Order'!$A$2:$B$8,2,FALSE)</f>
        <v>3</v>
      </c>
      <c r="N3926" t="str">
        <f t="shared" si="122"/>
        <v>2. 1-24 hours</v>
      </c>
      <c r="O3926" t="str">
        <f t="shared" si="123"/>
        <v>2026-03</v>
      </c>
    </row>
    <row r="3927" spans="1:15" x14ac:dyDescent="0.3">
      <c r="A3927" t="s">
        <v>9261</v>
      </c>
      <c r="B3927" t="s">
        <v>9262</v>
      </c>
      <c r="C3927" t="s">
        <v>28</v>
      </c>
      <c r="D3927" t="s">
        <v>54</v>
      </c>
      <c r="E3927" t="s">
        <v>39</v>
      </c>
      <c r="F3927" t="s">
        <v>40</v>
      </c>
      <c r="G3927">
        <v>0.93</v>
      </c>
      <c r="H3927" t="s">
        <v>32</v>
      </c>
      <c r="I3927" t="s">
        <v>33</v>
      </c>
      <c r="K3927">
        <v>486.1</v>
      </c>
      <c r="L3927" t="s">
        <v>9263</v>
      </c>
      <c r="M3927">
        <f>VLOOKUP(H3927,'Stage Order'!$A$2:$B$8,2,FALSE)</f>
        <v>7</v>
      </c>
      <c r="N3927" t="str">
        <f t="shared" si="122"/>
        <v>1. Under 1 hour</v>
      </c>
      <c r="O3927" t="str">
        <f t="shared" si="123"/>
        <v>2025-11</v>
      </c>
    </row>
    <row r="3928" spans="1:15" x14ac:dyDescent="0.3">
      <c r="A3928" t="s">
        <v>9264</v>
      </c>
      <c r="B3928" t="s">
        <v>9265</v>
      </c>
      <c r="C3928" t="s">
        <v>53</v>
      </c>
      <c r="D3928" t="s">
        <v>54</v>
      </c>
      <c r="E3928" t="s">
        <v>90</v>
      </c>
      <c r="F3928" t="s">
        <v>91</v>
      </c>
      <c r="G3928">
        <v>1.1599999999999999</v>
      </c>
      <c r="H3928" t="s">
        <v>41</v>
      </c>
      <c r="I3928" t="s">
        <v>42</v>
      </c>
      <c r="M3928">
        <f>VLOOKUP(H3928,'Stage Order'!$A$2:$B$8,2,FALSE)</f>
        <v>2</v>
      </c>
      <c r="N3928" t="str">
        <f t="shared" si="122"/>
        <v>2. 1-24 hours</v>
      </c>
      <c r="O3928" t="str">
        <f t="shared" si="123"/>
        <v>2025-01</v>
      </c>
    </row>
    <row r="3929" spans="1:15" x14ac:dyDescent="0.3">
      <c r="A3929" t="s">
        <v>9266</v>
      </c>
      <c r="B3929" t="s">
        <v>9267</v>
      </c>
      <c r="C3929" t="s">
        <v>28</v>
      </c>
      <c r="D3929" t="s">
        <v>97</v>
      </c>
      <c r="E3929" t="s">
        <v>30</v>
      </c>
      <c r="F3929" t="s">
        <v>78</v>
      </c>
      <c r="G3929">
        <v>12.37</v>
      </c>
      <c r="H3929" t="s">
        <v>32</v>
      </c>
      <c r="I3929" t="s">
        <v>33</v>
      </c>
      <c r="K3929">
        <v>1337.28</v>
      </c>
      <c r="L3929" t="s">
        <v>9268</v>
      </c>
      <c r="M3929">
        <f>VLOOKUP(H3929,'Stage Order'!$A$2:$B$8,2,FALSE)</f>
        <v>7</v>
      </c>
      <c r="N3929" t="str">
        <f t="shared" si="122"/>
        <v>2. 1-24 hours</v>
      </c>
      <c r="O3929" t="str">
        <f t="shared" si="123"/>
        <v>2025-08</v>
      </c>
    </row>
    <row r="3930" spans="1:15" x14ac:dyDescent="0.3">
      <c r="A3930" t="s">
        <v>9269</v>
      </c>
      <c r="B3930" t="s">
        <v>9270</v>
      </c>
      <c r="C3930" t="s">
        <v>37</v>
      </c>
      <c r="D3930" t="s">
        <v>29</v>
      </c>
      <c r="E3930" t="s">
        <v>59</v>
      </c>
      <c r="F3930" t="s">
        <v>137</v>
      </c>
      <c r="G3930">
        <v>10.99</v>
      </c>
      <c r="H3930" t="s">
        <v>41</v>
      </c>
      <c r="I3930" t="s">
        <v>42</v>
      </c>
      <c r="M3930">
        <f>VLOOKUP(H3930,'Stage Order'!$A$2:$B$8,2,FALSE)</f>
        <v>2</v>
      </c>
      <c r="N3930" t="str">
        <f t="shared" si="122"/>
        <v>2. 1-24 hours</v>
      </c>
      <c r="O3930" t="str">
        <f t="shared" si="123"/>
        <v>2025-09</v>
      </c>
    </row>
    <row r="3931" spans="1:15" x14ac:dyDescent="0.3">
      <c r="A3931" t="s">
        <v>9271</v>
      </c>
      <c r="B3931" t="s">
        <v>9272</v>
      </c>
      <c r="C3931" t="s">
        <v>125</v>
      </c>
      <c r="D3931" t="s">
        <v>29</v>
      </c>
      <c r="E3931" t="s">
        <v>90</v>
      </c>
      <c r="F3931" t="s">
        <v>112</v>
      </c>
      <c r="G3931">
        <v>3.68</v>
      </c>
      <c r="H3931" t="s">
        <v>41</v>
      </c>
      <c r="I3931" t="s">
        <v>42</v>
      </c>
      <c r="M3931">
        <f>VLOOKUP(H3931,'Stage Order'!$A$2:$B$8,2,FALSE)</f>
        <v>2</v>
      </c>
      <c r="N3931" t="str">
        <f t="shared" si="122"/>
        <v>2. 1-24 hours</v>
      </c>
      <c r="O3931" t="str">
        <f t="shared" si="123"/>
        <v>2025-01</v>
      </c>
    </row>
    <row r="3932" spans="1:15" x14ac:dyDescent="0.3">
      <c r="A3932" t="s">
        <v>9273</v>
      </c>
      <c r="B3932" t="s">
        <v>9274</v>
      </c>
      <c r="C3932" t="s">
        <v>58</v>
      </c>
      <c r="D3932" t="s">
        <v>77</v>
      </c>
      <c r="E3932" t="s">
        <v>45</v>
      </c>
      <c r="F3932" t="s">
        <v>55</v>
      </c>
      <c r="G3932">
        <v>3.34</v>
      </c>
      <c r="H3932" t="s">
        <v>41</v>
      </c>
      <c r="I3932" t="s">
        <v>42</v>
      </c>
      <c r="M3932">
        <f>VLOOKUP(H3932,'Stage Order'!$A$2:$B$8,2,FALSE)</f>
        <v>2</v>
      </c>
      <c r="N3932" t="str">
        <f t="shared" si="122"/>
        <v>2. 1-24 hours</v>
      </c>
      <c r="O3932" t="str">
        <f t="shared" si="123"/>
        <v>2025-03</v>
      </c>
    </row>
    <row r="3933" spans="1:15" x14ac:dyDescent="0.3">
      <c r="A3933" t="s">
        <v>9275</v>
      </c>
      <c r="B3933" t="s">
        <v>9276</v>
      </c>
      <c r="C3933" t="s">
        <v>53</v>
      </c>
      <c r="D3933" t="s">
        <v>77</v>
      </c>
      <c r="E3933" t="s">
        <v>90</v>
      </c>
      <c r="F3933" t="s">
        <v>112</v>
      </c>
      <c r="G3933">
        <v>1.5</v>
      </c>
      <c r="H3933" t="s">
        <v>41</v>
      </c>
      <c r="I3933" t="s">
        <v>42</v>
      </c>
      <c r="M3933">
        <f>VLOOKUP(H3933,'Stage Order'!$A$2:$B$8,2,FALSE)</f>
        <v>2</v>
      </c>
      <c r="N3933" t="str">
        <f t="shared" si="122"/>
        <v>2. 1-24 hours</v>
      </c>
      <c r="O3933" t="str">
        <f t="shared" si="123"/>
        <v>2025-12</v>
      </c>
    </row>
    <row r="3934" spans="1:15" x14ac:dyDescent="0.3">
      <c r="A3934" t="s">
        <v>9277</v>
      </c>
      <c r="B3934" t="s">
        <v>9278</v>
      </c>
      <c r="C3934" t="s">
        <v>58</v>
      </c>
      <c r="D3934" t="s">
        <v>29</v>
      </c>
      <c r="E3934" t="s">
        <v>90</v>
      </c>
      <c r="F3934" t="s">
        <v>91</v>
      </c>
      <c r="G3934">
        <v>1.57</v>
      </c>
      <c r="H3934" t="s">
        <v>41</v>
      </c>
      <c r="I3934" t="s">
        <v>42</v>
      </c>
      <c r="M3934">
        <f>VLOOKUP(H3934,'Stage Order'!$A$2:$B$8,2,FALSE)</f>
        <v>2</v>
      </c>
      <c r="N3934" t="str">
        <f t="shared" si="122"/>
        <v>2. 1-24 hours</v>
      </c>
      <c r="O3934" t="str">
        <f t="shared" si="123"/>
        <v>2025-04</v>
      </c>
    </row>
    <row r="3935" spans="1:15" x14ac:dyDescent="0.3">
      <c r="A3935" t="s">
        <v>9279</v>
      </c>
      <c r="B3935" t="s">
        <v>9280</v>
      </c>
      <c r="C3935" t="s">
        <v>37</v>
      </c>
      <c r="D3935" t="s">
        <v>77</v>
      </c>
      <c r="E3935" t="s">
        <v>59</v>
      </c>
      <c r="F3935" t="s">
        <v>137</v>
      </c>
      <c r="G3935">
        <v>10.029999999999999</v>
      </c>
      <c r="H3935" t="s">
        <v>138</v>
      </c>
      <c r="I3935" t="s">
        <v>48</v>
      </c>
      <c r="J3935" t="s">
        <v>139</v>
      </c>
      <c r="K3935">
        <v>857</v>
      </c>
      <c r="L3935" t="s">
        <v>9281</v>
      </c>
      <c r="M3935">
        <f>VLOOKUP(H3935,'Stage Order'!$A$2:$B$8,2,FALSE)</f>
        <v>6</v>
      </c>
      <c r="N3935" t="str">
        <f t="shared" si="122"/>
        <v>2. 1-24 hours</v>
      </c>
      <c r="O3935" t="str">
        <f t="shared" si="123"/>
        <v>2026-02</v>
      </c>
    </row>
    <row r="3936" spans="1:15" x14ac:dyDescent="0.3">
      <c r="A3936" t="s">
        <v>9282</v>
      </c>
      <c r="B3936" t="s">
        <v>9283</v>
      </c>
      <c r="C3936" t="s">
        <v>76</v>
      </c>
      <c r="D3936" t="s">
        <v>54</v>
      </c>
      <c r="E3936" t="s">
        <v>59</v>
      </c>
      <c r="F3936" t="s">
        <v>117</v>
      </c>
      <c r="G3936">
        <v>8.31</v>
      </c>
      <c r="H3936" t="s">
        <v>61</v>
      </c>
      <c r="I3936" t="s">
        <v>42</v>
      </c>
      <c r="M3936">
        <f>VLOOKUP(H3936,'Stage Order'!$A$2:$B$8,2,FALSE)</f>
        <v>1</v>
      </c>
      <c r="N3936" t="str">
        <f t="shared" si="122"/>
        <v>2. 1-24 hours</v>
      </c>
      <c r="O3936" t="str">
        <f t="shared" si="123"/>
        <v>2025-11</v>
      </c>
    </row>
    <row r="3937" spans="1:15" x14ac:dyDescent="0.3">
      <c r="A3937" t="s">
        <v>9284</v>
      </c>
      <c r="B3937" t="s">
        <v>9285</v>
      </c>
      <c r="C3937" t="s">
        <v>81</v>
      </c>
      <c r="D3937" t="s">
        <v>54</v>
      </c>
      <c r="E3937" t="s">
        <v>59</v>
      </c>
      <c r="F3937" t="s">
        <v>60</v>
      </c>
      <c r="G3937">
        <v>7.47</v>
      </c>
      <c r="H3937" t="s">
        <v>61</v>
      </c>
      <c r="I3937" t="s">
        <v>42</v>
      </c>
      <c r="M3937">
        <f>VLOOKUP(H3937,'Stage Order'!$A$2:$B$8,2,FALSE)</f>
        <v>1</v>
      </c>
      <c r="N3937" t="str">
        <f t="shared" si="122"/>
        <v>2. 1-24 hours</v>
      </c>
      <c r="O3937" t="str">
        <f t="shared" si="123"/>
        <v>2026-02</v>
      </c>
    </row>
    <row r="3938" spans="1:15" x14ac:dyDescent="0.3">
      <c r="A3938" t="s">
        <v>9286</v>
      </c>
      <c r="B3938" t="s">
        <v>9287</v>
      </c>
      <c r="C3938" t="s">
        <v>37</v>
      </c>
      <c r="D3938" t="s">
        <v>38</v>
      </c>
      <c r="E3938" t="s">
        <v>59</v>
      </c>
      <c r="F3938" t="s">
        <v>117</v>
      </c>
      <c r="G3938">
        <v>3.97</v>
      </c>
      <c r="H3938" t="s">
        <v>41</v>
      </c>
      <c r="I3938" t="s">
        <v>42</v>
      </c>
      <c r="M3938">
        <f>VLOOKUP(H3938,'Stage Order'!$A$2:$B$8,2,FALSE)</f>
        <v>2</v>
      </c>
      <c r="N3938" t="str">
        <f t="shared" si="122"/>
        <v>2. 1-24 hours</v>
      </c>
      <c r="O3938" t="str">
        <f t="shared" si="123"/>
        <v>2025-08</v>
      </c>
    </row>
    <row r="3939" spans="1:15" x14ac:dyDescent="0.3">
      <c r="A3939" t="s">
        <v>9288</v>
      </c>
      <c r="B3939" t="s">
        <v>9289</v>
      </c>
      <c r="C3939" t="s">
        <v>37</v>
      </c>
      <c r="D3939" t="s">
        <v>54</v>
      </c>
      <c r="E3939" t="s">
        <v>30</v>
      </c>
      <c r="F3939" t="s">
        <v>31</v>
      </c>
      <c r="G3939">
        <v>0.85</v>
      </c>
      <c r="H3939" t="s">
        <v>41</v>
      </c>
      <c r="I3939" t="s">
        <v>42</v>
      </c>
      <c r="M3939">
        <f>VLOOKUP(H3939,'Stage Order'!$A$2:$B$8,2,FALSE)</f>
        <v>2</v>
      </c>
      <c r="N3939" t="str">
        <f t="shared" si="122"/>
        <v>1. Under 1 hour</v>
      </c>
      <c r="O3939" t="str">
        <f t="shared" si="123"/>
        <v>2025-11</v>
      </c>
    </row>
    <row r="3940" spans="1:15" x14ac:dyDescent="0.3">
      <c r="A3940" t="s">
        <v>9290</v>
      </c>
      <c r="B3940" t="s">
        <v>9291</v>
      </c>
      <c r="C3940" t="s">
        <v>58</v>
      </c>
      <c r="D3940" t="s">
        <v>54</v>
      </c>
      <c r="E3940" t="s">
        <v>30</v>
      </c>
      <c r="F3940" t="s">
        <v>31</v>
      </c>
      <c r="G3940">
        <v>2.2200000000000002</v>
      </c>
      <c r="H3940" t="s">
        <v>61</v>
      </c>
      <c r="I3940" t="s">
        <v>42</v>
      </c>
      <c r="M3940">
        <f>VLOOKUP(H3940,'Stage Order'!$A$2:$B$8,2,FALSE)</f>
        <v>1</v>
      </c>
      <c r="N3940" t="str">
        <f t="shared" si="122"/>
        <v>2. 1-24 hours</v>
      </c>
      <c r="O3940" t="str">
        <f t="shared" si="123"/>
        <v>2025-08</v>
      </c>
    </row>
    <row r="3941" spans="1:15" x14ac:dyDescent="0.3">
      <c r="A3941" t="s">
        <v>9292</v>
      </c>
      <c r="B3941" t="s">
        <v>9293</v>
      </c>
      <c r="C3941" t="s">
        <v>76</v>
      </c>
      <c r="D3941" t="s">
        <v>54</v>
      </c>
      <c r="E3941" t="s">
        <v>45</v>
      </c>
      <c r="F3941" t="s">
        <v>46</v>
      </c>
      <c r="G3941">
        <v>1.86</v>
      </c>
      <c r="H3941" t="s">
        <v>146</v>
      </c>
      <c r="I3941" t="s">
        <v>48</v>
      </c>
      <c r="J3941" t="s">
        <v>98</v>
      </c>
      <c r="K3941">
        <v>466.01</v>
      </c>
      <c r="L3941" t="s">
        <v>9294</v>
      </c>
      <c r="M3941">
        <f>VLOOKUP(H3941,'Stage Order'!$A$2:$B$8,2,FALSE)</f>
        <v>5</v>
      </c>
      <c r="N3941" t="str">
        <f t="shared" si="122"/>
        <v>2. 1-24 hours</v>
      </c>
      <c r="O3941" t="str">
        <f t="shared" si="123"/>
        <v>2025-08</v>
      </c>
    </row>
    <row r="3942" spans="1:15" x14ac:dyDescent="0.3">
      <c r="A3942" t="s">
        <v>9295</v>
      </c>
      <c r="B3942" t="s">
        <v>9296</v>
      </c>
      <c r="C3942" t="s">
        <v>58</v>
      </c>
      <c r="D3942" t="s">
        <v>38</v>
      </c>
      <c r="E3942" t="s">
        <v>59</v>
      </c>
      <c r="F3942" t="s">
        <v>60</v>
      </c>
      <c r="G3942">
        <v>1.45</v>
      </c>
      <c r="H3942" t="s">
        <v>61</v>
      </c>
      <c r="I3942" t="s">
        <v>42</v>
      </c>
      <c r="M3942">
        <f>VLOOKUP(H3942,'Stage Order'!$A$2:$B$8,2,FALSE)</f>
        <v>1</v>
      </c>
      <c r="N3942" t="str">
        <f t="shared" si="122"/>
        <v>2. 1-24 hours</v>
      </c>
      <c r="O3942" t="str">
        <f t="shared" si="123"/>
        <v>2026-05</v>
      </c>
    </row>
    <row r="3943" spans="1:15" x14ac:dyDescent="0.3">
      <c r="A3943" t="s">
        <v>9297</v>
      </c>
      <c r="B3943" t="s">
        <v>9298</v>
      </c>
      <c r="C3943" t="s">
        <v>53</v>
      </c>
      <c r="D3943" t="s">
        <v>54</v>
      </c>
      <c r="E3943" t="s">
        <v>39</v>
      </c>
      <c r="F3943" t="s">
        <v>66</v>
      </c>
      <c r="G3943">
        <v>4.05</v>
      </c>
      <c r="H3943" t="s">
        <v>32</v>
      </c>
      <c r="I3943" t="s">
        <v>33</v>
      </c>
      <c r="K3943">
        <v>565.66999999999996</v>
      </c>
      <c r="L3943" t="s">
        <v>9299</v>
      </c>
      <c r="M3943">
        <f>VLOOKUP(H3943,'Stage Order'!$A$2:$B$8,2,FALSE)</f>
        <v>7</v>
      </c>
      <c r="N3943" t="str">
        <f t="shared" si="122"/>
        <v>2. 1-24 hours</v>
      </c>
      <c r="O3943" t="str">
        <f t="shared" si="123"/>
        <v>2025-11</v>
      </c>
    </row>
    <row r="3944" spans="1:15" x14ac:dyDescent="0.3">
      <c r="A3944" t="s">
        <v>9300</v>
      </c>
      <c r="B3944" t="s">
        <v>9301</v>
      </c>
      <c r="C3944" t="s">
        <v>125</v>
      </c>
      <c r="D3944" t="s">
        <v>38</v>
      </c>
      <c r="E3944" t="s">
        <v>45</v>
      </c>
      <c r="F3944" t="s">
        <v>55</v>
      </c>
      <c r="G3944">
        <v>1.66</v>
      </c>
      <c r="H3944" t="s">
        <v>61</v>
      </c>
      <c r="I3944" t="s">
        <v>42</v>
      </c>
      <c r="M3944">
        <f>VLOOKUP(H3944,'Stage Order'!$A$2:$B$8,2,FALSE)</f>
        <v>1</v>
      </c>
      <c r="N3944" t="str">
        <f t="shared" si="122"/>
        <v>2. 1-24 hours</v>
      </c>
      <c r="O3944" t="str">
        <f t="shared" si="123"/>
        <v>2026-01</v>
      </c>
    </row>
    <row r="3945" spans="1:15" x14ac:dyDescent="0.3">
      <c r="A3945" t="s">
        <v>9302</v>
      </c>
      <c r="B3945" t="s">
        <v>9303</v>
      </c>
      <c r="C3945" t="s">
        <v>125</v>
      </c>
      <c r="D3945" t="s">
        <v>38</v>
      </c>
      <c r="E3945" t="s">
        <v>39</v>
      </c>
      <c r="F3945" t="s">
        <v>66</v>
      </c>
      <c r="G3945">
        <v>0.95</v>
      </c>
      <c r="H3945" t="s">
        <v>41</v>
      </c>
      <c r="I3945" t="s">
        <v>42</v>
      </c>
      <c r="M3945">
        <f>VLOOKUP(H3945,'Stage Order'!$A$2:$B$8,2,FALSE)</f>
        <v>2</v>
      </c>
      <c r="N3945" t="str">
        <f t="shared" si="122"/>
        <v>1. Under 1 hour</v>
      </c>
      <c r="O3945" t="str">
        <f t="shared" si="123"/>
        <v>2025-05</v>
      </c>
    </row>
    <row r="3946" spans="1:15" x14ac:dyDescent="0.3">
      <c r="A3946" t="s">
        <v>9304</v>
      </c>
      <c r="B3946" t="s">
        <v>9305</v>
      </c>
      <c r="C3946" t="s">
        <v>125</v>
      </c>
      <c r="D3946" t="s">
        <v>54</v>
      </c>
      <c r="E3946" t="s">
        <v>30</v>
      </c>
      <c r="F3946" t="s">
        <v>31</v>
      </c>
      <c r="G3946">
        <v>5.47</v>
      </c>
      <c r="H3946" t="s">
        <v>61</v>
      </c>
      <c r="I3946" t="s">
        <v>42</v>
      </c>
      <c r="M3946">
        <f>VLOOKUP(H3946,'Stage Order'!$A$2:$B$8,2,FALSE)</f>
        <v>1</v>
      </c>
      <c r="N3946" t="str">
        <f t="shared" si="122"/>
        <v>2. 1-24 hours</v>
      </c>
      <c r="O3946" t="str">
        <f t="shared" si="123"/>
        <v>2025-01</v>
      </c>
    </row>
    <row r="3947" spans="1:15" x14ac:dyDescent="0.3">
      <c r="A3947" t="s">
        <v>9306</v>
      </c>
      <c r="B3947" t="s">
        <v>9307</v>
      </c>
      <c r="C3947" t="s">
        <v>28</v>
      </c>
      <c r="D3947" t="s">
        <v>29</v>
      </c>
      <c r="E3947" t="s">
        <v>39</v>
      </c>
      <c r="F3947" t="s">
        <v>106</v>
      </c>
      <c r="G3947">
        <v>4.45</v>
      </c>
      <c r="H3947" t="s">
        <v>41</v>
      </c>
      <c r="I3947" t="s">
        <v>42</v>
      </c>
      <c r="M3947">
        <f>VLOOKUP(H3947,'Stage Order'!$A$2:$B$8,2,FALSE)</f>
        <v>2</v>
      </c>
      <c r="N3947" t="str">
        <f t="shared" si="122"/>
        <v>2. 1-24 hours</v>
      </c>
      <c r="O3947" t="str">
        <f t="shared" si="123"/>
        <v>2025-12</v>
      </c>
    </row>
    <row r="3948" spans="1:15" x14ac:dyDescent="0.3">
      <c r="A3948" t="s">
        <v>9308</v>
      </c>
      <c r="B3948" t="s">
        <v>9309</v>
      </c>
      <c r="C3948" t="s">
        <v>58</v>
      </c>
      <c r="D3948" t="s">
        <v>77</v>
      </c>
      <c r="E3948" t="s">
        <v>59</v>
      </c>
      <c r="F3948" t="s">
        <v>60</v>
      </c>
      <c r="G3948">
        <v>1.21</v>
      </c>
      <c r="H3948" t="s">
        <v>41</v>
      </c>
      <c r="I3948" t="s">
        <v>42</v>
      </c>
      <c r="M3948">
        <f>VLOOKUP(H3948,'Stage Order'!$A$2:$B$8,2,FALSE)</f>
        <v>2</v>
      </c>
      <c r="N3948" t="str">
        <f t="shared" si="122"/>
        <v>2. 1-24 hours</v>
      </c>
      <c r="O3948" t="str">
        <f t="shared" si="123"/>
        <v>2026-04</v>
      </c>
    </row>
    <row r="3949" spans="1:15" x14ac:dyDescent="0.3">
      <c r="A3949" t="s">
        <v>9310</v>
      </c>
      <c r="B3949" t="s">
        <v>9311</v>
      </c>
      <c r="C3949" t="s">
        <v>28</v>
      </c>
      <c r="D3949" t="s">
        <v>54</v>
      </c>
      <c r="E3949" t="s">
        <v>59</v>
      </c>
      <c r="F3949" t="s">
        <v>60</v>
      </c>
      <c r="G3949">
        <v>7.72</v>
      </c>
      <c r="H3949" t="s">
        <v>41</v>
      </c>
      <c r="I3949" t="s">
        <v>42</v>
      </c>
      <c r="M3949">
        <f>VLOOKUP(H3949,'Stage Order'!$A$2:$B$8,2,FALSE)</f>
        <v>2</v>
      </c>
      <c r="N3949" t="str">
        <f t="shared" si="122"/>
        <v>2. 1-24 hours</v>
      </c>
      <c r="O3949" t="str">
        <f t="shared" si="123"/>
        <v>2025-06</v>
      </c>
    </row>
    <row r="3950" spans="1:15" x14ac:dyDescent="0.3">
      <c r="A3950" t="s">
        <v>9312</v>
      </c>
      <c r="B3950" t="s">
        <v>9313</v>
      </c>
      <c r="C3950" t="s">
        <v>28</v>
      </c>
      <c r="D3950" t="s">
        <v>29</v>
      </c>
      <c r="E3950" t="s">
        <v>59</v>
      </c>
      <c r="F3950" t="s">
        <v>137</v>
      </c>
      <c r="G3950">
        <v>4.45</v>
      </c>
      <c r="H3950" t="s">
        <v>41</v>
      </c>
      <c r="I3950" t="s">
        <v>42</v>
      </c>
      <c r="M3950">
        <f>VLOOKUP(H3950,'Stage Order'!$A$2:$B$8,2,FALSE)</f>
        <v>2</v>
      </c>
      <c r="N3950" t="str">
        <f t="shared" si="122"/>
        <v>2. 1-24 hours</v>
      </c>
      <c r="O3950" t="str">
        <f t="shared" si="123"/>
        <v>2025-04</v>
      </c>
    </row>
    <row r="3951" spans="1:15" x14ac:dyDescent="0.3">
      <c r="A3951" t="s">
        <v>9314</v>
      </c>
      <c r="B3951" t="s">
        <v>9315</v>
      </c>
      <c r="C3951" t="s">
        <v>125</v>
      </c>
      <c r="D3951" t="s">
        <v>54</v>
      </c>
      <c r="E3951" t="s">
        <v>30</v>
      </c>
      <c r="F3951" t="s">
        <v>78</v>
      </c>
      <c r="G3951">
        <v>3.65</v>
      </c>
      <c r="H3951" t="s">
        <v>41</v>
      </c>
      <c r="I3951" t="s">
        <v>42</v>
      </c>
      <c r="M3951">
        <f>VLOOKUP(H3951,'Stage Order'!$A$2:$B$8,2,FALSE)</f>
        <v>2</v>
      </c>
      <c r="N3951" t="str">
        <f t="shared" si="122"/>
        <v>2. 1-24 hours</v>
      </c>
      <c r="O3951" t="str">
        <f t="shared" si="123"/>
        <v>2026-01</v>
      </c>
    </row>
    <row r="3952" spans="1:15" x14ac:dyDescent="0.3">
      <c r="A3952" t="s">
        <v>9316</v>
      </c>
      <c r="B3952" t="s">
        <v>9317</v>
      </c>
      <c r="C3952" t="s">
        <v>37</v>
      </c>
      <c r="D3952" t="s">
        <v>97</v>
      </c>
      <c r="E3952" t="s">
        <v>90</v>
      </c>
      <c r="F3952" t="s">
        <v>145</v>
      </c>
      <c r="G3952">
        <v>1.74</v>
      </c>
      <c r="H3952" t="s">
        <v>128</v>
      </c>
      <c r="I3952" t="s">
        <v>42</v>
      </c>
      <c r="M3952">
        <f>VLOOKUP(H3952,'Stage Order'!$A$2:$B$8,2,FALSE)</f>
        <v>3</v>
      </c>
      <c r="N3952" t="str">
        <f t="shared" si="122"/>
        <v>2. 1-24 hours</v>
      </c>
      <c r="O3952" t="str">
        <f t="shared" si="123"/>
        <v>2026-02</v>
      </c>
    </row>
    <row r="3953" spans="1:15" x14ac:dyDescent="0.3">
      <c r="A3953" t="s">
        <v>9318</v>
      </c>
      <c r="B3953" t="s">
        <v>9319</v>
      </c>
      <c r="C3953" t="s">
        <v>58</v>
      </c>
      <c r="D3953" t="s">
        <v>38</v>
      </c>
      <c r="E3953" t="s">
        <v>90</v>
      </c>
      <c r="F3953" t="s">
        <v>145</v>
      </c>
      <c r="G3953">
        <v>6.29</v>
      </c>
      <c r="H3953" t="s">
        <v>138</v>
      </c>
      <c r="I3953" t="s">
        <v>48</v>
      </c>
      <c r="J3953" t="s">
        <v>98</v>
      </c>
      <c r="K3953">
        <v>380.33</v>
      </c>
      <c r="L3953" t="s">
        <v>9320</v>
      </c>
      <c r="M3953">
        <f>VLOOKUP(H3953,'Stage Order'!$A$2:$B$8,2,FALSE)</f>
        <v>6</v>
      </c>
      <c r="N3953" t="str">
        <f t="shared" si="122"/>
        <v>2. 1-24 hours</v>
      </c>
      <c r="O3953" t="str">
        <f t="shared" si="123"/>
        <v>2026-03</v>
      </c>
    </row>
    <row r="3954" spans="1:15" x14ac:dyDescent="0.3">
      <c r="A3954" t="s">
        <v>9321</v>
      </c>
      <c r="B3954" t="s">
        <v>9322</v>
      </c>
      <c r="C3954" t="s">
        <v>125</v>
      </c>
      <c r="D3954" t="s">
        <v>54</v>
      </c>
      <c r="E3954" t="s">
        <v>59</v>
      </c>
      <c r="F3954" t="s">
        <v>137</v>
      </c>
      <c r="G3954">
        <v>3.07</v>
      </c>
      <c r="H3954" t="s">
        <v>41</v>
      </c>
      <c r="I3954" t="s">
        <v>42</v>
      </c>
      <c r="M3954">
        <f>VLOOKUP(H3954,'Stage Order'!$A$2:$B$8,2,FALSE)</f>
        <v>2</v>
      </c>
      <c r="N3954" t="str">
        <f t="shared" si="122"/>
        <v>2. 1-24 hours</v>
      </c>
      <c r="O3954" t="str">
        <f t="shared" si="123"/>
        <v>2025-11</v>
      </c>
    </row>
    <row r="3955" spans="1:15" x14ac:dyDescent="0.3">
      <c r="A3955" t="s">
        <v>9323</v>
      </c>
      <c r="B3955" t="s">
        <v>9324</v>
      </c>
      <c r="C3955" t="s">
        <v>58</v>
      </c>
      <c r="D3955" t="s">
        <v>38</v>
      </c>
      <c r="E3955" t="s">
        <v>59</v>
      </c>
      <c r="F3955" t="s">
        <v>117</v>
      </c>
      <c r="G3955">
        <v>6.89</v>
      </c>
      <c r="H3955" t="s">
        <v>61</v>
      </c>
      <c r="I3955" t="s">
        <v>42</v>
      </c>
      <c r="M3955">
        <f>VLOOKUP(H3955,'Stage Order'!$A$2:$B$8,2,FALSE)</f>
        <v>1</v>
      </c>
      <c r="N3955" t="str">
        <f t="shared" si="122"/>
        <v>2. 1-24 hours</v>
      </c>
      <c r="O3955" t="str">
        <f t="shared" si="123"/>
        <v>2025-12</v>
      </c>
    </row>
    <row r="3956" spans="1:15" x14ac:dyDescent="0.3">
      <c r="A3956" t="s">
        <v>9325</v>
      </c>
      <c r="B3956" t="s">
        <v>9326</v>
      </c>
      <c r="C3956" t="s">
        <v>125</v>
      </c>
      <c r="D3956" t="s">
        <v>77</v>
      </c>
      <c r="E3956" t="s">
        <v>59</v>
      </c>
      <c r="F3956" t="s">
        <v>137</v>
      </c>
      <c r="G3956">
        <v>5.55</v>
      </c>
      <c r="H3956" t="s">
        <v>61</v>
      </c>
      <c r="I3956" t="s">
        <v>42</v>
      </c>
      <c r="M3956">
        <f>VLOOKUP(H3956,'Stage Order'!$A$2:$B$8,2,FALSE)</f>
        <v>1</v>
      </c>
      <c r="N3956" t="str">
        <f t="shared" si="122"/>
        <v>2. 1-24 hours</v>
      </c>
      <c r="O3956" t="str">
        <f t="shared" si="123"/>
        <v>2025-05</v>
      </c>
    </row>
    <row r="3957" spans="1:15" x14ac:dyDescent="0.3">
      <c r="A3957" t="s">
        <v>9327</v>
      </c>
      <c r="B3957" t="s">
        <v>9328</v>
      </c>
      <c r="C3957" t="s">
        <v>125</v>
      </c>
      <c r="D3957" t="s">
        <v>54</v>
      </c>
      <c r="E3957" t="s">
        <v>39</v>
      </c>
      <c r="F3957" t="s">
        <v>66</v>
      </c>
      <c r="G3957">
        <v>1.64</v>
      </c>
      <c r="H3957" t="s">
        <v>61</v>
      </c>
      <c r="I3957" t="s">
        <v>42</v>
      </c>
      <c r="M3957">
        <f>VLOOKUP(H3957,'Stage Order'!$A$2:$B$8,2,FALSE)</f>
        <v>1</v>
      </c>
      <c r="N3957" t="str">
        <f t="shared" si="122"/>
        <v>2. 1-24 hours</v>
      </c>
      <c r="O3957" t="str">
        <f t="shared" si="123"/>
        <v>2025-01</v>
      </c>
    </row>
    <row r="3958" spans="1:15" x14ac:dyDescent="0.3">
      <c r="A3958" t="s">
        <v>9329</v>
      </c>
      <c r="B3958" t="s">
        <v>9330</v>
      </c>
      <c r="C3958" t="s">
        <v>28</v>
      </c>
      <c r="D3958" t="s">
        <v>54</v>
      </c>
      <c r="E3958" t="s">
        <v>45</v>
      </c>
      <c r="F3958" t="s">
        <v>94</v>
      </c>
      <c r="G3958">
        <v>1.62</v>
      </c>
      <c r="H3958" t="s">
        <v>32</v>
      </c>
      <c r="I3958" t="s">
        <v>33</v>
      </c>
      <c r="K3958">
        <v>423.34</v>
      </c>
      <c r="L3958" t="s">
        <v>9331</v>
      </c>
      <c r="M3958">
        <f>VLOOKUP(H3958,'Stage Order'!$A$2:$B$8,2,FALSE)</f>
        <v>7</v>
      </c>
      <c r="N3958" t="str">
        <f t="shared" si="122"/>
        <v>2. 1-24 hours</v>
      </c>
      <c r="O3958" t="str">
        <f t="shared" si="123"/>
        <v>2025-03</v>
      </c>
    </row>
    <row r="3959" spans="1:15" x14ac:dyDescent="0.3">
      <c r="A3959" t="s">
        <v>9332</v>
      </c>
      <c r="B3959" t="s">
        <v>9333</v>
      </c>
      <c r="C3959" t="s">
        <v>58</v>
      </c>
      <c r="D3959" t="s">
        <v>38</v>
      </c>
      <c r="E3959" t="s">
        <v>45</v>
      </c>
      <c r="F3959" t="s">
        <v>94</v>
      </c>
      <c r="G3959">
        <v>2.12</v>
      </c>
      <c r="H3959" t="s">
        <v>41</v>
      </c>
      <c r="I3959" t="s">
        <v>42</v>
      </c>
      <c r="M3959">
        <f>VLOOKUP(H3959,'Stage Order'!$A$2:$B$8,2,FALSE)</f>
        <v>2</v>
      </c>
      <c r="N3959" t="str">
        <f t="shared" si="122"/>
        <v>2. 1-24 hours</v>
      </c>
      <c r="O3959" t="str">
        <f t="shared" si="123"/>
        <v>2026-01</v>
      </c>
    </row>
    <row r="3960" spans="1:15" x14ac:dyDescent="0.3">
      <c r="A3960" t="s">
        <v>9334</v>
      </c>
      <c r="B3960" t="s">
        <v>9335</v>
      </c>
      <c r="C3960" t="s">
        <v>28</v>
      </c>
      <c r="D3960" t="s">
        <v>38</v>
      </c>
      <c r="E3960" t="s">
        <v>59</v>
      </c>
      <c r="F3960" t="s">
        <v>60</v>
      </c>
      <c r="G3960">
        <v>2.72</v>
      </c>
      <c r="H3960" t="s">
        <v>146</v>
      </c>
      <c r="I3960" t="s">
        <v>48</v>
      </c>
      <c r="J3960" t="s">
        <v>98</v>
      </c>
      <c r="K3960">
        <v>391.53</v>
      </c>
      <c r="L3960" t="s">
        <v>9336</v>
      </c>
      <c r="M3960">
        <f>VLOOKUP(H3960,'Stage Order'!$A$2:$B$8,2,FALSE)</f>
        <v>5</v>
      </c>
      <c r="N3960" t="str">
        <f t="shared" si="122"/>
        <v>2. 1-24 hours</v>
      </c>
      <c r="O3960" t="str">
        <f t="shared" si="123"/>
        <v>2025-10</v>
      </c>
    </row>
    <row r="3961" spans="1:15" x14ac:dyDescent="0.3">
      <c r="A3961" t="s">
        <v>9337</v>
      </c>
      <c r="B3961" t="s">
        <v>9338</v>
      </c>
      <c r="C3961" t="s">
        <v>58</v>
      </c>
      <c r="D3961" t="s">
        <v>97</v>
      </c>
      <c r="E3961" t="s">
        <v>90</v>
      </c>
      <c r="F3961" t="s">
        <v>145</v>
      </c>
      <c r="G3961">
        <v>3.31</v>
      </c>
      <c r="H3961" t="s">
        <v>61</v>
      </c>
      <c r="I3961" t="s">
        <v>42</v>
      </c>
      <c r="M3961">
        <f>VLOOKUP(H3961,'Stage Order'!$A$2:$B$8,2,FALSE)</f>
        <v>1</v>
      </c>
      <c r="N3961" t="str">
        <f t="shared" si="122"/>
        <v>2. 1-24 hours</v>
      </c>
      <c r="O3961" t="str">
        <f t="shared" si="123"/>
        <v>2025-02</v>
      </c>
    </row>
    <row r="3962" spans="1:15" x14ac:dyDescent="0.3">
      <c r="A3962" t="s">
        <v>9339</v>
      </c>
      <c r="B3962" t="s">
        <v>9340</v>
      </c>
      <c r="C3962" t="s">
        <v>58</v>
      </c>
      <c r="D3962" t="s">
        <v>97</v>
      </c>
      <c r="E3962" t="s">
        <v>45</v>
      </c>
      <c r="F3962" t="s">
        <v>94</v>
      </c>
      <c r="G3962">
        <v>3.56</v>
      </c>
      <c r="H3962" t="s">
        <v>41</v>
      </c>
      <c r="I3962" t="s">
        <v>42</v>
      </c>
      <c r="M3962">
        <f>VLOOKUP(H3962,'Stage Order'!$A$2:$B$8,2,FALSE)</f>
        <v>2</v>
      </c>
      <c r="N3962" t="str">
        <f t="shared" si="122"/>
        <v>2. 1-24 hours</v>
      </c>
      <c r="O3962" t="str">
        <f t="shared" si="123"/>
        <v>2025-12</v>
      </c>
    </row>
    <row r="3963" spans="1:15" x14ac:dyDescent="0.3">
      <c r="A3963" t="s">
        <v>9341</v>
      </c>
      <c r="B3963" t="s">
        <v>9342</v>
      </c>
      <c r="C3963" t="s">
        <v>125</v>
      </c>
      <c r="D3963" t="s">
        <v>54</v>
      </c>
      <c r="E3963" t="s">
        <v>59</v>
      </c>
      <c r="F3963" t="s">
        <v>117</v>
      </c>
      <c r="G3963">
        <v>2.25</v>
      </c>
      <c r="H3963" t="s">
        <v>41</v>
      </c>
      <c r="I3963" t="s">
        <v>42</v>
      </c>
      <c r="M3963">
        <f>VLOOKUP(H3963,'Stage Order'!$A$2:$B$8,2,FALSE)</f>
        <v>2</v>
      </c>
      <c r="N3963" t="str">
        <f t="shared" si="122"/>
        <v>2. 1-24 hours</v>
      </c>
      <c r="O3963" t="str">
        <f t="shared" si="123"/>
        <v>2025-06</v>
      </c>
    </row>
    <row r="3964" spans="1:15" x14ac:dyDescent="0.3">
      <c r="A3964" t="s">
        <v>9343</v>
      </c>
      <c r="B3964" t="s">
        <v>9344</v>
      </c>
      <c r="C3964" t="s">
        <v>81</v>
      </c>
      <c r="D3964" t="s">
        <v>77</v>
      </c>
      <c r="E3964" t="s">
        <v>30</v>
      </c>
      <c r="F3964" t="s">
        <v>78</v>
      </c>
      <c r="G3964">
        <v>7.87</v>
      </c>
      <c r="H3964" t="s">
        <v>61</v>
      </c>
      <c r="I3964" t="s">
        <v>42</v>
      </c>
      <c r="M3964">
        <f>VLOOKUP(H3964,'Stage Order'!$A$2:$B$8,2,FALSE)</f>
        <v>1</v>
      </c>
      <c r="N3964" t="str">
        <f t="shared" si="122"/>
        <v>2. 1-24 hours</v>
      </c>
      <c r="O3964" t="str">
        <f t="shared" si="123"/>
        <v>2025-07</v>
      </c>
    </row>
    <row r="3965" spans="1:15" x14ac:dyDescent="0.3">
      <c r="A3965" t="s">
        <v>9345</v>
      </c>
      <c r="B3965" t="s">
        <v>9346</v>
      </c>
      <c r="C3965" t="s">
        <v>53</v>
      </c>
      <c r="D3965" t="s">
        <v>54</v>
      </c>
      <c r="E3965" t="s">
        <v>45</v>
      </c>
      <c r="F3965" t="s">
        <v>94</v>
      </c>
      <c r="G3965">
        <v>3.47</v>
      </c>
      <c r="H3965" t="s">
        <v>41</v>
      </c>
      <c r="I3965" t="s">
        <v>42</v>
      </c>
      <c r="M3965">
        <f>VLOOKUP(H3965,'Stage Order'!$A$2:$B$8,2,FALSE)</f>
        <v>2</v>
      </c>
      <c r="N3965" t="str">
        <f t="shared" si="122"/>
        <v>2. 1-24 hours</v>
      </c>
      <c r="O3965" t="str">
        <f t="shared" si="123"/>
        <v>2026-01</v>
      </c>
    </row>
    <row r="3966" spans="1:15" x14ac:dyDescent="0.3">
      <c r="A3966" t="s">
        <v>9347</v>
      </c>
      <c r="B3966" t="s">
        <v>9348</v>
      </c>
      <c r="C3966" t="s">
        <v>53</v>
      </c>
      <c r="D3966" t="s">
        <v>38</v>
      </c>
      <c r="E3966" t="s">
        <v>59</v>
      </c>
      <c r="F3966" t="s">
        <v>60</v>
      </c>
      <c r="G3966">
        <v>6.54</v>
      </c>
      <c r="H3966" t="s">
        <v>32</v>
      </c>
      <c r="I3966" t="s">
        <v>33</v>
      </c>
      <c r="K3966">
        <v>350.66</v>
      </c>
      <c r="L3966" t="s">
        <v>9349</v>
      </c>
      <c r="M3966">
        <f>VLOOKUP(H3966,'Stage Order'!$A$2:$B$8,2,FALSE)</f>
        <v>7</v>
      </c>
      <c r="N3966" t="str">
        <f t="shared" si="122"/>
        <v>2. 1-24 hours</v>
      </c>
      <c r="O3966" t="str">
        <f t="shared" si="123"/>
        <v>2025-12</v>
      </c>
    </row>
    <row r="3967" spans="1:15" x14ac:dyDescent="0.3">
      <c r="A3967" t="s">
        <v>9350</v>
      </c>
      <c r="B3967" t="s">
        <v>9351</v>
      </c>
      <c r="C3967" t="s">
        <v>58</v>
      </c>
      <c r="D3967" t="s">
        <v>38</v>
      </c>
      <c r="E3967" t="s">
        <v>45</v>
      </c>
      <c r="F3967" t="s">
        <v>46</v>
      </c>
      <c r="G3967">
        <v>26.29</v>
      </c>
      <c r="H3967" t="s">
        <v>61</v>
      </c>
      <c r="I3967" t="s">
        <v>42</v>
      </c>
      <c r="M3967">
        <f>VLOOKUP(H3967,'Stage Order'!$A$2:$B$8,2,FALSE)</f>
        <v>1</v>
      </c>
      <c r="N3967" t="str">
        <f t="shared" si="122"/>
        <v>3. 1-3 days</v>
      </c>
      <c r="O3967" t="str">
        <f t="shared" si="123"/>
        <v>2026-02</v>
      </c>
    </row>
    <row r="3968" spans="1:15" x14ac:dyDescent="0.3">
      <c r="A3968" t="s">
        <v>9352</v>
      </c>
      <c r="B3968" t="s">
        <v>9353</v>
      </c>
      <c r="C3968" t="s">
        <v>53</v>
      </c>
      <c r="D3968" t="s">
        <v>77</v>
      </c>
      <c r="E3968" t="s">
        <v>90</v>
      </c>
      <c r="F3968" t="s">
        <v>91</v>
      </c>
      <c r="G3968">
        <v>0.45</v>
      </c>
      <c r="H3968" t="s">
        <v>41</v>
      </c>
      <c r="I3968" t="s">
        <v>42</v>
      </c>
      <c r="M3968">
        <f>VLOOKUP(H3968,'Stage Order'!$A$2:$B$8,2,FALSE)</f>
        <v>2</v>
      </c>
      <c r="N3968" t="str">
        <f t="shared" si="122"/>
        <v>1. Under 1 hour</v>
      </c>
      <c r="O3968" t="str">
        <f t="shared" si="123"/>
        <v>2025-06</v>
      </c>
    </row>
    <row r="3969" spans="1:15" x14ac:dyDescent="0.3">
      <c r="A3969" t="s">
        <v>9354</v>
      </c>
      <c r="B3969" t="s">
        <v>9355</v>
      </c>
      <c r="C3969" t="s">
        <v>81</v>
      </c>
      <c r="D3969" t="s">
        <v>54</v>
      </c>
      <c r="E3969" t="s">
        <v>59</v>
      </c>
      <c r="F3969" t="s">
        <v>137</v>
      </c>
      <c r="G3969">
        <v>1.23</v>
      </c>
      <c r="H3969" t="s">
        <v>41</v>
      </c>
      <c r="I3969" t="s">
        <v>42</v>
      </c>
      <c r="M3969">
        <f>VLOOKUP(H3969,'Stage Order'!$A$2:$B$8,2,FALSE)</f>
        <v>2</v>
      </c>
      <c r="N3969" t="str">
        <f t="shared" si="122"/>
        <v>2. 1-24 hours</v>
      </c>
      <c r="O3969" t="str">
        <f t="shared" si="123"/>
        <v>2026-06</v>
      </c>
    </row>
    <row r="3970" spans="1:15" x14ac:dyDescent="0.3">
      <c r="A3970" t="s">
        <v>9356</v>
      </c>
      <c r="B3970" t="s">
        <v>9357</v>
      </c>
      <c r="C3970" t="s">
        <v>58</v>
      </c>
      <c r="D3970" t="s">
        <v>54</v>
      </c>
      <c r="E3970" t="s">
        <v>90</v>
      </c>
      <c r="F3970" t="s">
        <v>91</v>
      </c>
      <c r="G3970">
        <v>2.89</v>
      </c>
      <c r="H3970" t="s">
        <v>61</v>
      </c>
      <c r="I3970" t="s">
        <v>42</v>
      </c>
      <c r="M3970">
        <f>VLOOKUP(H3970,'Stage Order'!$A$2:$B$8,2,FALSE)</f>
        <v>1</v>
      </c>
      <c r="N3970" t="str">
        <f t="shared" ref="N3970:N4033" si="124">IF(G3970&lt;=1,"1. Under 1 hour",IF(G3970&lt;=24,"2. 1-24 hours",IF(G3970&lt;=72,"3. 1-3 days","4. Over 3 days")))</f>
        <v>2. 1-24 hours</v>
      </c>
      <c r="O3970" t="str">
        <f t="shared" ref="O3970:O4033" si="125">TEXT(B3970,"YYYY-MM")</f>
        <v>2026-05</v>
      </c>
    </row>
    <row r="3971" spans="1:15" x14ac:dyDescent="0.3">
      <c r="A3971" t="s">
        <v>9358</v>
      </c>
      <c r="B3971" t="s">
        <v>9359</v>
      </c>
      <c r="C3971" t="s">
        <v>125</v>
      </c>
      <c r="D3971" t="s">
        <v>29</v>
      </c>
      <c r="E3971" t="s">
        <v>39</v>
      </c>
      <c r="F3971" t="s">
        <v>66</v>
      </c>
      <c r="G3971">
        <v>14.67</v>
      </c>
      <c r="H3971" t="s">
        <v>128</v>
      </c>
      <c r="I3971" t="s">
        <v>42</v>
      </c>
      <c r="M3971">
        <f>VLOOKUP(H3971,'Stage Order'!$A$2:$B$8,2,FALSE)</f>
        <v>3</v>
      </c>
      <c r="N3971" t="str">
        <f t="shared" si="124"/>
        <v>2. 1-24 hours</v>
      </c>
      <c r="O3971" t="str">
        <f t="shared" si="125"/>
        <v>2025-04</v>
      </c>
    </row>
    <row r="3972" spans="1:15" x14ac:dyDescent="0.3">
      <c r="A3972" t="s">
        <v>9360</v>
      </c>
      <c r="B3972" t="s">
        <v>9361</v>
      </c>
      <c r="C3972" t="s">
        <v>53</v>
      </c>
      <c r="D3972" t="s">
        <v>29</v>
      </c>
      <c r="E3972" t="s">
        <v>59</v>
      </c>
      <c r="F3972" t="s">
        <v>137</v>
      </c>
      <c r="G3972">
        <v>3</v>
      </c>
      <c r="H3972" t="s">
        <v>138</v>
      </c>
      <c r="I3972" t="s">
        <v>48</v>
      </c>
      <c r="J3972" t="s">
        <v>98</v>
      </c>
      <c r="K3972">
        <v>598.53</v>
      </c>
      <c r="L3972" t="s">
        <v>9362</v>
      </c>
      <c r="M3972">
        <f>VLOOKUP(H3972,'Stage Order'!$A$2:$B$8,2,FALSE)</f>
        <v>6</v>
      </c>
      <c r="N3972" t="str">
        <f t="shared" si="124"/>
        <v>2. 1-24 hours</v>
      </c>
      <c r="O3972" t="str">
        <f t="shared" si="125"/>
        <v>2025-05</v>
      </c>
    </row>
    <row r="3973" spans="1:15" x14ac:dyDescent="0.3">
      <c r="A3973" t="s">
        <v>9363</v>
      </c>
      <c r="B3973" t="s">
        <v>9364</v>
      </c>
      <c r="C3973" t="s">
        <v>58</v>
      </c>
      <c r="D3973" t="s">
        <v>54</v>
      </c>
      <c r="E3973" t="s">
        <v>59</v>
      </c>
      <c r="F3973" t="s">
        <v>60</v>
      </c>
      <c r="G3973">
        <v>1.33</v>
      </c>
      <c r="H3973" t="s">
        <v>61</v>
      </c>
      <c r="I3973" t="s">
        <v>42</v>
      </c>
      <c r="M3973">
        <f>VLOOKUP(H3973,'Stage Order'!$A$2:$B$8,2,FALSE)</f>
        <v>1</v>
      </c>
      <c r="N3973" t="str">
        <f t="shared" si="124"/>
        <v>2. 1-24 hours</v>
      </c>
      <c r="O3973" t="str">
        <f t="shared" si="125"/>
        <v>2025-08</v>
      </c>
    </row>
    <row r="3974" spans="1:15" x14ac:dyDescent="0.3">
      <c r="A3974" t="s">
        <v>9365</v>
      </c>
      <c r="B3974" t="s">
        <v>9366</v>
      </c>
      <c r="C3974" t="s">
        <v>37</v>
      </c>
      <c r="D3974" t="s">
        <v>29</v>
      </c>
      <c r="E3974" t="s">
        <v>90</v>
      </c>
      <c r="F3974" t="s">
        <v>91</v>
      </c>
      <c r="G3974">
        <v>2.4700000000000002</v>
      </c>
      <c r="H3974" t="s">
        <v>41</v>
      </c>
      <c r="I3974" t="s">
        <v>42</v>
      </c>
      <c r="M3974">
        <f>VLOOKUP(H3974,'Stage Order'!$A$2:$B$8,2,FALSE)</f>
        <v>2</v>
      </c>
      <c r="N3974" t="str">
        <f t="shared" si="124"/>
        <v>2. 1-24 hours</v>
      </c>
      <c r="O3974" t="str">
        <f t="shared" si="125"/>
        <v>2026-04</v>
      </c>
    </row>
    <row r="3975" spans="1:15" x14ac:dyDescent="0.3">
      <c r="A3975" t="s">
        <v>9367</v>
      </c>
      <c r="B3975" t="s">
        <v>9368</v>
      </c>
      <c r="C3975" t="s">
        <v>37</v>
      </c>
      <c r="D3975" t="s">
        <v>77</v>
      </c>
      <c r="E3975" t="s">
        <v>90</v>
      </c>
      <c r="F3975" t="s">
        <v>91</v>
      </c>
      <c r="G3975">
        <v>0.75</v>
      </c>
      <c r="H3975" t="s">
        <v>41</v>
      </c>
      <c r="I3975" t="s">
        <v>42</v>
      </c>
      <c r="M3975">
        <f>VLOOKUP(H3975,'Stage Order'!$A$2:$B$8,2,FALSE)</f>
        <v>2</v>
      </c>
      <c r="N3975" t="str">
        <f t="shared" si="124"/>
        <v>1. Under 1 hour</v>
      </c>
      <c r="O3975" t="str">
        <f t="shared" si="125"/>
        <v>2025-09</v>
      </c>
    </row>
    <row r="3976" spans="1:15" x14ac:dyDescent="0.3">
      <c r="A3976" t="s">
        <v>9369</v>
      </c>
      <c r="B3976" t="s">
        <v>9370</v>
      </c>
      <c r="C3976" t="s">
        <v>81</v>
      </c>
      <c r="D3976" t="s">
        <v>54</v>
      </c>
      <c r="E3976" t="s">
        <v>90</v>
      </c>
      <c r="F3976" t="s">
        <v>91</v>
      </c>
      <c r="G3976">
        <v>2.8</v>
      </c>
      <c r="H3976" t="s">
        <v>146</v>
      </c>
      <c r="I3976" t="s">
        <v>48</v>
      </c>
      <c r="J3976" t="s">
        <v>139</v>
      </c>
      <c r="K3976">
        <v>449.82</v>
      </c>
      <c r="L3976" t="s">
        <v>9371</v>
      </c>
      <c r="M3976">
        <f>VLOOKUP(H3976,'Stage Order'!$A$2:$B$8,2,FALSE)</f>
        <v>5</v>
      </c>
      <c r="N3976" t="str">
        <f t="shared" si="124"/>
        <v>2. 1-24 hours</v>
      </c>
      <c r="O3976" t="str">
        <f t="shared" si="125"/>
        <v>2026-06</v>
      </c>
    </row>
    <row r="3977" spans="1:15" x14ac:dyDescent="0.3">
      <c r="A3977" t="s">
        <v>9372</v>
      </c>
      <c r="B3977" t="s">
        <v>9373</v>
      </c>
      <c r="C3977" t="s">
        <v>81</v>
      </c>
      <c r="D3977" t="s">
        <v>29</v>
      </c>
      <c r="E3977" t="s">
        <v>59</v>
      </c>
      <c r="F3977" t="s">
        <v>137</v>
      </c>
      <c r="G3977">
        <v>6.57</v>
      </c>
      <c r="H3977" t="s">
        <v>47</v>
      </c>
      <c r="I3977" t="s">
        <v>48</v>
      </c>
      <c r="J3977" t="s">
        <v>49</v>
      </c>
      <c r="K3977">
        <v>671.78</v>
      </c>
      <c r="L3977" t="s">
        <v>9374</v>
      </c>
      <c r="M3977">
        <f>VLOOKUP(H3977,'Stage Order'!$A$2:$B$8,2,FALSE)</f>
        <v>4</v>
      </c>
      <c r="N3977" t="str">
        <f t="shared" si="124"/>
        <v>2. 1-24 hours</v>
      </c>
      <c r="O3977" t="str">
        <f t="shared" si="125"/>
        <v>2026-01</v>
      </c>
    </row>
    <row r="3978" spans="1:15" x14ac:dyDescent="0.3">
      <c r="A3978" t="s">
        <v>9375</v>
      </c>
      <c r="B3978" t="s">
        <v>9376</v>
      </c>
      <c r="C3978" t="s">
        <v>58</v>
      </c>
      <c r="D3978" t="s">
        <v>97</v>
      </c>
      <c r="E3978" t="s">
        <v>45</v>
      </c>
      <c r="F3978" t="s">
        <v>94</v>
      </c>
      <c r="G3978">
        <v>5.7</v>
      </c>
      <c r="H3978" t="s">
        <v>41</v>
      </c>
      <c r="I3978" t="s">
        <v>42</v>
      </c>
      <c r="M3978">
        <f>VLOOKUP(H3978,'Stage Order'!$A$2:$B$8,2,FALSE)</f>
        <v>2</v>
      </c>
      <c r="N3978" t="str">
        <f t="shared" si="124"/>
        <v>2. 1-24 hours</v>
      </c>
      <c r="O3978" t="str">
        <f t="shared" si="125"/>
        <v>2025-02</v>
      </c>
    </row>
    <row r="3979" spans="1:15" x14ac:dyDescent="0.3">
      <c r="A3979" t="s">
        <v>9377</v>
      </c>
      <c r="B3979" t="s">
        <v>9378</v>
      </c>
      <c r="C3979" t="s">
        <v>53</v>
      </c>
      <c r="D3979" t="s">
        <v>54</v>
      </c>
      <c r="E3979" t="s">
        <v>45</v>
      </c>
      <c r="F3979" t="s">
        <v>55</v>
      </c>
      <c r="G3979">
        <v>4</v>
      </c>
      <c r="H3979" t="s">
        <v>32</v>
      </c>
      <c r="I3979" t="s">
        <v>33</v>
      </c>
      <c r="K3979">
        <v>492.37</v>
      </c>
      <c r="L3979" t="s">
        <v>9379</v>
      </c>
      <c r="M3979">
        <f>VLOOKUP(H3979,'Stage Order'!$A$2:$B$8,2,FALSE)</f>
        <v>7</v>
      </c>
      <c r="N3979" t="str">
        <f t="shared" si="124"/>
        <v>2. 1-24 hours</v>
      </c>
      <c r="O3979" t="str">
        <f t="shared" si="125"/>
        <v>2025-12</v>
      </c>
    </row>
    <row r="3980" spans="1:15" x14ac:dyDescent="0.3">
      <c r="A3980" t="s">
        <v>9380</v>
      </c>
      <c r="B3980" t="s">
        <v>9381</v>
      </c>
      <c r="C3980" t="s">
        <v>125</v>
      </c>
      <c r="D3980" t="s">
        <v>38</v>
      </c>
      <c r="E3980" t="s">
        <v>39</v>
      </c>
      <c r="F3980" t="s">
        <v>106</v>
      </c>
      <c r="G3980">
        <v>4.1100000000000003</v>
      </c>
      <c r="H3980" t="s">
        <v>61</v>
      </c>
      <c r="I3980" t="s">
        <v>42</v>
      </c>
      <c r="M3980">
        <f>VLOOKUP(H3980,'Stage Order'!$A$2:$B$8,2,FALSE)</f>
        <v>1</v>
      </c>
      <c r="N3980" t="str">
        <f t="shared" si="124"/>
        <v>2. 1-24 hours</v>
      </c>
      <c r="O3980" t="str">
        <f t="shared" si="125"/>
        <v>2025-05</v>
      </c>
    </row>
    <row r="3981" spans="1:15" x14ac:dyDescent="0.3">
      <c r="A3981" t="s">
        <v>9382</v>
      </c>
      <c r="B3981" t="s">
        <v>9383</v>
      </c>
      <c r="C3981" t="s">
        <v>53</v>
      </c>
      <c r="D3981" t="s">
        <v>29</v>
      </c>
      <c r="E3981" t="s">
        <v>39</v>
      </c>
      <c r="F3981" t="s">
        <v>40</v>
      </c>
      <c r="G3981">
        <v>2.2400000000000002</v>
      </c>
      <c r="H3981" t="s">
        <v>41</v>
      </c>
      <c r="I3981" t="s">
        <v>42</v>
      </c>
      <c r="M3981">
        <f>VLOOKUP(H3981,'Stage Order'!$A$2:$B$8,2,FALSE)</f>
        <v>2</v>
      </c>
      <c r="N3981" t="str">
        <f t="shared" si="124"/>
        <v>2. 1-24 hours</v>
      </c>
      <c r="O3981" t="str">
        <f t="shared" si="125"/>
        <v>2025-05</v>
      </c>
    </row>
    <row r="3982" spans="1:15" x14ac:dyDescent="0.3">
      <c r="A3982" t="s">
        <v>9384</v>
      </c>
      <c r="B3982" t="s">
        <v>9385</v>
      </c>
      <c r="C3982" t="s">
        <v>58</v>
      </c>
      <c r="D3982" t="s">
        <v>97</v>
      </c>
      <c r="E3982" t="s">
        <v>45</v>
      </c>
      <c r="F3982" t="s">
        <v>55</v>
      </c>
      <c r="G3982">
        <v>1.91</v>
      </c>
      <c r="H3982" t="s">
        <v>61</v>
      </c>
      <c r="I3982" t="s">
        <v>42</v>
      </c>
      <c r="M3982">
        <f>VLOOKUP(H3982,'Stage Order'!$A$2:$B$8,2,FALSE)</f>
        <v>1</v>
      </c>
      <c r="N3982" t="str">
        <f t="shared" si="124"/>
        <v>2. 1-24 hours</v>
      </c>
      <c r="O3982" t="str">
        <f t="shared" si="125"/>
        <v>2025-12</v>
      </c>
    </row>
    <row r="3983" spans="1:15" x14ac:dyDescent="0.3">
      <c r="A3983" t="s">
        <v>9386</v>
      </c>
      <c r="B3983" t="s">
        <v>9387</v>
      </c>
      <c r="C3983" t="s">
        <v>53</v>
      </c>
      <c r="D3983" t="s">
        <v>54</v>
      </c>
      <c r="E3983" t="s">
        <v>30</v>
      </c>
      <c r="F3983" t="s">
        <v>82</v>
      </c>
      <c r="G3983">
        <v>2.14</v>
      </c>
      <c r="H3983" t="s">
        <v>41</v>
      </c>
      <c r="I3983" t="s">
        <v>42</v>
      </c>
      <c r="M3983">
        <f>VLOOKUP(H3983,'Stage Order'!$A$2:$B$8,2,FALSE)</f>
        <v>2</v>
      </c>
      <c r="N3983" t="str">
        <f t="shared" si="124"/>
        <v>2. 1-24 hours</v>
      </c>
      <c r="O3983" t="str">
        <f t="shared" si="125"/>
        <v>2026-05</v>
      </c>
    </row>
    <row r="3984" spans="1:15" x14ac:dyDescent="0.3">
      <c r="A3984" t="s">
        <v>9388</v>
      </c>
      <c r="B3984" t="s">
        <v>9389</v>
      </c>
      <c r="C3984" t="s">
        <v>28</v>
      </c>
      <c r="D3984" t="s">
        <v>97</v>
      </c>
      <c r="E3984" t="s">
        <v>59</v>
      </c>
      <c r="F3984" t="s">
        <v>117</v>
      </c>
      <c r="G3984">
        <v>2.9</v>
      </c>
      <c r="H3984" t="s">
        <v>32</v>
      </c>
      <c r="I3984" t="s">
        <v>33</v>
      </c>
      <c r="K3984">
        <v>1603.27</v>
      </c>
      <c r="L3984" t="s">
        <v>9390</v>
      </c>
      <c r="M3984">
        <f>VLOOKUP(H3984,'Stage Order'!$A$2:$B$8,2,FALSE)</f>
        <v>7</v>
      </c>
      <c r="N3984" t="str">
        <f t="shared" si="124"/>
        <v>2. 1-24 hours</v>
      </c>
      <c r="O3984" t="str">
        <f t="shared" si="125"/>
        <v>2025-04</v>
      </c>
    </row>
    <row r="3985" spans="1:15" x14ac:dyDescent="0.3">
      <c r="A3985" t="s">
        <v>9391</v>
      </c>
      <c r="B3985" t="s">
        <v>9392</v>
      </c>
      <c r="C3985" t="s">
        <v>53</v>
      </c>
      <c r="D3985" t="s">
        <v>77</v>
      </c>
      <c r="E3985" t="s">
        <v>45</v>
      </c>
      <c r="F3985" t="s">
        <v>46</v>
      </c>
      <c r="G3985">
        <v>6.16</v>
      </c>
      <c r="H3985" t="s">
        <v>41</v>
      </c>
      <c r="I3985" t="s">
        <v>42</v>
      </c>
      <c r="M3985">
        <f>VLOOKUP(H3985,'Stage Order'!$A$2:$B$8,2,FALSE)</f>
        <v>2</v>
      </c>
      <c r="N3985" t="str">
        <f t="shared" si="124"/>
        <v>2. 1-24 hours</v>
      </c>
      <c r="O3985" t="str">
        <f t="shared" si="125"/>
        <v>2025-09</v>
      </c>
    </row>
    <row r="3986" spans="1:15" x14ac:dyDescent="0.3">
      <c r="A3986" t="s">
        <v>9393</v>
      </c>
      <c r="B3986" t="s">
        <v>9394</v>
      </c>
      <c r="C3986" t="s">
        <v>58</v>
      </c>
      <c r="D3986" t="s">
        <v>54</v>
      </c>
      <c r="E3986" t="s">
        <v>59</v>
      </c>
      <c r="F3986" t="s">
        <v>137</v>
      </c>
      <c r="G3986">
        <v>3.14</v>
      </c>
      <c r="H3986" t="s">
        <v>61</v>
      </c>
      <c r="I3986" t="s">
        <v>42</v>
      </c>
      <c r="M3986">
        <f>VLOOKUP(H3986,'Stage Order'!$A$2:$B$8,2,FALSE)</f>
        <v>1</v>
      </c>
      <c r="N3986" t="str">
        <f t="shared" si="124"/>
        <v>2. 1-24 hours</v>
      </c>
      <c r="O3986" t="str">
        <f t="shared" si="125"/>
        <v>2025-03</v>
      </c>
    </row>
    <row r="3987" spans="1:15" x14ac:dyDescent="0.3">
      <c r="A3987" t="s">
        <v>9395</v>
      </c>
      <c r="B3987" t="s">
        <v>9396</v>
      </c>
      <c r="C3987" t="s">
        <v>58</v>
      </c>
      <c r="D3987" t="s">
        <v>29</v>
      </c>
      <c r="E3987" t="s">
        <v>90</v>
      </c>
      <c r="F3987" t="s">
        <v>91</v>
      </c>
      <c r="G3987">
        <v>2.38</v>
      </c>
      <c r="H3987" t="s">
        <v>61</v>
      </c>
      <c r="I3987" t="s">
        <v>42</v>
      </c>
      <c r="M3987">
        <f>VLOOKUP(H3987,'Stage Order'!$A$2:$B$8,2,FALSE)</f>
        <v>1</v>
      </c>
      <c r="N3987" t="str">
        <f t="shared" si="124"/>
        <v>2. 1-24 hours</v>
      </c>
      <c r="O3987" t="str">
        <f t="shared" si="125"/>
        <v>2025-02</v>
      </c>
    </row>
    <row r="3988" spans="1:15" x14ac:dyDescent="0.3">
      <c r="A3988" t="s">
        <v>9397</v>
      </c>
      <c r="B3988" t="s">
        <v>9398</v>
      </c>
      <c r="C3988" t="s">
        <v>37</v>
      </c>
      <c r="D3988" t="s">
        <v>38</v>
      </c>
      <c r="E3988" t="s">
        <v>90</v>
      </c>
      <c r="F3988" t="s">
        <v>145</v>
      </c>
      <c r="G3988">
        <v>3.93</v>
      </c>
      <c r="H3988" t="s">
        <v>41</v>
      </c>
      <c r="I3988" t="s">
        <v>42</v>
      </c>
      <c r="M3988">
        <f>VLOOKUP(H3988,'Stage Order'!$A$2:$B$8,2,FALSE)</f>
        <v>2</v>
      </c>
      <c r="N3988" t="str">
        <f t="shared" si="124"/>
        <v>2. 1-24 hours</v>
      </c>
      <c r="O3988" t="str">
        <f t="shared" si="125"/>
        <v>2026-04</v>
      </c>
    </row>
    <row r="3989" spans="1:15" x14ac:dyDescent="0.3">
      <c r="A3989" t="s">
        <v>9399</v>
      </c>
      <c r="B3989" t="s">
        <v>9400</v>
      </c>
      <c r="C3989" t="s">
        <v>37</v>
      </c>
      <c r="D3989" t="s">
        <v>38</v>
      </c>
      <c r="E3989" t="s">
        <v>90</v>
      </c>
      <c r="F3989" t="s">
        <v>91</v>
      </c>
      <c r="G3989">
        <v>3.46</v>
      </c>
      <c r="H3989" t="s">
        <v>41</v>
      </c>
      <c r="I3989" t="s">
        <v>42</v>
      </c>
      <c r="M3989">
        <f>VLOOKUP(H3989,'Stage Order'!$A$2:$B$8,2,FALSE)</f>
        <v>2</v>
      </c>
      <c r="N3989" t="str">
        <f t="shared" si="124"/>
        <v>2. 1-24 hours</v>
      </c>
      <c r="O3989" t="str">
        <f t="shared" si="125"/>
        <v>2025-01</v>
      </c>
    </row>
    <row r="3990" spans="1:15" x14ac:dyDescent="0.3">
      <c r="A3990" t="s">
        <v>9401</v>
      </c>
      <c r="B3990" t="s">
        <v>9402</v>
      </c>
      <c r="C3990" t="s">
        <v>76</v>
      </c>
      <c r="D3990" t="s">
        <v>77</v>
      </c>
      <c r="E3990" t="s">
        <v>59</v>
      </c>
      <c r="F3990" t="s">
        <v>117</v>
      </c>
      <c r="G3990">
        <v>4.7</v>
      </c>
      <c r="H3990" t="s">
        <v>32</v>
      </c>
      <c r="I3990" t="s">
        <v>33</v>
      </c>
      <c r="K3990">
        <v>1139.52</v>
      </c>
      <c r="L3990" t="s">
        <v>9403</v>
      </c>
      <c r="M3990">
        <f>VLOOKUP(H3990,'Stage Order'!$A$2:$B$8,2,FALSE)</f>
        <v>7</v>
      </c>
      <c r="N3990" t="str">
        <f t="shared" si="124"/>
        <v>2. 1-24 hours</v>
      </c>
      <c r="O3990" t="str">
        <f t="shared" si="125"/>
        <v>2025-03</v>
      </c>
    </row>
    <row r="3991" spans="1:15" x14ac:dyDescent="0.3">
      <c r="A3991" t="s">
        <v>9404</v>
      </c>
      <c r="B3991" t="s">
        <v>9405</v>
      </c>
      <c r="C3991" t="s">
        <v>125</v>
      </c>
      <c r="D3991" t="s">
        <v>38</v>
      </c>
      <c r="E3991" t="s">
        <v>59</v>
      </c>
      <c r="F3991" t="s">
        <v>60</v>
      </c>
      <c r="G3991">
        <v>2.0499999999999998</v>
      </c>
      <c r="H3991" t="s">
        <v>61</v>
      </c>
      <c r="I3991" t="s">
        <v>42</v>
      </c>
      <c r="M3991">
        <f>VLOOKUP(H3991,'Stage Order'!$A$2:$B$8,2,FALSE)</f>
        <v>1</v>
      </c>
      <c r="N3991" t="str">
        <f t="shared" si="124"/>
        <v>2. 1-24 hours</v>
      </c>
      <c r="O3991" t="str">
        <f t="shared" si="125"/>
        <v>2025-05</v>
      </c>
    </row>
    <row r="3992" spans="1:15" x14ac:dyDescent="0.3">
      <c r="A3992" t="s">
        <v>9406</v>
      </c>
      <c r="B3992" t="s">
        <v>9407</v>
      </c>
      <c r="C3992" t="s">
        <v>58</v>
      </c>
      <c r="D3992" t="s">
        <v>38</v>
      </c>
      <c r="E3992" t="s">
        <v>59</v>
      </c>
      <c r="F3992" t="s">
        <v>117</v>
      </c>
      <c r="G3992">
        <v>5.97</v>
      </c>
      <c r="H3992" t="s">
        <v>41</v>
      </c>
      <c r="I3992" t="s">
        <v>42</v>
      </c>
      <c r="M3992">
        <f>VLOOKUP(H3992,'Stage Order'!$A$2:$B$8,2,FALSE)</f>
        <v>2</v>
      </c>
      <c r="N3992" t="str">
        <f t="shared" si="124"/>
        <v>2. 1-24 hours</v>
      </c>
      <c r="O3992" t="str">
        <f t="shared" si="125"/>
        <v>2025-12</v>
      </c>
    </row>
    <row r="3993" spans="1:15" x14ac:dyDescent="0.3">
      <c r="A3993" t="s">
        <v>9408</v>
      </c>
      <c r="B3993" t="s">
        <v>9409</v>
      </c>
      <c r="C3993" t="s">
        <v>37</v>
      </c>
      <c r="D3993" t="s">
        <v>54</v>
      </c>
      <c r="E3993" t="s">
        <v>30</v>
      </c>
      <c r="F3993" t="s">
        <v>78</v>
      </c>
      <c r="G3993">
        <v>8.42</v>
      </c>
      <c r="H3993" t="s">
        <v>41</v>
      </c>
      <c r="I3993" t="s">
        <v>42</v>
      </c>
      <c r="M3993">
        <f>VLOOKUP(H3993,'Stage Order'!$A$2:$B$8,2,FALSE)</f>
        <v>2</v>
      </c>
      <c r="N3993" t="str">
        <f t="shared" si="124"/>
        <v>2. 1-24 hours</v>
      </c>
      <c r="O3993" t="str">
        <f t="shared" si="125"/>
        <v>2025-12</v>
      </c>
    </row>
    <row r="3994" spans="1:15" x14ac:dyDescent="0.3">
      <c r="A3994" t="s">
        <v>9410</v>
      </c>
      <c r="B3994" t="s">
        <v>9411</v>
      </c>
      <c r="C3994" t="s">
        <v>37</v>
      </c>
      <c r="D3994" t="s">
        <v>54</v>
      </c>
      <c r="E3994" t="s">
        <v>45</v>
      </c>
      <c r="F3994" t="s">
        <v>55</v>
      </c>
      <c r="G3994">
        <v>3.32</v>
      </c>
      <c r="H3994" t="s">
        <v>41</v>
      </c>
      <c r="I3994" t="s">
        <v>42</v>
      </c>
      <c r="M3994">
        <f>VLOOKUP(H3994,'Stage Order'!$A$2:$B$8,2,FALSE)</f>
        <v>2</v>
      </c>
      <c r="N3994" t="str">
        <f t="shared" si="124"/>
        <v>2. 1-24 hours</v>
      </c>
      <c r="O3994" t="str">
        <f t="shared" si="125"/>
        <v>2026-05</v>
      </c>
    </row>
    <row r="3995" spans="1:15" x14ac:dyDescent="0.3">
      <c r="A3995" t="s">
        <v>9412</v>
      </c>
      <c r="B3995" t="s">
        <v>9413</v>
      </c>
      <c r="C3995" t="s">
        <v>28</v>
      </c>
      <c r="D3995" t="s">
        <v>77</v>
      </c>
      <c r="E3995" t="s">
        <v>59</v>
      </c>
      <c r="F3995" t="s">
        <v>60</v>
      </c>
      <c r="G3995">
        <v>6.23</v>
      </c>
      <c r="H3995" t="s">
        <v>32</v>
      </c>
      <c r="I3995" t="s">
        <v>33</v>
      </c>
      <c r="K3995">
        <v>829.75</v>
      </c>
      <c r="L3995" t="s">
        <v>9414</v>
      </c>
      <c r="M3995">
        <f>VLOOKUP(H3995,'Stage Order'!$A$2:$B$8,2,FALSE)</f>
        <v>7</v>
      </c>
      <c r="N3995" t="str">
        <f t="shared" si="124"/>
        <v>2. 1-24 hours</v>
      </c>
      <c r="O3995" t="str">
        <f t="shared" si="125"/>
        <v>2025-07</v>
      </c>
    </row>
    <row r="3996" spans="1:15" x14ac:dyDescent="0.3">
      <c r="A3996" t="s">
        <v>9415</v>
      </c>
      <c r="B3996" t="s">
        <v>9416</v>
      </c>
      <c r="C3996" t="s">
        <v>37</v>
      </c>
      <c r="D3996" t="s">
        <v>54</v>
      </c>
      <c r="E3996" t="s">
        <v>90</v>
      </c>
      <c r="F3996" t="s">
        <v>112</v>
      </c>
      <c r="G3996">
        <v>3.95</v>
      </c>
      <c r="H3996" t="s">
        <v>41</v>
      </c>
      <c r="I3996" t="s">
        <v>42</v>
      </c>
      <c r="M3996">
        <f>VLOOKUP(H3996,'Stage Order'!$A$2:$B$8,2,FALSE)</f>
        <v>2</v>
      </c>
      <c r="N3996" t="str">
        <f t="shared" si="124"/>
        <v>2. 1-24 hours</v>
      </c>
      <c r="O3996" t="str">
        <f t="shared" si="125"/>
        <v>2025-09</v>
      </c>
    </row>
    <row r="3997" spans="1:15" x14ac:dyDescent="0.3">
      <c r="A3997" t="s">
        <v>9417</v>
      </c>
      <c r="B3997" t="s">
        <v>9418</v>
      </c>
      <c r="C3997" t="s">
        <v>53</v>
      </c>
      <c r="D3997" t="s">
        <v>77</v>
      </c>
      <c r="E3997" t="s">
        <v>90</v>
      </c>
      <c r="F3997" t="s">
        <v>91</v>
      </c>
      <c r="G3997">
        <v>0.74</v>
      </c>
      <c r="H3997" t="s">
        <v>32</v>
      </c>
      <c r="I3997" t="s">
        <v>33</v>
      </c>
      <c r="K3997">
        <v>1130.42</v>
      </c>
      <c r="L3997" t="s">
        <v>9419</v>
      </c>
      <c r="M3997">
        <f>VLOOKUP(H3997,'Stage Order'!$A$2:$B$8,2,FALSE)</f>
        <v>7</v>
      </c>
      <c r="N3997" t="str">
        <f t="shared" si="124"/>
        <v>1. Under 1 hour</v>
      </c>
      <c r="O3997" t="str">
        <f t="shared" si="125"/>
        <v>2025-08</v>
      </c>
    </row>
    <row r="3998" spans="1:15" x14ac:dyDescent="0.3">
      <c r="A3998" t="s">
        <v>9420</v>
      </c>
      <c r="B3998" t="s">
        <v>9421</v>
      </c>
      <c r="C3998" t="s">
        <v>58</v>
      </c>
      <c r="D3998" t="s">
        <v>77</v>
      </c>
      <c r="E3998" t="s">
        <v>30</v>
      </c>
      <c r="F3998" t="s">
        <v>82</v>
      </c>
      <c r="G3998">
        <v>4.49</v>
      </c>
      <c r="H3998" t="s">
        <v>41</v>
      </c>
      <c r="I3998" t="s">
        <v>42</v>
      </c>
      <c r="M3998">
        <f>VLOOKUP(H3998,'Stage Order'!$A$2:$B$8,2,FALSE)</f>
        <v>2</v>
      </c>
      <c r="N3998" t="str">
        <f t="shared" si="124"/>
        <v>2. 1-24 hours</v>
      </c>
      <c r="O3998" t="str">
        <f t="shared" si="125"/>
        <v>2025-12</v>
      </c>
    </row>
    <row r="3999" spans="1:15" x14ac:dyDescent="0.3">
      <c r="A3999" t="s">
        <v>9422</v>
      </c>
      <c r="B3999" t="s">
        <v>9423</v>
      </c>
      <c r="C3999" t="s">
        <v>28</v>
      </c>
      <c r="D3999" t="s">
        <v>54</v>
      </c>
      <c r="E3999" t="s">
        <v>39</v>
      </c>
      <c r="F3999" t="s">
        <v>66</v>
      </c>
      <c r="G3999">
        <v>2.08</v>
      </c>
      <c r="H3999" t="s">
        <v>41</v>
      </c>
      <c r="I3999" t="s">
        <v>42</v>
      </c>
      <c r="M3999">
        <f>VLOOKUP(H3999,'Stage Order'!$A$2:$B$8,2,FALSE)</f>
        <v>2</v>
      </c>
      <c r="N3999" t="str">
        <f t="shared" si="124"/>
        <v>2. 1-24 hours</v>
      </c>
      <c r="O3999" t="str">
        <f t="shared" si="125"/>
        <v>2025-12</v>
      </c>
    </row>
    <row r="4000" spans="1:15" x14ac:dyDescent="0.3">
      <c r="A4000" t="s">
        <v>9424</v>
      </c>
      <c r="B4000" t="s">
        <v>9425</v>
      </c>
      <c r="C4000" t="s">
        <v>125</v>
      </c>
      <c r="D4000" t="s">
        <v>54</v>
      </c>
      <c r="E4000" t="s">
        <v>59</v>
      </c>
      <c r="F4000" t="s">
        <v>60</v>
      </c>
      <c r="G4000">
        <v>1.18</v>
      </c>
      <c r="H4000" t="s">
        <v>138</v>
      </c>
      <c r="I4000" t="s">
        <v>48</v>
      </c>
      <c r="J4000" t="s">
        <v>742</v>
      </c>
      <c r="K4000">
        <v>522.16</v>
      </c>
      <c r="L4000" t="s">
        <v>9426</v>
      </c>
      <c r="M4000">
        <f>VLOOKUP(H4000,'Stage Order'!$A$2:$B$8,2,FALSE)</f>
        <v>6</v>
      </c>
      <c r="N4000" t="str">
        <f t="shared" si="124"/>
        <v>2. 1-24 hours</v>
      </c>
      <c r="O4000" t="str">
        <f t="shared" si="125"/>
        <v>2025-04</v>
      </c>
    </row>
    <row r="4001" spans="1:15" x14ac:dyDescent="0.3">
      <c r="A4001" t="s">
        <v>9427</v>
      </c>
      <c r="B4001" t="s">
        <v>9428</v>
      </c>
      <c r="C4001" t="s">
        <v>125</v>
      </c>
      <c r="D4001" t="s">
        <v>54</v>
      </c>
      <c r="E4001" t="s">
        <v>45</v>
      </c>
      <c r="F4001" t="s">
        <v>94</v>
      </c>
      <c r="G4001">
        <v>13.48</v>
      </c>
      <c r="H4001" t="s">
        <v>32</v>
      </c>
      <c r="I4001" t="s">
        <v>33</v>
      </c>
      <c r="K4001">
        <v>577.37</v>
      </c>
      <c r="L4001" t="s">
        <v>9429</v>
      </c>
      <c r="M4001">
        <f>VLOOKUP(H4001,'Stage Order'!$A$2:$B$8,2,FALSE)</f>
        <v>7</v>
      </c>
      <c r="N4001" t="str">
        <f t="shared" si="124"/>
        <v>2. 1-24 hours</v>
      </c>
      <c r="O4001" t="str">
        <f t="shared" si="125"/>
        <v>2025-03</v>
      </c>
    </row>
    <row r="4002" spans="1:15" x14ac:dyDescent="0.3">
      <c r="A4002" t="s">
        <v>9430</v>
      </c>
      <c r="B4002" t="s">
        <v>9431</v>
      </c>
      <c r="C4002" t="s">
        <v>58</v>
      </c>
      <c r="D4002" t="s">
        <v>54</v>
      </c>
      <c r="E4002" t="s">
        <v>30</v>
      </c>
      <c r="F4002" t="s">
        <v>78</v>
      </c>
      <c r="G4002">
        <v>5.05</v>
      </c>
      <c r="H4002" t="s">
        <v>61</v>
      </c>
      <c r="I4002" t="s">
        <v>42</v>
      </c>
      <c r="M4002">
        <f>VLOOKUP(H4002,'Stage Order'!$A$2:$B$8,2,FALSE)</f>
        <v>1</v>
      </c>
      <c r="N4002" t="str">
        <f t="shared" si="124"/>
        <v>2. 1-24 hours</v>
      </c>
      <c r="O4002" t="str">
        <f t="shared" si="125"/>
        <v>2025-01</v>
      </c>
    </row>
    <row r="4003" spans="1:15" x14ac:dyDescent="0.3">
      <c r="A4003" t="s">
        <v>9432</v>
      </c>
      <c r="B4003" t="s">
        <v>9433</v>
      </c>
      <c r="C4003" t="s">
        <v>28</v>
      </c>
      <c r="D4003" t="s">
        <v>38</v>
      </c>
      <c r="E4003" t="s">
        <v>59</v>
      </c>
      <c r="F4003" t="s">
        <v>60</v>
      </c>
      <c r="G4003">
        <v>1.29</v>
      </c>
      <c r="H4003" t="s">
        <v>32</v>
      </c>
      <c r="I4003" t="s">
        <v>33</v>
      </c>
      <c r="K4003">
        <v>301.33999999999997</v>
      </c>
      <c r="L4003" t="s">
        <v>9434</v>
      </c>
      <c r="M4003">
        <f>VLOOKUP(H4003,'Stage Order'!$A$2:$B$8,2,FALSE)</f>
        <v>7</v>
      </c>
      <c r="N4003" t="str">
        <f t="shared" si="124"/>
        <v>2. 1-24 hours</v>
      </c>
      <c r="O4003" t="str">
        <f t="shared" si="125"/>
        <v>2026-05</v>
      </c>
    </row>
    <row r="4004" spans="1:15" x14ac:dyDescent="0.3">
      <c r="A4004" t="s">
        <v>9435</v>
      </c>
      <c r="B4004" t="s">
        <v>9436</v>
      </c>
      <c r="C4004" t="s">
        <v>28</v>
      </c>
      <c r="D4004" t="s">
        <v>54</v>
      </c>
      <c r="E4004" t="s">
        <v>45</v>
      </c>
      <c r="F4004" t="s">
        <v>94</v>
      </c>
      <c r="G4004">
        <v>1.34</v>
      </c>
      <c r="H4004" t="s">
        <v>138</v>
      </c>
      <c r="I4004" t="s">
        <v>48</v>
      </c>
      <c r="J4004" t="s">
        <v>139</v>
      </c>
      <c r="K4004">
        <v>450.63</v>
      </c>
      <c r="L4004" t="s">
        <v>9437</v>
      </c>
      <c r="M4004">
        <f>VLOOKUP(H4004,'Stage Order'!$A$2:$B$8,2,FALSE)</f>
        <v>6</v>
      </c>
      <c r="N4004" t="str">
        <f t="shared" si="124"/>
        <v>2. 1-24 hours</v>
      </c>
      <c r="O4004" t="str">
        <f t="shared" si="125"/>
        <v>2025-10</v>
      </c>
    </row>
    <row r="4005" spans="1:15" x14ac:dyDescent="0.3">
      <c r="A4005" t="s">
        <v>9438</v>
      </c>
      <c r="B4005" t="s">
        <v>9439</v>
      </c>
      <c r="C4005" t="s">
        <v>37</v>
      </c>
      <c r="D4005" t="s">
        <v>29</v>
      </c>
      <c r="E4005" t="s">
        <v>39</v>
      </c>
      <c r="F4005" t="s">
        <v>66</v>
      </c>
      <c r="G4005">
        <v>0.76</v>
      </c>
      <c r="H4005" t="s">
        <v>41</v>
      </c>
      <c r="I4005" t="s">
        <v>42</v>
      </c>
      <c r="M4005">
        <f>VLOOKUP(H4005,'Stage Order'!$A$2:$B$8,2,FALSE)</f>
        <v>2</v>
      </c>
      <c r="N4005" t="str">
        <f t="shared" si="124"/>
        <v>1. Under 1 hour</v>
      </c>
      <c r="O4005" t="str">
        <f t="shared" si="125"/>
        <v>2026-06</v>
      </c>
    </row>
    <row r="4006" spans="1:15" x14ac:dyDescent="0.3">
      <c r="A4006" t="s">
        <v>9440</v>
      </c>
      <c r="B4006" t="s">
        <v>9441</v>
      </c>
      <c r="C4006" t="s">
        <v>58</v>
      </c>
      <c r="D4006" t="s">
        <v>77</v>
      </c>
      <c r="E4006" t="s">
        <v>59</v>
      </c>
      <c r="F4006" t="s">
        <v>117</v>
      </c>
      <c r="G4006">
        <v>3.78</v>
      </c>
      <c r="H4006" t="s">
        <v>41</v>
      </c>
      <c r="I4006" t="s">
        <v>42</v>
      </c>
      <c r="M4006">
        <f>VLOOKUP(H4006,'Stage Order'!$A$2:$B$8,2,FALSE)</f>
        <v>2</v>
      </c>
      <c r="N4006" t="str">
        <f t="shared" si="124"/>
        <v>2. 1-24 hours</v>
      </c>
      <c r="O4006" t="str">
        <f t="shared" si="125"/>
        <v>2025-08</v>
      </c>
    </row>
    <row r="4007" spans="1:15" x14ac:dyDescent="0.3">
      <c r="A4007" t="s">
        <v>9442</v>
      </c>
      <c r="B4007" t="s">
        <v>9443</v>
      </c>
      <c r="C4007" t="s">
        <v>37</v>
      </c>
      <c r="D4007" t="s">
        <v>54</v>
      </c>
      <c r="E4007" t="s">
        <v>30</v>
      </c>
      <c r="F4007" t="s">
        <v>82</v>
      </c>
      <c r="G4007">
        <v>3.32</v>
      </c>
      <c r="H4007" t="s">
        <v>61</v>
      </c>
      <c r="I4007" t="s">
        <v>42</v>
      </c>
      <c r="M4007">
        <f>VLOOKUP(H4007,'Stage Order'!$A$2:$B$8,2,FALSE)</f>
        <v>1</v>
      </c>
      <c r="N4007" t="str">
        <f t="shared" si="124"/>
        <v>2. 1-24 hours</v>
      </c>
      <c r="O4007" t="str">
        <f t="shared" si="125"/>
        <v>2025-12</v>
      </c>
    </row>
    <row r="4008" spans="1:15" x14ac:dyDescent="0.3">
      <c r="A4008" t="s">
        <v>9444</v>
      </c>
      <c r="B4008" t="s">
        <v>9445</v>
      </c>
      <c r="C4008" t="s">
        <v>37</v>
      </c>
      <c r="D4008" t="s">
        <v>29</v>
      </c>
      <c r="E4008" t="s">
        <v>59</v>
      </c>
      <c r="F4008" t="s">
        <v>117</v>
      </c>
      <c r="G4008">
        <v>0.41</v>
      </c>
      <c r="H4008" t="s">
        <v>41</v>
      </c>
      <c r="I4008" t="s">
        <v>42</v>
      </c>
      <c r="M4008">
        <f>VLOOKUP(H4008,'Stage Order'!$A$2:$B$8,2,FALSE)</f>
        <v>2</v>
      </c>
      <c r="N4008" t="str">
        <f t="shared" si="124"/>
        <v>1. Under 1 hour</v>
      </c>
      <c r="O4008" t="str">
        <f t="shared" si="125"/>
        <v>2026-05</v>
      </c>
    </row>
    <row r="4009" spans="1:15" x14ac:dyDescent="0.3">
      <c r="A4009" t="s">
        <v>9446</v>
      </c>
      <c r="B4009" t="s">
        <v>9447</v>
      </c>
      <c r="C4009" t="s">
        <v>76</v>
      </c>
      <c r="D4009" t="s">
        <v>54</v>
      </c>
      <c r="E4009" t="s">
        <v>45</v>
      </c>
      <c r="F4009" t="s">
        <v>55</v>
      </c>
      <c r="G4009">
        <v>5.64</v>
      </c>
      <c r="H4009" t="s">
        <v>32</v>
      </c>
      <c r="I4009" t="s">
        <v>33</v>
      </c>
      <c r="K4009">
        <v>454.42</v>
      </c>
      <c r="L4009" t="s">
        <v>9448</v>
      </c>
      <c r="M4009">
        <f>VLOOKUP(H4009,'Stage Order'!$A$2:$B$8,2,FALSE)</f>
        <v>7</v>
      </c>
      <c r="N4009" t="str">
        <f t="shared" si="124"/>
        <v>2. 1-24 hours</v>
      </c>
      <c r="O4009" t="str">
        <f t="shared" si="125"/>
        <v>2025-11</v>
      </c>
    </row>
    <row r="4010" spans="1:15" x14ac:dyDescent="0.3">
      <c r="A4010" t="s">
        <v>9449</v>
      </c>
      <c r="B4010" t="s">
        <v>9450</v>
      </c>
      <c r="C4010" t="s">
        <v>81</v>
      </c>
      <c r="D4010" t="s">
        <v>54</v>
      </c>
      <c r="E4010" t="s">
        <v>39</v>
      </c>
      <c r="F4010" t="s">
        <v>40</v>
      </c>
      <c r="G4010">
        <v>0.72</v>
      </c>
      <c r="H4010" t="s">
        <v>61</v>
      </c>
      <c r="I4010" t="s">
        <v>42</v>
      </c>
      <c r="M4010">
        <f>VLOOKUP(H4010,'Stage Order'!$A$2:$B$8,2,FALSE)</f>
        <v>1</v>
      </c>
      <c r="N4010" t="str">
        <f t="shared" si="124"/>
        <v>1. Under 1 hour</v>
      </c>
      <c r="O4010" t="str">
        <f t="shared" si="125"/>
        <v>2026-05</v>
      </c>
    </row>
    <row r="4011" spans="1:15" x14ac:dyDescent="0.3">
      <c r="A4011" t="s">
        <v>9451</v>
      </c>
      <c r="B4011" t="s">
        <v>9452</v>
      </c>
      <c r="C4011" t="s">
        <v>53</v>
      </c>
      <c r="D4011" t="s">
        <v>54</v>
      </c>
      <c r="E4011" t="s">
        <v>39</v>
      </c>
      <c r="F4011" t="s">
        <v>106</v>
      </c>
      <c r="G4011">
        <v>2.37</v>
      </c>
      <c r="H4011" t="s">
        <v>61</v>
      </c>
      <c r="I4011" t="s">
        <v>42</v>
      </c>
      <c r="M4011">
        <f>VLOOKUP(H4011,'Stage Order'!$A$2:$B$8,2,FALSE)</f>
        <v>1</v>
      </c>
      <c r="N4011" t="str">
        <f t="shared" si="124"/>
        <v>2. 1-24 hours</v>
      </c>
      <c r="O4011" t="str">
        <f t="shared" si="125"/>
        <v>2025-02</v>
      </c>
    </row>
    <row r="4012" spans="1:15" x14ac:dyDescent="0.3">
      <c r="A4012" t="s">
        <v>9453</v>
      </c>
      <c r="B4012" t="s">
        <v>9454</v>
      </c>
      <c r="C4012" t="s">
        <v>76</v>
      </c>
      <c r="D4012" t="s">
        <v>54</v>
      </c>
      <c r="E4012" t="s">
        <v>90</v>
      </c>
      <c r="F4012" t="s">
        <v>145</v>
      </c>
      <c r="G4012">
        <v>4.16</v>
      </c>
      <c r="H4012" t="s">
        <v>61</v>
      </c>
      <c r="I4012" t="s">
        <v>42</v>
      </c>
      <c r="M4012">
        <f>VLOOKUP(H4012,'Stage Order'!$A$2:$B$8,2,FALSE)</f>
        <v>1</v>
      </c>
      <c r="N4012" t="str">
        <f t="shared" si="124"/>
        <v>2. 1-24 hours</v>
      </c>
      <c r="O4012" t="str">
        <f t="shared" si="125"/>
        <v>2026-03</v>
      </c>
    </row>
    <row r="4013" spans="1:15" x14ac:dyDescent="0.3">
      <c r="A4013" t="s">
        <v>9455</v>
      </c>
      <c r="B4013" t="s">
        <v>9456</v>
      </c>
      <c r="C4013" t="s">
        <v>81</v>
      </c>
      <c r="D4013" t="s">
        <v>54</v>
      </c>
      <c r="E4013" t="s">
        <v>59</v>
      </c>
      <c r="F4013" t="s">
        <v>117</v>
      </c>
      <c r="G4013">
        <v>1.36</v>
      </c>
      <c r="H4013" t="s">
        <v>41</v>
      </c>
      <c r="I4013" t="s">
        <v>42</v>
      </c>
      <c r="M4013">
        <f>VLOOKUP(H4013,'Stage Order'!$A$2:$B$8,2,FALSE)</f>
        <v>2</v>
      </c>
      <c r="N4013" t="str">
        <f t="shared" si="124"/>
        <v>2. 1-24 hours</v>
      </c>
      <c r="O4013" t="str">
        <f t="shared" si="125"/>
        <v>2025-02</v>
      </c>
    </row>
    <row r="4014" spans="1:15" x14ac:dyDescent="0.3">
      <c r="A4014" t="s">
        <v>9457</v>
      </c>
      <c r="B4014" t="s">
        <v>9458</v>
      </c>
      <c r="C4014" t="s">
        <v>58</v>
      </c>
      <c r="D4014" t="s">
        <v>77</v>
      </c>
      <c r="E4014" t="s">
        <v>30</v>
      </c>
      <c r="F4014" t="s">
        <v>78</v>
      </c>
      <c r="G4014">
        <v>2.4500000000000002</v>
      </c>
      <c r="H4014" t="s">
        <v>41</v>
      </c>
      <c r="I4014" t="s">
        <v>42</v>
      </c>
      <c r="M4014">
        <f>VLOOKUP(H4014,'Stage Order'!$A$2:$B$8,2,FALSE)</f>
        <v>2</v>
      </c>
      <c r="N4014" t="str">
        <f t="shared" si="124"/>
        <v>2. 1-24 hours</v>
      </c>
      <c r="O4014" t="str">
        <f t="shared" si="125"/>
        <v>2025-06</v>
      </c>
    </row>
    <row r="4015" spans="1:15" x14ac:dyDescent="0.3">
      <c r="A4015" t="s">
        <v>9459</v>
      </c>
      <c r="B4015" t="s">
        <v>9460</v>
      </c>
      <c r="C4015" t="s">
        <v>37</v>
      </c>
      <c r="D4015" t="s">
        <v>54</v>
      </c>
      <c r="E4015" t="s">
        <v>59</v>
      </c>
      <c r="F4015" t="s">
        <v>60</v>
      </c>
      <c r="G4015">
        <v>3.9</v>
      </c>
      <c r="H4015" t="s">
        <v>41</v>
      </c>
      <c r="I4015" t="s">
        <v>42</v>
      </c>
      <c r="M4015">
        <f>VLOOKUP(H4015,'Stage Order'!$A$2:$B$8,2,FALSE)</f>
        <v>2</v>
      </c>
      <c r="N4015" t="str">
        <f t="shared" si="124"/>
        <v>2. 1-24 hours</v>
      </c>
      <c r="O4015" t="str">
        <f t="shared" si="125"/>
        <v>2025-03</v>
      </c>
    </row>
    <row r="4016" spans="1:15" x14ac:dyDescent="0.3">
      <c r="A4016" t="s">
        <v>9461</v>
      </c>
      <c r="B4016" t="s">
        <v>6428</v>
      </c>
      <c r="C4016" t="s">
        <v>125</v>
      </c>
      <c r="D4016" t="s">
        <v>77</v>
      </c>
      <c r="E4016" t="s">
        <v>39</v>
      </c>
      <c r="F4016" t="s">
        <v>40</v>
      </c>
      <c r="G4016">
        <v>2.68</v>
      </c>
      <c r="H4016" t="s">
        <v>47</v>
      </c>
      <c r="I4016" t="s">
        <v>48</v>
      </c>
      <c r="J4016" t="s">
        <v>139</v>
      </c>
      <c r="K4016">
        <v>876.85</v>
      </c>
      <c r="L4016" t="s">
        <v>9462</v>
      </c>
      <c r="M4016">
        <f>VLOOKUP(H4016,'Stage Order'!$A$2:$B$8,2,FALSE)</f>
        <v>4</v>
      </c>
      <c r="N4016" t="str">
        <f t="shared" si="124"/>
        <v>2. 1-24 hours</v>
      </c>
      <c r="O4016" t="str">
        <f t="shared" si="125"/>
        <v>2026-03</v>
      </c>
    </row>
    <row r="4017" spans="1:15" x14ac:dyDescent="0.3">
      <c r="A4017" t="s">
        <v>9463</v>
      </c>
      <c r="B4017" t="s">
        <v>9464</v>
      </c>
      <c r="C4017" t="s">
        <v>58</v>
      </c>
      <c r="D4017" t="s">
        <v>29</v>
      </c>
      <c r="E4017" t="s">
        <v>39</v>
      </c>
      <c r="F4017" t="s">
        <v>106</v>
      </c>
      <c r="G4017">
        <v>1.87</v>
      </c>
      <c r="H4017" t="s">
        <v>41</v>
      </c>
      <c r="I4017" t="s">
        <v>42</v>
      </c>
      <c r="M4017">
        <f>VLOOKUP(H4017,'Stage Order'!$A$2:$B$8,2,FALSE)</f>
        <v>2</v>
      </c>
      <c r="N4017" t="str">
        <f t="shared" si="124"/>
        <v>2. 1-24 hours</v>
      </c>
      <c r="O4017" t="str">
        <f t="shared" si="125"/>
        <v>2026-06</v>
      </c>
    </row>
    <row r="4018" spans="1:15" x14ac:dyDescent="0.3">
      <c r="A4018" t="s">
        <v>9465</v>
      </c>
      <c r="B4018" t="s">
        <v>9466</v>
      </c>
      <c r="C4018" t="s">
        <v>81</v>
      </c>
      <c r="D4018" t="s">
        <v>77</v>
      </c>
      <c r="E4018" t="s">
        <v>39</v>
      </c>
      <c r="F4018" t="s">
        <v>40</v>
      </c>
      <c r="G4018">
        <v>1.25</v>
      </c>
      <c r="H4018" t="s">
        <v>41</v>
      </c>
      <c r="I4018" t="s">
        <v>42</v>
      </c>
      <c r="M4018">
        <f>VLOOKUP(H4018,'Stage Order'!$A$2:$B$8,2,FALSE)</f>
        <v>2</v>
      </c>
      <c r="N4018" t="str">
        <f t="shared" si="124"/>
        <v>2. 1-24 hours</v>
      </c>
      <c r="O4018" t="str">
        <f t="shared" si="125"/>
        <v>2025-04</v>
      </c>
    </row>
    <row r="4019" spans="1:15" x14ac:dyDescent="0.3">
      <c r="A4019" t="s">
        <v>9467</v>
      </c>
      <c r="B4019" t="s">
        <v>9468</v>
      </c>
      <c r="C4019" t="s">
        <v>37</v>
      </c>
      <c r="D4019" t="s">
        <v>29</v>
      </c>
      <c r="E4019" t="s">
        <v>39</v>
      </c>
      <c r="F4019" t="s">
        <v>40</v>
      </c>
      <c r="G4019">
        <v>2.2200000000000002</v>
      </c>
      <c r="H4019" t="s">
        <v>41</v>
      </c>
      <c r="I4019" t="s">
        <v>42</v>
      </c>
      <c r="M4019">
        <f>VLOOKUP(H4019,'Stage Order'!$A$2:$B$8,2,FALSE)</f>
        <v>2</v>
      </c>
      <c r="N4019" t="str">
        <f t="shared" si="124"/>
        <v>2. 1-24 hours</v>
      </c>
      <c r="O4019" t="str">
        <f t="shared" si="125"/>
        <v>2026-06</v>
      </c>
    </row>
    <row r="4020" spans="1:15" x14ac:dyDescent="0.3">
      <c r="A4020" t="s">
        <v>9469</v>
      </c>
      <c r="B4020" t="s">
        <v>9470</v>
      </c>
      <c r="C4020" t="s">
        <v>125</v>
      </c>
      <c r="D4020" t="s">
        <v>77</v>
      </c>
      <c r="E4020" t="s">
        <v>45</v>
      </c>
      <c r="F4020" t="s">
        <v>94</v>
      </c>
      <c r="G4020">
        <v>11.3</v>
      </c>
      <c r="H4020" t="s">
        <v>146</v>
      </c>
      <c r="I4020" t="s">
        <v>48</v>
      </c>
      <c r="J4020" t="s">
        <v>113</v>
      </c>
      <c r="K4020">
        <v>850.67</v>
      </c>
      <c r="L4020" t="s">
        <v>9471</v>
      </c>
      <c r="M4020">
        <f>VLOOKUP(H4020,'Stage Order'!$A$2:$B$8,2,FALSE)</f>
        <v>5</v>
      </c>
      <c r="N4020" t="str">
        <f t="shared" si="124"/>
        <v>2. 1-24 hours</v>
      </c>
      <c r="O4020" t="str">
        <f t="shared" si="125"/>
        <v>2025-01</v>
      </c>
    </row>
    <row r="4021" spans="1:15" x14ac:dyDescent="0.3">
      <c r="A4021" t="s">
        <v>9472</v>
      </c>
      <c r="B4021" t="s">
        <v>9473</v>
      </c>
      <c r="C4021" t="s">
        <v>58</v>
      </c>
      <c r="D4021" t="s">
        <v>29</v>
      </c>
      <c r="E4021" t="s">
        <v>59</v>
      </c>
      <c r="F4021" t="s">
        <v>60</v>
      </c>
      <c r="G4021">
        <v>5.1100000000000003</v>
      </c>
      <c r="H4021" t="s">
        <v>41</v>
      </c>
      <c r="I4021" t="s">
        <v>42</v>
      </c>
      <c r="M4021">
        <f>VLOOKUP(H4021,'Stage Order'!$A$2:$B$8,2,FALSE)</f>
        <v>2</v>
      </c>
      <c r="N4021" t="str">
        <f t="shared" si="124"/>
        <v>2. 1-24 hours</v>
      </c>
      <c r="O4021" t="str">
        <f t="shared" si="125"/>
        <v>2026-06</v>
      </c>
    </row>
    <row r="4022" spans="1:15" x14ac:dyDescent="0.3">
      <c r="A4022" t="s">
        <v>9474</v>
      </c>
      <c r="B4022" t="s">
        <v>9475</v>
      </c>
      <c r="C4022" t="s">
        <v>58</v>
      </c>
      <c r="D4022" t="s">
        <v>77</v>
      </c>
      <c r="E4022" t="s">
        <v>39</v>
      </c>
      <c r="F4022" t="s">
        <v>66</v>
      </c>
      <c r="G4022">
        <v>3.05</v>
      </c>
      <c r="H4022" t="s">
        <v>47</v>
      </c>
      <c r="I4022" t="s">
        <v>48</v>
      </c>
      <c r="J4022" t="s">
        <v>139</v>
      </c>
      <c r="K4022">
        <v>926.13</v>
      </c>
      <c r="L4022" t="s">
        <v>9476</v>
      </c>
      <c r="M4022">
        <f>VLOOKUP(H4022,'Stage Order'!$A$2:$B$8,2,FALSE)</f>
        <v>4</v>
      </c>
      <c r="N4022" t="str">
        <f t="shared" si="124"/>
        <v>2. 1-24 hours</v>
      </c>
      <c r="O4022" t="str">
        <f t="shared" si="125"/>
        <v>2025-12</v>
      </c>
    </row>
    <row r="4023" spans="1:15" x14ac:dyDescent="0.3">
      <c r="A4023" t="s">
        <v>9477</v>
      </c>
      <c r="B4023" t="s">
        <v>9478</v>
      </c>
      <c r="C4023" t="s">
        <v>125</v>
      </c>
      <c r="D4023" t="s">
        <v>77</v>
      </c>
      <c r="E4023" t="s">
        <v>39</v>
      </c>
      <c r="F4023" t="s">
        <v>40</v>
      </c>
      <c r="G4023">
        <v>6.52</v>
      </c>
      <c r="H4023" t="s">
        <v>41</v>
      </c>
      <c r="I4023" t="s">
        <v>42</v>
      </c>
      <c r="M4023">
        <f>VLOOKUP(H4023,'Stage Order'!$A$2:$B$8,2,FALSE)</f>
        <v>2</v>
      </c>
      <c r="N4023" t="str">
        <f t="shared" si="124"/>
        <v>2. 1-24 hours</v>
      </c>
      <c r="O4023" t="str">
        <f t="shared" si="125"/>
        <v>2025-06</v>
      </c>
    </row>
    <row r="4024" spans="1:15" x14ac:dyDescent="0.3">
      <c r="A4024" t="s">
        <v>9479</v>
      </c>
      <c r="B4024" t="s">
        <v>9480</v>
      </c>
      <c r="C4024" t="s">
        <v>37</v>
      </c>
      <c r="D4024" t="s">
        <v>38</v>
      </c>
      <c r="E4024" t="s">
        <v>59</v>
      </c>
      <c r="F4024" t="s">
        <v>137</v>
      </c>
      <c r="G4024">
        <v>19.22</v>
      </c>
      <c r="H4024" t="s">
        <v>41</v>
      </c>
      <c r="I4024" t="s">
        <v>42</v>
      </c>
      <c r="M4024">
        <f>VLOOKUP(H4024,'Stage Order'!$A$2:$B$8,2,FALSE)</f>
        <v>2</v>
      </c>
      <c r="N4024" t="str">
        <f t="shared" si="124"/>
        <v>2. 1-24 hours</v>
      </c>
      <c r="O4024" t="str">
        <f t="shared" si="125"/>
        <v>2025-07</v>
      </c>
    </row>
    <row r="4025" spans="1:15" x14ac:dyDescent="0.3">
      <c r="A4025" t="s">
        <v>9481</v>
      </c>
      <c r="B4025" t="s">
        <v>9482</v>
      </c>
      <c r="C4025" t="s">
        <v>125</v>
      </c>
      <c r="D4025" t="s">
        <v>29</v>
      </c>
      <c r="E4025" t="s">
        <v>59</v>
      </c>
      <c r="F4025" t="s">
        <v>137</v>
      </c>
      <c r="G4025">
        <v>14.8</v>
      </c>
      <c r="H4025" t="s">
        <v>61</v>
      </c>
      <c r="I4025" t="s">
        <v>42</v>
      </c>
      <c r="M4025">
        <f>VLOOKUP(H4025,'Stage Order'!$A$2:$B$8,2,FALSE)</f>
        <v>1</v>
      </c>
      <c r="N4025" t="str">
        <f t="shared" si="124"/>
        <v>2. 1-24 hours</v>
      </c>
      <c r="O4025" t="str">
        <f t="shared" si="125"/>
        <v>2025-02</v>
      </c>
    </row>
    <row r="4026" spans="1:15" x14ac:dyDescent="0.3">
      <c r="A4026" t="s">
        <v>9483</v>
      </c>
      <c r="B4026" t="s">
        <v>9484</v>
      </c>
      <c r="C4026" t="s">
        <v>58</v>
      </c>
      <c r="D4026" t="s">
        <v>77</v>
      </c>
      <c r="E4026" t="s">
        <v>39</v>
      </c>
      <c r="F4026" t="s">
        <v>106</v>
      </c>
      <c r="G4026">
        <v>2.41</v>
      </c>
      <c r="H4026" t="s">
        <v>41</v>
      </c>
      <c r="I4026" t="s">
        <v>42</v>
      </c>
      <c r="M4026">
        <f>VLOOKUP(H4026,'Stage Order'!$A$2:$B$8,2,FALSE)</f>
        <v>2</v>
      </c>
      <c r="N4026" t="str">
        <f t="shared" si="124"/>
        <v>2. 1-24 hours</v>
      </c>
      <c r="O4026" t="str">
        <f t="shared" si="125"/>
        <v>2025-04</v>
      </c>
    </row>
    <row r="4027" spans="1:15" x14ac:dyDescent="0.3">
      <c r="A4027" t="s">
        <v>9485</v>
      </c>
      <c r="B4027" t="s">
        <v>9486</v>
      </c>
      <c r="C4027" t="s">
        <v>58</v>
      </c>
      <c r="D4027" t="s">
        <v>77</v>
      </c>
      <c r="E4027" t="s">
        <v>45</v>
      </c>
      <c r="F4027" t="s">
        <v>94</v>
      </c>
      <c r="G4027">
        <v>3.26</v>
      </c>
      <c r="H4027" t="s">
        <v>41</v>
      </c>
      <c r="I4027" t="s">
        <v>42</v>
      </c>
      <c r="M4027">
        <f>VLOOKUP(H4027,'Stage Order'!$A$2:$B$8,2,FALSE)</f>
        <v>2</v>
      </c>
      <c r="N4027" t="str">
        <f t="shared" si="124"/>
        <v>2. 1-24 hours</v>
      </c>
      <c r="O4027" t="str">
        <f t="shared" si="125"/>
        <v>2025-08</v>
      </c>
    </row>
    <row r="4028" spans="1:15" x14ac:dyDescent="0.3">
      <c r="A4028" t="s">
        <v>9487</v>
      </c>
      <c r="B4028" t="s">
        <v>9488</v>
      </c>
      <c r="C4028" t="s">
        <v>37</v>
      </c>
      <c r="D4028" t="s">
        <v>38</v>
      </c>
      <c r="E4028" t="s">
        <v>39</v>
      </c>
      <c r="F4028" t="s">
        <v>106</v>
      </c>
      <c r="G4028">
        <v>0.96</v>
      </c>
      <c r="H4028" t="s">
        <v>41</v>
      </c>
      <c r="I4028" t="s">
        <v>42</v>
      </c>
      <c r="M4028">
        <f>VLOOKUP(H4028,'Stage Order'!$A$2:$B$8,2,FALSE)</f>
        <v>2</v>
      </c>
      <c r="N4028" t="str">
        <f t="shared" si="124"/>
        <v>1. Under 1 hour</v>
      </c>
      <c r="O4028" t="str">
        <f t="shared" si="125"/>
        <v>2025-03</v>
      </c>
    </row>
    <row r="4029" spans="1:15" x14ac:dyDescent="0.3">
      <c r="A4029" t="s">
        <v>9489</v>
      </c>
      <c r="B4029" t="s">
        <v>9490</v>
      </c>
      <c r="C4029" t="s">
        <v>58</v>
      </c>
      <c r="D4029" t="s">
        <v>38</v>
      </c>
      <c r="E4029" t="s">
        <v>39</v>
      </c>
      <c r="F4029" t="s">
        <v>40</v>
      </c>
      <c r="G4029">
        <v>6.64</v>
      </c>
      <c r="H4029" t="s">
        <v>146</v>
      </c>
      <c r="I4029" t="s">
        <v>48</v>
      </c>
      <c r="J4029" t="s">
        <v>98</v>
      </c>
      <c r="K4029">
        <v>337.36</v>
      </c>
      <c r="L4029" t="s">
        <v>9491</v>
      </c>
      <c r="M4029">
        <f>VLOOKUP(H4029,'Stage Order'!$A$2:$B$8,2,FALSE)</f>
        <v>5</v>
      </c>
      <c r="N4029" t="str">
        <f t="shared" si="124"/>
        <v>2. 1-24 hours</v>
      </c>
      <c r="O4029" t="str">
        <f t="shared" si="125"/>
        <v>2026-06</v>
      </c>
    </row>
    <row r="4030" spans="1:15" x14ac:dyDescent="0.3">
      <c r="A4030" t="s">
        <v>9492</v>
      </c>
      <c r="B4030" t="s">
        <v>9493</v>
      </c>
      <c r="C4030" t="s">
        <v>58</v>
      </c>
      <c r="D4030" t="s">
        <v>29</v>
      </c>
      <c r="E4030" t="s">
        <v>90</v>
      </c>
      <c r="F4030" t="s">
        <v>112</v>
      </c>
      <c r="G4030">
        <v>2.23</v>
      </c>
      <c r="H4030" t="s">
        <v>61</v>
      </c>
      <c r="I4030" t="s">
        <v>42</v>
      </c>
      <c r="M4030">
        <f>VLOOKUP(H4030,'Stage Order'!$A$2:$B$8,2,FALSE)</f>
        <v>1</v>
      </c>
      <c r="N4030" t="str">
        <f t="shared" si="124"/>
        <v>2. 1-24 hours</v>
      </c>
      <c r="O4030" t="str">
        <f t="shared" si="125"/>
        <v>2025-08</v>
      </c>
    </row>
    <row r="4031" spans="1:15" x14ac:dyDescent="0.3">
      <c r="A4031" t="s">
        <v>9494</v>
      </c>
      <c r="B4031" t="s">
        <v>9495</v>
      </c>
      <c r="C4031" t="s">
        <v>37</v>
      </c>
      <c r="D4031" t="s">
        <v>97</v>
      </c>
      <c r="E4031" t="s">
        <v>45</v>
      </c>
      <c r="F4031" t="s">
        <v>94</v>
      </c>
      <c r="G4031">
        <v>1.99</v>
      </c>
      <c r="H4031" t="s">
        <v>41</v>
      </c>
      <c r="I4031" t="s">
        <v>42</v>
      </c>
      <c r="M4031">
        <f>VLOOKUP(H4031,'Stage Order'!$A$2:$B$8,2,FALSE)</f>
        <v>2</v>
      </c>
      <c r="N4031" t="str">
        <f t="shared" si="124"/>
        <v>2. 1-24 hours</v>
      </c>
      <c r="O4031" t="str">
        <f t="shared" si="125"/>
        <v>2026-01</v>
      </c>
    </row>
    <row r="4032" spans="1:15" x14ac:dyDescent="0.3">
      <c r="A4032" t="s">
        <v>9496</v>
      </c>
      <c r="B4032" t="s">
        <v>9497</v>
      </c>
      <c r="C4032" t="s">
        <v>125</v>
      </c>
      <c r="D4032" t="s">
        <v>77</v>
      </c>
      <c r="E4032" t="s">
        <v>45</v>
      </c>
      <c r="F4032" t="s">
        <v>94</v>
      </c>
      <c r="G4032">
        <v>4.41</v>
      </c>
      <c r="H4032" t="s">
        <v>41</v>
      </c>
      <c r="I4032" t="s">
        <v>42</v>
      </c>
      <c r="M4032">
        <f>VLOOKUP(H4032,'Stage Order'!$A$2:$B$8,2,FALSE)</f>
        <v>2</v>
      </c>
      <c r="N4032" t="str">
        <f t="shared" si="124"/>
        <v>2. 1-24 hours</v>
      </c>
      <c r="O4032" t="str">
        <f t="shared" si="125"/>
        <v>2025-03</v>
      </c>
    </row>
    <row r="4033" spans="1:15" x14ac:dyDescent="0.3">
      <c r="A4033" t="s">
        <v>9498</v>
      </c>
      <c r="B4033" t="s">
        <v>9499</v>
      </c>
      <c r="C4033" t="s">
        <v>125</v>
      </c>
      <c r="D4033" t="s">
        <v>54</v>
      </c>
      <c r="E4033" t="s">
        <v>59</v>
      </c>
      <c r="F4033" t="s">
        <v>117</v>
      </c>
      <c r="G4033">
        <v>0.36</v>
      </c>
      <c r="H4033" t="s">
        <v>47</v>
      </c>
      <c r="I4033" t="s">
        <v>48</v>
      </c>
      <c r="J4033" t="s">
        <v>742</v>
      </c>
      <c r="K4033">
        <v>592.74</v>
      </c>
      <c r="L4033" t="s">
        <v>9500</v>
      </c>
      <c r="M4033">
        <f>VLOOKUP(H4033,'Stage Order'!$A$2:$B$8,2,FALSE)</f>
        <v>4</v>
      </c>
      <c r="N4033" t="str">
        <f t="shared" si="124"/>
        <v>1. Under 1 hour</v>
      </c>
      <c r="O4033" t="str">
        <f t="shared" si="125"/>
        <v>2025-10</v>
      </c>
    </row>
    <row r="4034" spans="1:15" x14ac:dyDescent="0.3">
      <c r="A4034" t="s">
        <v>9501</v>
      </c>
      <c r="B4034" t="s">
        <v>9502</v>
      </c>
      <c r="C4034" t="s">
        <v>125</v>
      </c>
      <c r="D4034" t="s">
        <v>38</v>
      </c>
      <c r="E4034" t="s">
        <v>30</v>
      </c>
      <c r="F4034" t="s">
        <v>31</v>
      </c>
      <c r="G4034">
        <v>2.58</v>
      </c>
      <c r="H4034" t="s">
        <v>41</v>
      </c>
      <c r="I4034" t="s">
        <v>42</v>
      </c>
      <c r="M4034">
        <f>VLOOKUP(H4034,'Stage Order'!$A$2:$B$8,2,FALSE)</f>
        <v>2</v>
      </c>
      <c r="N4034" t="str">
        <f t="shared" ref="N4034:N4097" si="126">IF(G4034&lt;=1,"1. Under 1 hour",IF(G4034&lt;=24,"2. 1-24 hours",IF(G4034&lt;=72,"3. 1-3 days","4. Over 3 days")))</f>
        <v>2. 1-24 hours</v>
      </c>
      <c r="O4034" t="str">
        <f t="shared" ref="O4034:O4097" si="127">TEXT(B4034,"YYYY-MM")</f>
        <v>2026-03</v>
      </c>
    </row>
    <row r="4035" spans="1:15" x14ac:dyDescent="0.3">
      <c r="A4035" t="s">
        <v>9503</v>
      </c>
      <c r="B4035" t="s">
        <v>9504</v>
      </c>
      <c r="C4035" t="s">
        <v>58</v>
      </c>
      <c r="D4035" t="s">
        <v>97</v>
      </c>
      <c r="E4035" t="s">
        <v>45</v>
      </c>
      <c r="F4035" t="s">
        <v>55</v>
      </c>
      <c r="G4035">
        <v>4.1399999999999997</v>
      </c>
      <c r="H4035" t="s">
        <v>47</v>
      </c>
      <c r="I4035" t="s">
        <v>48</v>
      </c>
      <c r="J4035" t="s">
        <v>98</v>
      </c>
      <c r="K4035">
        <v>1616.61</v>
      </c>
      <c r="L4035" t="s">
        <v>9505</v>
      </c>
      <c r="M4035">
        <f>VLOOKUP(H4035,'Stage Order'!$A$2:$B$8,2,FALSE)</f>
        <v>4</v>
      </c>
      <c r="N4035" t="str">
        <f t="shared" si="126"/>
        <v>2. 1-24 hours</v>
      </c>
      <c r="O4035" t="str">
        <f t="shared" si="127"/>
        <v>2025-06</v>
      </c>
    </row>
    <row r="4036" spans="1:15" x14ac:dyDescent="0.3">
      <c r="A4036" t="s">
        <v>9506</v>
      </c>
      <c r="B4036" t="s">
        <v>9507</v>
      </c>
      <c r="C4036" t="s">
        <v>76</v>
      </c>
      <c r="D4036" t="s">
        <v>54</v>
      </c>
      <c r="E4036" t="s">
        <v>90</v>
      </c>
      <c r="F4036" t="s">
        <v>112</v>
      </c>
      <c r="G4036">
        <v>0.95</v>
      </c>
      <c r="H4036" t="s">
        <v>41</v>
      </c>
      <c r="I4036" t="s">
        <v>42</v>
      </c>
      <c r="M4036">
        <f>VLOOKUP(H4036,'Stage Order'!$A$2:$B$8,2,FALSE)</f>
        <v>2</v>
      </c>
      <c r="N4036" t="str">
        <f t="shared" si="126"/>
        <v>1. Under 1 hour</v>
      </c>
      <c r="O4036" t="str">
        <f t="shared" si="127"/>
        <v>2025-01</v>
      </c>
    </row>
    <row r="4037" spans="1:15" x14ac:dyDescent="0.3">
      <c r="A4037" t="s">
        <v>9508</v>
      </c>
      <c r="B4037" t="s">
        <v>9509</v>
      </c>
      <c r="C4037" t="s">
        <v>37</v>
      </c>
      <c r="D4037" t="s">
        <v>54</v>
      </c>
      <c r="E4037" t="s">
        <v>45</v>
      </c>
      <c r="F4037" t="s">
        <v>55</v>
      </c>
      <c r="G4037">
        <v>1.95</v>
      </c>
      <c r="H4037" t="s">
        <v>32</v>
      </c>
      <c r="I4037" t="s">
        <v>33</v>
      </c>
      <c r="K4037">
        <v>489.17</v>
      </c>
      <c r="L4037" t="s">
        <v>9510</v>
      </c>
      <c r="M4037">
        <f>VLOOKUP(H4037,'Stage Order'!$A$2:$B$8,2,FALSE)</f>
        <v>7</v>
      </c>
      <c r="N4037" t="str">
        <f t="shared" si="126"/>
        <v>2. 1-24 hours</v>
      </c>
      <c r="O4037" t="str">
        <f t="shared" si="127"/>
        <v>2026-02</v>
      </c>
    </row>
    <row r="4038" spans="1:15" x14ac:dyDescent="0.3">
      <c r="A4038" t="s">
        <v>9511</v>
      </c>
      <c r="B4038" t="s">
        <v>9512</v>
      </c>
      <c r="C4038" t="s">
        <v>58</v>
      </c>
      <c r="D4038" t="s">
        <v>38</v>
      </c>
      <c r="E4038" t="s">
        <v>45</v>
      </c>
      <c r="F4038" t="s">
        <v>46</v>
      </c>
      <c r="G4038">
        <v>3.05</v>
      </c>
      <c r="H4038" t="s">
        <v>47</v>
      </c>
      <c r="I4038" t="s">
        <v>48</v>
      </c>
      <c r="J4038" t="s">
        <v>98</v>
      </c>
      <c r="K4038">
        <v>397.22</v>
      </c>
      <c r="L4038" t="s">
        <v>9513</v>
      </c>
      <c r="M4038">
        <f>VLOOKUP(H4038,'Stage Order'!$A$2:$B$8,2,FALSE)</f>
        <v>4</v>
      </c>
      <c r="N4038" t="str">
        <f t="shared" si="126"/>
        <v>2. 1-24 hours</v>
      </c>
      <c r="O4038" t="str">
        <f t="shared" si="127"/>
        <v>2026-01</v>
      </c>
    </row>
    <row r="4039" spans="1:15" x14ac:dyDescent="0.3">
      <c r="A4039" t="s">
        <v>9514</v>
      </c>
      <c r="B4039" t="s">
        <v>9515</v>
      </c>
      <c r="C4039" t="s">
        <v>37</v>
      </c>
      <c r="D4039" t="s">
        <v>38</v>
      </c>
      <c r="E4039" t="s">
        <v>90</v>
      </c>
      <c r="F4039" t="s">
        <v>91</v>
      </c>
      <c r="G4039">
        <v>5.29</v>
      </c>
      <c r="H4039" t="s">
        <v>41</v>
      </c>
      <c r="I4039" t="s">
        <v>42</v>
      </c>
      <c r="M4039">
        <f>VLOOKUP(H4039,'Stage Order'!$A$2:$B$8,2,FALSE)</f>
        <v>2</v>
      </c>
      <c r="N4039" t="str">
        <f t="shared" si="126"/>
        <v>2. 1-24 hours</v>
      </c>
      <c r="O4039" t="str">
        <f t="shared" si="127"/>
        <v>2025-01</v>
      </c>
    </row>
    <row r="4040" spans="1:15" x14ac:dyDescent="0.3">
      <c r="A4040" t="s">
        <v>9516</v>
      </c>
      <c r="B4040" t="s">
        <v>9517</v>
      </c>
      <c r="C4040" t="s">
        <v>37</v>
      </c>
      <c r="D4040" t="s">
        <v>77</v>
      </c>
      <c r="E4040" t="s">
        <v>90</v>
      </c>
      <c r="F4040" t="s">
        <v>145</v>
      </c>
      <c r="G4040">
        <v>5.66</v>
      </c>
      <c r="H4040" t="s">
        <v>128</v>
      </c>
      <c r="I4040" t="s">
        <v>42</v>
      </c>
      <c r="M4040">
        <f>VLOOKUP(H4040,'Stage Order'!$A$2:$B$8,2,FALSE)</f>
        <v>3</v>
      </c>
      <c r="N4040" t="str">
        <f t="shared" si="126"/>
        <v>2. 1-24 hours</v>
      </c>
      <c r="O4040" t="str">
        <f t="shared" si="127"/>
        <v>2025-10</v>
      </c>
    </row>
    <row r="4041" spans="1:15" x14ac:dyDescent="0.3">
      <c r="A4041" t="s">
        <v>9518</v>
      </c>
      <c r="B4041" t="s">
        <v>9519</v>
      </c>
      <c r="C4041" t="s">
        <v>37</v>
      </c>
      <c r="D4041" t="s">
        <v>54</v>
      </c>
      <c r="E4041" t="s">
        <v>45</v>
      </c>
      <c r="F4041" t="s">
        <v>94</v>
      </c>
      <c r="G4041">
        <v>0.57999999999999996</v>
      </c>
      <c r="H4041" t="s">
        <v>61</v>
      </c>
      <c r="I4041" t="s">
        <v>42</v>
      </c>
      <c r="M4041">
        <f>VLOOKUP(H4041,'Stage Order'!$A$2:$B$8,2,FALSE)</f>
        <v>1</v>
      </c>
      <c r="N4041" t="str">
        <f t="shared" si="126"/>
        <v>1. Under 1 hour</v>
      </c>
      <c r="O4041" t="str">
        <f t="shared" si="127"/>
        <v>2026-01</v>
      </c>
    </row>
    <row r="4042" spans="1:15" x14ac:dyDescent="0.3">
      <c r="A4042" t="s">
        <v>9520</v>
      </c>
      <c r="B4042" t="s">
        <v>9521</v>
      </c>
      <c r="C4042" t="s">
        <v>37</v>
      </c>
      <c r="D4042" t="s">
        <v>29</v>
      </c>
      <c r="E4042" t="s">
        <v>59</v>
      </c>
      <c r="F4042" t="s">
        <v>60</v>
      </c>
      <c r="G4042">
        <v>19.22</v>
      </c>
      <c r="H4042" t="s">
        <v>146</v>
      </c>
      <c r="I4042" t="s">
        <v>48</v>
      </c>
      <c r="J4042" t="s">
        <v>139</v>
      </c>
      <c r="K4042">
        <v>594.46</v>
      </c>
      <c r="L4042" t="s">
        <v>9522</v>
      </c>
      <c r="M4042">
        <f>VLOOKUP(H4042,'Stage Order'!$A$2:$B$8,2,FALSE)</f>
        <v>5</v>
      </c>
      <c r="N4042" t="str">
        <f t="shared" si="126"/>
        <v>2. 1-24 hours</v>
      </c>
      <c r="O4042" t="str">
        <f t="shared" si="127"/>
        <v>2026-05</v>
      </c>
    </row>
    <row r="4043" spans="1:15" x14ac:dyDescent="0.3">
      <c r="A4043" t="s">
        <v>9523</v>
      </c>
      <c r="B4043" t="s">
        <v>9524</v>
      </c>
      <c r="C4043" t="s">
        <v>53</v>
      </c>
      <c r="D4043" t="s">
        <v>38</v>
      </c>
      <c r="E4043" t="s">
        <v>59</v>
      </c>
      <c r="F4043" t="s">
        <v>60</v>
      </c>
      <c r="G4043">
        <v>3.29</v>
      </c>
      <c r="H4043" t="s">
        <v>32</v>
      </c>
      <c r="I4043" t="s">
        <v>33</v>
      </c>
      <c r="K4043">
        <v>387.37</v>
      </c>
      <c r="L4043" t="s">
        <v>9525</v>
      </c>
      <c r="M4043">
        <f>VLOOKUP(H4043,'Stage Order'!$A$2:$B$8,2,FALSE)</f>
        <v>7</v>
      </c>
      <c r="N4043" t="str">
        <f t="shared" si="126"/>
        <v>2. 1-24 hours</v>
      </c>
      <c r="O4043" t="str">
        <f t="shared" si="127"/>
        <v>2026-01</v>
      </c>
    </row>
    <row r="4044" spans="1:15" x14ac:dyDescent="0.3">
      <c r="A4044" t="s">
        <v>9526</v>
      </c>
      <c r="B4044" t="s">
        <v>9527</v>
      </c>
      <c r="C4044" t="s">
        <v>28</v>
      </c>
      <c r="D4044" t="s">
        <v>38</v>
      </c>
      <c r="E4044" t="s">
        <v>90</v>
      </c>
      <c r="F4044" t="s">
        <v>112</v>
      </c>
      <c r="G4044">
        <v>2.0099999999999998</v>
      </c>
      <c r="H4044" t="s">
        <v>41</v>
      </c>
      <c r="I4044" t="s">
        <v>42</v>
      </c>
      <c r="M4044">
        <f>VLOOKUP(H4044,'Stage Order'!$A$2:$B$8,2,FALSE)</f>
        <v>2</v>
      </c>
      <c r="N4044" t="str">
        <f t="shared" si="126"/>
        <v>2. 1-24 hours</v>
      </c>
      <c r="O4044" t="str">
        <f t="shared" si="127"/>
        <v>2025-09</v>
      </c>
    </row>
    <row r="4045" spans="1:15" x14ac:dyDescent="0.3">
      <c r="A4045" t="s">
        <v>9528</v>
      </c>
      <c r="B4045" t="s">
        <v>9529</v>
      </c>
      <c r="C4045" t="s">
        <v>58</v>
      </c>
      <c r="D4045" t="s">
        <v>54</v>
      </c>
      <c r="E4045" t="s">
        <v>39</v>
      </c>
      <c r="F4045" t="s">
        <v>106</v>
      </c>
      <c r="G4045">
        <v>2.2599999999999998</v>
      </c>
      <c r="H4045" t="s">
        <v>41</v>
      </c>
      <c r="I4045" t="s">
        <v>42</v>
      </c>
      <c r="M4045">
        <f>VLOOKUP(H4045,'Stage Order'!$A$2:$B$8,2,FALSE)</f>
        <v>2</v>
      </c>
      <c r="N4045" t="str">
        <f t="shared" si="126"/>
        <v>2. 1-24 hours</v>
      </c>
      <c r="O4045" t="str">
        <f t="shared" si="127"/>
        <v>2025-08</v>
      </c>
    </row>
    <row r="4046" spans="1:15" x14ac:dyDescent="0.3">
      <c r="A4046" t="s">
        <v>9530</v>
      </c>
      <c r="B4046" t="s">
        <v>9531</v>
      </c>
      <c r="C4046" t="s">
        <v>28</v>
      </c>
      <c r="D4046" t="s">
        <v>54</v>
      </c>
      <c r="E4046" t="s">
        <v>59</v>
      </c>
      <c r="F4046" t="s">
        <v>60</v>
      </c>
      <c r="G4046">
        <v>2.54</v>
      </c>
      <c r="H4046" t="s">
        <v>41</v>
      </c>
      <c r="I4046" t="s">
        <v>42</v>
      </c>
      <c r="M4046">
        <f>VLOOKUP(H4046,'Stage Order'!$A$2:$B$8,2,FALSE)</f>
        <v>2</v>
      </c>
      <c r="N4046" t="str">
        <f t="shared" si="126"/>
        <v>2. 1-24 hours</v>
      </c>
      <c r="O4046" t="str">
        <f t="shared" si="127"/>
        <v>2025-03</v>
      </c>
    </row>
    <row r="4047" spans="1:15" x14ac:dyDescent="0.3">
      <c r="A4047" t="s">
        <v>9532</v>
      </c>
      <c r="B4047" t="s">
        <v>9533</v>
      </c>
      <c r="C4047" t="s">
        <v>37</v>
      </c>
      <c r="D4047" t="s">
        <v>38</v>
      </c>
      <c r="E4047" t="s">
        <v>90</v>
      </c>
      <c r="F4047" t="s">
        <v>91</v>
      </c>
      <c r="G4047">
        <v>10.37</v>
      </c>
      <c r="H4047" t="s">
        <v>61</v>
      </c>
      <c r="I4047" t="s">
        <v>42</v>
      </c>
      <c r="M4047">
        <f>VLOOKUP(H4047,'Stage Order'!$A$2:$B$8,2,FALSE)</f>
        <v>1</v>
      </c>
      <c r="N4047" t="str">
        <f t="shared" si="126"/>
        <v>2. 1-24 hours</v>
      </c>
      <c r="O4047" t="str">
        <f t="shared" si="127"/>
        <v>2026-02</v>
      </c>
    </row>
    <row r="4048" spans="1:15" x14ac:dyDescent="0.3">
      <c r="A4048" t="s">
        <v>9534</v>
      </c>
      <c r="B4048" t="s">
        <v>9535</v>
      </c>
      <c r="C4048" t="s">
        <v>125</v>
      </c>
      <c r="D4048" t="s">
        <v>29</v>
      </c>
      <c r="E4048" t="s">
        <v>45</v>
      </c>
      <c r="F4048" t="s">
        <v>55</v>
      </c>
      <c r="G4048">
        <v>2.4</v>
      </c>
      <c r="H4048" t="s">
        <v>61</v>
      </c>
      <c r="I4048" t="s">
        <v>42</v>
      </c>
      <c r="M4048">
        <f>VLOOKUP(H4048,'Stage Order'!$A$2:$B$8,2,FALSE)</f>
        <v>1</v>
      </c>
      <c r="N4048" t="str">
        <f t="shared" si="126"/>
        <v>2. 1-24 hours</v>
      </c>
      <c r="O4048" t="str">
        <f t="shared" si="127"/>
        <v>2025-11</v>
      </c>
    </row>
    <row r="4049" spans="1:15" x14ac:dyDescent="0.3">
      <c r="A4049" t="s">
        <v>9536</v>
      </c>
      <c r="B4049" t="s">
        <v>9537</v>
      </c>
      <c r="C4049" t="s">
        <v>81</v>
      </c>
      <c r="D4049" t="s">
        <v>77</v>
      </c>
      <c r="E4049" t="s">
        <v>39</v>
      </c>
      <c r="F4049" t="s">
        <v>106</v>
      </c>
      <c r="G4049">
        <v>2.54</v>
      </c>
      <c r="H4049" t="s">
        <v>61</v>
      </c>
      <c r="I4049" t="s">
        <v>42</v>
      </c>
      <c r="M4049">
        <f>VLOOKUP(H4049,'Stage Order'!$A$2:$B$8,2,FALSE)</f>
        <v>1</v>
      </c>
      <c r="N4049" t="str">
        <f t="shared" si="126"/>
        <v>2. 1-24 hours</v>
      </c>
      <c r="O4049" t="str">
        <f t="shared" si="127"/>
        <v>2026-01</v>
      </c>
    </row>
    <row r="4050" spans="1:15" x14ac:dyDescent="0.3">
      <c r="A4050" t="s">
        <v>9538</v>
      </c>
      <c r="B4050" t="s">
        <v>9539</v>
      </c>
      <c r="C4050" t="s">
        <v>76</v>
      </c>
      <c r="D4050" t="s">
        <v>29</v>
      </c>
      <c r="E4050" t="s">
        <v>59</v>
      </c>
      <c r="F4050" t="s">
        <v>137</v>
      </c>
      <c r="G4050">
        <v>7.39</v>
      </c>
      <c r="H4050" t="s">
        <v>32</v>
      </c>
      <c r="I4050" t="s">
        <v>33</v>
      </c>
      <c r="K4050">
        <v>725.61</v>
      </c>
      <c r="L4050" t="s">
        <v>9540</v>
      </c>
      <c r="M4050">
        <f>VLOOKUP(H4050,'Stage Order'!$A$2:$B$8,2,FALSE)</f>
        <v>7</v>
      </c>
      <c r="N4050" t="str">
        <f t="shared" si="126"/>
        <v>2. 1-24 hours</v>
      </c>
      <c r="O4050" t="str">
        <f t="shared" si="127"/>
        <v>2025-03</v>
      </c>
    </row>
    <row r="4051" spans="1:15" x14ac:dyDescent="0.3">
      <c r="A4051" t="s">
        <v>9541</v>
      </c>
      <c r="B4051" t="s">
        <v>9542</v>
      </c>
      <c r="C4051" t="s">
        <v>37</v>
      </c>
      <c r="D4051" t="s">
        <v>29</v>
      </c>
      <c r="E4051" t="s">
        <v>59</v>
      </c>
      <c r="F4051" t="s">
        <v>60</v>
      </c>
      <c r="G4051">
        <v>0.65</v>
      </c>
      <c r="H4051" t="s">
        <v>32</v>
      </c>
      <c r="I4051" t="s">
        <v>33</v>
      </c>
      <c r="K4051">
        <v>680.3</v>
      </c>
      <c r="L4051" t="s">
        <v>9543</v>
      </c>
      <c r="M4051">
        <f>VLOOKUP(H4051,'Stage Order'!$A$2:$B$8,2,FALSE)</f>
        <v>7</v>
      </c>
      <c r="N4051" t="str">
        <f t="shared" si="126"/>
        <v>1. Under 1 hour</v>
      </c>
      <c r="O4051" t="str">
        <f t="shared" si="127"/>
        <v>2026-05</v>
      </c>
    </row>
    <row r="4052" spans="1:15" x14ac:dyDescent="0.3">
      <c r="A4052" t="s">
        <v>9544</v>
      </c>
      <c r="B4052" t="s">
        <v>9545</v>
      </c>
      <c r="C4052" t="s">
        <v>37</v>
      </c>
      <c r="D4052" t="s">
        <v>77</v>
      </c>
      <c r="E4052" t="s">
        <v>30</v>
      </c>
      <c r="F4052" t="s">
        <v>78</v>
      </c>
      <c r="G4052">
        <v>2.2400000000000002</v>
      </c>
      <c r="H4052" t="s">
        <v>41</v>
      </c>
      <c r="I4052" t="s">
        <v>42</v>
      </c>
      <c r="M4052">
        <f>VLOOKUP(H4052,'Stage Order'!$A$2:$B$8,2,FALSE)</f>
        <v>2</v>
      </c>
      <c r="N4052" t="str">
        <f t="shared" si="126"/>
        <v>2. 1-24 hours</v>
      </c>
      <c r="O4052" t="str">
        <f t="shared" si="127"/>
        <v>2025-04</v>
      </c>
    </row>
    <row r="4053" spans="1:15" x14ac:dyDescent="0.3">
      <c r="A4053" t="s">
        <v>9546</v>
      </c>
      <c r="B4053" t="s">
        <v>9547</v>
      </c>
      <c r="C4053" t="s">
        <v>58</v>
      </c>
      <c r="D4053" t="s">
        <v>54</v>
      </c>
      <c r="E4053" t="s">
        <v>45</v>
      </c>
      <c r="F4053" t="s">
        <v>94</v>
      </c>
      <c r="G4053">
        <v>2.66</v>
      </c>
      <c r="H4053" t="s">
        <v>32</v>
      </c>
      <c r="I4053" t="s">
        <v>33</v>
      </c>
      <c r="K4053">
        <v>529.88</v>
      </c>
      <c r="L4053" t="s">
        <v>9548</v>
      </c>
      <c r="M4053">
        <f>VLOOKUP(H4053,'Stage Order'!$A$2:$B$8,2,FALSE)</f>
        <v>7</v>
      </c>
      <c r="N4053" t="str">
        <f t="shared" si="126"/>
        <v>2. 1-24 hours</v>
      </c>
      <c r="O4053" t="str">
        <f t="shared" si="127"/>
        <v>2025-02</v>
      </c>
    </row>
    <row r="4054" spans="1:15" x14ac:dyDescent="0.3">
      <c r="A4054" t="s">
        <v>9549</v>
      </c>
      <c r="B4054" t="s">
        <v>9550</v>
      </c>
      <c r="C4054" t="s">
        <v>28</v>
      </c>
      <c r="D4054" t="s">
        <v>77</v>
      </c>
      <c r="E4054" t="s">
        <v>90</v>
      </c>
      <c r="F4054" t="s">
        <v>112</v>
      </c>
      <c r="G4054">
        <v>14.95</v>
      </c>
      <c r="H4054" t="s">
        <v>61</v>
      </c>
      <c r="I4054" t="s">
        <v>42</v>
      </c>
      <c r="M4054">
        <f>VLOOKUP(H4054,'Stage Order'!$A$2:$B$8,2,FALSE)</f>
        <v>1</v>
      </c>
      <c r="N4054" t="str">
        <f t="shared" si="126"/>
        <v>2. 1-24 hours</v>
      </c>
      <c r="O4054" t="str">
        <f t="shared" si="127"/>
        <v>2025-03</v>
      </c>
    </row>
    <row r="4055" spans="1:15" x14ac:dyDescent="0.3">
      <c r="A4055" t="s">
        <v>9551</v>
      </c>
      <c r="B4055" t="s">
        <v>9552</v>
      </c>
      <c r="C4055" t="s">
        <v>58</v>
      </c>
      <c r="D4055" t="s">
        <v>77</v>
      </c>
      <c r="E4055" t="s">
        <v>30</v>
      </c>
      <c r="F4055" t="s">
        <v>78</v>
      </c>
      <c r="G4055">
        <v>4.32</v>
      </c>
      <c r="H4055" t="s">
        <v>41</v>
      </c>
      <c r="I4055" t="s">
        <v>42</v>
      </c>
      <c r="M4055">
        <f>VLOOKUP(H4055,'Stage Order'!$A$2:$B$8,2,FALSE)</f>
        <v>2</v>
      </c>
      <c r="N4055" t="str">
        <f t="shared" si="126"/>
        <v>2. 1-24 hours</v>
      </c>
      <c r="O4055" t="str">
        <f t="shared" si="127"/>
        <v>2025-11</v>
      </c>
    </row>
    <row r="4056" spans="1:15" x14ac:dyDescent="0.3">
      <c r="A4056" t="s">
        <v>9553</v>
      </c>
      <c r="B4056" t="s">
        <v>9554</v>
      </c>
      <c r="C4056" t="s">
        <v>76</v>
      </c>
      <c r="D4056" t="s">
        <v>38</v>
      </c>
      <c r="E4056" t="s">
        <v>59</v>
      </c>
      <c r="F4056" t="s">
        <v>60</v>
      </c>
      <c r="G4056">
        <v>2.98</v>
      </c>
      <c r="H4056" t="s">
        <v>32</v>
      </c>
      <c r="I4056" t="s">
        <v>33</v>
      </c>
      <c r="K4056">
        <v>312.52999999999997</v>
      </c>
      <c r="L4056" t="s">
        <v>9555</v>
      </c>
      <c r="M4056">
        <f>VLOOKUP(H4056,'Stage Order'!$A$2:$B$8,2,FALSE)</f>
        <v>7</v>
      </c>
      <c r="N4056" t="str">
        <f t="shared" si="126"/>
        <v>2. 1-24 hours</v>
      </c>
      <c r="O4056" t="str">
        <f t="shared" si="127"/>
        <v>2026-02</v>
      </c>
    </row>
    <row r="4057" spans="1:15" x14ac:dyDescent="0.3">
      <c r="A4057" t="s">
        <v>9556</v>
      </c>
      <c r="B4057" t="s">
        <v>9557</v>
      </c>
      <c r="C4057" t="s">
        <v>81</v>
      </c>
      <c r="D4057" t="s">
        <v>54</v>
      </c>
      <c r="E4057" t="s">
        <v>59</v>
      </c>
      <c r="F4057" t="s">
        <v>117</v>
      </c>
      <c r="G4057">
        <v>10.42</v>
      </c>
      <c r="H4057" t="s">
        <v>61</v>
      </c>
      <c r="I4057" t="s">
        <v>42</v>
      </c>
      <c r="M4057">
        <f>VLOOKUP(H4057,'Stage Order'!$A$2:$B$8,2,FALSE)</f>
        <v>1</v>
      </c>
      <c r="N4057" t="str">
        <f t="shared" si="126"/>
        <v>2. 1-24 hours</v>
      </c>
      <c r="O4057" t="str">
        <f t="shared" si="127"/>
        <v>2025-04</v>
      </c>
    </row>
    <row r="4058" spans="1:15" x14ac:dyDescent="0.3">
      <c r="A4058" t="s">
        <v>9558</v>
      </c>
      <c r="B4058" t="s">
        <v>9559</v>
      </c>
      <c r="C4058" t="s">
        <v>125</v>
      </c>
      <c r="D4058" t="s">
        <v>29</v>
      </c>
      <c r="E4058" t="s">
        <v>39</v>
      </c>
      <c r="F4058" t="s">
        <v>106</v>
      </c>
      <c r="G4058">
        <v>13.72</v>
      </c>
      <c r="H4058" t="s">
        <v>61</v>
      </c>
      <c r="I4058" t="s">
        <v>42</v>
      </c>
      <c r="M4058">
        <f>VLOOKUP(H4058,'Stage Order'!$A$2:$B$8,2,FALSE)</f>
        <v>1</v>
      </c>
      <c r="N4058" t="str">
        <f t="shared" si="126"/>
        <v>2. 1-24 hours</v>
      </c>
      <c r="O4058" t="str">
        <f t="shared" si="127"/>
        <v>2025-06</v>
      </c>
    </row>
    <row r="4059" spans="1:15" x14ac:dyDescent="0.3">
      <c r="A4059" t="s">
        <v>9560</v>
      </c>
      <c r="B4059" t="s">
        <v>9561</v>
      </c>
      <c r="C4059" t="s">
        <v>53</v>
      </c>
      <c r="D4059" t="s">
        <v>77</v>
      </c>
      <c r="E4059" t="s">
        <v>39</v>
      </c>
      <c r="F4059" t="s">
        <v>106</v>
      </c>
      <c r="G4059">
        <v>34.93</v>
      </c>
      <c r="H4059" t="s">
        <v>41</v>
      </c>
      <c r="I4059" t="s">
        <v>42</v>
      </c>
      <c r="M4059">
        <f>VLOOKUP(H4059,'Stage Order'!$A$2:$B$8,2,FALSE)</f>
        <v>2</v>
      </c>
      <c r="N4059" t="str">
        <f t="shared" si="126"/>
        <v>3. 1-3 days</v>
      </c>
      <c r="O4059" t="str">
        <f t="shared" si="127"/>
        <v>2025-04</v>
      </c>
    </row>
    <row r="4060" spans="1:15" x14ac:dyDescent="0.3">
      <c r="A4060" t="s">
        <v>9562</v>
      </c>
      <c r="B4060" t="s">
        <v>9563</v>
      </c>
      <c r="C4060" t="s">
        <v>28</v>
      </c>
      <c r="D4060" t="s">
        <v>29</v>
      </c>
      <c r="E4060" t="s">
        <v>59</v>
      </c>
      <c r="F4060" t="s">
        <v>117</v>
      </c>
      <c r="G4060">
        <v>8.51</v>
      </c>
      <c r="H4060" t="s">
        <v>41</v>
      </c>
      <c r="I4060" t="s">
        <v>42</v>
      </c>
      <c r="M4060">
        <f>VLOOKUP(H4060,'Stage Order'!$A$2:$B$8,2,FALSE)</f>
        <v>2</v>
      </c>
      <c r="N4060" t="str">
        <f t="shared" si="126"/>
        <v>2. 1-24 hours</v>
      </c>
      <c r="O4060" t="str">
        <f t="shared" si="127"/>
        <v>2026-01</v>
      </c>
    </row>
    <row r="4061" spans="1:15" x14ac:dyDescent="0.3">
      <c r="A4061" t="s">
        <v>9564</v>
      </c>
      <c r="B4061" t="s">
        <v>9565</v>
      </c>
      <c r="C4061" t="s">
        <v>125</v>
      </c>
      <c r="D4061" t="s">
        <v>77</v>
      </c>
      <c r="E4061" t="s">
        <v>39</v>
      </c>
      <c r="F4061" t="s">
        <v>106</v>
      </c>
      <c r="G4061">
        <v>0.91</v>
      </c>
      <c r="H4061" t="s">
        <v>138</v>
      </c>
      <c r="I4061" t="s">
        <v>48</v>
      </c>
      <c r="J4061" t="s">
        <v>139</v>
      </c>
      <c r="K4061">
        <v>1185.9100000000001</v>
      </c>
      <c r="L4061" t="s">
        <v>9566</v>
      </c>
      <c r="M4061">
        <f>VLOOKUP(H4061,'Stage Order'!$A$2:$B$8,2,FALSE)</f>
        <v>6</v>
      </c>
      <c r="N4061" t="str">
        <f t="shared" si="126"/>
        <v>1. Under 1 hour</v>
      </c>
      <c r="O4061" t="str">
        <f t="shared" si="127"/>
        <v>2025-07</v>
      </c>
    </row>
    <row r="4062" spans="1:15" x14ac:dyDescent="0.3">
      <c r="A4062" t="s">
        <v>9567</v>
      </c>
      <c r="B4062" t="s">
        <v>9568</v>
      </c>
      <c r="C4062" t="s">
        <v>37</v>
      </c>
      <c r="D4062" t="s">
        <v>77</v>
      </c>
      <c r="E4062" t="s">
        <v>39</v>
      </c>
      <c r="F4062" t="s">
        <v>106</v>
      </c>
      <c r="G4062">
        <v>1.06</v>
      </c>
      <c r="H4062" t="s">
        <v>32</v>
      </c>
      <c r="I4062" t="s">
        <v>33</v>
      </c>
      <c r="K4062">
        <v>911.35</v>
      </c>
      <c r="L4062" t="s">
        <v>9569</v>
      </c>
      <c r="M4062">
        <f>VLOOKUP(H4062,'Stage Order'!$A$2:$B$8,2,FALSE)</f>
        <v>7</v>
      </c>
      <c r="N4062" t="str">
        <f t="shared" si="126"/>
        <v>2. 1-24 hours</v>
      </c>
      <c r="O4062" t="str">
        <f t="shared" si="127"/>
        <v>2026-06</v>
      </c>
    </row>
    <row r="4063" spans="1:15" x14ac:dyDescent="0.3">
      <c r="A4063" t="s">
        <v>9570</v>
      </c>
      <c r="B4063" t="s">
        <v>9571</v>
      </c>
      <c r="C4063" t="s">
        <v>76</v>
      </c>
      <c r="D4063" t="s">
        <v>77</v>
      </c>
      <c r="E4063" t="s">
        <v>39</v>
      </c>
      <c r="F4063" t="s">
        <v>66</v>
      </c>
      <c r="G4063">
        <v>6.55</v>
      </c>
      <c r="H4063" t="s">
        <v>61</v>
      </c>
      <c r="I4063" t="s">
        <v>42</v>
      </c>
      <c r="M4063">
        <f>VLOOKUP(H4063,'Stage Order'!$A$2:$B$8,2,FALSE)</f>
        <v>1</v>
      </c>
      <c r="N4063" t="str">
        <f t="shared" si="126"/>
        <v>2. 1-24 hours</v>
      </c>
      <c r="O4063" t="str">
        <f t="shared" si="127"/>
        <v>2025-03</v>
      </c>
    </row>
    <row r="4064" spans="1:15" x14ac:dyDescent="0.3">
      <c r="A4064" t="s">
        <v>9572</v>
      </c>
      <c r="B4064" t="s">
        <v>9573</v>
      </c>
      <c r="C4064" t="s">
        <v>125</v>
      </c>
      <c r="D4064" t="s">
        <v>38</v>
      </c>
      <c r="E4064" t="s">
        <v>59</v>
      </c>
      <c r="F4064" t="s">
        <v>137</v>
      </c>
      <c r="G4064">
        <v>0.84</v>
      </c>
      <c r="H4064" t="s">
        <v>41</v>
      </c>
      <c r="I4064" t="s">
        <v>42</v>
      </c>
      <c r="M4064">
        <f>VLOOKUP(H4064,'Stage Order'!$A$2:$B$8,2,FALSE)</f>
        <v>2</v>
      </c>
      <c r="N4064" t="str">
        <f t="shared" si="126"/>
        <v>1. Under 1 hour</v>
      </c>
      <c r="O4064" t="str">
        <f t="shared" si="127"/>
        <v>2026-04</v>
      </c>
    </row>
    <row r="4065" spans="1:15" x14ac:dyDescent="0.3">
      <c r="A4065" t="s">
        <v>9574</v>
      </c>
      <c r="B4065" t="s">
        <v>9575</v>
      </c>
      <c r="C4065" t="s">
        <v>37</v>
      </c>
      <c r="D4065" t="s">
        <v>38</v>
      </c>
      <c r="E4065" t="s">
        <v>90</v>
      </c>
      <c r="F4065" t="s">
        <v>145</v>
      </c>
      <c r="G4065">
        <v>2.02</v>
      </c>
      <c r="H4065" t="s">
        <v>41</v>
      </c>
      <c r="I4065" t="s">
        <v>42</v>
      </c>
      <c r="M4065">
        <f>VLOOKUP(H4065,'Stage Order'!$A$2:$B$8,2,FALSE)</f>
        <v>2</v>
      </c>
      <c r="N4065" t="str">
        <f t="shared" si="126"/>
        <v>2. 1-24 hours</v>
      </c>
      <c r="O4065" t="str">
        <f t="shared" si="127"/>
        <v>2025-04</v>
      </c>
    </row>
    <row r="4066" spans="1:15" x14ac:dyDescent="0.3">
      <c r="A4066" t="s">
        <v>9576</v>
      </c>
      <c r="B4066" t="s">
        <v>9577</v>
      </c>
      <c r="C4066" t="s">
        <v>125</v>
      </c>
      <c r="D4066" t="s">
        <v>77</v>
      </c>
      <c r="E4066" t="s">
        <v>39</v>
      </c>
      <c r="F4066" t="s">
        <v>106</v>
      </c>
      <c r="G4066">
        <v>1.38</v>
      </c>
      <c r="H4066" t="s">
        <v>41</v>
      </c>
      <c r="I4066" t="s">
        <v>42</v>
      </c>
      <c r="M4066">
        <f>VLOOKUP(H4066,'Stage Order'!$A$2:$B$8,2,FALSE)</f>
        <v>2</v>
      </c>
      <c r="N4066" t="str">
        <f t="shared" si="126"/>
        <v>2. 1-24 hours</v>
      </c>
      <c r="O4066" t="str">
        <f t="shared" si="127"/>
        <v>2025-12</v>
      </c>
    </row>
    <row r="4067" spans="1:15" x14ac:dyDescent="0.3">
      <c r="A4067" t="s">
        <v>9578</v>
      </c>
      <c r="B4067" t="s">
        <v>9579</v>
      </c>
      <c r="C4067" t="s">
        <v>76</v>
      </c>
      <c r="D4067" t="s">
        <v>38</v>
      </c>
      <c r="E4067" t="s">
        <v>59</v>
      </c>
      <c r="F4067" t="s">
        <v>137</v>
      </c>
      <c r="G4067">
        <v>4.8</v>
      </c>
      <c r="H4067" t="s">
        <v>41</v>
      </c>
      <c r="I4067" t="s">
        <v>42</v>
      </c>
      <c r="M4067">
        <f>VLOOKUP(H4067,'Stage Order'!$A$2:$B$8,2,FALSE)</f>
        <v>2</v>
      </c>
      <c r="N4067" t="str">
        <f t="shared" si="126"/>
        <v>2. 1-24 hours</v>
      </c>
      <c r="O4067" t="str">
        <f t="shared" si="127"/>
        <v>2025-06</v>
      </c>
    </row>
    <row r="4068" spans="1:15" x14ac:dyDescent="0.3">
      <c r="A4068" t="s">
        <v>9580</v>
      </c>
      <c r="B4068" t="s">
        <v>9581</v>
      </c>
      <c r="C4068" t="s">
        <v>28</v>
      </c>
      <c r="D4068" t="s">
        <v>29</v>
      </c>
      <c r="E4068" t="s">
        <v>39</v>
      </c>
      <c r="F4068" t="s">
        <v>106</v>
      </c>
      <c r="G4068">
        <v>3.27</v>
      </c>
      <c r="H4068" t="s">
        <v>32</v>
      </c>
      <c r="I4068" t="s">
        <v>33</v>
      </c>
      <c r="K4068">
        <v>736.59</v>
      </c>
      <c r="L4068" t="s">
        <v>9582</v>
      </c>
      <c r="M4068">
        <f>VLOOKUP(H4068,'Stage Order'!$A$2:$B$8,2,FALSE)</f>
        <v>7</v>
      </c>
      <c r="N4068" t="str">
        <f t="shared" si="126"/>
        <v>2. 1-24 hours</v>
      </c>
      <c r="O4068" t="str">
        <f t="shared" si="127"/>
        <v>2026-01</v>
      </c>
    </row>
    <row r="4069" spans="1:15" x14ac:dyDescent="0.3">
      <c r="A4069" t="s">
        <v>9583</v>
      </c>
      <c r="B4069" t="s">
        <v>9584</v>
      </c>
      <c r="C4069" t="s">
        <v>125</v>
      </c>
      <c r="D4069" t="s">
        <v>77</v>
      </c>
      <c r="E4069" t="s">
        <v>90</v>
      </c>
      <c r="F4069" t="s">
        <v>91</v>
      </c>
      <c r="G4069">
        <v>2.34</v>
      </c>
      <c r="H4069" t="s">
        <v>61</v>
      </c>
      <c r="I4069" t="s">
        <v>42</v>
      </c>
      <c r="M4069">
        <f>VLOOKUP(H4069,'Stage Order'!$A$2:$B$8,2,FALSE)</f>
        <v>1</v>
      </c>
      <c r="N4069" t="str">
        <f t="shared" si="126"/>
        <v>2. 1-24 hours</v>
      </c>
      <c r="O4069" t="str">
        <f t="shared" si="127"/>
        <v>2026-06</v>
      </c>
    </row>
    <row r="4070" spans="1:15" x14ac:dyDescent="0.3">
      <c r="A4070" t="s">
        <v>9585</v>
      </c>
      <c r="B4070" t="s">
        <v>9586</v>
      </c>
      <c r="C4070" t="s">
        <v>37</v>
      </c>
      <c r="D4070" t="s">
        <v>54</v>
      </c>
      <c r="E4070" t="s">
        <v>59</v>
      </c>
      <c r="F4070" t="s">
        <v>60</v>
      </c>
      <c r="G4070">
        <v>2.75</v>
      </c>
      <c r="H4070" t="s">
        <v>41</v>
      </c>
      <c r="I4070" t="s">
        <v>42</v>
      </c>
      <c r="M4070">
        <f>VLOOKUP(H4070,'Stage Order'!$A$2:$B$8,2,FALSE)</f>
        <v>2</v>
      </c>
      <c r="N4070" t="str">
        <f t="shared" si="126"/>
        <v>2. 1-24 hours</v>
      </c>
      <c r="O4070" t="str">
        <f t="shared" si="127"/>
        <v>2025-04</v>
      </c>
    </row>
    <row r="4071" spans="1:15" x14ac:dyDescent="0.3">
      <c r="A4071" t="s">
        <v>9587</v>
      </c>
      <c r="B4071" t="s">
        <v>9588</v>
      </c>
      <c r="C4071" t="s">
        <v>53</v>
      </c>
      <c r="D4071" t="s">
        <v>29</v>
      </c>
      <c r="E4071" t="s">
        <v>45</v>
      </c>
      <c r="F4071" t="s">
        <v>94</v>
      </c>
      <c r="G4071">
        <v>3.51</v>
      </c>
      <c r="H4071" t="s">
        <v>128</v>
      </c>
      <c r="I4071" t="s">
        <v>42</v>
      </c>
      <c r="M4071">
        <f>VLOOKUP(H4071,'Stage Order'!$A$2:$B$8,2,FALSE)</f>
        <v>3</v>
      </c>
      <c r="N4071" t="str">
        <f t="shared" si="126"/>
        <v>2. 1-24 hours</v>
      </c>
      <c r="O4071" t="str">
        <f t="shared" si="127"/>
        <v>2025-12</v>
      </c>
    </row>
    <row r="4072" spans="1:15" x14ac:dyDescent="0.3">
      <c r="A4072" t="s">
        <v>9589</v>
      </c>
      <c r="B4072" t="s">
        <v>9590</v>
      </c>
      <c r="C4072" t="s">
        <v>28</v>
      </c>
      <c r="D4072" t="s">
        <v>77</v>
      </c>
      <c r="E4072" t="s">
        <v>90</v>
      </c>
      <c r="F4072" t="s">
        <v>145</v>
      </c>
      <c r="G4072">
        <v>1.03</v>
      </c>
      <c r="H4072" t="s">
        <v>32</v>
      </c>
      <c r="I4072" t="s">
        <v>33</v>
      </c>
      <c r="K4072">
        <v>1062</v>
      </c>
      <c r="L4072" t="s">
        <v>9591</v>
      </c>
      <c r="M4072">
        <f>VLOOKUP(H4072,'Stage Order'!$A$2:$B$8,2,FALSE)</f>
        <v>7</v>
      </c>
      <c r="N4072" t="str">
        <f t="shared" si="126"/>
        <v>2. 1-24 hours</v>
      </c>
      <c r="O4072" t="str">
        <f t="shared" si="127"/>
        <v>2025-02</v>
      </c>
    </row>
    <row r="4073" spans="1:15" x14ac:dyDescent="0.3">
      <c r="A4073" t="s">
        <v>9592</v>
      </c>
      <c r="B4073" t="s">
        <v>9593</v>
      </c>
      <c r="C4073" t="s">
        <v>58</v>
      </c>
      <c r="D4073" t="s">
        <v>97</v>
      </c>
      <c r="E4073" t="s">
        <v>39</v>
      </c>
      <c r="F4073" t="s">
        <v>40</v>
      </c>
      <c r="G4073">
        <v>1.25</v>
      </c>
      <c r="H4073" t="s">
        <v>41</v>
      </c>
      <c r="I4073" t="s">
        <v>42</v>
      </c>
      <c r="M4073">
        <f>VLOOKUP(H4073,'Stage Order'!$A$2:$B$8,2,FALSE)</f>
        <v>2</v>
      </c>
      <c r="N4073" t="str">
        <f t="shared" si="126"/>
        <v>2. 1-24 hours</v>
      </c>
      <c r="O4073" t="str">
        <f t="shared" si="127"/>
        <v>2026-02</v>
      </c>
    </row>
    <row r="4074" spans="1:15" x14ac:dyDescent="0.3">
      <c r="A4074" t="s">
        <v>9594</v>
      </c>
      <c r="B4074" t="s">
        <v>9595</v>
      </c>
      <c r="C4074" t="s">
        <v>37</v>
      </c>
      <c r="D4074" t="s">
        <v>29</v>
      </c>
      <c r="E4074" t="s">
        <v>39</v>
      </c>
      <c r="F4074" t="s">
        <v>66</v>
      </c>
      <c r="G4074">
        <v>1.24</v>
      </c>
      <c r="H4074" t="s">
        <v>61</v>
      </c>
      <c r="I4074" t="s">
        <v>42</v>
      </c>
      <c r="M4074">
        <f>VLOOKUP(H4074,'Stage Order'!$A$2:$B$8,2,FALSE)</f>
        <v>1</v>
      </c>
      <c r="N4074" t="str">
        <f t="shared" si="126"/>
        <v>2. 1-24 hours</v>
      </c>
      <c r="O4074" t="str">
        <f t="shared" si="127"/>
        <v>2025-07</v>
      </c>
    </row>
    <row r="4075" spans="1:15" x14ac:dyDescent="0.3">
      <c r="A4075" t="s">
        <v>9596</v>
      </c>
      <c r="B4075" t="s">
        <v>9597</v>
      </c>
      <c r="C4075" t="s">
        <v>125</v>
      </c>
      <c r="D4075" t="s">
        <v>54</v>
      </c>
      <c r="E4075" t="s">
        <v>45</v>
      </c>
      <c r="F4075" t="s">
        <v>55</v>
      </c>
      <c r="G4075">
        <v>4.6399999999999997</v>
      </c>
      <c r="H4075" t="s">
        <v>146</v>
      </c>
      <c r="I4075" t="s">
        <v>48</v>
      </c>
      <c r="J4075" t="s">
        <v>113</v>
      </c>
      <c r="K4075">
        <v>506.79</v>
      </c>
      <c r="L4075" t="s">
        <v>9598</v>
      </c>
      <c r="M4075">
        <f>VLOOKUP(H4075,'Stage Order'!$A$2:$B$8,2,FALSE)</f>
        <v>5</v>
      </c>
      <c r="N4075" t="str">
        <f t="shared" si="126"/>
        <v>2. 1-24 hours</v>
      </c>
      <c r="O4075" t="str">
        <f t="shared" si="127"/>
        <v>2025-01</v>
      </c>
    </row>
    <row r="4076" spans="1:15" x14ac:dyDescent="0.3">
      <c r="A4076" t="s">
        <v>9599</v>
      </c>
      <c r="B4076" t="s">
        <v>9600</v>
      </c>
      <c r="C4076" t="s">
        <v>37</v>
      </c>
      <c r="D4076" t="s">
        <v>97</v>
      </c>
      <c r="E4076" t="s">
        <v>90</v>
      </c>
      <c r="F4076" t="s">
        <v>145</v>
      </c>
      <c r="G4076">
        <v>3.88</v>
      </c>
      <c r="H4076" t="s">
        <v>41</v>
      </c>
      <c r="I4076" t="s">
        <v>42</v>
      </c>
      <c r="M4076">
        <f>VLOOKUP(H4076,'Stage Order'!$A$2:$B$8,2,FALSE)</f>
        <v>2</v>
      </c>
      <c r="N4076" t="str">
        <f t="shared" si="126"/>
        <v>2. 1-24 hours</v>
      </c>
      <c r="O4076" t="str">
        <f t="shared" si="127"/>
        <v>2025-09</v>
      </c>
    </row>
    <row r="4077" spans="1:15" x14ac:dyDescent="0.3">
      <c r="A4077" t="s">
        <v>9601</v>
      </c>
      <c r="B4077" t="s">
        <v>9602</v>
      </c>
      <c r="C4077" t="s">
        <v>37</v>
      </c>
      <c r="D4077" t="s">
        <v>29</v>
      </c>
      <c r="E4077" t="s">
        <v>39</v>
      </c>
      <c r="F4077" t="s">
        <v>66</v>
      </c>
      <c r="G4077">
        <v>4.21</v>
      </c>
      <c r="H4077" t="s">
        <v>41</v>
      </c>
      <c r="I4077" t="s">
        <v>42</v>
      </c>
      <c r="M4077">
        <f>VLOOKUP(H4077,'Stage Order'!$A$2:$B$8,2,FALSE)</f>
        <v>2</v>
      </c>
      <c r="N4077" t="str">
        <f t="shared" si="126"/>
        <v>2. 1-24 hours</v>
      </c>
      <c r="O4077" t="str">
        <f t="shared" si="127"/>
        <v>2026-03</v>
      </c>
    </row>
    <row r="4078" spans="1:15" x14ac:dyDescent="0.3">
      <c r="A4078" t="s">
        <v>9603</v>
      </c>
      <c r="B4078" t="s">
        <v>9604</v>
      </c>
      <c r="C4078" t="s">
        <v>125</v>
      </c>
      <c r="D4078" t="s">
        <v>54</v>
      </c>
      <c r="E4078" t="s">
        <v>45</v>
      </c>
      <c r="F4078" t="s">
        <v>46</v>
      </c>
      <c r="G4078">
        <v>17</v>
      </c>
      <c r="H4078" t="s">
        <v>47</v>
      </c>
      <c r="I4078" t="s">
        <v>48</v>
      </c>
      <c r="J4078" t="s">
        <v>113</v>
      </c>
      <c r="K4078">
        <v>552.30999999999995</v>
      </c>
      <c r="L4078" t="s">
        <v>9605</v>
      </c>
      <c r="M4078">
        <f>VLOOKUP(H4078,'Stage Order'!$A$2:$B$8,2,FALSE)</f>
        <v>4</v>
      </c>
      <c r="N4078" t="str">
        <f t="shared" si="126"/>
        <v>2. 1-24 hours</v>
      </c>
      <c r="O4078" t="str">
        <f t="shared" si="127"/>
        <v>2026-02</v>
      </c>
    </row>
    <row r="4079" spans="1:15" x14ac:dyDescent="0.3">
      <c r="A4079" t="s">
        <v>9606</v>
      </c>
      <c r="B4079" t="s">
        <v>9607</v>
      </c>
      <c r="C4079" t="s">
        <v>53</v>
      </c>
      <c r="D4079" t="s">
        <v>77</v>
      </c>
      <c r="E4079" t="s">
        <v>45</v>
      </c>
      <c r="F4079" t="s">
        <v>46</v>
      </c>
      <c r="G4079">
        <v>2.42</v>
      </c>
      <c r="H4079" t="s">
        <v>41</v>
      </c>
      <c r="I4079" t="s">
        <v>42</v>
      </c>
      <c r="M4079">
        <f>VLOOKUP(H4079,'Stage Order'!$A$2:$B$8,2,FALSE)</f>
        <v>2</v>
      </c>
      <c r="N4079" t="str">
        <f t="shared" si="126"/>
        <v>2. 1-24 hours</v>
      </c>
      <c r="O4079" t="str">
        <f t="shared" si="127"/>
        <v>2026-01</v>
      </c>
    </row>
    <row r="4080" spans="1:15" x14ac:dyDescent="0.3">
      <c r="A4080" t="s">
        <v>9608</v>
      </c>
      <c r="B4080" t="s">
        <v>9609</v>
      </c>
      <c r="C4080" t="s">
        <v>81</v>
      </c>
      <c r="D4080" t="s">
        <v>29</v>
      </c>
      <c r="E4080" t="s">
        <v>45</v>
      </c>
      <c r="F4080" t="s">
        <v>55</v>
      </c>
      <c r="G4080">
        <v>1.86</v>
      </c>
      <c r="H4080" t="s">
        <v>41</v>
      </c>
      <c r="I4080" t="s">
        <v>42</v>
      </c>
      <c r="M4080">
        <f>VLOOKUP(H4080,'Stage Order'!$A$2:$B$8,2,FALSE)</f>
        <v>2</v>
      </c>
      <c r="N4080" t="str">
        <f t="shared" si="126"/>
        <v>2. 1-24 hours</v>
      </c>
      <c r="O4080" t="str">
        <f t="shared" si="127"/>
        <v>2025-02</v>
      </c>
    </row>
    <row r="4081" spans="1:15" x14ac:dyDescent="0.3">
      <c r="A4081" t="s">
        <v>9610</v>
      </c>
      <c r="B4081" t="s">
        <v>9611</v>
      </c>
      <c r="C4081" t="s">
        <v>58</v>
      </c>
      <c r="D4081" t="s">
        <v>29</v>
      </c>
      <c r="E4081" t="s">
        <v>30</v>
      </c>
      <c r="F4081" t="s">
        <v>31</v>
      </c>
      <c r="G4081">
        <v>13.68</v>
      </c>
      <c r="H4081" t="s">
        <v>61</v>
      </c>
      <c r="I4081" t="s">
        <v>42</v>
      </c>
      <c r="M4081">
        <f>VLOOKUP(H4081,'Stage Order'!$A$2:$B$8,2,FALSE)</f>
        <v>1</v>
      </c>
      <c r="N4081" t="str">
        <f t="shared" si="126"/>
        <v>2. 1-24 hours</v>
      </c>
      <c r="O4081" t="str">
        <f t="shared" si="127"/>
        <v>2025-03</v>
      </c>
    </row>
    <row r="4082" spans="1:15" x14ac:dyDescent="0.3">
      <c r="A4082" t="s">
        <v>9612</v>
      </c>
      <c r="B4082" t="s">
        <v>9613</v>
      </c>
      <c r="C4082" t="s">
        <v>125</v>
      </c>
      <c r="D4082" t="s">
        <v>97</v>
      </c>
      <c r="E4082" t="s">
        <v>90</v>
      </c>
      <c r="F4082" t="s">
        <v>91</v>
      </c>
      <c r="G4082">
        <v>2.42</v>
      </c>
      <c r="H4082" t="s">
        <v>41</v>
      </c>
      <c r="I4082" t="s">
        <v>42</v>
      </c>
      <c r="M4082">
        <f>VLOOKUP(H4082,'Stage Order'!$A$2:$B$8,2,FALSE)</f>
        <v>2</v>
      </c>
      <c r="N4082" t="str">
        <f t="shared" si="126"/>
        <v>2. 1-24 hours</v>
      </c>
      <c r="O4082" t="str">
        <f t="shared" si="127"/>
        <v>2026-05</v>
      </c>
    </row>
    <row r="4083" spans="1:15" x14ac:dyDescent="0.3">
      <c r="A4083" t="s">
        <v>9614</v>
      </c>
      <c r="B4083" t="s">
        <v>9615</v>
      </c>
      <c r="C4083" t="s">
        <v>53</v>
      </c>
      <c r="D4083" t="s">
        <v>29</v>
      </c>
      <c r="E4083" t="s">
        <v>90</v>
      </c>
      <c r="F4083" t="s">
        <v>91</v>
      </c>
      <c r="G4083">
        <v>2.62</v>
      </c>
      <c r="H4083" t="s">
        <v>41</v>
      </c>
      <c r="I4083" t="s">
        <v>42</v>
      </c>
      <c r="M4083">
        <f>VLOOKUP(H4083,'Stage Order'!$A$2:$B$8,2,FALSE)</f>
        <v>2</v>
      </c>
      <c r="N4083" t="str">
        <f t="shared" si="126"/>
        <v>2. 1-24 hours</v>
      </c>
      <c r="O4083" t="str">
        <f t="shared" si="127"/>
        <v>2025-10</v>
      </c>
    </row>
    <row r="4084" spans="1:15" x14ac:dyDescent="0.3">
      <c r="A4084" t="s">
        <v>9616</v>
      </c>
      <c r="B4084" t="s">
        <v>9617</v>
      </c>
      <c r="C4084" t="s">
        <v>37</v>
      </c>
      <c r="D4084" t="s">
        <v>38</v>
      </c>
      <c r="E4084" t="s">
        <v>45</v>
      </c>
      <c r="F4084" t="s">
        <v>46</v>
      </c>
      <c r="G4084">
        <v>3.19</v>
      </c>
      <c r="H4084" t="s">
        <v>47</v>
      </c>
      <c r="I4084" t="s">
        <v>48</v>
      </c>
      <c r="J4084" t="s">
        <v>139</v>
      </c>
      <c r="K4084">
        <v>317.11</v>
      </c>
      <c r="L4084" t="s">
        <v>9618</v>
      </c>
      <c r="M4084">
        <f>VLOOKUP(H4084,'Stage Order'!$A$2:$B$8,2,FALSE)</f>
        <v>4</v>
      </c>
      <c r="N4084" t="str">
        <f t="shared" si="126"/>
        <v>2. 1-24 hours</v>
      </c>
      <c r="O4084" t="str">
        <f t="shared" si="127"/>
        <v>2025-06</v>
      </c>
    </row>
    <row r="4085" spans="1:15" x14ac:dyDescent="0.3">
      <c r="A4085" t="s">
        <v>9619</v>
      </c>
      <c r="B4085" t="s">
        <v>9620</v>
      </c>
      <c r="C4085" t="s">
        <v>28</v>
      </c>
      <c r="D4085" t="s">
        <v>54</v>
      </c>
      <c r="E4085" t="s">
        <v>59</v>
      </c>
      <c r="F4085" t="s">
        <v>60</v>
      </c>
      <c r="G4085">
        <v>6.17</v>
      </c>
      <c r="H4085" t="s">
        <v>138</v>
      </c>
      <c r="I4085" t="s">
        <v>48</v>
      </c>
      <c r="J4085" t="s">
        <v>98</v>
      </c>
      <c r="K4085">
        <v>569.26</v>
      </c>
      <c r="L4085" t="s">
        <v>9621</v>
      </c>
      <c r="M4085">
        <f>VLOOKUP(H4085,'Stage Order'!$A$2:$B$8,2,FALSE)</f>
        <v>6</v>
      </c>
      <c r="N4085" t="str">
        <f t="shared" si="126"/>
        <v>2. 1-24 hours</v>
      </c>
      <c r="O4085" t="str">
        <f t="shared" si="127"/>
        <v>2025-02</v>
      </c>
    </row>
    <row r="4086" spans="1:15" x14ac:dyDescent="0.3">
      <c r="A4086" t="s">
        <v>9622</v>
      </c>
      <c r="B4086" t="s">
        <v>9623</v>
      </c>
      <c r="C4086" t="s">
        <v>37</v>
      </c>
      <c r="D4086" t="s">
        <v>54</v>
      </c>
      <c r="E4086" t="s">
        <v>45</v>
      </c>
      <c r="F4086" t="s">
        <v>46</v>
      </c>
      <c r="G4086">
        <v>1.67</v>
      </c>
      <c r="H4086" t="s">
        <v>146</v>
      </c>
      <c r="I4086" t="s">
        <v>48</v>
      </c>
      <c r="J4086" t="s">
        <v>98</v>
      </c>
      <c r="K4086">
        <v>597.74</v>
      </c>
      <c r="L4086" t="s">
        <v>9624</v>
      </c>
      <c r="M4086">
        <f>VLOOKUP(H4086,'Stage Order'!$A$2:$B$8,2,FALSE)</f>
        <v>5</v>
      </c>
      <c r="N4086" t="str">
        <f t="shared" si="126"/>
        <v>2. 1-24 hours</v>
      </c>
      <c r="O4086" t="str">
        <f t="shared" si="127"/>
        <v>2025-08</v>
      </c>
    </row>
    <row r="4087" spans="1:15" x14ac:dyDescent="0.3">
      <c r="A4087" t="s">
        <v>9625</v>
      </c>
      <c r="B4087" t="s">
        <v>9626</v>
      </c>
      <c r="C4087" t="s">
        <v>53</v>
      </c>
      <c r="D4087" t="s">
        <v>54</v>
      </c>
      <c r="E4087" t="s">
        <v>30</v>
      </c>
      <c r="F4087" t="s">
        <v>31</v>
      </c>
      <c r="G4087">
        <v>1.01</v>
      </c>
      <c r="H4087" t="s">
        <v>32</v>
      </c>
      <c r="I4087" t="s">
        <v>33</v>
      </c>
      <c r="K4087">
        <v>595.51</v>
      </c>
      <c r="L4087" t="s">
        <v>9627</v>
      </c>
      <c r="M4087">
        <f>VLOOKUP(H4087,'Stage Order'!$A$2:$B$8,2,FALSE)</f>
        <v>7</v>
      </c>
      <c r="N4087" t="str">
        <f t="shared" si="126"/>
        <v>2. 1-24 hours</v>
      </c>
      <c r="O4087" t="str">
        <f t="shared" si="127"/>
        <v>2025-08</v>
      </c>
    </row>
    <row r="4088" spans="1:15" x14ac:dyDescent="0.3">
      <c r="A4088" t="s">
        <v>9628</v>
      </c>
      <c r="B4088" t="s">
        <v>9629</v>
      </c>
      <c r="C4088" t="s">
        <v>81</v>
      </c>
      <c r="D4088" t="s">
        <v>97</v>
      </c>
      <c r="E4088" t="s">
        <v>39</v>
      </c>
      <c r="F4088" t="s">
        <v>106</v>
      </c>
      <c r="G4088">
        <v>5</v>
      </c>
      <c r="H4088" t="s">
        <v>61</v>
      </c>
      <c r="I4088" t="s">
        <v>42</v>
      </c>
      <c r="M4088">
        <f>VLOOKUP(H4088,'Stage Order'!$A$2:$B$8,2,FALSE)</f>
        <v>1</v>
      </c>
      <c r="N4088" t="str">
        <f t="shared" si="126"/>
        <v>2. 1-24 hours</v>
      </c>
      <c r="O4088" t="str">
        <f t="shared" si="127"/>
        <v>2026-04</v>
      </c>
    </row>
    <row r="4089" spans="1:15" x14ac:dyDescent="0.3">
      <c r="A4089" t="s">
        <v>9630</v>
      </c>
      <c r="B4089" t="s">
        <v>9631</v>
      </c>
      <c r="C4089" t="s">
        <v>53</v>
      </c>
      <c r="D4089" t="s">
        <v>29</v>
      </c>
      <c r="E4089" t="s">
        <v>45</v>
      </c>
      <c r="F4089" t="s">
        <v>55</v>
      </c>
      <c r="G4089">
        <v>0.5</v>
      </c>
      <c r="H4089" t="s">
        <v>32</v>
      </c>
      <c r="I4089" t="s">
        <v>33</v>
      </c>
      <c r="K4089">
        <v>755.15</v>
      </c>
      <c r="L4089" t="s">
        <v>9632</v>
      </c>
      <c r="M4089">
        <f>VLOOKUP(H4089,'Stage Order'!$A$2:$B$8,2,FALSE)</f>
        <v>7</v>
      </c>
      <c r="N4089" t="str">
        <f t="shared" si="126"/>
        <v>1. Under 1 hour</v>
      </c>
      <c r="O4089" t="str">
        <f t="shared" si="127"/>
        <v>2025-11</v>
      </c>
    </row>
    <row r="4090" spans="1:15" x14ac:dyDescent="0.3">
      <c r="A4090" t="s">
        <v>9633</v>
      </c>
      <c r="B4090" t="s">
        <v>9634</v>
      </c>
      <c r="C4090" t="s">
        <v>58</v>
      </c>
      <c r="D4090" t="s">
        <v>29</v>
      </c>
      <c r="E4090" t="s">
        <v>59</v>
      </c>
      <c r="F4090" t="s">
        <v>137</v>
      </c>
      <c r="G4090">
        <v>6.06</v>
      </c>
      <c r="H4090" t="s">
        <v>61</v>
      </c>
      <c r="I4090" t="s">
        <v>42</v>
      </c>
      <c r="M4090">
        <f>VLOOKUP(H4090,'Stage Order'!$A$2:$B$8,2,FALSE)</f>
        <v>1</v>
      </c>
      <c r="N4090" t="str">
        <f t="shared" si="126"/>
        <v>2. 1-24 hours</v>
      </c>
      <c r="O4090" t="str">
        <f t="shared" si="127"/>
        <v>2026-02</v>
      </c>
    </row>
    <row r="4091" spans="1:15" x14ac:dyDescent="0.3">
      <c r="A4091" t="s">
        <v>9635</v>
      </c>
      <c r="B4091" t="s">
        <v>9636</v>
      </c>
      <c r="C4091" t="s">
        <v>53</v>
      </c>
      <c r="D4091" t="s">
        <v>29</v>
      </c>
      <c r="E4091" t="s">
        <v>90</v>
      </c>
      <c r="F4091" t="s">
        <v>145</v>
      </c>
      <c r="G4091">
        <v>11.46</v>
      </c>
      <c r="H4091" t="s">
        <v>41</v>
      </c>
      <c r="I4091" t="s">
        <v>42</v>
      </c>
      <c r="M4091">
        <f>VLOOKUP(H4091,'Stage Order'!$A$2:$B$8,2,FALSE)</f>
        <v>2</v>
      </c>
      <c r="N4091" t="str">
        <f t="shared" si="126"/>
        <v>2. 1-24 hours</v>
      </c>
      <c r="O4091" t="str">
        <f t="shared" si="127"/>
        <v>2026-05</v>
      </c>
    </row>
    <row r="4092" spans="1:15" x14ac:dyDescent="0.3">
      <c r="A4092" t="s">
        <v>9637</v>
      </c>
      <c r="B4092" t="s">
        <v>9638</v>
      </c>
      <c r="C4092" t="s">
        <v>125</v>
      </c>
      <c r="D4092" t="s">
        <v>97</v>
      </c>
      <c r="E4092" t="s">
        <v>45</v>
      </c>
      <c r="F4092" t="s">
        <v>55</v>
      </c>
      <c r="G4092">
        <v>3.82</v>
      </c>
      <c r="H4092" t="s">
        <v>41</v>
      </c>
      <c r="I4092" t="s">
        <v>42</v>
      </c>
      <c r="M4092">
        <f>VLOOKUP(H4092,'Stage Order'!$A$2:$B$8,2,FALSE)</f>
        <v>2</v>
      </c>
      <c r="N4092" t="str">
        <f t="shared" si="126"/>
        <v>2. 1-24 hours</v>
      </c>
      <c r="O4092" t="str">
        <f t="shared" si="127"/>
        <v>2025-11</v>
      </c>
    </row>
    <row r="4093" spans="1:15" x14ac:dyDescent="0.3">
      <c r="A4093" t="s">
        <v>9639</v>
      </c>
      <c r="B4093" t="s">
        <v>9640</v>
      </c>
      <c r="C4093" t="s">
        <v>76</v>
      </c>
      <c r="D4093" t="s">
        <v>97</v>
      </c>
      <c r="E4093" t="s">
        <v>45</v>
      </c>
      <c r="F4093" t="s">
        <v>46</v>
      </c>
      <c r="G4093">
        <v>7.55</v>
      </c>
      <c r="H4093" t="s">
        <v>32</v>
      </c>
      <c r="I4093" t="s">
        <v>33</v>
      </c>
      <c r="K4093">
        <v>1589.79</v>
      </c>
      <c r="L4093" t="s">
        <v>9641</v>
      </c>
      <c r="M4093">
        <f>VLOOKUP(H4093,'Stage Order'!$A$2:$B$8,2,FALSE)</f>
        <v>7</v>
      </c>
      <c r="N4093" t="str">
        <f t="shared" si="126"/>
        <v>2. 1-24 hours</v>
      </c>
      <c r="O4093" t="str">
        <f t="shared" si="127"/>
        <v>2025-11</v>
      </c>
    </row>
    <row r="4094" spans="1:15" x14ac:dyDescent="0.3">
      <c r="A4094" t="s">
        <v>9642</v>
      </c>
      <c r="B4094" t="s">
        <v>9643</v>
      </c>
      <c r="C4094" t="s">
        <v>37</v>
      </c>
      <c r="D4094" t="s">
        <v>29</v>
      </c>
      <c r="E4094" t="s">
        <v>30</v>
      </c>
      <c r="F4094" t="s">
        <v>31</v>
      </c>
      <c r="G4094">
        <v>4.26</v>
      </c>
      <c r="H4094" t="s">
        <v>41</v>
      </c>
      <c r="I4094" t="s">
        <v>42</v>
      </c>
      <c r="M4094">
        <f>VLOOKUP(H4094,'Stage Order'!$A$2:$B$8,2,FALSE)</f>
        <v>2</v>
      </c>
      <c r="N4094" t="str">
        <f t="shared" si="126"/>
        <v>2. 1-24 hours</v>
      </c>
      <c r="O4094" t="str">
        <f t="shared" si="127"/>
        <v>2025-07</v>
      </c>
    </row>
    <row r="4095" spans="1:15" x14ac:dyDescent="0.3">
      <c r="A4095" t="s">
        <v>9644</v>
      </c>
      <c r="B4095" t="s">
        <v>9645</v>
      </c>
      <c r="C4095" t="s">
        <v>81</v>
      </c>
      <c r="D4095" t="s">
        <v>29</v>
      </c>
      <c r="E4095" t="s">
        <v>45</v>
      </c>
      <c r="F4095" t="s">
        <v>55</v>
      </c>
      <c r="G4095">
        <v>4.55</v>
      </c>
      <c r="H4095" t="s">
        <v>61</v>
      </c>
      <c r="I4095" t="s">
        <v>42</v>
      </c>
      <c r="M4095">
        <f>VLOOKUP(H4095,'Stage Order'!$A$2:$B$8,2,FALSE)</f>
        <v>1</v>
      </c>
      <c r="N4095" t="str">
        <f t="shared" si="126"/>
        <v>2. 1-24 hours</v>
      </c>
      <c r="O4095" t="str">
        <f t="shared" si="127"/>
        <v>2025-09</v>
      </c>
    </row>
    <row r="4096" spans="1:15" x14ac:dyDescent="0.3">
      <c r="A4096" t="s">
        <v>9646</v>
      </c>
      <c r="B4096" t="s">
        <v>9647</v>
      </c>
      <c r="C4096" t="s">
        <v>37</v>
      </c>
      <c r="D4096" t="s">
        <v>54</v>
      </c>
      <c r="E4096" t="s">
        <v>59</v>
      </c>
      <c r="F4096" t="s">
        <v>60</v>
      </c>
      <c r="G4096">
        <v>1.1000000000000001</v>
      </c>
      <c r="H4096" t="s">
        <v>41</v>
      </c>
      <c r="I4096" t="s">
        <v>42</v>
      </c>
      <c r="M4096">
        <f>VLOOKUP(H4096,'Stage Order'!$A$2:$B$8,2,FALSE)</f>
        <v>2</v>
      </c>
      <c r="N4096" t="str">
        <f t="shared" si="126"/>
        <v>2. 1-24 hours</v>
      </c>
      <c r="O4096" t="str">
        <f t="shared" si="127"/>
        <v>2025-04</v>
      </c>
    </row>
    <row r="4097" spans="1:15" x14ac:dyDescent="0.3">
      <c r="A4097" t="s">
        <v>9648</v>
      </c>
      <c r="B4097" t="s">
        <v>9649</v>
      </c>
      <c r="C4097" t="s">
        <v>53</v>
      </c>
      <c r="D4097" t="s">
        <v>77</v>
      </c>
      <c r="E4097" t="s">
        <v>90</v>
      </c>
      <c r="F4097" t="s">
        <v>112</v>
      </c>
      <c r="G4097">
        <v>5.82</v>
      </c>
      <c r="H4097" t="s">
        <v>32</v>
      </c>
      <c r="I4097" t="s">
        <v>33</v>
      </c>
      <c r="K4097">
        <v>849.25</v>
      </c>
      <c r="L4097" t="s">
        <v>9650</v>
      </c>
      <c r="M4097">
        <f>VLOOKUP(H4097,'Stage Order'!$A$2:$B$8,2,FALSE)</f>
        <v>7</v>
      </c>
      <c r="N4097" t="str">
        <f t="shared" si="126"/>
        <v>2. 1-24 hours</v>
      </c>
      <c r="O4097" t="str">
        <f t="shared" si="127"/>
        <v>2025-02</v>
      </c>
    </row>
    <row r="4098" spans="1:15" x14ac:dyDescent="0.3">
      <c r="A4098" t="s">
        <v>9651</v>
      </c>
      <c r="B4098" t="s">
        <v>9652</v>
      </c>
      <c r="C4098" t="s">
        <v>53</v>
      </c>
      <c r="D4098" t="s">
        <v>77</v>
      </c>
      <c r="E4098" t="s">
        <v>39</v>
      </c>
      <c r="F4098" t="s">
        <v>40</v>
      </c>
      <c r="G4098">
        <v>0.85</v>
      </c>
      <c r="H4098" t="s">
        <v>32</v>
      </c>
      <c r="I4098" t="s">
        <v>33</v>
      </c>
      <c r="K4098">
        <v>1108.29</v>
      </c>
      <c r="L4098" t="s">
        <v>9653</v>
      </c>
      <c r="M4098">
        <f>VLOOKUP(H4098,'Stage Order'!$A$2:$B$8,2,FALSE)</f>
        <v>7</v>
      </c>
      <c r="N4098" t="str">
        <f t="shared" ref="N4098:N4161" si="128">IF(G4098&lt;=1,"1. Under 1 hour",IF(G4098&lt;=24,"2. 1-24 hours",IF(G4098&lt;=72,"3. 1-3 days","4. Over 3 days")))</f>
        <v>1. Under 1 hour</v>
      </c>
      <c r="O4098" t="str">
        <f t="shared" ref="O4098:O4161" si="129">TEXT(B4098,"YYYY-MM")</f>
        <v>2026-01</v>
      </c>
    </row>
    <row r="4099" spans="1:15" x14ac:dyDescent="0.3">
      <c r="A4099" t="s">
        <v>9654</v>
      </c>
      <c r="B4099" t="s">
        <v>9655</v>
      </c>
      <c r="C4099" t="s">
        <v>125</v>
      </c>
      <c r="D4099" t="s">
        <v>77</v>
      </c>
      <c r="E4099" t="s">
        <v>90</v>
      </c>
      <c r="F4099" t="s">
        <v>145</v>
      </c>
      <c r="G4099">
        <v>0.56000000000000005</v>
      </c>
      <c r="H4099" t="s">
        <v>47</v>
      </c>
      <c r="I4099" t="s">
        <v>48</v>
      </c>
      <c r="J4099" t="s">
        <v>742</v>
      </c>
      <c r="K4099">
        <v>1020.39</v>
      </c>
      <c r="L4099" t="s">
        <v>9656</v>
      </c>
      <c r="M4099">
        <f>VLOOKUP(H4099,'Stage Order'!$A$2:$B$8,2,FALSE)</f>
        <v>4</v>
      </c>
      <c r="N4099" t="str">
        <f t="shared" si="128"/>
        <v>1. Under 1 hour</v>
      </c>
      <c r="O4099" t="str">
        <f t="shared" si="129"/>
        <v>2025-09</v>
      </c>
    </row>
    <row r="4100" spans="1:15" x14ac:dyDescent="0.3">
      <c r="A4100" t="s">
        <v>9657</v>
      </c>
      <c r="B4100" t="s">
        <v>9658</v>
      </c>
      <c r="C4100" t="s">
        <v>76</v>
      </c>
      <c r="D4100" t="s">
        <v>77</v>
      </c>
      <c r="E4100" t="s">
        <v>59</v>
      </c>
      <c r="F4100" t="s">
        <v>117</v>
      </c>
      <c r="G4100">
        <v>7.28</v>
      </c>
      <c r="H4100" t="s">
        <v>32</v>
      </c>
      <c r="I4100" t="s">
        <v>33</v>
      </c>
      <c r="K4100">
        <v>1038.46</v>
      </c>
      <c r="L4100" t="s">
        <v>9659</v>
      </c>
      <c r="M4100">
        <f>VLOOKUP(H4100,'Stage Order'!$A$2:$B$8,2,FALSE)</f>
        <v>7</v>
      </c>
      <c r="N4100" t="str">
        <f t="shared" si="128"/>
        <v>2. 1-24 hours</v>
      </c>
      <c r="O4100" t="str">
        <f t="shared" si="129"/>
        <v>2025-09</v>
      </c>
    </row>
    <row r="4101" spans="1:15" x14ac:dyDescent="0.3">
      <c r="A4101" t="s">
        <v>9660</v>
      </c>
      <c r="B4101" t="s">
        <v>9661</v>
      </c>
      <c r="C4101" t="s">
        <v>125</v>
      </c>
      <c r="D4101" t="s">
        <v>29</v>
      </c>
      <c r="E4101" t="s">
        <v>45</v>
      </c>
      <c r="F4101" t="s">
        <v>46</v>
      </c>
      <c r="G4101">
        <v>15.94</v>
      </c>
      <c r="H4101" t="s">
        <v>61</v>
      </c>
      <c r="I4101" t="s">
        <v>42</v>
      </c>
      <c r="M4101">
        <f>VLOOKUP(H4101,'Stage Order'!$A$2:$B$8,2,FALSE)</f>
        <v>1</v>
      </c>
      <c r="N4101" t="str">
        <f t="shared" si="128"/>
        <v>2. 1-24 hours</v>
      </c>
      <c r="O4101" t="str">
        <f t="shared" si="129"/>
        <v>2026-04</v>
      </c>
    </row>
    <row r="4102" spans="1:15" x14ac:dyDescent="0.3">
      <c r="A4102" t="s">
        <v>9662</v>
      </c>
      <c r="B4102" t="s">
        <v>9663</v>
      </c>
      <c r="C4102" t="s">
        <v>125</v>
      </c>
      <c r="D4102" t="s">
        <v>54</v>
      </c>
      <c r="E4102" t="s">
        <v>59</v>
      </c>
      <c r="F4102" t="s">
        <v>117</v>
      </c>
      <c r="G4102">
        <v>1.53</v>
      </c>
      <c r="H4102" t="s">
        <v>138</v>
      </c>
      <c r="I4102" t="s">
        <v>48</v>
      </c>
      <c r="J4102" t="s">
        <v>113</v>
      </c>
      <c r="K4102">
        <v>569.5</v>
      </c>
      <c r="L4102" t="s">
        <v>9664</v>
      </c>
      <c r="M4102">
        <f>VLOOKUP(H4102,'Stage Order'!$A$2:$B$8,2,FALSE)</f>
        <v>6</v>
      </c>
      <c r="N4102" t="str">
        <f t="shared" si="128"/>
        <v>2. 1-24 hours</v>
      </c>
      <c r="O4102" t="str">
        <f t="shared" si="129"/>
        <v>2025-06</v>
      </c>
    </row>
    <row r="4103" spans="1:15" x14ac:dyDescent="0.3">
      <c r="A4103" t="s">
        <v>9665</v>
      </c>
      <c r="B4103" t="s">
        <v>9666</v>
      </c>
      <c r="C4103" t="s">
        <v>58</v>
      </c>
      <c r="D4103" t="s">
        <v>77</v>
      </c>
      <c r="E4103" t="s">
        <v>30</v>
      </c>
      <c r="F4103" t="s">
        <v>82</v>
      </c>
      <c r="G4103">
        <v>1.99</v>
      </c>
      <c r="H4103" t="s">
        <v>47</v>
      </c>
      <c r="I4103" t="s">
        <v>48</v>
      </c>
      <c r="J4103" t="s">
        <v>139</v>
      </c>
      <c r="K4103">
        <v>1076.02</v>
      </c>
      <c r="L4103" t="s">
        <v>9667</v>
      </c>
      <c r="M4103">
        <f>VLOOKUP(H4103,'Stage Order'!$A$2:$B$8,2,FALSE)</f>
        <v>4</v>
      </c>
      <c r="N4103" t="str">
        <f t="shared" si="128"/>
        <v>2. 1-24 hours</v>
      </c>
      <c r="O4103" t="str">
        <f t="shared" si="129"/>
        <v>2025-05</v>
      </c>
    </row>
    <row r="4104" spans="1:15" x14ac:dyDescent="0.3">
      <c r="A4104" t="s">
        <v>9668</v>
      </c>
      <c r="B4104" t="s">
        <v>9669</v>
      </c>
      <c r="C4104" t="s">
        <v>53</v>
      </c>
      <c r="D4104" t="s">
        <v>54</v>
      </c>
      <c r="E4104" t="s">
        <v>59</v>
      </c>
      <c r="F4104" t="s">
        <v>60</v>
      </c>
      <c r="G4104">
        <v>1.17</v>
      </c>
      <c r="H4104" t="s">
        <v>128</v>
      </c>
      <c r="I4104" t="s">
        <v>42</v>
      </c>
      <c r="M4104">
        <f>VLOOKUP(H4104,'Stage Order'!$A$2:$B$8,2,FALSE)</f>
        <v>3</v>
      </c>
      <c r="N4104" t="str">
        <f t="shared" si="128"/>
        <v>2. 1-24 hours</v>
      </c>
      <c r="O4104" t="str">
        <f t="shared" si="129"/>
        <v>2026-04</v>
      </c>
    </row>
    <row r="4105" spans="1:15" x14ac:dyDescent="0.3">
      <c r="A4105" t="s">
        <v>9670</v>
      </c>
      <c r="B4105" t="s">
        <v>9671</v>
      </c>
      <c r="C4105" t="s">
        <v>28</v>
      </c>
      <c r="D4105" t="s">
        <v>38</v>
      </c>
      <c r="E4105" t="s">
        <v>90</v>
      </c>
      <c r="F4105" t="s">
        <v>145</v>
      </c>
      <c r="G4105">
        <v>7.15</v>
      </c>
      <c r="H4105" t="s">
        <v>41</v>
      </c>
      <c r="I4105" t="s">
        <v>42</v>
      </c>
      <c r="M4105">
        <f>VLOOKUP(H4105,'Stage Order'!$A$2:$B$8,2,FALSE)</f>
        <v>2</v>
      </c>
      <c r="N4105" t="str">
        <f t="shared" si="128"/>
        <v>2. 1-24 hours</v>
      </c>
      <c r="O4105" t="str">
        <f t="shared" si="129"/>
        <v>2025-11</v>
      </c>
    </row>
    <row r="4106" spans="1:15" x14ac:dyDescent="0.3">
      <c r="A4106" t="s">
        <v>9672</v>
      </c>
      <c r="B4106" t="s">
        <v>9673</v>
      </c>
      <c r="C4106" t="s">
        <v>53</v>
      </c>
      <c r="D4106" t="s">
        <v>38</v>
      </c>
      <c r="E4106" t="s">
        <v>45</v>
      </c>
      <c r="F4106" t="s">
        <v>46</v>
      </c>
      <c r="G4106">
        <v>3.71</v>
      </c>
      <c r="H4106" t="s">
        <v>41</v>
      </c>
      <c r="I4106" t="s">
        <v>42</v>
      </c>
      <c r="M4106">
        <f>VLOOKUP(H4106,'Stage Order'!$A$2:$B$8,2,FALSE)</f>
        <v>2</v>
      </c>
      <c r="N4106" t="str">
        <f t="shared" si="128"/>
        <v>2. 1-24 hours</v>
      </c>
      <c r="O4106" t="str">
        <f t="shared" si="129"/>
        <v>2025-03</v>
      </c>
    </row>
    <row r="4107" spans="1:15" x14ac:dyDescent="0.3">
      <c r="A4107" t="s">
        <v>9674</v>
      </c>
      <c r="B4107" t="s">
        <v>9675</v>
      </c>
      <c r="C4107" t="s">
        <v>58</v>
      </c>
      <c r="D4107" t="s">
        <v>54</v>
      </c>
      <c r="E4107" t="s">
        <v>45</v>
      </c>
      <c r="F4107" t="s">
        <v>94</v>
      </c>
      <c r="G4107">
        <v>0.81</v>
      </c>
      <c r="H4107" t="s">
        <v>41</v>
      </c>
      <c r="I4107" t="s">
        <v>42</v>
      </c>
      <c r="M4107">
        <f>VLOOKUP(H4107,'Stage Order'!$A$2:$B$8,2,FALSE)</f>
        <v>2</v>
      </c>
      <c r="N4107" t="str">
        <f t="shared" si="128"/>
        <v>1. Under 1 hour</v>
      </c>
      <c r="O4107" t="str">
        <f t="shared" si="129"/>
        <v>2025-12</v>
      </c>
    </row>
    <row r="4108" spans="1:15" x14ac:dyDescent="0.3">
      <c r="A4108" t="s">
        <v>9676</v>
      </c>
      <c r="B4108" t="s">
        <v>9677</v>
      </c>
      <c r="C4108" t="s">
        <v>81</v>
      </c>
      <c r="D4108" t="s">
        <v>38</v>
      </c>
      <c r="E4108" t="s">
        <v>59</v>
      </c>
      <c r="F4108" t="s">
        <v>60</v>
      </c>
      <c r="G4108">
        <v>5.2</v>
      </c>
      <c r="H4108" t="s">
        <v>61</v>
      </c>
      <c r="I4108" t="s">
        <v>42</v>
      </c>
      <c r="M4108">
        <f>VLOOKUP(H4108,'Stage Order'!$A$2:$B$8,2,FALSE)</f>
        <v>1</v>
      </c>
      <c r="N4108" t="str">
        <f t="shared" si="128"/>
        <v>2. 1-24 hours</v>
      </c>
      <c r="O4108" t="str">
        <f t="shared" si="129"/>
        <v>2026-01</v>
      </c>
    </row>
    <row r="4109" spans="1:15" x14ac:dyDescent="0.3">
      <c r="A4109" t="s">
        <v>9678</v>
      </c>
      <c r="B4109" t="s">
        <v>9679</v>
      </c>
      <c r="C4109" t="s">
        <v>37</v>
      </c>
      <c r="D4109" t="s">
        <v>54</v>
      </c>
      <c r="E4109" t="s">
        <v>39</v>
      </c>
      <c r="F4109" t="s">
        <v>40</v>
      </c>
      <c r="G4109">
        <v>2.64</v>
      </c>
      <c r="H4109" t="s">
        <v>61</v>
      </c>
      <c r="I4109" t="s">
        <v>42</v>
      </c>
      <c r="M4109">
        <f>VLOOKUP(H4109,'Stage Order'!$A$2:$B$8,2,FALSE)</f>
        <v>1</v>
      </c>
      <c r="N4109" t="str">
        <f t="shared" si="128"/>
        <v>2. 1-24 hours</v>
      </c>
      <c r="O4109" t="str">
        <f t="shared" si="129"/>
        <v>2026-02</v>
      </c>
    </row>
    <row r="4110" spans="1:15" x14ac:dyDescent="0.3">
      <c r="A4110" t="s">
        <v>9680</v>
      </c>
      <c r="B4110" t="s">
        <v>9681</v>
      </c>
      <c r="C4110" t="s">
        <v>125</v>
      </c>
      <c r="D4110" t="s">
        <v>54</v>
      </c>
      <c r="E4110" t="s">
        <v>39</v>
      </c>
      <c r="F4110" t="s">
        <v>40</v>
      </c>
      <c r="G4110">
        <v>3.2</v>
      </c>
      <c r="H4110" t="s">
        <v>61</v>
      </c>
      <c r="I4110" t="s">
        <v>42</v>
      </c>
      <c r="M4110">
        <f>VLOOKUP(H4110,'Stage Order'!$A$2:$B$8,2,FALSE)</f>
        <v>1</v>
      </c>
      <c r="N4110" t="str">
        <f t="shared" si="128"/>
        <v>2. 1-24 hours</v>
      </c>
      <c r="O4110" t="str">
        <f t="shared" si="129"/>
        <v>2026-04</v>
      </c>
    </row>
    <row r="4111" spans="1:15" x14ac:dyDescent="0.3">
      <c r="A4111" t="s">
        <v>9682</v>
      </c>
      <c r="B4111" t="s">
        <v>9683</v>
      </c>
      <c r="C4111" t="s">
        <v>81</v>
      </c>
      <c r="D4111" t="s">
        <v>54</v>
      </c>
      <c r="E4111" t="s">
        <v>59</v>
      </c>
      <c r="F4111" t="s">
        <v>137</v>
      </c>
      <c r="G4111">
        <v>3.39</v>
      </c>
      <c r="H4111" t="s">
        <v>61</v>
      </c>
      <c r="I4111" t="s">
        <v>42</v>
      </c>
      <c r="M4111">
        <f>VLOOKUP(H4111,'Stage Order'!$A$2:$B$8,2,FALSE)</f>
        <v>1</v>
      </c>
      <c r="N4111" t="str">
        <f t="shared" si="128"/>
        <v>2. 1-24 hours</v>
      </c>
      <c r="O4111" t="str">
        <f t="shared" si="129"/>
        <v>2026-05</v>
      </c>
    </row>
    <row r="4112" spans="1:15" x14ac:dyDescent="0.3">
      <c r="A4112" t="s">
        <v>9684</v>
      </c>
      <c r="B4112" t="s">
        <v>9685</v>
      </c>
      <c r="C4112" t="s">
        <v>125</v>
      </c>
      <c r="D4112" t="s">
        <v>77</v>
      </c>
      <c r="E4112" t="s">
        <v>59</v>
      </c>
      <c r="F4112" t="s">
        <v>137</v>
      </c>
      <c r="G4112">
        <v>3.89</v>
      </c>
      <c r="H4112" t="s">
        <v>41</v>
      </c>
      <c r="I4112" t="s">
        <v>42</v>
      </c>
      <c r="M4112">
        <f>VLOOKUP(H4112,'Stage Order'!$A$2:$B$8,2,FALSE)</f>
        <v>2</v>
      </c>
      <c r="N4112" t="str">
        <f t="shared" si="128"/>
        <v>2. 1-24 hours</v>
      </c>
      <c r="O4112" t="str">
        <f t="shared" si="129"/>
        <v>2025-02</v>
      </c>
    </row>
    <row r="4113" spans="1:15" x14ac:dyDescent="0.3">
      <c r="A4113" t="s">
        <v>9686</v>
      </c>
      <c r="B4113" t="s">
        <v>9687</v>
      </c>
      <c r="C4113" t="s">
        <v>125</v>
      </c>
      <c r="D4113" t="s">
        <v>97</v>
      </c>
      <c r="E4113" t="s">
        <v>39</v>
      </c>
      <c r="F4113" t="s">
        <v>106</v>
      </c>
      <c r="G4113">
        <v>1.49</v>
      </c>
      <c r="H4113" t="s">
        <v>41</v>
      </c>
      <c r="I4113" t="s">
        <v>42</v>
      </c>
      <c r="M4113">
        <f>VLOOKUP(H4113,'Stage Order'!$A$2:$B$8,2,FALSE)</f>
        <v>2</v>
      </c>
      <c r="N4113" t="str">
        <f t="shared" si="128"/>
        <v>2. 1-24 hours</v>
      </c>
      <c r="O4113" t="str">
        <f t="shared" si="129"/>
        <v>2025-01</v>
      </c>
    </row>
    <row r="4114" spans="1:15" x14ac:dyDescent="0.3">
      <c r="A4114" t="s">
        <v>9688</v>
      </c>
      <c r="B4114" t="s">
        <v>9689</v>
      </c>
      <c r="C4114" t="s">
        <v>58</v>
      </c>
      <c r="D4114" t="s">
        <v>29</v>
      </c>
      <c r="E4114" t="s">
        <v>45</v>
      </c>
      <c r="F4114" t="s">
        <v>55</v>
      </c>
      <c r="G4114">
        <v>1.02</v>
      </c>
      <c r="H4114" t="s">
        <v>41</v>
      </c>
      <c r="I4114" t="s">
        <v>42</v>
      </c>
      <c r="M4114">
        <f>VLOOKUP(H4114,'Stage Order'!$A$2:$B$8,2,FALSE)</f>
        <v>2</v>
      </c>
      <c r="N4114" t="str">
        <f t="shared" si="128"/>
        <v>2. 1-24 hours</v>
      </c>
      <c r="O4114" t="str">
        <f t="shared" si="129"/>
        <v>2025-06</v>
      </c>
    </row>
    <row r="4115" spans="1:15" x14ac:dyDescent="0.3">
      <c r="A4115" t="s">
        <v>9690</v>
      </c>
      <c r="B4115" t="s">
        <v>9691</v>
      </c>
      <c r="C4115" t="s">
        <v>37</v>
      </c>
      <c r="D4115" t="s">
        <v>54</v>
      </c>
      <c r="E4115" t="s">
        <v>45</v>
      </c>
      <c r="F4115" t="s">
        <v>94</v>
      </c>
      <c r="G4115">
        <v>1.08</v>
      </c>
      <c r="H4115" t="s">
        <v>41</v>
      </c>
      <c r="I4115" t="s">
        <v>42</v>
      </c>
      <c r="M4115">
        <f>VLOOKUP(H4115,'Stage Order'!$A$2:$B$8,2,FALSE)</f>
        <v>2</v>
      </c>
      <c r="N4115" t="str">
        <f t="shared" si="128"/>
        <v>2. 1-24 hours</v>
      </c>
      <c r="O4115" t="str">
        <f t="shared" si="129"/>
        <v>2026-05</v>
      </c>
    </row>
    <row r="4116" spans="1:15" x14ac:dyDescent="0.3">
      <c r="A4116" t="s">
        <v>9692</v>
      </c>
      <c r="B4116" t="s">
        <v>9693</v>
      </c>
      <c r="C4116" t="s">
        <v>58</v>
      </c>
      <c r="D4116" t="s">
        <v>54</v>
      </c>
      <c r="E4116" t="s">
        <v>45</v>
      </c>
      <c r="F4116" t="s">
        <v>55</v>
      </c>
      <c r="G4116">
        <v>12.65</v>
      </c>
      <c r="H4116" t="s">
        <v>138</v>
      </c>
      <c r="I4116" t="s">
        <v>48</v>
      </c>
      <c r="J4116" t="s">
        <v>139</v>
      </c>
      <c r="K4116">
        <v>539.49</v>
      </c>
      <c r="L4116" t="s">
        <v>9694</v>
      </c>
      <c r="M4116">
        <f>VLOOKUP(H4116,'Stage Order'!$A$2:$B$8,2,FALSE)</f>
        <v>6</v>
      </c>
      <c r="N4116" t="str">
        <f t="shared" si="128"/>
        <v>2. 1-24 hours</v>
      </c>
      <c r="O4116" t="str">
        <f t="shared" si="129"/>
        <v>2025-05</v>
      </c>
    </row>
    <row r="4117" spans="1:15" x14ac:dyDescent="0.3">
      <c r="A4117" t="s">
        <v>9695</v>
      </c>
      <c r="B4117" t="s">
        <v>9696</v>
      </c>
      <c r="C4117" t="s">
        <v>53</v>
      </c>
      <c r="D4117" t="s">
        <v>38</v>
      </c>
      <c r="E4117" t="s">
        <v>30</v>
      </c>
      <c r="F4117" t="s">
        <v>78</v>
      </c>
      <c r="G4117">
        <v>4.1100000000000003</v>
      </c>
      <c r="H4117" t="s">
        <v>138</v>
      </c>
      <c r="I4117" t="s">
        <v>48</v>
      </c>
      <c r="J4117" t="s">
        <v>98</v>
      </c>
      <c r="K4117">
        <v>363.73</v>
      </c>
      <c r="L4117" t="s">
        <v>9697</v>
      </c>
      <c r="M4117">
        <f>VLOOKUP(H4117,'Stage Order'!$A$2:$B$8,2,FALSE)</f>
        <v>6</v>
      </c>
      <c r="N4117" t="str">
        <f t="shared" si="128"/>
        <v>2. 1-24 hours</v>
      </c>
      <c r="O4117" t="str">
        <f t="shared" si="129"/>
        <v>2026-03</v>
      </c>
    </row>
    <row r="4118" spans="1:15" x14ac:dyDescent="0.3">
      <c r="A4118" t="s">
        <v>9698</v>
      </c>
      <c r="B4118" t="s">
        <v>9699</v>
      </c>
      <c r="C4118" t="s">
        <v>53</v>
      </c>
      <c r="D4118" t="s">
        <v>54</v>
      </c>
      <c r="E4118" t="s">
        <v>90</v>
      </c>
      <c r="F4118" t="s">
        <v>145</v>
      </c>
      <c r="G4118">
        <v>0.59</v>
      </c>
      <c r="H4118" t="s">
        <v>32</v>
      </c>
      <c r="I4118" t="s">
        <v>33</v>
      </c>
      <c r="K4118">
        <v>438.16</v>
      </c>
      <c r="L4118" t="s">
        <v>9700</v>
      </c>
      <c r="M4118">
        <f>VLOOKUP(H4118,'Stage Order'!$A$2:$B$8,2,FALSE)</f>
        <v>7</v>
      </c>
      <c r="N4118" t="str">
        <f t="shared" si="128"/>
        <v>1. Under 1 hour</v>
      </c>
      <c r="O4118" t="str">
        <f t="shared" si="129"/>
        <v>2025-08</v>
      </c>
    </row>
    <row r="4119" spans="1:15" x14ac:dyDescent="0.3">
      <c r="A4119" t="s">
        <v>9701</v>
      </c>
      <c r="B4119" t="s">
        <v>9702</v>
      </c>
      <c r="C4119" t="s">
        <v>76</v>
      </c>
      <c r="D4119" t="s">
        <v>77</v>
      </c>
      <c r="E4119" t="s">
        <v>30</v>
      </c>
      <c r="F4119" t="s">
        <v>82</v>
      </c>
      <c r="G4119">
        <v>0.94</v>
      </c>
      <c r="H4119" t="s">
        <v>41</v>
      </c>
      <c r="I4119" t="s">
        <v>42</v>
      </c>
      <c r="M4119">
        <f>VLOOKUP(H4119,'Stage Order'!$A$2:$B$8,2,FALSE)</f>
        <v>2</v>
      </c>
      <c r="N4119" t="str">
        <f t="shared" si="128"/>
        <v>1. Under 1 hour</v>
      </c>
      <c r="O4119" t="str">
        <f t="shared" si="129"/>
        <v>2025-08</v>
      </c>
    </row>
    <row r="4120" spans="1:15" x14ac:dyDescent="0.3">
      <c r="A4120" t="s">
        <v>9703</v>
      </c>
      <c r="B4120" t="s">
        <v>9704</v>
      </c>
      <c r="C4120" t="s">
        <v>37</v>
      </c>
      <c r="D4120" t="s">
        <v>54</v>
      </c>
      <c r="E4120" t="s">
        <v>30</v>
      </c>
      <c r="F4120" t="s">
        <v>31</v>
      </c>
      <c r="G4120">
        <v>5.49</v>
      </c>
      <c r="H4120" t="s">
        <v>146</v>
      </c>
      <c r="I4120" t="s">
        <v>48</v>
      </c>
      <c r="J4120" t="s">
        <v>113</v>
      </c>
      <c r="K4120">
        <v>561.54999999999995</v>
      </c>
      <c r="L4120" t="s">
        <v>9705</v>
      </c>
      <c r="M4120">
        <f>VLOOKUP(H4120,'Stage Order'!$A$2:$B$8,2,FALSE)</f>
        <v>5</v>
      </c>
      <c r="N4120" t="str">
        <f t="shared" si="128"/>
        <v>2. 1-24 hours</v>
      </c>
      <c r="O4120" t="str">
        <f t="shared" si="129"/>
        <v>2026-01</v>
      </c>
    </row>
    <row r="4121" spans="1:15" x14ac:dyDescent="0.3">
      <c r="A4121" t="s">
        <v>9706</v>
      </c>
      <c r="B4121" t="s">
        <v>9707</v>
      </c>
      <c r="C4121" t="s">
        <v>37</v>
      </c>
      <c r="D4121" t="s">
        <v>54</v>
      </c>
      <c r="E4121" t="s">
        <v>30</v>
      </c>
      <c r="F4121" t="s">
        <v>78</v>
      </c>
      <c r="G4121">
        <v>4.6500000000000004</v>
      </c>
      <c r="H4121" t="s">
        <v>61</v>
      </c>
      <c r="I4121" t="s">
        <v>42</v>
      </c>
      <c r="M4121">
        <f>VLOOKUP(H4121,'Stage Order'!$A$2:$B$8,2,FALSE)</f>
        <v>1</v>
      </c>
      <c r="N4121" t="str">
        <f t="shared" si="128"/>
        <v>2. 1-24 hours</v>
      </c>
      <c r="O4121" t="str">
        <f t="shared" si="129"/>
        <v>2025-09</v>
      </c>
    </row>
    <row r="4122" spans="1:15" x14ac:dyDescent="0.3">
      <c r="A4122" t="s">
        <v>9708</v>
      </c>
      <c r="B4122" t="s">
        <v>9709</v>
      </c>
      <c r="C4122" t="s">
        <v>28</v>
      </c>
      <c r="D4122" t="s">
        <v>77</v>
      </c>
      <c r="E4122" t="s">
        <v>59</v>
      </c>
      <c r="F4122" t="s">
        <v>137</v>
      </c>
      <c r="G4122">
        <v>1.6</v>
      </c>
      <c r="H4122" t="s">
        <v>138</v>
      </c>
      <c r="I4122" t="s">
        <v>48</v>
      </c>
      <c r="J4122" t="s">
        <v>49</v>
      </c>
      <c r="K4122">
        <v>1038.1400000000001</v>
      </c>
      <c r="L4122" t="s">
        <v>9710</v>
      </c>
      <c r="M4122">
        <f>VLOOKUP(H4122,'Stage Order'!$A$2:$B$8,2,FALSE)</f>
        <v>6</v>
      </c>
      <c r="N4122" t="str">
        <f t="shared" si="128"/>
        <v>2. 1-24 hours</v>
      </c>
      <c r="O4122" t="str">
        <f t="shared" si="129"/>
        <v>2026-05</v>
      </c>
    </row>
    <row r="4123" spans="1:15" x14ac:dyDescent="0.3">
      <c r="A4123" t="s">
        <v>9711</v>
      </c>
      <c r="B4123" t="s">
        <v>9712</v>
      </c>
      <c r="C4123" t="s">
        <v>58</v>
      </c>
      <c r="D4123" t="s">
        <v>97</v>
      </c>
      <c r="E4123" t="s">
        <v>59</v>
      </c>
      <c r="F4123" t="s">
        <v>60</v>
      </c>
      <c r="G4123">
        <v>2.65</v>
      </c>
      <c r="H4123" t="s">
        <v>32</v>
      </c>
      <c r="I4123" t="s">
        <v>33</v>
      </c>
      <c r="K4123">
        <v>1720.92</v>
      </c>
      <c r="L4123" t="s">
        <v>9713</v>
      </c>
      <c r="M4123">
        <f>VLOOKUP(H4123,'Stage Order'!$A$2:$B$8,2,FALSE)</f>
        <v>7</v>
      </c>
      <c r="N4123" t="str">
        <f t="shared" si="128"/>
        <v>2. 1-24 hours</v>
      </c>
      <c r="O4123" t="str">
        <f t="shared" si="129"/>
        <v>2026-02</v>
      </c>
    </row>
    <row r="4124" spans="1:15" x14ac:dyDescent="0.3">
      <c r="A4124" t="s">
        <v>9714</v>
      </c>
      <c r="B4124" t="s">
        <v>9715</v>
      </c>
      <c r="C4124" t="s">
        <v>58</v>
      </c>
      <c r="D4124" t="s">
        <v>97</v>
      </c>
      <c r="E4124" t="s">
        <v>59</v>
      </c>
      <c r="F4124" t="s">
        <v>60</v>
      </c>
      <c r="G4124">
        <v>6.86</v>
      </c>
      <c r="H4124" t="s">
        <v>138</v>
      </c>
      <c r="I4124" t="s">
        <v>48</v>
      </c>
      <c r="J4124" t="s">
        <v>98</v>
      </c>
      <c r="K4124">
        <v>1504.37</v>
      </c>
      <c r="L4124" t="s">
        <v>9716</v>
      </c>
      <c r="M4124">
        <f>VLOOKUP(H4124,'Stage Order'!$A$2:$B$8,2,FALSE)</f>
        <v>6</v>
      </c>
      <c r="N4124" t="str">
        <f t="shared" si="128"/>
        <v>2. 1-24 hours</v>
      </c>
      <c r="O4124" t="str">
        <f t="shared" si="129"/>
        <v>2025-01</v>
      </c>
    </row>
    <row r="4125" spans="1:15" x14ac:dyDescent="0.3">
      <c r="A4125" t="s">
        <v>9717</v>
      </c>
      <c r="B4125" t="s">
        <v>9718</v>
      </c>
      <c r="C4125" t="s">
        <v>58</v>
      </c>
      <c r="D4125" t="s">
        <v>77</v>
      </c>
      <c r="E4125" t="s">
        <v>45</v>
      </c>
      <c r="F4125" t="s">
        <v>55</v>
      </c>
      <c r="G4125">
        <v>1.08</v>
      </c>
      <c r="H4125" t="s">
        <v>41</v>
      </c>
      <c r="I4125" t="s">
        <v>42</v>
      </c>
      <c r="M4125">
        <f>VLOOKUP(H4125,'Stage Order'!$A$2:$B$8,2,FALSE)</f>
        <v>2</v>
      </c>
      <c r="N4125" t="str">
        <f t="shared" si="128"/>
        <v>2. 1-24 hours</v>
      </c>
      <c r="O4125" t="str">
        <f t="shared" si="129"/>
        <v>2025-02</v>
      </c>
    </row>
    <row r="4126" spans="1:15" x14ac:dyDescent="0.3">
      <c r="A4126" t="s">
        <v>9719</v>
      </c>
      <c r="B4126" t="s">
        <v>9720</v>
      </c>
      <c r="C4126" t="s">
        <v>53</v>
      </c>
      <c r="D4126" t="s">
        <v>54</v>
      </c>
      <c r="E4126" t="s">
        <v>30</v>
      </c>
      <c r="F4126" t="s">
        <v>78</v>
      </c>
      <c r="G4126">
        <v>1.67</v>
      </c>
      <c r="H4126" t="s">
        <v>41</v>
      </c>
      <c r="I4126" t="s">
        <v>42</v>
      </c>
      <c r="M4126">
        <f>VLOOKUP(H4126,'Stage Order'!$A$2:$B$8,2,FALSE)</f>
        <v>2</v>
      </c>
      <c r="N4126" t="str">
        <f t="shared" si="128"/>
        <v>2. 1-24 hours</v>
      </c>
      <c r="O4126" t="str">
        <f t="shared" si="129"/>
        <v>2025-01</v>
      </c>
    </row>
    <row r="4127" spans="1:15" x14ac:dyDescent="0.3">
      <c r="A4127" t="s">
        <v>9721</v>
      </c>
      <c r="B4127" t="s">
        <v>9722</v>
      </c>
      <c r="C4127" t="s">
        <v>81</v>
      </c>
      <c r="D4127" t="s">
        <v>97</v>
      </c>
      <c r="E4127" t="s">
        <v>45</v>
      </c>
      <c r="F4127" t="s">
        <v>46</v>
      </c>
      <c r="G4127">
        <v>2.13</v>
      </c>
      <c r="H4127" t="s">
        <v>41</v>
      </c>
      <c r="I4127" t="s">
        <v>42</v>
      </c>
      <c r="M4127">
        <f>VLOOKUP(H4127,'Stage Order'!$A$2:$B$8,2,FALSE)</f>
        <v>2</v>
      </c>
      <c r="N4127" t="str">
        <f t="shared" si="128"/>
        <v>2. 1-24 hours</v>
      </c>
      <c r="O4127" t="str">
        <f t="shared" si="129"/>
        <v>2025-09</v>
      </c>
    </row>
    <row r="4128" spans="1:15" x14ac:dyDescent="0.3">
      <c r="A4128" t="s">
        <v>9723</v>
      </c>
      <c r="B4128" t="s">
        <v>9724</v>
      </c>
      <c r="C4128" t="s">
        <v>81</v>
      </c>
      <c r="D4128" t="s">
        <v>29</v>
      </c>
      <c r="E4128" t="s">
        <v>59</v>
      </c>
      <c r="F4128" t="s">
        <v>137</v>
      </c>
      <c r="G4128">
        <v>6.7</v>
      </c>
      <c r="H4128" t="s">
        <v>61</v>
      </c>
      <c r="I4128" t="s">
        <v>42</v>
      </c>
      <c r="M4128">
        <f>VLOOKUP(H4128,'Stage Order'!$A$2:$B$8,2,FALSE)</f>
        <v>1</v>
      </c>
      <c r="N4128" t="str">
        <f t="shared" si="128"/>
        <v>2. 1-24 hours</v>
      </c>
      <c r="O4128" t="str">
        <f t="shared" si="129"/>
        <v>2025-11</v>
      </c>
    </row>
    <row r="4129" spans="1:15" x14ac:dyDescent="0.3">
      <c r="A4129" t="s">
        <v>9725</v>
      </c>
      <c r="B4129" t="s">
        <v>9726</v>
      </c>
      <c r="C4129" t="s">
        <v>37</v>
      </c>
      <c r="D4129" t="s">
        <v>38</v>
      </c>
      <c r="E4129" t="s">
        <v>45</v>
      </c>
      <c r="F4129" t="s">
        <v>94</v>
      </c>
      <c r="G4129">
        <v>1.85</v>
      </c>
      <c r="H4129" t="s">
        <v>138</v>
      </c>
      <c r="I4129" t="s">
        <v>48</v>
      </c>
      <c r="J4129" t="s">
        <v>98</v>
      </c>
      <c r="K4129">
        <v>373.11</v>
      </c>
      <c r="L4129" t="s">
        <v>9727</v>
      </c>
      <c r="M4129">
        <f>VLOOKUP(H4129,'Stage Order'!$A$2:$B$8,2,FALSE)</f>
        <v>6</v>
      </c>
      <c r="N4129" t="str">
        <f t="shared" si="128"/>
        <v>2. 1-24 hours</v>
      </c>
      <c r="O4129" t="str">
        <f t="shared" si="129"/>
        <v>2026-03</v>
      </c>
    </row>
    <row r="4130" spans="1:15" x14ac:dyDescent="0.3">
      <c r="A4130" t="s">
        <v>9728</v>
      </c>
      <c r="B4130" t="s">
        <v>9729</v>
      </c>
      <c r="C4130" t="s">
        <v>76</v>
      </c>
      <c r="D4130" t="s">
        <v>29</v>
      </c>
      <c r="E4130" t="s">
        <v>90</v>
      </c>
      <c r="F4130" t="s">
        <v>145</v>
      </c>
      <c r="G4130">
        <v>16.760000000000002</v>
      </c>
      <c r="H4130" t="s">
        <v>146</v>
      </c>
      <c r="I4130" t="s">
        <v>48</v>
      </c>
      <c r="J4130" t="s">
        <v>113</v>
      </c>
      <c r="K4130">
        <v>571.79999999999995</v>
      </c>
      <c r="L4130" t="s">
        <v>9730</v>
      </c>
      <c r="M4130">
        <f>VLOOKUP(H4130,'Stage Order'!$A$2:$B$8,2,FALSE)</f>
        <v>5</v>
      </c>
      <c r="N4130" t="str">
        <f t="shared" si="128"/>
        <v>2. 1-24 hours</v>
      </c>
      <c r="O4130" t="str">
        <f t="shared" si="129"/>
        <v>2026-01</v>
      </c>
    </row>
    <row r="4131" spans="1:15" x14ac:dyDescent="0.3">
      <c r="A4131" t="s">
        <v>9731</v>
      </c>
      <c r="B4131" t="s">
        <v>9732</v>
      </c>
      <c r="C4131" t="s">
        <v>37</v>
      </c>
      <c r="D4131" t="s">
        <v>77</v>
      </c>
      <c r="E4131" t="s">
        <v>39</v>
      </c>
      <c r="F4131" t="s">
        <v>106</v>
      </c>
      <c r="G4131">
        <v>0.32</v>
      </c>
      <c r="H4131" t="s">
        <v>32</v>
      </c>
      <c r="I4131" t="s">
        <v>33</v>
      </c>
      <c r="K4131">
        <v>834.04</v>
      </c>
      <c r="L4131" t="s">
        <v>9733</v>
      </c>
      <c r="M4131">
        <f>VLOOKUP(H4131,'Stage Order'!$A$2:$B$8,2,FALSE)</f>
        <v>7</v>
      </c>
      <c r="N4131" t="str">
        <f t="shared" si="128"/>
        <v>1. Under 1 hour</v>
      </c>
      <c r="O4131" t="str">
        <f t="shared" si="129"/>
        <v>2025-10</v>
      </c>
    </row>
    <row r="4132" spans="1:15" x14ac:dyDescent="0.3">
      <c r="A4132" t="s">
        <v>9734</v>
      </c>
      <c r="B4132" t="s">
        <v>9735</v>
      </c>
      <c r="C4132" t="s">
        <v>53</v>
      </c>
      <c r="D4132" t="s">
        <v>77</v>
      </c>
      <c r="E4132" t="s">
        <v>45</v>
      </c>
      <c r="F4132" t="s">
        <v>94</v>
      </c>
      <c r="G4132">
        <v>12.65</v>
      </c>
      <c r="H4132" t="s">
        <v>138</v>
      </c>
      <c r="I4132" t="s">
        <v>48</v>
      </c>
      <c r="J4132" t="s">
        <v>98</v>
      </c>
      <c r="K4132">
        <v>1182.55</v>
      </c>
      <c r="L4132" t="s">
        <v>9736</v>
      </c>
      <c r="M4132">
        <f>VLOOKUP(H4132,'Stage Order'!$A$2:$B$8,2,FALSE)</f>
        <v>6</v>
      </c>
      <c r="N4132" t="str">
        <f t="shared" si="128"/>
        <v>2. 1-24 hours</v>
      </c>
      <c r="O4132" t="str">
        <f t="shared" si="129"/>
        <v>2026-03</v>
      </c>
    </row>
    <row r="4133" spans="1:15" x14ac:dyDescent="0.3">
      <c r="A4133" t="s">
        <v>9737</v>
      </c>
      <c r="B4133" t="s">
        <v>9738</v>
      </c>
      <c r="C4133" t="s">
        <v>125</v>
      </c>
      <c r="D4133" t="s">
        <v>54</v>
      </c>
      <c r="E4133" t="s">
        <v>30</v>
      </c>
      <c r="F4133" t="s">
        <v>31</v>
      </c>
      <c r="G4133">
        <v>1.63</v>
      </c>
      <c r="H4133" t="s">
        <v>41</v>
      </c>
      <c r="I4133" t="s">
        <v>42</v>
      </c>
      <c r="M4133">
        <f>VLOOKUP(H4133,'Stage Order'!$A$2:$B$8,2,FALSE)</f>
        <v>2</v>
      </c>
      <c r="N4133" t="str">
        <f t="shared" si="128"/>
        <v>2. 1-24 hours</v>
      </c>
      <c r="O4133" t="str">
        <f t="shared" si="129"/>
        <v>2025-02</v>
      </c>
    </row>
    <row r="4134" spans="1:15" x14ac:dyDescent="0.3">
      <c r="A4134" t="s">
        <v>9739</v>
      </c>
      <c r="B4134" t="s">
        <v>9740</v>
      </c>
      <c r="C4134" t="s">
        <v>81</v>
      </c>
      <c r="D4134" t="s">
        <v>77</v>
      </c>
      <c r="E4134" t="s">
        <v>59</v>
      </c>
      <c r="F4134" t="s">
        <v>117</v>
      </c>
      <c r="G4134">
        <v>0.97</v>
      </c>
      <c r="H4134" t="s">
        <v>61</v>
      </c>
      <c r="I4134" t="s">
        <v>42</v>
      </c>
      <c r="M4134">
        <f>VLOOKUP(H4134,'Stage Order'!$A$2:$B$8,2,FALSE)</f>
        <v>1</v>
      </c>
      <c r="N4134" t="str">
        <f t="shared" si="128"/>
        <v>1. Under 1 hour</v>
      </c>
      <c r="O4134" t="str">
        <f t="shared" si="129"/>
        <v>2026-06</v>
      </c>
    </row>
    <row r="4135" spans="1:15" x14ac:dyDescent="0.3">
      <c r="A4135" t="s">
        <v>9741</v>
      </c>
      <c r="B4135" t="s">
        <v>9742</v>
      </c>
      <c r="C4135" t="s">
        <v>58</v>
      </c>
      <c r="D4135" t="s">
        <v>77</v>
      </c>
      <c r="E4135" t="s">
        <v>59</v>
      </c>
      <c r="F4135" t="s">
        <v>137</v>
      </c>
      <c r="G4135">
        <v>5.41</v>
      </c>
      <c r="H4135" t="s">
        <v>41</v>
      </c>
      <c r="I4135" t="s">
        <v>42</v>
      </c>
      <c r="M4135">
        <f>VLOOKUP(H4135,'Stage Order'!$A$2:$B$8,2,FALSE)</f>
        <v>2</v>
      </c>
      <c r="N4135" t="str">
        <f t="shared" si="128"/>
        <v>2. 1-24 hours</v>
      </c>
      <c r="O4135" t="str">
        <f t="shared" si="129"/>
        <v>2026-05</v>
      </c>
    </row>
    <row r="4136" spans="1:15" x14ac:dyDescent="0.3">
      <c r="A4136" t="s">
        <v>9743</v>
      </c>
      <c r="B4136" t="s">
        <v>9744</v>
      </c>
      <c r="C4136" t="s">
        <v>53</v>
      </c>
      <c r="D4136" t="s">
        <v>77</v>
      </c>
      <c r="E4136" t="s">
        <v>45</v>
      </c>
      <c r="F4136" t="s">
        <v>46</v>
      </c>
      <c r="G4136">
        <v>3.93</v>
      </c>
      <c r="H4136" t="s">
        <v>32</v>
      </c>
      <c r="I4136" t="s">
        <v>33</v>
      </c>
      <c r="K4136">
        <v>1020.1</v>
      </c>
      <c r="L4136" t="s">
        <v>9745</v>
      </c>
      <c r="M4136">
        <f>VLOOKUP(H4136,'Stage Order'!$A$2:$B$8,2,FALSE)</f>
        <v>7</v>
      </c>
      <c r="N4136" t="str">
        <f t="shared" si="128"/>
        <v>2. 1-24 hours</v>
      </c>
      <c r="O4136" t="str">
        <f t="shared" si="129"/>
        <v>2025-05</v>
      </c>
    </row>
    <row r="4137" spans="1:15" x14ac:dyDescent="0.3">
      <c r="A4137" t="s">
        <v>9746</v>
      </c>
      <c r="B4137" t="s">
        <v>9747</v>
      </c>
      <c r="C4137" t="s">
        <v>37</v>
      </c>
      <c r="D4137" t="s">
        <v>97</v>
      </c>
      <c r="E4137" t="s">
        <v>59</v>
      </c>
      <c r="F4137" t="s">
        <v>60</v>
      </c>
      <c r="G4137">
        <v>1.37</v>
      </c>
      <c r="H4137" t="s">
        <v>41</v>
      </c>
      <c r="I4137" t="s">
        <v>42</v>
      </c>
      <c r="M4137">
        <f>VLOOKUP(H4137,'Stage Order'!$A$2:$B$8,2,FALSE)</f>
        <v>2</v>
      </c>
      <c r="N4137" t="str">
        <f t="shared" si="128"/>
        <v>2. 1-24 hours</v>
      </c>
      <c r="O4137" t="str">
        <f t="shared" si="129"/>
        <v>2025-07</v>
      </c>
    </row>
    <row r="4138" spans="1:15" x14ac:dyDescent="0.3">
      <c r="A4138" t="s">
        <v>9748</v>
      </c>
      <c r="B4138" t="s">
        <v>9749</v>
      </c>
      <c r="C4138" t="s">
        <v>58</v>
      </c>
      <c r="D4138" t="s">
        <v>77</v>
      </c>
      <c r="E4138" t="s">
        <v>90</v>
      </c>
      <c r="F4138" t="s">
        <v>145</v>
      </c>
      <c r="G4138">
        <v>11.48</v>
      </c>
      <c r="H4138" t="s">
        <v>61</v>
      </c>
      <c r="I4138" t="s">
        <v>42</v>
      </c>
      <c r="M4138">
        <f>VLOOKUP(H4138,'Stage Order'!$A$2:$B$8,2,FALSE)</f>
        <v>1</v>
      </c>
      <c r="N4138" t="str">
        <f t="shared" si="128"/>
        <v>2. 1-24 hours</v>
      </c>
      <c r="O4138" t="str">
        <f t="shared" si="129"/>
        <v>2025-03</v>
      </c>
    </row>
    <row r="4139" spans="1:15" x14ac:dyDescent="0.3">
      <c r="A4139" t="s">
        <v>9750</v>
      </c>
      <c r="B4139" t="s">
        <v>9751</v>
      </c>
      <c r="C4139" t="s">
        <v>53</v>
      </c>
      <c r="D4139" t="s">
        <v>29</v>
      </c>
      <c r="E4139" t="s">
        <v>39</v>
      </c>
      <c r="F4139" t="s">
        <v>40</v>
      </c>
      <c r="G4139">
        <v>5.67</v>
      </c>
      <c r="H4139" t="s">
        <v>41</v>
      </c>
      <c r="I4139" t="s">
        <v>42</v>
      </c>
      <c r="M4139">
        <f>VLOOKUP(H4139,'Stage Order'!$A$2:$B$8,2,FALSE)</f>
        <v>2</v>
      </c>
      <c r="N4139" t="str">
        <f t="shared" si="128"/>
        <v>2. 1-24 hours</v>
      </c>
      <c r="O4139" t="str">
        <f t="shared" si="129"/>
        <v>2025-12</v>
      </c>
    </row>
    <row r="4140" spans="1:15" x14ac:dyDescent="0.3">
      <c r="A4140" t="s">
        <v>9752</v>
      </c>
      <c r="B4140" t="s">
        <v>9753</v>
      </c>
      <c r="C4140" t="s">
        <v>81</v>
      </c>
      <c r="D4140" t="s">
        <v>77</v>
      </c>
      <c r="E4140" t="s">
        <v>45</v>
      </c>
      <c r="F4140" t="s">
        <v>55</v>
      </c>
      <c r="G4140">
        <v>3.26</v>
      </c>
      <c r="H4140" t="s">
        <v>128</v>
      </c>
      <c r="I4140" t="s">
        <v>42</v>
      </c>
      <c r="M4140">
        <f>VLOOKUP(H4140,'Stage Order'!$A$2:$B$8,2,FALSE)</f>
        <v>3</v>
      </c>
      <c r="N4140" t="str">
        <f t="shared" si="128"/>
        <v>2. 1-24 hours</v>
      </c>
      <c r="O4140" t="str">
        <f t="shared" si="129"/>
        <v>2025-10</v>
      </c>
    </row>
    <row r="4141" spans="1:15" x14ac:dyDescent="0.3">
      <c r="A4141" t="s">
        <v>9754</v>
      </c>
      <c r="B4141" t="s">
        <v>9755</v>
      </c>
      <c r="C4141" t="s">
        <v>58</v>
      </c>
      <c r="D4141" t="s">
        <v>77</v>
      </c>
      <c r="E4141" t="s">
        <v>39</v>
      </c>
      <c r="F4141" t="s">
        <v>40</v>
      </c>
      <c r="G4141">
        <v>4.3899999999999997</v>
      </c>
      <c r="H4141" t="s">
        <v>61</v>
      </c>
      <c r="I4141" t="s">
        <v>42</v>
      </c>
      <c r="M4141">
        <f>VLOOKUP(H4141,'Stage Order'!$A$2:$B$8,2,FALSE)</f>
        <v>1</v>
      </c>
      <c r="N4141" t="str">
        <f t="shared" si="128"/>
        <v>2. 1-24 hours</v>
      </c>
      <c r="O4141" t="str">
        <f t="shared" si="129"/>
        <v>2026-03</v>
      </c>
    </row>
    <row r="4142" spans="1:15" x14ac:dyDescent="0.3">
      <c r="A4142" t="s">
        <v>9756</v>
      </c>
      <c r="B4142" t="s">
        <v>9757</v>
      </c>
      <c r="C4142" t="s">
        <v>53</v>
      </c>
      <c r="D4142" t="s">
        <v>29</v>
      </c>
      <c r="E4142" t="s">
        <v>39</v>
      </c>
      <c r="F4142" t="s">
        <v>40</v>
      </c>
      <c r="G4142">
        <v>0.98</v>
      </c>
      <c r="H4142" t="s">
        <v>32</v>
      </c>
      <c r="I4142" t="s">
        <v>33</v>
      </c>
      <c r="K4142">
        <v>570.35</v>
      </c>
      <c r="L4142" t="s">
        <v>9758</v>
      </c>
      <c r="M4142">
        <f>VLOOKUP(H4142,'Stage Order'!$A$2:$B$8,2,FALSE)</f>
        <v>7</v>
      </c>
      <c r="N4142" t="str">
        <f t="shared" si="128"/>
        <v>1. Under 1 hour</v>
      </c>
      <c r="O4142" t="str">
        <f t="shared" si="129"/>
        <v>2025-04</v>
      </c>
    </row>
    <row r="4143" spans="1:15" x14ac:dyDescent="0.3">
      <c r="A4143" t="s">
        <v>9759</v>
      </c>
      <c r="B4143" t="s">
        <v>9760</v>
      </c>
      <c r="C4143" t="s">
        <v>76</v>
      </c>
      <c r="D4143" t="s">
        <v>77</v>
      </c>
      <c r="E4143" t="s">
        <v>39</v>
      </c>
      <c r="F4143" t="s">
        <v>66</v>
      </c>
      <c r="G4143">
        <v>2.29</v>
      </c>
      <c r="H4143" t="s">
        <v>61</v>
      </c>
      <c r="I4143" t="s">
        <v>42</v>
      </c>
      <c r="M4143">
        <f>VLOOKUP(H4143,'Stage Order'!$A$2:$B$8,2,FALSE)</f>
        <v>1</v>
      </c>
      <c r="N4143" t="str">
        <f t="shared" si="128"/>
        <v>2. 1-24 hours</v>
      </c>
      <c r="O4143" t="str">
        <f t="shared" si="129"/>
        <v>2025-07</v>
      </c>
    </row>
    <row r="4144" spans="1:15" x14ac:dyDescent="0.3">
      <c r="A4144" t="s">
        <v>9761</v>
      </c>
      <c r="B4144" t="s">
        <v>9762</v>
      </c>
      <c r="C4144" t="s">
        <v>28</v>
      </c>
      <c r="D4144" t="s">
        <v>38</v>
      </c>
      <c r="E4144" t="s">
        <v>39</v>
      </c>
      <c r="F4144" t="s">
        <v>106</v>
      </c>
      <c r="G4144">
        <v>3.84</v>
      </c>
      <c r="H4144" t="s">
        <v>32</v>
      </c>
      <c r="I4144" t="s">
        <v>33</v>
      </c>
      <c r="K4144">
        <v>356.76</v>
      </c>
      <c r="L4144" t="s">
        <v>9763</v>
      </c>
      <c r="M4144">
        <f>VLOOKUP(H4144,'Stage Order'!$A$2:$B$8,2,FALSE)</f>
        <v>7</v>
      </c>
      <c r="N4144" t="str">
        <f t="shared" si="128"/>
        <v>2. 1-24 hours</v>
      </c>
      <c r="O4144" t="str">
        <f t="shared" si="129"/>
        <v>2025-08</v>
      </c>
    </row>
    <row r="4145" spans="1:15" x14ac:dyDescent="0.3">
      <c r="A4145" t="s">
        <v>9764</v>
      </c>
      <c r="B4145" t="s">
        <v>9765</v>
      </c>
      <c r="C4145" t="s">
        <v>125</v>
      </c>
      <c r="D4145" t="s">
        <v>29</v>
      </c>
      <c r="E4145" t="s">
        <v>30</v>
      </c>
      <c r="F4145" t="s">
        <v>78</v>
      </c>
      <c r="G4145">
        <v>1.84</v>
      </c>
      <c r="H4145" t="s">
        <v>128</v>
      </c>
      <c r="I4145" t="s">
        <v>42</v>
      </c>
      <c r="M4145">
        <f>VLOOKUP(H4145,'Stage Order'!$A$2:$B$8,2,FALSE)</f>
        <v>3</v>
      </c>
      <c r="N4145" t="str">
        <f t="shared" si="128"/>
        <v>2. 1-24 hours</v>
      </c>
      <c r="O4145" t="str">
        <f t="shared" si="129"/>
        <v>2025-09</v>
      </c>
    </row>
    <row r="4146" spans="1:15" x14ac:dyDescent="0.3">
      <c r="A4146" t="s">
        <v>9766</v>
      </c>
      <c r="B4146" t="s">
        <v>7363</v>
      </c>
      <c r="C4146" t="s">
        <v>58</v>
      </c>
      <c r="D4146" t="s">
        <v>77</v>
      </c>
      <c r="E4146" t="s">
        <v>30</v>
      </c>
      <c r="F4146" t="s">
        <v>78</v>
      </c>
      <c r="G4146">
        <v>1.84</v>
      </c>
      <c r="H4146" t="s">
        <v>32</v>
      </c>
      <c r="I4146" t="s">
        <v>33</v>
      </c>
      <c r="K4146">
        <v>836.29</v>
      </c>
      <c r="L4146" t="s">
        <v>9767</v>
      </c>
      <c r="M4146">
        <f>VLOOKUP(H4146,'Stage Order'!$A$2:$B$8,2,FALSE)</f>
        <v>7</v>
      </c>
      <c r="N4146" t="str">
        <f t="shared" si="128"/>
        <v>2. 1-24 hours</v>
      </c>
      <c r="O4146" t="str">
        <f t="shared" si="129"/>
        <v>2025-10</v>
      </c>
    </row>
    <row r="4147" spans="1:15" x14ac:dyDescent="0.3">
      <c r="A4147" t="s">
        <v>9768</v>
      </c>
      <c r="B4147" t="s">
        <v>9769</v>
      </c>
      <c r="C4147" t="s">
        <v>28</v>
      </c>
      <c r="D4147" t="s">
        <v>38</v>
      </c>
      <c r="E4147" t="s">
        <v>30</v>
      </c>
      <c r="F4147" t="s">
        <v>82</v>
      </c>
      <c r="G4147">
        <v>4.13</v>
      </c>
      <c r="H4147" t="s">
        <v>32</v>
      </c>
      <c r="I4147" t="s">
        <v>33</v>
      </c>
      <c r="K4147">
        <v>323.45999999999998</v>
      </c>
      <c r="L4147" t="s">
        <v>9770</v>
      </c>
      <c r="M4147">
        <f>VLOOKUP(H4147,'Stage Order'!$A$2:$B$8,2,FALSE)</f>
        <v>7</v>
      </c>
      <c r="N4147" t="str">
        <f t="shared" si="128"/>
        <v>2. 1-24 hours</v>
      </c>
      <c r="O4147" t="str">
        <f t="shared" si="129"/>
        <v>2025-04</v>
      </c>
    </row>
    <row r="4148" spans="1:15" x14ac:dyDescent="0.3">
      <c r="A4148" t="s">
        <v>9771</v>
      </c>
      <c r="B4148" t="s">
        <v>9772</v>
      </c>
      <c r="C4148" t="s">
        <v>37</v>
      </c>
      <c r="D4148" t="s">
        <v>54</v>
      </c>
      <c r="E4148" t="s">
        <v>30</v>
      </c>
      <c r="F4148" t="s">
        <v>31</v>
      </c>
      <c r="G4148">
        <v>3.59</v>
      </c>
      <c r="H4148" t="s">
        <v>41</v>
      </c>
      <c r="I4148" t="s">
        <v>42</v>
      </c>
      <c r="M4148">
        <f>VLOOKUP(H4148,'Stage Order'!$A$2:$B$8,2,FALSE)</f>
        <v>2</v>
      </c>
      <c r="N4148" t="str">
        <f t="shared" si="128"/>
        <v>2. 1-24 hours</v>
      </c>
      <c r="O4148" t="str">
        <f t="shared" si="129"/>
        <v>2025-12</v>
      </c>
    </row>
    <row r="4149" spans="1:15" x14ac:dyDescent="0.3">
      <c r="A4149" t="s">
        <v>9773</v>
      </c>
      <c r="B4149" t="s">
        <v>9774</v>
      </c>
      <c r="C4149" t="s">
        <v>28</v>
      </c>
      <c r="D4149" t="s">
        <v>77</v>
      </c>
      <c r="E4149" t="s">
        <v>39</v>
      </c>
      <c r="F4149" t="s">
        <v>66</v>
      </c>
      <c r="G4149">
        <v>1.05</v>
      </c>
      <c r="H4149" t="s">
        <v>41</v>
      </c>
      <c r="I4149" t="s">
        <v>42</v>
      </c>
      <c r="M4149">
        <f>VLOOKUP(H4149,'Stage Order'!$A$2:$B$8,2,FALSE)</f>
        <v>2</v>
      </c>
      <c r="N4149" t="str">
        <f t="shared" si="128"/>
        <v>2. 1-24 hours</v>
      </c>
      <c r="O4149" t="str">
        <f t="shared" si="129"/>
        <v>2026-04</v>
      </c>
    </row>
    <row r="4150" spans="1:15" x14ac:dyDescent="0.3">
      <c r="A4150" t="s">
        <v>9775</v>
      </c>
      <c r="B4150" t="s">
        <v>9776</v>
      </c>
      <c r="C4150" t="s">
        <v>28</v>
      </c>
      <c r="D4150" t="s">
        <v>54</v>
      </c>
      <c r="E4150" t="s">
        <v>90</v>
      </c>
      <c r="F4150" t="s">
        <v>145</v>
      </c>
      <c r="G4150">
        <v>0.95</v>
      </c>
      <c r="H4150" t="s">
        <v>41</v>
      </c>
      <c r="I4150" t="s">
        <v>42</v>
      </c>
      <c r="M4150">
        <f>VLOOKUP(H4150,'Stage Order'!$A$2:$B$8,2,FALSE)</f>
        <v>2</v>
      </c>
      <c r="N4150" t="str">
        <f t="shared" si="128"/>
        <v>1. Under 1 hour</v>
      </c>
      <c r="O4150" t="str">
        <f t="shared" si="129"/>
        <v>2026-06</v>
      </c>
    </row>
    <row r="4151" spans="1:15" x14ac:dyDescent="0.3">
      <c r="A4151" t="s">
        <v>9777</v>
      </c>
      <c r="B4151" t="s">
        <v>9778</v>
      </c>
      <c r="C4151" t="s">
        <v>37</v>
      </c>
      <c r="D4151" t="s">
        <v>97</v>
      </c>
      <c r="E4151" t="s">
        <v>45</v>
      </c>
      <c r="F4151" t="s">
        <v>46</v>
      </c>
      <c r="G4151">
        <v>6.13</v>
      </c>
      <c r="H4151" t="s">
        <v>41</v>
      </c>
      <c r="I4151" t="s">
        <v>42</v>
      </c>
      <c r="M4151">
        <f>VLOOKUP(H4151,'Stage Order'!$A$2:$B$8,2,FALSE)</f>
        <v>2</v>
      </c>
      <c r="N4151" t="str">
        <f t="shared" si="128"/>
        <v>2. 1-24 hours</v>
      </c>
      <c r="O4151" t="str">
        <f t="shared" si="129"/>
        <v>2025-12</v>
      </c>
    </row>
    <row r="4152" spans="1:15" x14ac:dyDescent="0.3">
      <c r="A4152" t="s">
        <v>9779</v>
      </c>
      <c r="B4152" t="s">
        <v>9780</v>
      </c>
      <c r="C4152" t="s">
        <v>81</v>
      </c>
      <c r="D4152" t="s">
        <v>97</v>
      </c>
      <c r="E4152" t="s">
        <v>45</v>
      </c>
      <c r="F4152" t="s">
        <v>46</v>
      </c>
      <c r="G4152">
        <v>9.6300000000000008</v>
      </c>
      <c r="H4152" t="s">
        <v>61</v>
      </c>
      <c r="I4152" t="s">
        <v>42</v>
      </c>
      <c r="M4152">
        <f>VLOOKUP(H4152,'Stage Order'!$A$2:$B$8,2,FALSE)</f>
        <v>1</v>
      </c>
      <c r="N4152" t="str">
        <f t="shared" si="128"/>
        <v>2. 1-24 hours</v>
      </c>
      <c r="O4152" t="str">
        <f t="shared" si="129"/>
        <v>2025-03</v>
      </c>
    </row>
    <row r="4153" spans="1:15" x14ac:dyDescent="0.3">
      <c r="A4153" t="s">
        <v>9781</v>
      </c>
      <c r="B4153" t="s">
        <v>9782</v>
      </c>
      <c r="C4153" t="s">
        <v>81</v>
      </c>
      <c r="D4153" t="s">
        <v>38</v>
      </c>
      <c r="E4153" t="s">
        <v>59</v>
      </c>
      <c r="F4153" t="s">
        <v>60</v>
      </c>
      <c r="G4153">
        <v>2.85</v>
      </c>
      <c r="H4153" t="s">
        <v>41</v>
      </c>
      <c r="I4153" t="s">
        <v>42</v>
      </c>
      <c r="M4153">
        <f>VLOOKUP(H4153,'Stage Order'!$A$2:$B$8,2,FALSE)</f>
        <v>2</v>
      </c>
      <c r="N4153" t="str">
        <f t="shared" si="128"/>
        <v>2. 1-24 hours</v>
      </c>
      <c r="O4153" t="str">
        <f t="shared" si="129"/>
        <v>2026-03</v>
      </c>
    </row>
    <row r="4154" spans="1:15" x14ac:dyDescent="0.3">
      <c r="A4154" t="s">
        <v>9783</v>
      </c>
      <c r="B4154" t="s">
        <v>9784</v>
      </c>
      <c r="C4154" t="s">
        <v>53</v>
      </c>
      <c r="D4154" t="s">
        <v>54</v>
      </c>
      <c r="E4154" t="s">
        <v>30</v>
      </c>
      <c r="F4154" t="s">
        <v>78</v>
      </c>
      <c r="G4154">
        <v>3.71</v>
      </c>
      <c r="H4154" t="s">
        <v>138</v>
      </c>
      <c r="I4154" t="s">
        <v>48</v>
      </c>
      <c r="J4154" t="s">
        <v>742</v>
      </c>
      <c r="K4154">
        <v>421.85</v>
      </c>
      <c r="L4154" t="s">
        <v>9785</v>
      </c>
      <c r="M4154">
        <f>VLOOKUP(H4154,'Stage Order'!$A$2:$B$8,2,FALSE)</f>
        <v>6</v>
      </c>
      <c r="N4154" t="str">
        <f t="shared" si="128"/>
        <v>2. 1-24 hours</v>
      </c>
      <c r="O4154" t="str">
        <f t="shared" si="129"/>
        <v>2025-09</v>
      </c>
    </row>
    <row r="4155" spans="1:15" x14ac:dyDescent="0.3">
      <c r="A4155" t="s">
        <v>9786</v>
      </c>
      <c r="B4155" t="s">
        <v>9787</v>
      </c>
      <c r="C4155" t="s">
        <v>37</v>
      </c>
      <c r="D4155" t="s">
        <v>54</v>
      </c>
      <c r="E4155" t="s">
        <v>30</v>
      </c>
      <c r="F4155" t="s">
        <v>78</v>
      </c>
      <c r="G4155">
        <v>2.19</v>
      </c>
      <c r="H4155" t="s">
        <v>47</v>
      </c>
      <c r="I4155" t="s">
        <v>48</v>
      </c>
      <c r="J4155" t="s">
        <v>49</v>
      </c>
      <c r="K4155">
        <v>558.27</v>
      </c>
      <c r="L4155" t="s">
        <v>9788</v>
      </c>
      <c r="M4155">
        <f>VLOOKUP(H4155,'Stage Order'!$A$2:$B$8,2,FALSE)</f>
        <v>4</v>
      </c>
      <c r="N4155" t="str">
        <f t="shared" si="128"/>
        <v>2. 1-24 hours</v>
      </c>
      <c r="O4155" t="str">
        <f t="shared" si="129"/>
        <v>2025-05</v>
      </c>
    </row>
    <row r="4156" spans="1:15" x14ac:dyDescent="0.3">
      <c r="A4156" t="s">
        <v>9789</v>
      </c>
      <c r="B4156" t="s">
        <v>9790</v>
      </c>
      <c r="C4156" t="s">
        <v>53</v>
      </c>
      <c r="D4156" t="s">
        <v>97</v>
      </c>
      <c r="E4156" t="s">
        <v>59</v>
      </c>
      <c r="F4156" t="s">
        <v>137</v>
      </c>
      <c r="G4156">
        <v>1.03</v>
      </c>
      <c r="H4156" t="s">
        <v>41</v>
      </c>
      <c r="I4156" t="s">
        <v>42</v>
      </c>
      <c r="M4156">
        <f>VLOOKUP(H4156,'Stage Order'!$A$2:$B$8,2,FALSE)</f>
        <v>2</v>
      </c>
      <c r="N4156" t="str">
        <f t="shared" si="128"/>
        <v>2. 1-24 hours</v>
      </c>
      <c r="O4156" t="str">
        <f t="shared" si="129"/>
        <v>2025-03</v>
      </c>
    </row>
    <row r="4157" spans="1:15" x14ac:dyDescent="0.3">
      <c r="A4157" t="s">
        <v>9791</v>
      </c>
      <c r="B4157" t="s">
        <v>9792</v>
      </c>
      <c r="C4157" t="s">
        <v>37</v>
      </c>
      <c r="D4157" t="s">
        <v>77</v>
      </c>
      <c r="E4157" t="s">
        <v>45</v>
      </c>
      <c r="F4157" t="s">
        <v>55</v>
      </c>
      <c r="G4157">
        <v>11.6</v>
      </c>
      <c r="H4157" t="s">
        <v>138</v>
      </c>
      <c r="I4157" t="s">
        <v>48</v>
      </c>
      <c r="J4157" t="s">
        <v>139</v>
      </c>
      <c r="K4157">
        <v>895.02</v>
      </c>
      <c r="L4157" t="s">
        <v>9793</v>
      </c>
      <c r="M4157">
        <f>VLOOKUP(H4157,'Stage Order'!$A$2:$B$8,2,FALSE)</f>
        <v>6</v>
      </c>
      <c r="N4157" t="str">
        <f t="shared" si="128"/>
        <v>2. 1-24 hours</v>
      </c>
      <c r="O4157" t="str">
        <f t="shared" si="129"/>
        <v>2026-03</v>
      </c>
    </row>
    <row r="4158" spans="1:15" x14ac:dyDescent="0.3">
      <c r="A4158" t="s">
        <v>9794</v>
      </c>
      <c r="B4158" t="s">
        <v>9795</v>
      </c>
      <c r="C4158" t="s">
        <v>28</v>
      </c>
      <c r="D4158" t="s">
        <v>77</v>
      </c>
      <c r="E4158" t="s">
        <v>90</v>
      </c>
      <c r="F4158" t="s">
        <v>91</v>
      </c>
      <c r="G4158">
        <v>2.88</v>
      </c>
      <c r="H4158" t="s">
        <v>138</v>
      </c>
      <c r="I4158" t="s">
        <v>48</v>
      </c>
      <c r="J4158" t="s">
        <v>742</v>
      </c>
      <c r="K4158">
        <v>1073.26</v>
      </c>
      <c r="L4158" t="s">
        <v>9796</v>
      </c>
      <c r="M4158">
        <f>VLOOKUP(H4158,'Stage Order'!$A$2:$B$8,2,FALSE)</f>
        <v>6</v>
      </c>
      <c r="N4158" t="str">
        <f t="shared" si="128"/>
        <v>2. 1-24 hours</v>
      </c>
      <c r="O4158" t="str">
        <f t="shared" si="129"/>
        <v>2025-06</v>
      </c>
    </row>
    <row r="4159" spans="1:15" x14ac:dyDescent="0.3">
      <c r="A4159" t="s">
        <v>9797</v>
      </c>
      <c r="B4159" t="s">
        <v>9798</v>
      </c>
      <c r="C4159" t="s">
        <v>28</v>
      </c>
      <c r="D4159" t="s">
        <v>54</v>
      </c>
      <c r="E4159" t="s">
        <v>39</v>
      </c>
      <c r="F4159" t="s">
        <v>66</v>
      </c>
      <c r="G4159">
        <v>2.38</v>
      </c>
      <c r="H4159" t="s">
        <v>41</v>
      </c>
      <c r="I4159" t="s">
        <v>42</v>
      </c>
      <c r="M4159">
        <f>VLOOKUP(H4159,'Stage Order'!$A$2:$B$8,2,FALSE)</f>
        <v>2</v>
      </c>
      <c r="N4159" t="str">
        <f t="shared" si="128"/>
        <v>2. 1-24 hours</v>
      </c>
      <c r="O4159" t="str">
        <f t="shared" si="129"/>
        <v>2025-05</v>
      </c>
    </row>
    <row r="4160" spans="1:15" x14ac:dyDescent="0.3">
      <c r="A4160" t="s">
        <v>9799</v>
      </c>
      <c r="B4160" t="s">
        <v>9800</v>
      </c>
      <c r="C4160" t="s">
        <v>76</v>
      </c>
      <c r="D4160" t="s">
        <v>38</v>
      </c>
      <c r="E4160" t="s">
        <v>45</v>
      </c>
      <c r="F4160" t="s">
        <v>46</v>
      </c>
      <c r="G4160">
        <v>0.38</v>
      </c>
      <c r="H4160" t="s">
        <v>41</v>
      </c>
      <c r="I4160" t="s">
        <v>42</v>
      </c>
      <c r="M4160">
        <f>VLOOKUP(H4160,'Stage Order'!$A$2:$B$8,2,FALSE)</f>
        <v>2</v>
      </c>
      <c r="N4160" t="str">
        <f t="shared" si="128"/>
        <v>1. Under 1 hour</v>
      </c>
      <c r="O4160" t="str">
        <f t="shared" si="129"/>
        <v>2025-07</v>
      </c>
    </row>
    <row r="4161" spans="1:15" x14ac:dyDescent="0.3">
      <c r="A4161" t="s">
        <v>9801</v>
      </c>
      <c r="B4161" t="s">
        <v>9802</v>
      </c>
      <c r="C4161" t="s">
        <v>76</v>
      </c>
      <c r="D4161" t="s">
        <v>54</v>
      </c>
      <c r="E4161" t="s">
        <v>39</v>
      </c>
      <c r="F4161" t="s">
        <v>40</v>
      </c>
      <c r="G4161">
        <v>4.84</v>
      </c>
      <c r="H4161" t="s">
        <v>41</v>
      </c>
      <c r="I4161" t="s">
        <v>42</v>
      </c>
      <c r="M4161">
        <f>VLOOKUP(H4161,'Stage Order'!$A$2:$B$8,2,FALSE)</f>
        <v>2</v>
      </c>
      <c r="N4161" t="str">
        <f t="shared" si="128"/>
        <v>2. 1-24 hours</v>
      </c>
      <c r="O4161" t="str">
        <f t="shared" si="129"/>
        <v>2026-01</v>
      </c>
    </row>
    <row r="4162" spans="1:15" x14ac:dyDescent="0.3">
      <c r="A4162" t="s">
        <v>9803</v>
      </c>
      <c r="B4162" t="s">
        <v>9804</v>
      </c>
      <c r="C4162" t="s">
        <v>58</v>
      </c>
      <c r="D4162" t="s">
        <v>77</v>
      </c>
      <c r="E4162" t="s">
        <v>90</v>
      </c>
      <c r="F4162" t="s">
        <v>145</v>
      </c>
      <c r="G4162">
        <v>1.98</v>
      </c>
      <c r="H4162" t="s">
        <v>41</v>
      </c>
      <c r="I4162" t="s">
        <v>42</v>
      </c>
      <c r="M4162">
        <f>VLOOKUP(H4162,'Stage Order'!$A$2:$B$8,2,FALSE)</f>
        <v>2</v>
      </c>
      <c r="N4162" t="str">
        <f t="shared" ref="N4162:N4225" si="130">IF(G4162&lt;=1,"1. Under 1 hour",IF(G4162&lt;=24,"2. 1-24 hours",IF(G4162&lt;=72,"3. 1-3 days","4. Over 3 days")))</f>
        <v>2. 1-24 hours</v>
      </c>
      <c r="O4162" t="str">
        <f t="shared" ref="O4162:O4225" si="131">TEXT(B4162,"YYYY-MM")</f>
        <v>2026-03</v>
      </c>
    </row>
    <row r="4163" spans="1:15" x14ac:dyDescent="0.3">
      <c r="A4163" t="s">
        <v>9805</v>
      </c>
      <c r="B4163" t="s">
        <v>9806</v>
      </c>
      <c r="C4163" t="s">
        <v>125</v>
      </c>
      <c r="D4163" t="s">
        <v>54</v>
      </c>
      <c r="E4163" t="s">
        <v>90</v>
      </c>
      <c r="F4163" t="s">
        <v>91</v>
      </c>
      <c r="G4163">
        <v>9.19</v>
      </c>
      <c r="H4163" t="s">
        <v>47</v>
      </c>
      <c r="I4163" t="s">
        <v>48</v>
      </c>
      <c r="J4163" t="s">
        <v>98</v>
      </c>
      <c r="K4163">
        <v>502.25</v>
      </c>
      <c r="L4163" t="s">
        <v>9807</v>
      </c>
      <c r="M4163">
        <f>VLOOKUP(H4163,'Stage Order'!$A$2:$B$8,2,FALSE)</f>
        <v>4</v>
      </c>
      <c r="N4163" t="str">
        <f t="shared" si="130"/>
        <v>2. 1-24 hours</v>
      </c>
      <c r="O4163" t="str">
        <f t="shared" si="131"/>
        <v>2025-04</v>
      </c>
    </row>
    <row r="4164" spans="1:15" x14ac:dyDescent="0.3">
      <c r="A4164" t="s">
        <v>9808</v>
      </c>
      <c r="B4164" t="s">
        <v>9809</v>
      </c>
      <c r="C4164" t="s">
        <v>53</v>
      </c>
      <c r="D4164" t="s">
        <v>97</v>
      </c>
      <c r="E4164" t="s">
        <v>45</v>
      </c>
      <c r="F4164" t="s">
        <v>94</v>
      </c>
      <c r="G4164">
        <v>4.63</v>
      </c>
      <c r="H4164" t="s">
        <v>138</v>
      </c>
      <c r="I4164" t="s">
        <v>48</v>
      </c>
      <c r="J4164" t="s">
        <v>98</v>
      </c>
      <c r="K4164">
        <v>1237.31</v>
      </c>
      <c r="L4164" t="s">
        <v>9810</v>
      </c>
      <c r="M4164">
        <f>VLOOKUP(H4164,'Stage Order'!$A$2:$B$8,2,FALSE)</f>
        <v>6</v>
      </c>
      <c r="N4164" t="str">
        <f t="shared" si="130"/>
        <v>2. 1-24 hours</v>
      </c>
      <c r="O4164" t="str">
        <f t="shared" si="131"/>
        <v>2025-11</v>
      </c>
    </row>
    <row r="4165" spans="1:15" x14ac:dyDescent="0.3">
      <c r="A4165" t="s">
        <v>9811</v>
      </c>
      <c r="B4165" t="s">
        <v>9812</v>
      </c>
      <c r="C4165" t="s">
        <v>37</v>
      </c>
      <c r="D4165" t="s">
        <v>54</v>
      </c>
      <c r="E4165" t="s">
        <v>59</v>
      </c>
      <c r="F4165" t="s">
        <v>60</v>
      </c>
      <c r="G4165">
        <v>2.88</v>
      </c>
      <c r="H4165" t="s">
        <v>61</v>
      </c>
      <c r="I4165" t="s">
        <v>42</v>
      </c>
      <c r="M4165">
        <f>VLOOKUP(H4165,'Stage Order'!$A$2:$B$8,2,FALSE)</f>
        <v>1</v>
      </c>
      <c r="N4165" t="str">
        <f t="shared" si="130"/>
        <v>2. 1-24 hours</v>
      </c>
      <c r="O4165" t="str">
        <f t="shared" si="131"/>
        <v>2025-09</v>
      </c>
    </row>
    <row r="4166" spans="1:15" x14ac:dyDescent="0.3">
      <c r="A4166" t="s">
        <v>9813</v>
      </c>
      <c r="B4166" t="s">
        <v>9814</v>
      </c>
      <c r="C4166" t="s">
        <v>37</v>
      </c>
      <c r="D4166" t="s">
        <v>38</v>
      </c>
      <c r="E4166" t="s">
        <v>45</v>
      </c>
      <c r="F4166" t="s">
        <v>94</v>
      </c>
      <c r="G4166">
        <v>6.2</v>
      </c>
      <c r="H4166" t="s">
        <v>41</v>
      </c>
      <c r="I4166" t="s">
        <v>42</v>
      </c>
      <c r="M4166">
        <f>VLOOKUP(H4166,'Stage Order'!$A$2:$B$8,2,FALSE)</f>
        <v>2</v>
      </c>
      <c r="N4166" t="str">
        <f t="shared" si="130"/>
        <v>2. 1-24 hours</v>
      </c>
      <c r="O4166" t="str">
        <f t="shared" si="131"/>
        <v>2025-06</v>
      </c>
    </row>
    <row r="4167" spans="1:15" x14ac:dyDescent="0.3">
      <c r="A4167" t="s">
        <v>9815</v>
      </c>
      <c r="B4167" t="s">
        <v>9816</v>
      </c>
      <c r="C4167" t="s">
        <v>58</v>
      </c>
      <c r="D4167" t="s">
        <v>29</v>
      </c>
      <c r="E4167" t="s">
        <v>45</v>
      </c>
      <c r="F4167" t="s">
        <v>55</v>
      </c>
      <c r="G4167">
        <v>5.49</v>
      </c>
      <c r="H4167" t="s">
        <v>41</v>
      </c>
      <c r="I4167" t="s">
        <v>42</v>
      </c>
      <c r="M4167">
        <f>VLOOKUP(H4167,'Stage Order'!$A$2:$B$8,2,FALSE)</f>
        <v>2</v>
      </c>
      <c r="N4167" t="str">
        <f t="shared" si="130"/>
        <v>2. 1-24 hours</v>
      </c>
      <c r="O4167" t="str">
        <f t="shared" si="131"/>
        <v>2025-03</v>
      </c>
    </row>
    <row r="4168" spans="1:15" x14ac:dyDescent="0.3">
      <c r="A4168" t="s">
        <v>9817</v>
      </c>
      <c r="B4168" t="s">
        <v>9818</v>
      </c>
      <c r="C4168" t="s">
        <v>125</v>
      </c>
      <c r="D4168" t="s">
        <v>54</v>
      </c>
      <c r="E4168" t="s">
        <v>30</v>
      </c>
      <c r="F4168" t="s">
        <v>31</v>
      </c>
      <c r="G4168">
        <v>2.31</v>
      </c>
      <c r="H4168" t="s">
        <v>61</v>
      </c>
      <c r="I4168" t="s">
        <v>42</v>
      </c>
      <c r="M4168">
        <f>VLOOKUP(H4168,'Stage Order'!$A$2:$B$8,2,FALSE)</f>
        <v>1</v>
      </c>
      <c r="N4168" t="str">
        <f t="shared" si="130"/>
        <v>2. 1-24 hours</v>
      </c>
      <c r="O4168" t="str">
        <f t="shared" si="131"/>
        <v>2025-08</v>
      </c>
    </row>
    <row r="4169" spans="1:15" x14ac:dyDescent="0.3">
      <c r="A4169" t="s">
        <v>9819</v>
      </c>
      <c r="B4169" t="s">
        <v>9820</v>
      </c>
      <c r="C4169" t="s">
        <v>76</v>
      </c>
      <c r="D4169" t="s">
        <v>29</v>
      </c>
      <c r="E4169" t="s">
        <v>39</v>
      </c>
      <c r="F4169" t="s">
        <v>106</v>
      </c>
      <c r="G4169">
        <v>1.6</v>
      </c>
      <c r="H4169" t="s">
        <v>41</v>
      </c>
      <c r="I4169" t="s">
        <v>42</v>
      </c>
      <c r="M4169">
        <f>VLOOKUP(H4169,'Stage Order'!$A$2:$B$8,2,FALSE)</f>
        <v>2</v>
      </c>
      <c r="N4169" t="str">
        <f t="shared" si="130"/>
        <v>2. 1-24 hours</v>
      </c>
      <c r="O4169" t="str">
        <f t="shared" si="131"/>
        <v>2025-08</v>
      </c>
    </row>
    <row r="4170" spans="1:15" x14ac:dyDescent="0.3">
      <c r="A4170" t="s">
        <v>9821</v>
      </c>
      <c r="B4170" t="s">
        <v>9822</v>
      </c>
      <c r="C4170" t="s">
        <v>37</v>
      </c>
      <c r="D4170" t="s">
        <v>97</v>
      </c>
      <c r="E4170" t="s">
        <v>90</v>
      </c>
      <c r="F4170" t="s">
        <v>91</v>
      </c>
      <c r="G4170">
        <v>5.89</v>
      </c>
      <c r="H4170" t="s">
        <v>41</v>
      </c>
      <c r="I4170" t="s">
        <v>42</v>
      </c>
      <c r="M4170">
        <f>VLOOKUP(H4170,'Stage Order'!$A$2:$B$8,2,FALSE)</f>
        <v>2</v>
      </c>
      <c r="N4170" t="str">
        <f t="shared" si="130"/>
        <v>2. 1-24 hours</v>
      </c>
      <c r="O4170" t="str">
        <f t="shared" si="131"/>
        <v>2025-10</v>
      </c>
    </row>
    <row r="4171" spans="1:15" x14ac:dyDescent="0.3">
      <c r="A4171" t="s">
        <v>9823</v>
      </c>
      <c r="B4171" t="s">
        <v>9824</v>
      </c>
      <c r="C4171" t="s">
        <v>76</v>
      </c>
      <c r="D4171" t="s">
        <v>54</v>
      </c>
      <c r="E4171" t="s">
        <v>39</v>
      </c>
      <c r="F4171" t="s">
        <v>106</v>
      </c>
      <c r="G4171">
        <v>1.61</v>
      </c>
      <c r="H4171" t="s">
        <v>41</v>
      </c>
      <c r="I4171" t="s">
        <v>42</v>
      </c>
      <c r="M4171">
        <f>VLOOKUP(H4171,'Stage Order'!$A$2:$B$8,2,FALSE)</f>
        <v>2</v>
      </c>
      <c r="N4171" t="str">
        <f t="shared" si="130"/>
        <v>2. 1-24 hours</v>
      </c>
      <c r="O4171" t="str">
        <f t="shared" si="131"/>
        <v>2026-04</v>
      </c>
    </row>
    <row r="4172" spans="1:15" x14ac:dyDescent="0.3">
      <c r="A4172" t="s">
        <v>9825</v>
      </c>
      <c r="B4172" t="s">
        <v>9826</v>
      </c>
      <c r="C4172" t="s">
        <v>58</v>
      </c>
      <c r="D4172" t="s">
        <v>54</v>
      </c>
      <c r="E4172" t="s">
        <v>59</v>
      </c>
      <c r="F4172" t="s">
        <v>137</v>
      </c>
      <c r="G4172">
        <v>3.76</v>
      </c>
      <c r="H4172" t="s">
        <v>61</v>
      </c>
      <c r="I4172" t="s">
        <v>42</v>
      </c>
      <c r="M4172">
        <f>VLOOKUP(H4172,'Stage Order'!$A$2:$B$8,2,FALSE)</f>
        <v>1</v>
      </c>
      <c r="N4172" t="str">
        <f t="shared" si="130"/>
        <v>2. 1-24 hours</v>
      </c>
      <c r="O4172" t="str">
        <f t="shared" si="131"/>
        <v>2025-08</v>
      </c>
    </row>
    <row r="4173" spans="1:15" x14ac:dyDescent="0.3">
      <c r="A4173" t="s">
        <v>9827</v>
      </c>
      <c r="B4173" t="s">
        <v>9828</v>
      </c>
      <c r="C4173" t="s">
        <v>58</v>
      </c>
      <c r="D4173" t="s">
        <v>29</v>
      </c>
      <c r="E4173" t="s">
        <v>45</v>
      </c>
      <c r="F4173" t="s">
        <v>46</v>
      </c>
      <c r="G4173">
        <v>4.59</v>
      </c>
      <c r="H4173" t="s">
        <v>138</v>
      </c>
      <c r="I4173" t="s">
        <v>48</v>
      </c>
      <c r="J4173" t="s">
        <v>49</v>
      </c>
      <c r="K4173">
        <v>541.61</v>
      </c>
      <c r="L4173" t="s">
        <v>9829</v>
      </c>
      <c r="M4173">
        <f>VLOOKUP(H4173,'Stage Order'!$A$2:$B$8,2,FALSE)</f>
        <v>6</v>
      </c>
      <c r="N4173" t="str">
        <f t="shared" si="130"/>
        <v>2. 1-24 hours</v>
      </c>
      <c r="O4173" t="str">
        <f t="shared" si="131"/>
        <v>2025-07</v>
      </c>
    </row>
    <row r="4174" spans="1:15" x14ac:dyDescent="0.3">
      <c r="A4174" t="s">
        <v>9830</v>
      </c>
      <c r="B4174" t="s">
        <v>9831</v>
      </c>
      <c r="C4174" t="s">
        <v>81</v>
      </c>
      <c r="D4174" t="s">
        <v>77</v>
      </c>
      <c r="E4174" t="s">
        <v>45</v>
      </c>
      <c r="F4174" t="s">
        <v>55</v>
      </c>
      <c r="G4174">
        <v>15.64</v>
      </c>
      <c r="H4174" t="s">
        <v>61</v>
      </c>
      <c r="I4174" t="s">
        <v>42</v>
      </c>
      <c r="M4174">
        <f>VLOOKUP(H4174,'Stage Order'!$A$2:$B$8,2,FALSE)</f>
        <v>1</v>
      </c>
      <c r="N4174" t="str">
        <f t="shared" si="130"/>
        <v>2. 1-24 hours</v>
      </c>
      <c r="O4174" t="str">
        <f t="shared" si="131"/>
        <v>2025-01</v>
      </c>
    </row>
    <row r="4175" spans="1:15" x14ac:dyDescent="0.3">
      <c r="A4175" t="s">
        <v>9832</v>
      </c>
      <c r="B4175" t="s">
        <v>9833</v>
      </c>
      <c r="C4175" t="s">
        <v>53</v>
      </c>
      <c r="D4175" t="s">
        <v>29</v>
      </c>
      <c r="E4175" t="s">
        <v>39</v>
      </c>
      <c r="F4175" t="s">
        <v>66</v>
      </c>
      <c r="G4175">
        <v>1.51</v>
      </c>
      <c r="H4175" t="s">
        <v>41</v>
      </c>
      <c r="I4175" t="s">
        <v>42</v>
      </c>
      <c r="M4175">
        <f>VLOOKUP(H4175,'Stage Order'!$A$2:$B$8,2,FALSE)</f>
        <v>2</v>
      </c>
      <c r="N4175" t="str">
        <f t="shared" si="130"/>
        <v>2. 1-24 hours</v>
      </c>
      <c r="O4175" t="str">
        <f t="shared" si="131"/>
        <v>2025-04</v>
      </c>
    </row>
    <row r="4176" spans="1:15" x14ac:dyDescent="0.3">
      <c r="A4176" t="s">
        <v>9834</v>
      </c>
      <c r="B4176" t="s">
        <v>9835</v>
      </c>
      <c r="C4176" t="s">
        <v>37</v>
      </c>
      <c r="D4176" t="s">
        <v>38</v>
      </c>
      <c r="E4176" t="s">
        <v>30</v>
      </c>
      <c r="F4176" t="s">
        <v>82</v>
      </c>
      <c r="G4176">
        <v>10.67</v>
      </c>
      <c r="H4176" t="s">
        <v>61</v>
      </c>
      <c r="I4176" t="s">
        <v>42</v>
      </c>
      <c r="M4176">
        <f>VLOOKUP(H4176,'Stage Order'!$A$2:$B$8,2,FALSE)</f>
        <v>1</v>
      </c>
      <c r="N4176" t="str">
        <f t="shared" si="130"/>
        <v>2. 1-24 hours</v>
      </c>
      <c r="O4176" t="str">
        <f t="shared" si="131"/>
        <v>2026-04</v>
      </c>
    </row>
    <row r="4177" spans="1:15" x14ac:dyDescent="0.3">
      <c r="A4177" t="s">
        <v>9836</v>
      </c>
      <c r="B4177" t="s">
        <v>9837</v>
      </c>
      <c r="C4177" t="s">
        <v>37</v>
      </c>
      <c r="D4177" t="s">
        <v>29</v>
      </c>
      <c r="E4177" t="s">
        <v>45</v>
      </c>
      <c r="F4177" t="s">
        <v>46</v>
      </c>
      <c r="G4177">
        <v>4.57</v>
      </c>
      <c r="H4177" t="s">
        <v>32</v>
      </c>
      <c r="I4177" t="s">
        <v>33</v>
      </c>
      <c r="K4177">
        <v>583.54</v>
      </c>
      <c r="L4177" t="s">
        <v>9838</v>
      </c>
      <c r="M4177">
        <f>VLOOKUP(H4177,'Stage Order'!$A$2:$B$8,2,FALSE)</f>
        <v>7</v>
      </c>
      <c r="N4177" t="str">
        <f t="shared" si="130"/>
        <v>2. 1-24 hours</v>
      </c>
      <c r="O4177" t="str">
        <f t="shared" si="131"/>
        <v>2025-11</v>
      </c>
    </row>
    <row r="4178" spans="1:15" x14ac:dyDescent="0.3">
      <c r="A4178" t="s">
        <v>9839</v>
      </c>
      <c r="B4178" t="s">
        <v>9840</v>
      </c>
      <c r="C4178" t="s">
        <v>58</v>
      </c>
      <c r="D4178" t="s">
        <v>29</v>
      </c>
      <c r="E4178" t="s">
        <v>45</v>
      </c>
      <c r="F4178" t="s">
        <v>46</v>
      </c>
      <c r="G4178">
        <v>1.36</v>
      </c>
      <c r="H4178" t="s">
        <v>41</v>
      </c>
      <c r="I4178" t="s">
        <v>42</v>
      </c>
      <c r="M4178">
        <f>VLOOKUP(H4178,'Stage Order'!$A$2:$B$8,2,FALSE)</f>
        <v>2</v>
      </c>
      <c r="N4178" t="str">
        <f t="shared" si="130"/>
        <v>2. 1-24 hours</v>
      </c>
      <c r="O4178" t="str">
        <f t="shared" si="131"/>
        <v>2026-01</v>
      </c>
    </row>
    <row r="4179" spans="1:15" x14ac:dyDescent="0.3">
      <c r="A4179" t="s">
        <v>9841</v>
      </c>
      <c r="B4179" t="s">
        <v>9842</v>
      </c>
      <c r="C4179" t="s">
        <v>81</v>
      </c>
      <c r="D4179" t="s">
        <v>77</v>
      </c>
      <c r="E4179" t="s">
        <v>45</v>
      </c>
      <c r="F4179" t="s">
        <v>55</v>
      </c>
      <c r="G4179">
        <v>2.95</v>
      </c>
      <c r="H4179" t="s">
        <v>61</v>
      </c>
      <c r="I4179" t="s">
        <v>42</v>
      </c>
      <c r="M4179">
        <f>VLOOKUP(H4179,'Stage Order'!$A$2:$B$8,2,FALSE)</f>
        <v>1</v>
      </c>
      <c r="N4179" t="str">
        <f t="shared" si="130"/>
        <v>2. 1-24 hours</v>
      </c>
      <c r="O4179" t="str">
        <f t="shared" si="131"/>
        <v>2026-03</v>
      </c>
    </row>
    <row r="4180" spans="1:15" x14ac:dyDescent="0.3">
      <c r="A4180" t="s">
        <v>9843</v>
      </c>
      <c r="B4180" t="s">
        <v>9844</v>
      </c>
      <c r="C4180" t="s">
        <v>76</v>
      </c>
      <c r="D4180" t="s">
        <v>77</v>
      </c>
      <c r="E4180" t="s">
        <v>59</v>
      </c>
      <c r="F4180" t="s">
        <v>60</v>
      </c>
      <c r="G4180">
        <v>3.96</v>
      </c>
      <c r="H4180" t="s">
        <v>32</v>
      </c>
      <c r="I4180" t="s">
        <v>33</v>
      </c>
      <c r="K4180">
        <v>845.72</v>
      </c>
      <c r="L4180" t="s">
        <v>9845</v>
      </c>
      <c r="M4180">
        <f>VLOOKUP(H4180,'Stage Order'!$A$2:$B$8,2,FALSE)</f>
        <v>7</v>
      </c>
      <c r="N4180" t="str">
        <f t="shared" si="130"/>
        <v>2. 1-24 hours</v>
      </c>
      <c r="O4180" t="str">
        <f t="shared" si="131"/>
        <v>2025-08</v>
      </c>
    </row>
    <row r="4181" spans="1:15" x14ac:dyDescent="0.3">
      <c r="A4181" t="s">
        <v>9846</v>
      </c>
      <c r="B4181" t="s">
        <v>9847</v>
      </c>
      <c r="C4181" t="s">
        <v>37</v>
      </c>
      <c r="D4181" t="s">
        <v>97</v>
      </c>
      <c r="E4181" t="s">
        <v>59</v>
      </c>
      <c r="F4181" t="s">
        <v>60</v>
      </c>
      <c r="G4181">
        <v>3.44</v>
      </c>
      <c r="H4181" t="s">
        <v>138</v>
      </c>
      <c r="I4181" t="s">
        <v>48</v>
      </c>
      <c r="J4181" t="s">
        <v>98</v>
      </c>
      <c r="K4181">
        <v>1674.65</v>
      </c>
      <c r="L4181" t="s">
        <v>9848</v>
      </c>
      <c r="M4181">
        <f>VLOOKUP(H4181,'Stage Order'!$A$2:$B$8,2,FALSE)</f>
        <v>6</v>
      </c>
      <c r="N4181" t="str">
        <f t="shared" si="130"/>
        <v>2. 1-24 hours</v>
      </c>
      <c r="O4181" t="str">
        <f t="shared" si="131"/>
        <v>2025-05</v>
      </c>
    </row>
    <row r="4182" spans="1:15" x14ac:dyDescent="0.3">
      <c r="A4182" t="s">
        <v>9849</v>
      </c>
      <c r="B4182" t="s">
        <v>9850</v>
      </c>
      <c r="C4182" t="s">
        <v>28</v>
      </c>
      <c r="D4182" t="s">
        <v>54</v>
      </c>
      <c r="E4182" t="s">
        <v>45</v>
      </c>
      <c r="F4182" t="s">
        <v>46</v>
      </c>
      <c r="G4182">
        <v>1.41</v>
      </c>
      <c r="H4182" t="s">
        <v>32</v>
      </c>
      <c r="I4182" t="s">
        <v>33</v>
      </c>
      <c r="K4182">
        <v>510.09</v>
      </c>
      <c r="L4182" t="s">
        <v>9851</v>
      </c>
      <c r="M4182">
        <f>VLOOKUP(H4182,'Stage Order'!$A$2:$B$8,2,FALSE)</f>
        <v>7</v>
      </c>
      <c r="N4182" t="str">
        <f t="shared" si="130"/>
        <v>2. 1-24 hours</v>
      </c>
      <c r="O4182" t="str">
        <f t="shared" si="131"/>
        <v>2026-04</v>
      </c>
    </row>
    <row r="4183" spans="1:15" x14ac:dyDescent="0.3">
      <c r="A4183" t="s">
        <v>9852</v>
      </c>
      <c r="B4183" t="s">
        <v>9853</v>
      </c>
      <c r="C4183" t="s">
        <v>37</v>
      </c>
      <c r="D4183" t="s">
        <v>97</v>
      </c>
      <c r="E4183" t="s">
        <v>30</v>
      </c>
      <c r="F4183" t="s">
        <v>31</v>
      </c>
      <c r="G4183">
        <v>13.42</v>
      </c>
      <c r="H4183" t="s">
        <v>41</v>
      </c>
      <c r="I4183" t="s">
        <v>42</v>
      </c>
      <c r="M4183">
        <f>VLOOKUP(H4183,'Stage Order'!$A$2:$B$8,2,FALSE)</f>
        <v>2</v>
      </c>
      <c r="N4183" t="str">
        <f t="shared" si="130"/>
        <v>2. 1-24 hours</v>
      </c>
      <c r="O4183" t="str">
        <f t="shared" si="131"/>
        <v>2026-05</v>
      </c>
    </row>
    <row r="4184" spans="1:15" x14ac:dyDescent="0.3">
      <c r="A4184" t="s">
        <v>9854</v>
      </c>
      <c r="B4184" t="s">
        <v>9855</v>
      </c>
      <c r="C4184" t="s">
        <v>125</v>
      </c>
      <c r="D4184" t="s">
        <v>77</v>
      </c>
      <c r="E4184" t="s">
        <v>39</v>
      </c>
      <c r="F4184" t="s">
        <v>106</v>
      </c>
      <c r="G4184">
        <v>2.29</v>
      </c>
      <c r="H4184" t="s">
        <v>41</v>
      </c>
      <c r="I4184" t="s">
        <v>42</v>
      </c>
      <c r="M4184">
        <f>VLOOKUP(H4184,'Stage Order'!$A$2:$B$8,2,FALSE)</f>
        <v>2</v>
      </c>
      <c r="N4184" t="str">
        <f t="shared" si="130"/>
        <v>2. 1-24 hours</v>
      </c>
      <c r="O4184" t="str">
        <f t="shared" si="131"/>
        <v>2025-11</v>
      </c>
    </row>
    <row r="4185" spans="1:15" x14ac:dyDescent="0.3">
      <c r="A4185" t="s">
        <v>9856</v>
      </c>
      <c r="B4185" t="s">
        <v>9857</v>
      </c>
      <c r="C4185" t="s">
        <v>81</v>
      </c>
      <c r="D4185" t="s">
        <v>29</v>
      </c>
      <c r="E4185" t="s">
        <v>90</v>
      </c>
      <c r="F4185" t="s">
        <v>145</v>
      </c>
      <c r="G4185">
        <v>1.63</v>
      </c>
      <c r="H4185" t="s">
        <v>61</v>
      </c>
      <c r="I4185" t="s">
        <v>42</v>
      </c>
      <c r="M4185">
        <f>VLOOKUP(H4185,'Stage Order'!$A$2:$B$8,2,FALSE)</f>
        <v>1</v>
      </c>
      <c r="N4185" t="str">
        <f t="shared" si="130"/>
        <v>2. 1-24 hours</v>
      </c>
      <c r="O4185" t="str">
        <f t="shared" si="131"/>
        <v>2025-08</v>
      </c>
    </row>
    <row r="4186" spans="1:15" x14ac:dyDescent="0.3">
      <c r="A4186" t="s">
        <v>9858</v>
      </c>
      <c r="B4186" t="s">
        <v>9859</v>
      </c>
      <c r="C4186" t="s">
        <v>28</v>
      </c>
      <c r="D4186" t="s">
        <v>38</v>
      </c>
      <c r="E4186" t="s">
        <v>59</v>
      </c>
      <c r="F4186" t="s">
        <v>60</v>
      </c>
      <c r="G4186">
        <v>3.35</v>
      </c>
      <c r="H4186" t="s">
        <v>138</v>
      </c>
      <c r="I4186" t="s">
        <v>48</v>
      </c>
      <c r="J4186" t="s">
        <v>139</v>
      </c>
      <c r="K4186">
        <v>416.43</v>
      </c>
      <c r="L4186" t="s">
        <v>9860</v>
      </c>
      <c r="M4186">
        <f>VLOOKUP(H4186,'Stage Order'!$A$2:$B$8,2,FALSE)</f>
        <v>6</v>
      </c>
      <c r="N4186" t="str">
        <f t="shared" si="130"/>
        <v>2. 1-24 hours</v>
      </c>
      <c r="O4186" t="str">
        <f t="shared" si="131"/>
        <v>2025-06</v>
      </c>
    </row>
    <row r="4187" spans="1:15" x14ac:dyDescent="0.3">
      <c r="A4187" t="s">
        <v>9861</v>
      </c>
      <c r="B4187" t="s">
        <v>9862</v>
      </c>
      <c r="C4187" t="s">
        <v>76</v>
      </c>
      <c r="D4187" t="s">
        <v>97</v>
      </c>
      <c r="E4187" t="s">
        <v>45</v>
      </c>
      <c r="F4187" t="s">
        <v>94</v>
      </c>
      <c r="G4187">
        <v>8.15</v>
      </c>
      <c r="H4187" t="s">
        <v>32</v>
      </c>
      <c r="I4187" t="s">
        <v>33</v>
      </c>
      <c r="K4187">
        <v>1681.1</v>
      </c>
      <c r="L4187" t="s">
        <v>9863</v>
      </c>
      <c r="M4187">
        <f>VLOOKUP(H4187,'Stage Order'!$A$2:$B$8,2,FALSE)</f>
        <v>7</v>
      </c>
      <c r="N4187" t="str">
        <f t="shared" si="130"/>
        <v>2. 1-24 hours</v>
      </c>
      <c r="O4187" t="str">
        <f t="shared" si="131"/>
        <v>2025-11</v>
      </c>
    </row>
    <row r="4188" spans="1:15" x14ac:dyDescent="0.3">
      <c r="A4188" t="s">
        <v>9864</v>
      </c>
      <c r="B4188" t="s">
        <v>9865</v>
      </c>
      <c r="C4188" t="s">
        <v>58</v>
      </c>
      <c r="D4188" t="s">
        <v>29</v>
      </c>
      <c r="E4188" t="s">
        <v>59</v>
      </c>
      <c r="F4188" t="s">
        <v>137</v>
      </c>
      <c r="G4188">
        <v>1.8</v>
      </c>
      <c r="H4188" t="s">
        <v>41</v>
      </c>
      <c r="I4188" t="s">
        <v>42</v>
      </c>
      <c r="M4188">
        <f>VLOOKUP(H4188,'Stage Order'!$A$2:$B$8,2,FALSE)</f>
        <v>2</v>
      </c>
      <c r="N4188" t="str">
        <f t="shared" si="130"/>
        <v>2. 1-24 hours</v>
      </c>
      <c r="O4188" t="str">
        <f t="shared" si="131"/>
        <v>2026-05</v>
      </c>
    </row>
    <row r="4189" spans="1:15" x14ac:dyDescent="0.3">
      <c r="A4189" t="s">
        <v>9866</v>
      </c>
      <c r="B4189" t="s">
        <v>9867</v>
      </c>
      <c r="C4189" t="s">
        <v>53</v>
      </c>
      <c r="D4189" t="s">
        <v>29</v>
      </c>
      <c r="E4189" t="s">
        <v>39</v>
      </c>
      <c r="F4189" t="s">
        <v>106</v>
      </c>
      <c r="G4189">
        <v>1.57</v>
      </c>
      <c r="H4189" t="s">
        <v>128</v>
      </c>
      <c r="I4189" t="s">
        <v>42</v>
      </c>
      <c r="M4189">
        <f>VLOOKUP(H4189,'Stage Order'!$A$2:$B$8,2,FALSE)</f>
        <v>3</v>
      </c>
      <c r="N4189" t="str">
        <f t="shared" si="130"/>
        <v>2. 1-24 hours</v>
      </c>
      <c r="O4189" t="str">
        <f t="shared" si="131"/>
        <v>2026-02</v>
      </c>
    </row>
    <row r="4190" spans="1:15" x14ac:dyDescent="0.3">
      <c r="A4190" t="s">
        <v>9868</v>
      </c>
      <c r="B4190" t="s">
        <v>9869</v>
      </c>
      <c r="C4190" t="s">
        <v>53</v>
      </c>
      <c r="D4190" t="s">
        <v>54</v>
      </c>
      <c r="E4190" t="s">
        <v>45</v>
      </c>
      <c r="F4190" t="s">
        <v>94</v>
      </c>
      <c r="G4190">
        <v>2.15</v>
      </c>
      <c r="H4190" t="s">
        <v>138</v>
      </c>
      <c r="I4190" t="s">
        <v>48</v>
      </c>
      <c r="J4190" t="s">
        <v>49</v>
      </c>
      <c r="K4190">
        <v>580.41</v>
      </c>
      <c r="L4190" t="s">
        <v>9870</v>
      </c>
      <c r="M4190">
        <f>VLOOKUP(H4190,'Stage Order'!$A$2:$B$8,2,FALSE)</f>
        <v>6</v>
      </c>
      <c r="N4190" t="str">
        <f t="shared" si="130"/>
        <v>2. 1-24 hours</v>
      </c>
      <c r="O4190" t="str">
        <f t="shared" si="131"/>
        <v>2025-08</v>
      </c>
    </row>
    <row r="4191" spans="1:15" x14ac:dyDescent="0.3">
      <c r="A4191" t="s">
        <v>9871</v>
      </c>
      <c r="B4191" t="s">
        <v>9872</v>
      </c>
      <c r="C4191" t="s">
        <v>28</v>
      </c>
      <c r="D4191" t="s">
        <v>54</v>
      </c>
      <c r="E4191" t="s">
        <v>39</v>
      </c>
      <c r="F4191" t="s">
        <v>40</v>
      </c>
      <c r="G4191">
        <v>4.68</v>
      </c>
      <c r="H4191" t="s">
        <v>32</v>
      </c>
      <c r="I4191" t="s">
        <v>33</v>
      </c>
      <c r="K4191">
        <v>586.71</v>
      </c>
      <c r="L4191" t="s">
        <v>9873</v>
      </c>
      <c r="M4191">
        <f>VLOOKUP(H4191,'Stage Order'!$A$2:$B$8,2,FALSE)</f>
        <v>7</v>
      </c>
      <c r="N4191" t="str">
        <f t="shared" si="130"/>
        <v>2. 1-24 hours</v>
      </c>
      <c r="O4191" t="str">
        <f t="shared" si="131"/>
        <v>2025-05</v>
      </c>
    </row>
    <row r="4192" spans="1:15" x14ac:dyDescent="0.3">
      <c r="A4192" t="s">
        <v>9874</v>
      </c>
      <c r="B4192" t="s">
        <v>9875</v>
      </c>
      <c r="C4192" t="s">
        <v>37</v>
      </c>
      <c r="D4192" t="s">
        <v>38</v>
      </c>
      <c r="E4192" t="s">
        <v>30</v>
      </c>
      <c r="F4192" t="s">
        <v>31</v>
      </c>
      <c r="G4192">
        <v>2.29</v>
      </c>
      <c r="H4192" t="s">
        <v>41</v>
      </c>
      <c r="I4192" t="s">
        <v>42</v>
      </c>
      <c r="M4192">
        <f>VLOOKUP(H4192,'Stage Order'!$A$2:$B$8,2,FALSE)</f>
        <v>2</v>
      </c>
      <c r="N4192" t="str">
        <f t="shared" si="130"/>
        <v>2. 1-24 hours</v>
      </c>
      <c r="O4192" t="str">
        <f t="shared" si="131"/>
        <v>2025-12</v>
      </c>
    </row>
    <row r="4193" spans="1:15" x14ac:dyDescent="0.3">
      <c r="A4193" t="s">
        <v>9876</v>
      </c>
      <c r="B4193" t="s">
        <v>9877</v>
      </c>
      <c r="C4193" t="s">
        <v>76</v>
      </c>
      <c r="D4193" t="s">
        <v>77</v>
      </c>
      <c r="E4193" t="s">
        <v>45</v>
      </c>
      <c r="F4193" t="s">
        <v>94</v>
      </c>
      <c r="G4193">
        <v>4.62</v>
      </c>
      <c r="H4193" t="s">
        <v>138</v>
      </c>
      <c r="I4193" t="s">
        <v>48</v>
      </c>
      <c r="J4193" t="s">
        <v>742</v>
      </c>
      <c r="K4193">
        <v>877.05</v>
      </c>
      <c r="L4193" t="s">
        <v>9878</v>
      </c>
      <c r="M4193">
        <f>VLOOKUP(H4193,'Stage Order'!$A$2:$B$8,2,FALSE)</f>
        <v>6</v>
      </c>
      <c r="N4193" t="str">
        <f t="shared" si="130"/>
        <v>2. 1-24 hours</v>
      </c>
      <c r="O4193" t="str">
        <f t="shared" si="131"/>
        <v>2025-05</v>
      </c>
    </row>
    <row r="4194" spans="1:15" x14ac:dyDescent="0.3">
      <c r="A4194" t="s">
        <v>9879</v>
      </c>
      <c r="B4194" t="s">
        <v>2394</v>
      </c>
      <c r="C4194" t="s">
        <v>58</v>
      </c>
      <c r="D4194" t="s">
        <v>77</v>
      </c>
      <c r="E4194" t="s">
        <v>90</v>
      </c>
      <c r="F4194" t="s">
        <v>91</v>
      </c>
      <c r="G4194">
        <v>10.65</v>
      </c>
      <c r="H4194" t="s">
        <v>41</v>
      </c>
      <c r="I4194" t="s">
        <v>42</v>
      </c>
      <c r="M4194">
        <f>VLOOKUP(H4194,'Stage Order'!$A$2:$B$8,2,FALSE)</f>
        <v>2</v>
      </c>
      <c r="N4194" t="str">
        <f t="shared" si="130"/>
        <v>2. 1-24 hours</v>
      </c>
      <c r="O4194" t="str">
        <f t="shared" si="131"/>
        <v>2026-04</v>
      </c>
    </row>
    <row r="4195" spans="1:15" x14ac:dyDescent="0.3">
      <c r="A4195" t="s">
        <v>9880</v>
      </c>
      <c r="B4195" t="s">
        <v>9881</v>
      </c>
      <c r="C4195" t="s">
        <v>58</v>
      </c>
      <c r="D4195" t="s">
        <v>38</v>
      </c>
      <c r="E4195" t="s">
        <v>59</v>
      </c>
      <c r="F4195" t="s">
        <v>117</v>
      </c>
      <c r="G4195">
        <v>0.45</v>
      </c>
      <c r="H4195" t="s">
        <v>138</v>
      </c>
      <c r="I4195" t="s">
        <v>48</v>
      </c>
      <c r="J4195" t="s">
        <v>49</v>
      </c>
      <c r="K4195">
        <v>412.28</v>
      </c>
      <c r="L4195" t="s">
        <v>9882</v>
      </c>
      <c r="M4195">
        <f>VLOOKUP(H4195,'Stage Order'!$A$2:$B$8,2,FALSE)</f>
        <v>6</v>
      </c>
      <c r="N4195" t="str">
        <f t="shared" si="130"/>
        <v>1. Under 1 hour</v>
      </c>
      <c r="O4195" t="str">
        <f t="shared" si="131"/>
        <v>2025-06</v>
      </c>
    </row>
    <row r="4196" spans="1:15" x14ac:dyDescent="0.3">
      <c r="A4196" t="s">
        <v>9883</v>
      </c>
      <c r="B4196" t="s">
        <v>9884</v>
      </c>
      <c r="C4196" t="s">
        <v>125</v>
      </c>
      <c r="D4196" t="s">
        <v>29</v>
      </c>
      <c r="E4196" t="s">
        <v>45</v>
      </c>
      <c r="F4196" t="s">
        <v>94</v>
      </c>
      <c r="G4196">
        <v>2.65</v>
      </c>
      <c r="H4196" t="s">
        <v>41</v>
      </c>
      <c r="I4196" t="s">
        <v>42</v>
      </c>
      <c r="M4196">
        <f>VLOOKUP(H4196,'Stage Order'!$A$2:$B$8,2,FALSE)</f>
        <v>2</v>
      </c>
      <c r="N4196" t="str">
        <f t="shared" si="130"/>
        <v>2. 1-24 hours</v>
      </c>
      <c r="O4196" t="str">
        <f t="shared" si="131"/>
        <v>2026-05</v>
      </c>
    </row>
    <row r="4197" spans="1:15" x14ac:dyDescent="0.3">
      <c r="A4197" t="s">
        <v>9885</v>
      </c>
      <c r="B4197" t="s">
        <v>9886</v>
      </c>
      <c r="C4197" t="s">
        <v>125</v>
      </c>
      <c r="D4197" t="s">
        <v>77</v>
      </c>
      <c r="E4197" t="s">
        <v>45</v>
      </c>
      <c r="F4197" t="s">
        <v>46</v>
      </c>
      <c r="G4197">
        <v>10.62</v>
      </c>
      <c r="H4197" t="s">
        <v>41</v>
      </c>
      <c r="I4197" t="s">
        <v>42</v>
      </c>
      <c r="M4197">
        <f>VLOOKUP(H4197,'Stage Order'!$A$2:$B$8,2,FALSE)</f>
        <v>2</v>
      </c>
      <c r="N4197" t="str">
        <f t="shared" si="130"/>
        <v>2. 1-24 hours</v>
      </c>
      <c r="O4197" t="str">
        <f t="shared" si="131"/>
        <v>2025-05</v>
      </c>
    </row>
    <row r="4198" spans="1:15" x14ac:dyDescent="0.3">
      <c r="A4198" t="s">
        <v>9887</v>
      </c>
      <c r="B4198" t="s">
        <v>9888</v>
      </c>
      <c r="C4198" t="s">
        <v>37</v>
      </c>
      <c r="D4198" t="s">
        <v>77</v>
      </c>
      <c r="E4198" t="s">
        <v>30</v>
      </c>
      <c r="F4198" t="s">
        <v>31</v>
      </c>
      <c r="G4198">
        <v>1.81</v>
      </c>
      <c r="H4198" t="s">
        <v>41</v>
      </c>
      <c r="I4198" t="s">
        <v>42</v>
      </c>
      <c r="M4198">
        <f>VLOOKUP(H4198,'Stage Order'!$A$2:$B$8,2,FALSE)</f>
        <v>2</v>
      </c>
      <c r="N4198" t="str">
        <f t="shared" si="130"/>
        <v>2. 1-24 hours</v>
      </c>
      <c r="O4198" t="str">
        <f t="shared" si="131"/>
        <v>2025-10</v>
      </c>
    </row>
    <row r="4199" spans="1:15" x14ac:dyDescent="0.3">
      <c r="A4199" t="s">
        <v>9889</v>
      </c>
      <c r="B4199" t="s">
        <v>9890</v>
      </c>
      <c r="C4199" t="s">
        <v>37</v>
      </c>
      <c r="D4199" t="s">
        <v>77</v>
      </c>
      <c r="E4199" t="s">
        <v>59</v>
      </c>
      <c r="F4199" t="s">
        <v>60</v>
      </c>
      <c r="G4199">
        <v>3.96</v>
      </c>
      <c r="H4199" t="s">
        <v>47</v>
      </c>
      <c r="I4199" t="s">
        <v>48</v>
      </c>
      <c r="J4199" t="s">
        <v>98</v>
      </c>
      <c r="K4199">
        <v>912.41</v>
      </c>
      <c r="L4199" t="s">
        <v>9891</v>
      </c>
      <c r="M4199">
        <f>VLOOKUP(H4199,'Stage Order'!$A$2:$B$8,2,FALSE)</f>
        <v>4</v>
      </c>
      <c r="N4199" t="str">
        <f t="shared" si="130"/>
        <v>2. 1-24 hours</v>
      </c>
      <c r="O4199" t="str">
        <f t="shared" si="131"/>
        <v>2025-12</v>
      </c>
    </row>
    <row r="4200" spans="1:15" x14ac:dyDescent="0.3">
      <c r="A4200" t="s">
        <v>9892</v>
      </c>
      <c r="B4200" t="s">
        <v>9893</v>
      </c>
      <c r="C4200" t="s">
        <v>37</v>
      </c>
      <c r="D4200" t="s">
        <v>54</v>
      </c>
      <c r="E4200" t="s">
        <v>45</v>
      </c>
      <c r="F4200" t="s">
        <v>55</v>
      </c>
      <c r="G4200">
        <v>11.36</v>
      </c>
      <c r="H4200" t="s">
        <v>41</v>
      </c>
      <c r="I4200" t="s">
        <v>42</v>
      </c>
      <c r="M4200">
        <f>VLOOKUP(H4200,'Stage Order'!$A$2:$B$8,2,FALSE)</f>
        <v>2</v>
      </c>
      <c r="N4200" t="str">
        <f t="shared" si="130"/>
        <v>2. 1-24 hours</v>
      </c>
      <c r="O4200" t="str">
        <f t="shared" si="131"/>
        <v>2025-03</v>
      </c>
    </row>
    <row r="4201" spans="1:15" x14ac:dyDescent="0.3">
      <c r="A4201" t="s">
        <v>9894</v>
      </c>
      <c r="B4201" t="s">
        <v>9895</v>
      </c>
      <c r="C4201" t="s">
        <v>125</v>
      </c>
      <c r="D4201" t="s">
        <v>54</v>
      </c>
      <c r="E4201" t="s">
        <v>90</v>
      </c>
      <c r="F4201" t="s">
        <v>91</v>
      </c>
      <c r="G4201">
        <v>2.71</v>
      </c>
      <c r="H4201" t="s">
        <v>61</v>
      </c>
      <c r="I4201" t="s">
        <v>42</v>
      </c>
      <c r="M4201">
        <f>VLOOKUP(H4201,'Stage Order'!$A$2:$B$8,2,FALSE)</f>
        <v>1</v>
      </c>
      <c r="N4201" t="str">
        <f t="shared" si="130"/>
        <v>2. 1-24 hours</v>
      </c>
      <c r="O4201" t="str">
        <f t="shared" si="131"/>
        <v>2026-04</v>
      </c>
    </row>
    <row r="4202" spans="1:15" x14ac:dyDescent="0.3">
      <c r="A4202" t="s">
        <v>9896</v>
      </c>
      <c r="B4202" t="s">
        <v>9897</v>
      </c>
      <c r="C4202" t="s">
        <v>58</v>
      </c>
      <c r="D4202" t="s">
        <v>54</v>
      </c>
      <c r="E4202" t="s">
        <v>90</v>
      </c>
      <c r="F4202" t="s">
        <v>145</v>
      </c>
      <c r="G4202">
        <v>1.71</v>
      </c>
      <c r="H4202" t="s">
        <v>41</v>
      </c>
      <c r="I4202" t="s">
        <v>42</v>
      </c>
      <c r="M4202">
        <f>VLOOKUP(H4202,'Stage Order'!$A$2:$B$8,2,FALSE)</f>
        <v>2</v>
      </c>
      <c r="N4202" t="str">
        <f t="shared" si="130"/>
        <v>2. 1-24 hours</v>
      </c>
      <c r="O4202" t="str">
        <f t="shared" si="131"/>
        <v>2025-08</v>
      </c>
    </row>
    <row r="4203" spans="1:15" x14ac:dyDescent="0.3">
      <c r="A4203" t="s">
        <v>9898</v>
      </c>
      <c r="B4203" t="s">
        <v>9899</v>
      </c>
      <c r="C4203" t="s">
        <v>37</v>
      </c>
      <c r="D4203" t="s">
        <v>54</v>
      </c>
      <c r="E4203" t="s">
        <v>90</v>
      </c>
      <c r="F4203" t="s">
        <v>91</v>
      </c>
      <c r="G4203">
        <v>0.72</v>
      </c>
      <c r="H4203" t="s">
        <v>32</v>
      </c>
      <c r="I4203" t="s">
        <v>33</v>
      </c>
      <c r="K4203">
        <v>581.52</v>
      </c>
      <c r="L4203" t="s">
        <v>9900</v>
      </c>
      <c r="M4203">
        <f>VLOOKUP(H4203,'Stage Order'!$A$2:$B$8,2,FALSE)</f>
        <v>7</v>
      </c>
      <c r="N4203" t="str">
        <f t="shared" si="130"/>
        <v>1. Under 1 hour</v>
      </c>
      <c r="O4203" t="str">
        <f t="shared" si="131"/>
        <v>2026-05</v>
      </c>
    </row>
    <row r="4204" spans="1:15" x14ac:dyDescent="0.3">
      <c r="A4204" t="s">
        <v>9901</v>
      </c>
      <c r="B4204" t="s">
        <v>9902</v>
      </c>
      <c r="C4204" t="s">
        <v>53</v>
      </c>
      <c r="D4204" t="s">
        <v>77</v>
      </c>
      <c r="E4204" t="s">
        <v>45</v>
      </c>
      <c r="F4204" t="s">
        <v>55</v>
      </c>
      <c r="G4204">
        <v>4.8600000000000003</v>
      </c>
      <c r="H4204" t="s">
        <v>41</v>
      </c>
      <c r="I4204" t="s">
        <v>42</v>
      </c>
      <c r="M4204">
        <f>VLOOKUP(H4204,'Stage Order'!$A$2:$B$8,2,FALSE)</f>
        <v>2</v>
      </c>
      <c r="N4204" t="str">
        <f t="shared" si="130"/>
        <v>2. 1-24 hours</v>
      </c>
      <c r="O4204" t="str">
        <f t="shared" si="131"/>
        <v>2025-02</v>
      </c>
    </row>
    <row r="4205" spans="1:15" x14ac:dyDescent="0.3">
      <c r="A4205" t="s">
        <v>9903</v>
      </c>
      <c r="B4205" t="s">
        <v>9904</v>
      </c>
      <c r="C4205" t="s">
        <v>37</v>
      </c>
      <c r="D4205" t="s">
        <v>29</v>
      </c>
      <c r="E4205" t="s">
        <v>30</v>
      </c>
      <c r="F4205" t="s">
        <v>78</v>
      </c>
      <c r="G4205">
        <v>2.5099999999999998</v>
      </c>
      <c r="H4205" t="s">
        <v>47</v>
      </c>
      <c r="I4205" t="s">
        <v>48</v>
      </c>
      <c r="J4205" t="s">
        <v>139</v>
      </c>
      <c r="K4205">
        <v>676.26</v>
      </c>
      <c r="L4205" t="s">
        <v>9905</v>
      </c>
      <c r="M4205">
        <f>VLOOKUP(H4205,'Stage Order'!$A$2:$B$8,2,FALSE)</f>
        <v>4</v>
      </c>
      <c r="N4205" t="str">
        <f t="shared" si="130"/>
        <v>2. 1-24 hours</v>
      </c>
      <c r="O4205" t="str">
        <f t="shared" si="131"/>
        <v>2025-06</v>
      </c>
    </row>
    <row r="4206" spans="1:15" x14ac:dyDescent="0.3">
      <c r="A4206" t="s">
        <v>9906</v>
      </c>
      <c r="B4206" t="s">
        <v>9907</v>
      </c>
      <c r="C4206" t="s">
        <v>37</v>
      </c>
      <c r="D4206" t="s">
        <v>77</v>
      </c>
      <c r="E4206" t="s">
        <v>59</v>
      </c>
      <c r="F4206" t="s">
        <v>60</v>
      </c>
      <c r="G4206">
        <v>4.45</v>
      </c>
      <c r="H4206" t="s">
        <v>41</v>
      </c>
      <c r="I4206" t="s">
        <v>42</v>
      </c>
      <c r="M4206">
        <f>VLOOKUP(H4206,'Stage Order'!$A$2:$B$8,2,FALSE)</f>
        <v>2</v>
      </c>
      <c r="N4206" t="str">
        <f t="shared" si="130"/>
        <v>2. 1-24 hours</v>
      </c>
      <c r="O4206" t="str">
        <f t="shared" si="131"/>
        <v>2025-06</v>
      </c>
    </row>
    <row r="4207" spans="1:15" x14ac:dyDescent="0.3">
      <c r="A4207" t="s">
        <v>9908</v>
      </c>
      <c r="B4207" t="s">
        <v>9909</v>
      </c>
      <c r="C4207" t="s">
        <v>37</v>
      </c>
      <c r="D4207" t="s">
        <v>29</v>
      </c>
      <c r="E4207" t="s">
        <v>45</v>
      </c>
      <c r="F4207" t="s">
        <v>94</v>
      </c>
      <c r="G4207">
        <v>7.35</v>
      </c>
      <c r="H4207" t="s">
        <v>41</v>
      </c>
      <c r="I4207" t="s">
        <v>42</v>
      </c>
      <c r="M4207">
        <f>VLOOKUP(H4207,'Stage Order'!$A$2:$B$8,2,FALSE)</f>
        <v>2</v>
      </c>
      <c r="N4207" t="str">
        <f t="shared" si="130"/>
        <v>2. 1-24 hours</v>
      </c>
      <c r="O4207" t="str">
        <f t="shared" si="131"/>
        <v>2025-08</v>
      </c>
    </row>
    <row r="4208" spans="1:15" x14ac:dyDescent="0.3">
      <c r="A4208" t="s">
        <v>9910</v>
      </c>
      <c r="B4208" t="s">
        <v>9911</v>
      </c>
      <c r="C4208" t="s">
        <v>76</v>
      </c>
      <c r="D4208" t="s">
        <v>29</v>
      </c>
      <c r="E4208" t="s">
        <v>30</v>
      </c>
      <c r="F4208" t="s">
        <v>82</v>
      </c>
      <c r="G4208">
        <v>2.54</v>
      </c>
      <c r="H4208" t="s">
        <v>41</v>
      </c>
      <c r="I4208" t="s">
        <v>42</v>
      </c>
      <c r="M4208">
        <f>VLOOKUP(H4208,'Stage Order'!$A$2:$B$8,2,FALSE)</f>
        <v>2</v>
      </c>
      <c r="N4208" t="str">
        <f t="shared" si="130"/>
        <v>2. 1-24 hours</v>
      </c>
      <c r="O4208" t="str">
        <f t="shared" si="131"/>
        <v>2025-01</v>
      </c>
    </row>
    <row r="4209" spans="1:15" x14ac:dyDescent="0.3">
      <c r="A4209" t="s">
        <v>9912</v>
      </c>
      <c r="B4209" t="s">
        <v>9913</v>
      </c>
      <c r="C4209" t="s">
        <v>28</v>
      </c>
      <c r="D4209" t="s">
        <v>97</v>
      </c>
      <c r="E4209" t="s">
        <v>39</v>
      </c>
      <c r="F4209" t="s">
        <v>66</v>
      </c>
      <c r="G4209">
        <v>5.6</v>
      </c>
      <c r="H4209" t="s">
        <v>41</v>
      </c>
      <c r="I4209" t="s">
        <v>42</v>
      </c>
      <c r="M4209">
        <f>VLOOKUP(H4209,'Stage Order'!$A$2:$B$8,2,FALSE)</f>
        <v>2</v>
      </c>
      <c r="N4209" t="str">
        <f t="shared" si="130"/>
        <v>2. 1-24 hours</v>
      </c>
      <c r="O4209" t="str">
        <f t="shared" si="131"/>
        <v>2026-04</v>
      </c>
    </row>
    <row r="4210" spans="1:15" x14ac:dyDescent="0.3">
      <c r="A4210" t="s">
        <v>9914</v>
      </c>
      <c r="B4210" t="s">
        <v>9915</v>
      </c>
      <c r="C4210" t="s">
        <v>125</v>
      </c>
      <c r="D4210" t="s">
        <v>54</v>
      </c>
      <c r="E4210" t="s">
        <v>30</v>
      </c>
      <c r="F4210" t="s">
        <v>82</v>
      </c>
      <c r="G4210">
        <v>1.04</v>
      </c>
      <c r="H4210" t="s">
        <v>41</v>
      </c>
      <c r="I4210" t="s">
        <v>42</v>
      </c>
      <c r="M4210">
        <f>VLOOKUP(H4210,'Stage Order'!$A$2:$B$8,2,FALSE)</f>
        <v>2</v>
      </c>
      <c r="N4210" t="str">
        <f t="shared" si="130"/>
        <v>2. 1-24 hours</v>
      </c>
      <c r="O4210" t="str">
        <f t="shared" si="131"/>
        <v>2025-11</v>
      </c>
    </row>
    <row r="4211" spans="1:15" x14ac:dyDescent="0.3">
      <c r="A4211" t="s">
        <v>9916</v>
      </c>
      <c r="B4211" t="s">
        <v>9917</v>
      </c>
      <c r="C4211" t="s">
        <v>37</v>
      </c>
      <c r="D4211" t="s">
        <v>54</v>
      </c>
      <c r="E4211" t="s">
        <v>90</v>
      </c>
      <c r="F4211" t="s">
        <v>91</v>
      </c>
      <c r="G4211">
        <v>10</v>
      </c>
      <c r="H4211" t="s">
        <v>61</v>
      </c>
      <c r="I4211" t="s">
        <v>42</v>
      </c>
      <c r="M4211">
        <f>VLOOKUP(H4211,'Stage Order'!$A$2:$B$8,2,FALSE)</f>
        <v>1</v>
      </c>
      <c r="N4211" t="str">
        <f t="shared" si="130"/>
        <v>2. 1-24 hours</v>
      </c>
      <c r="O4211" t="str">
        <f t="shared" si="131"/>
        <v>2025-04</v>
      </c>
    </row>
    <row r="4212" spans="1:15" x14ac:dyDescent="0.3">
      <c r="A4212" t="s">
        <v>9918</v>
      </c>
      <c r="B4212" t="s">
        <v>9919</v>
      </c>
      <c r="C4212" t="s">
        <v>37</v>
      </c>
      <c r="D4212" t="s">
        <v>54</v>
      </c>
      <c r="E4212" t="s">
        <v>39</v>
      </c>
      <c r="F4212" t="s">
        <v>40</v>
      </c>
      <c r="G4212">
        <v>2.64</v>
      </c>
      <c r="H4212" t="s">
        <v>138</v>
      </c>
      <c r="I4212" t="s">
        <v>48</v>
      </c>
      <c r="J4212" t="s">
        <v>139</v>
      </c>
      <c r="K4212">
        <v>521.72</v>
      </c>
      <c r="L4212" t="s">
        <v>9920</v>
      </c>
      <c r="M4212">
        <f>VLOOKUP(H4212,'Stage Order'!$A$2:$B$8,2,FALSE)</f>
        <v>6</v>
      </c>
      <c r="N4212" t="str">
        <f t="shared" si="130"/>
        <v>2. 1-24 hours</v>
      </c>
      <c r="O4212" t="str">
        <f t="shared" si="131"/>
        <v>2025-02</v>
      </c>
    </row>
    <row r="4213" spans="1:15" x14ac:dyDescent="0.3">
      <c r="A4213" t="s">
        <v>9921</v>
      </c>
      <c r="B4213" t="s">
        <v>9922</v>
      </c>
      <c r="C4213" t="s">
        <v>125</v>
      </c>
      <c r="D4213" t="s">
        <v>54</v>
      </c>
      <c r="E4213" t="s">
        <v>59</v>
      </c>
      <c r="F4213" t="s">
        <v>60</v>
      </c>
      <c r="G4213">
        <v>1.28</v>
      </c>
      <c r="H4213" t="s">
        <v>61</v>
      </c>
      <c r="I4213" t="s">
        <v>42</v>
      </c>
      <c r="M4213">
        <f>VLOOKUP(H4213,'Stage Order'!$A$2:$B$8,2,FALSE)</f>
        <v>1</v>
      </c>
      <c r="N4213" t="str">
        <f t="shared" si="130"/>
        <v>2. 1-24 hours</v>
      </c>
      <c r="O4213" t="str">
        <f t="shared" si="131"/>
        <v>2025-06</v>
      </c>
    </row>
    <row r="4214" spans="1:15" x14ac:dyDescent="0.3">
      <c r="A4214" t="s">
        <v>9923</v>
      </c>
      <c r="B4214" t="s">
        <v>9924</v>
      </c>
      <c r="C4214" t="s">
        <v>28</v>
      </c>
      <c r="D4214" t="s">
        <v>97</v>
      </c>
      <c r="E4214" t="s">
        <v>90</v>
      </c>
      <c r="F4214" t="s">
        <v>91</v>
      </c>
      <c r="G4214">
        <v>1.06</v>
      </c>
      <c r="H4214" t="s">
        <v>47</v>
      </c>
      <c r="I4214" t="s">
        <v>48</v>
      </c>
      <c r="J4214" t="s">
        <v>113</v>
      </c>
      <c r="K4214">
        <v>1430.98</v>
      </c>
      <c r="L4214" t="s">
        <v>9925</v>
      </c>
      <c r="M4214">
        <f>VLOOKUP(H4214,'Stage Order'!$A$2:$B$8,2,FALSE)</f>
        <v>4</v>
      </c>
      <c r="N4214" t="str">
        <f t="shared" si="130"/>
        <v>2. 1-24 hours</v>
      </c>
      <c r="O4214" t="str">
        <f t="shared" si="131"/>
        <v>2025-05</v>
      </c>
    </row>
    <row r="4215" spans="1:15" x14ac:dyDescent="0.3">
      <c r="A4215" t="s">
        <v>9926</v>
      </c>
      <c r="B4215" t="s">
        <v>9927</v>
      </c>
      <c r="C4215" t="s">
        <v>81</v>
      </c>
      <c r="D4215" t="s">
        <v>38</v>
      </c>
      <c r="E4215" t="s">
        <v>90</v>
      </c>
      <c r="F4215" t="s">
        <v>91</v>
      </c>
      <c r="G4215">
        <v>2.14</v>
      </c>
      <c r="H4215" t="s">
        <v>61</v>
      </c>
      <c r="I4215" t="s">
        <v>42</v>
      </c>
      <c r="M4215">
        <f>VLOOKUP(H4215,'Stage Order'!$A$2:$B$8,2,FALSE)</f>
        <v>1</v>
      </c>
      <c r="N4215" t="str">
        <f t="shared" si="130"/>
        <v>2. 1-24 hours</v>
      </c>
      <c r="O4215" t="str">
        <f t="shared" si="131"/>
        <v>2025-03</v>
      </c>
    </row>
    <row r="4216" spans="1:15" x14ac:dyDescent="0.3">
      <c r="A4216" t="s">
        <v>9928</v>
      </c>
      <c r="B4216" t="s">
        <v>9929</v>
      </c>
      <c r="C4216" t="s">
        <v>58</v>
      </c>
      <c r="D4216" t="s">
        <v>77</v>
      </c>
      <c r="E4216" t="s">
        <v>59</v>
      </c>
      <c r="F4216" t="s">
        <v>117</v>
      </c>
      <c r="G4216">
        <v>3.68</v>
      </c>
      <c r="H4216" t="s">
        <v>146</v>
      </c>
      <c r="I4216" t="s">
        <v>48</v>
      </c>
      <c r="J4216" t="s">
        <v>98</v>
      </c>
      <c r="K4216">
        <v>1068.57</v>
      </c>
      <c r="L4216" t="s">
        <v>9930</v>
      </c>
      <c r="M4216">
        <f>VLOOKUP(H4216,'Stage Order'!$A$2:$B$8,2,FALSE)</f>
        <v>5</v>
      </c>
      <c r="N4216" t="str">
        <f t="shared" si="130"/>
        <v>2. 1-24 hours</v>
      </c>
      <c r="O4216" t="str">
        <f t="shared" si="131"/>
        <v>2026-04</v>
      </c>
    </row>
    <row r="4217" spans="1:15" x14ac:dyDescent="0.3">
      <c r="A4217" t="s">
        <v>9931</v>
      </c>
      <c r="B4217" t="s">
        <v>9932</v>
      </c>
      <c r="C4217" t="s">
        <v>53</v>
      </c>
      <c r="D4217" t="s">
        <v>29</v>
      </c>
      <c r="E4217" t="s">
        <v>39</v>
      </c>
      <c r="F4217" t="s">
        <v>40</v>
      </c>
      <c r="G4217">
        <v>1.67</v>
      </c>
      <c r="H4217" t="s">
        <v>41</v>
      </c>
      <c r="I4217" t="s">
        <v>42</v>
      </c>
      <c r="M4217">
        <f>VLOOKUP(H4217,'Stage Order'!$A$2:$B$8,2,FALSE)</f>
        <v>2</v>
      </c>
      <c r="N4217" t="str">
        <f t="shared" si="130"/>
        <v>2. 1-24 hours</v>
      </c>
      <c r="O4217" t="str">
        <f t="shared" si="131"/>
        <v>2025-11</v>
      </c>
    </row>
    <row r="4218" spans="1:15" x14ac:dyDescent="0.3">
      <c r="A4218" t="s">
        <v>9933</v>
      </c>
      <c r="B4218" t="s">
        <v>9934</v>
      </c>
      <c r="C4218" t="s">
        <v>76</v>
      </c>
      <c r="D4218" t="s">
        <v>54</v>
      </c>
      <c r="E4218" t="s">
        <v>45</v>
      </c>
      <c r="F4218" t="s">
        <v>55</v>
      </c>
      <c r="G4218">
        <v>0.79</v>
      </c>
      <c r="H4218" t="s">
        <v>32</v>
      </c>
      <c r="I4218" t="s">
        <v>33</v>
      </c>
      <c r="K4218">
        <v>549.58000000000004</v>
      </c>
      <c r="L4218" t="s">
        <v>9935</v>
      </c>
      <c r="M4218">
        <f>VLOOKUP(H4218,'Stage Order'!$A$2:$B$8,2,FALSE)</f>
        <v>7</v>
      </c>
      <c r="N4218" t="str">
        <f t="shared" si="130"/>
        <v>1. Under 1 hour</v>
      </c>
      <c r="O4218" t="str">
        <f t="shared" si="131"/>
        <v>2025-10</v>
      </c>
    </row>
    <row r="4219" spans="1:15" x14ac:dyDescent="0.3">
      <c r="A4219" t="s">
        <v>9936</v>
      </c>
      <c r="B4219" t="s">
        <v>9937</v>
      </c>
      <c r="C4219" t="s">
        <v>58</v>
      </c>
      <c r="D4219" t="s">
        <v>29</v>
      </c>
      <c r="E4219" t="s">
        <v>90</v>
      </c>
      <c r="F4219" t="s">
        <v>112</v>
      </c>
      <c r="G4219">
        <v>4.18</v>
      </c>
      <c r="H4219" t="s">
        <v>47</v>
      </c>
      <c r="I4219" t="s">
        <v>48</v>
      </c>
      <c r="J4219" t="s">
        <v>113</v>
      </c>
      <c r="K4219">
        <v>597.67999999999995</v>
      </c>
      <c r="L4219" t="s">
        <v>9938</v>
      </c>
      <c r="M4219">
        <f>VLOOKUP(H4219,'Stage Order'!$A$2:$B$8,2,FALSE)</f>
        <v>4</v>
      </c>
      <c r="N4219" t="str">
        <f t="shared" si="130"/>
        <v>2. 1-24 hours</v>
      </c>
      <c r="O4219" t="str">
        <f t="shared" si="131"/>
        <v>2026-05</v>
      </c>
    </row>
    <row r="4220" spans="1:15" x14ac:dyDescent="0.3">
      <c r="A4220" t="s">
        <v>9939</v>
      </c>
      <c r="B4220" t="s">
        <v>9940</v>
      </c>
      <c r="C4220" t="s">
        <v>81</v>
      </c>
      <c r="D4220" t="s">
        <v>54</v>
      </c>
      <c r="E4220" t="s">
        <v>45</v>
      </c>
      <c r="F4220" t="s">
        <v>46</v>
      </c>
      <c r="G4220">
        <v>4.6100000000000003</v>
      </c>
      <c r="H4220" t="s">
        <v>61</v>
      </c>
      <c r="I4220" t="s">
        <v>42</v>
      </c>
      <c r="M4220">
        <f>VLOOKUP(H4220,'Stage Order'!$A$2:$B$8,2,FALSE)</f>
        <v>1</v>
      </c>
      <c r="N4220" t="str">
        <f t="shared" si="130"/>
        <v>2. 1-24 hours</v>
      </c>
      <c r="O4220" t="str">
        <f t="shared" si="131"/>
        <v>2025-10</v>
      </c>
    </row>
    <row r="4221" spans="1:15" x14ac:dyDescent="0.3">
      <c r="A4221" t="s">
        <v>9941</v>
      </c>
      <c r="B4221" t="s">
        <v>9942</v>
      </c>
      <c r="C4221" t="s">
        <v>37</v>
      </c>
      <c r="D4221" t="s">
        <v>54</v>
      </c>
      <c r="E4221" t="s">
        <v>59</v>
      </c>
      <c r="F4221" t="s">
        <v>137</v>
      </c>
      <c r="G4221">
        <v>4.12</v>
      </c>
      <c r="H4221" t="s">
        <v>41</v>
      </c>
      <c r="I4221" t="s">
        <v>42</v>
      </c>
      <c r="M4221">
        <f>VLOOKUP(H4221,'Stage Order'!$A$2:$B$8,2,FALSE)</f>
        <v>2</v>
      </c>
      <c r="N4221" t="str">
        <f t="shared" si="130"/>
        <v>2. 1-24 hours</v>
      </c>
      <c r="O4221" t="str">
        <f t="shared" si="131"/>
        <v>2025-11</v>
      </c>
    </row>
    <row r="4222" spans="1:15" x14ac:dyDescent="0.3">
      <c r="A4222" t="s">
        <v>9943</v>
      </c>
      <c r="B4222" t="s">
        <v>9944</v>
      </c>
      <c r="C4222" t="s">
        <v>125</v>
      </c>
      <c r="D4222" t="s">
        <v>29</v>
      </c>
      <c r="E4222" t="s">
        <v>59</v>
      </c>
      <c r="F4222" t="s">
        <v>137</v>
      </c>
      <c r="G4222">
        <v>3.22</v>
      </c>
      <c r="H4222" t="s">
        <v>47</v>
      </c>
      <c r="I4222" t="s">
        <v>48</v>
      </c>
      <c r="J4222" t="s">
        <v>113</v>
      </c>
      <c r="K4222">
        <v>708.6</v>
      </c>
      <c r="L4222" t="s">
        <v>9945</v>
      </c>
      <c r="M4222">
        <f>VLOOKUP(H4222,'Stage Order'!$A$2:$B$8,2,FALSE)</f>
        <v>4</v>
      </c>
      <c r="N4222" t="str">
        <f t="shared" si="130"/>
        <v>2. 1-24 hours</v>
      </c>
      <c r="O4222" t="str">
        <f t="shared" si="131"/>
        <v>2025-05</v>
      </c>
    </row>
    <row r="4223" spans="1:15" x14ac:dyDescent="0.3">
      <c r="A4223" t="s">
        <v>9946</v>
      </c>
      <c r="B4223" t="s">
        <v>9947</v>
      </c>
      <c r="C4223" t="s">
        <v>37</v>
      </c>
      <c r="D4223" t="s">
        <v>77</v>
      </c>
      <c r="E4223" t="s">
        <v>90</v>
      </c>
      <c r="F4223" t="s">
        <v>112</v>
      </c>
      <c r="G4223">
        <v>1.1100000000000001</v>
      </c>
      <c r="H4223" t="s">
        <v>41</v>
      </c>
      <c r="I4223" t="s">
        <v>42</v>
      </c>
      <c r="M4223">
        <f>VLOOKUP(H4223,'Stage Order'!$A$2:$B$8,2,FALSE)</f>
        <v>2</v>
      </c>
      <c r="N4223" t="str">
        <f t="shared" si="130"/>
        <v>2. 1-24 hours</v>
      </c>
      <c r="O4223" t="str">
        <f t="shared" si="131"/>
        <v>2025-06</v>
      </c>
    </row>
    <row r="4224" spans="1:15" x14ac:dyDescent="0.3">
      <c r="A4224" t="s">
        <v>9948</v>
      </c>
      <c r="B4224" t="s">
        <v>9949</v>
      </c>
      <c r="C4224" t="s">
        <v>28</v>
      </c>
      <c r="D4224" t="s">
        <v>54</v>
      </c>
      <c r="E4224" t="s">
        <v>39</v>
      </c>
      <c r="F4224" t="s">
        <v>40</v>
      </c>
      <c r="G4224">
        <v>0.94</v>
      </c>
      <c r="H4224" t="s">
        <v>32</v>
      </c>
      <c r="I4224" t="s">
        <v>33</v>
      </c>
      <c r="K4224">
        <v>588.51</v>
      </c>
      <c r="L4224" t="s">
        <v>9950</v>
      </c>
      <c r="M4224">
        <f>VLOOKUP(H4224,'Stage Order'!$A$2:$B$8,2,FALSE)</f>
        <v>7</v>
      </c>
      <c r="N4224" t="str">
        <f t="shared" si="130"/>
        <v>1. Under 1 hour</v>
      </c>
      <c r="O4224" t="str">
        <f t="shared" si="131"/>
        <v>2026-03</v>
      </c>
    </row>
    <row r="4225" spans="1:15" x14ac:dyDescent="0.3">
      <c r="A4225" t="s">
        <v>9951</v>
      </c>
      <c r="B4225" t="s">
        <v>9952</v>
      </c>
      <c r="C4225" t="s">
        <v>58</v>
      </c>
      <c r="D4225" t="s">
        <v>54</v>
      </c>
      <c r="E4225" t="s">
        <v>59</v>
      </c>
      <c r="F4225" t="s">
        <v>60</v>
      </c>
      <c r="G4225">
        <v>3.78</v>
      </c>
      <c r="H4225" t="s">
        <v>61</v>
      </c>
      <c r="I4225" t="s">
        <v>42</v>
      </c>
      <c r="M4225">
        <f>VLOOKUP(H4225,'Stage Order'!$A$2:$B$8,2,FALSE)</f>
        <v>1</v>
      </c>
      <c r="N4225" t="str">
        <f t="shared" si="130"/>
        <v>2. 1-24 hours</v>
      </c>
      <c r="O4225" t="str">
        <f t="shared" si="131"/>
        <v>2025-12</v>
      </c>
    </row>
    <row r="4226" spans="1:15" x14ac:dyDescent="0.3">
      <c r="A4226" t="s">
        <v>9953</v>
      </c>
      <c r="B4226" t="s">
        <v>9954</v>
      </c>
      <c r="C4226" t="s">
        <v>58</v>
      </c>
      <c r="D4226" t="s">
        <v>54</v>
      </c>
      <c r="E4226" t="s">
        <v>45</v>
      </c>
      <c r="F4226" t="s">
        <v>94</v>
      </c>
      <c r="G4226">
        <v>9.09</v>
      </c>
      <c r="H4226" t="s">
        <v>138</v>
      </c>
      <c r="I4226" t="s">
        <v>48</v>
      </c>
      <c r="J4226" t="s">
        <v>49</v>
      </c>
      <c r="K4226">
        <v>519.34</v>
      </c>
      <c r="L4226" t="s">
        <v>9955</v>
      </c>
      <c r="M4226">
        <f>VLOOKUP(H4226,'Stage Order'!$A$2:$B$8,2,FALSE)</f>
        <v>6</v>
      </c>
      <c r="N4226" t="str">
        <f t="shared" ref="N4226:N4289" si="132">IF(G4226&lt;=1,"1. Under 1 hour",IF(G4226&lt;=24,"2. 1-24 hours",IF(G4226&lt;=72,"3. 1-3 days","4. Over 3 days")))</f>
        <v>2. 1-24 hours</v>
      </c>
      <c r="O4226" t="str">
        <f t="shared" ref="O4226:O4289" si="133">TEXT(B4226,"YYYY-MM")</f>
        <v>2026-05</v>
      </c>
    </row>
    <row r="4227" spans="1:15" x14ac:dyDescent="0.3">
      <c r="A4227" t="s">
        <v>9956</v>
      </c>
      <c r="B4227" t="s">
        <v>9957</v>
      </c>
      <c r="C4227" t="s">
        <v>125</v>
      </c>
      <c r="D4227" t="s">
        <v>29</v>
      </c>
      <c r="E4227" t="s">
        <v>90</v>
      </c>
      <c r="F4227" t="s">
        <v>112</v>
      </c>
      <c r="G4227">
        <v>1.85</v>
      </c>
      <c r="H4227" t="s">
        <v>61</v>
      </c>
      <c r="I4227" t="s">
        <v>42</v>
      </c>
      <c r="M4227">
        <f>VLOOKUP(H4227,'Stage Order'!$A$2:$B$8,2,FALSE)</f>
        <v>1</v>
      </c>
      <c r="N4227" t="str">
        <f t="shared" si="132"/>
        <v>2. 1-24 hours</v>
      </c>
      <c r="O4227" t="str">
        <f t="shared" si="133"/>
        <v>2026-01</v>
      </c>
    </row>
    <row r="4228" spans="1:15" x14ac:dyDescent="0.3">
      <c r="A4228" t="s">
        <v>9958</v>
      </c>
      <c r="B4228" t="s">
        <v>9959</v>
      </c>
      <c r="C4228" t="s">
        <v>125</v>
      </c>
      <c r="D4228" t="s">
        <v>77</v>
      </c>
      <c r="E4228" t="s">
        <v>59</v>
      </c>
      <c r="F4228" t="s">
        <v>60</v>
      </c>
      <c r="G4228">
        <v>1.25</v>
      </c>
      <c r="H4228" t="s">
        <v>61</v>
      </c>
      <c r="I4228" t="s">
        <v>42</v>
      </c>
      <c r="M4228">
        <f>VLOOKUP(H4228,'Stage Order'!$A$2:$B$8,2,FALSE)</f>
        <v>1</v>
      </c>
      <c r="N4228" t="str">
        <f t="shared" si="132"/>
        <v>2. 1-24 hours</v>
      </c>
      <c r="O4228" t="str">
        <f t="shared" si="133"/>
        <v>2025-09</v>
      </c>
    </row>
    <row r="4229" spans="1:15" x14ac:dyDescent="0.3">
      <c r="A4229" t="s">
        <v>9960</v>
      </c>
      <c r="B4229" t="s">
        <v>9961</v>
      </c>
      <c r="C4229" t="s">
        <v>37</v>
      </c>
      <c r="D4229" t="s">
        <v>77</v>
      </c>
      <c r="E4229" t="s">
        <v>39</v>
      </c>
      <c r="F4229" t="s">
        <v>106</v>
      </c>
      <c r="G4229">
        <v>4.95</v>
      </c>
      <c r="H4229" t="s">
        <v>146</v>
      </c>
      <c r="I4229" t="s">
        <v>48</v>
      </c>
      <c r="J4229" t="s">
        <v>139</v>
      </c>
      <c r="K4229">
        <v>845.3</v>
      </c>
      <c r="L4229" t="s">
        <v>9962</v>
      </c>
      <c r="M4229">
        <f>VLOOKUP(H4229,'Stage Order'!$A$2:$B$8,2,FALSE)</f>
        <v>5</v>
      </c>
      <c r="N4229" t="str">
        <f t="shared" si="132"/>
        <v>2. 1-24 hours</v>
      </c>
      <c r="O4229" t="str">
        <f t="shared" si="133"/>
        <v>2026-05</v>
      </c>
    </row>
    <row r="4230" spans="1:15" x14ac:dyDescent="0.3">
      <c r="A4230" t="s">
        <v>9963</v>
      </c>
      <c r="B4230" t="s">
        <v>9964</v>
      </c>
      <c r="C4230" t="s">
        <v>28</v>
      </c>
      <c r="D4230" t="s">
        <v>29</v>
      </c>
      <c r="E4230" t="s">
        <v>39</v>
      </c>
      <c r="F4230" t="s">
        <v>66</v>
      </c>
      <c r="G4230">
        <v>3.23</v>
      </c>
      <c r="H4230" t="s">
        <v>146</v>
      </c>
      <c r="I4230" t="s">
        <v>48</v>
      </c>
      <c r="J4230" t="s">
        <v>49</v>
      </c>
      <c r="K4230">
        <v>627.34</v>
      </c>
      <c r="L4230" t="s">
        <v>9965</v>
      </c>
      <c r="M4230">
        <f>VLOOKUP(H4230,'Stage Order'!$A$2:$B$8,2,FALSE)</f>
        <v>5</v>
      </c>
      <c r="N4230" t="str">
        <f t="shared" si="132"/>
        <v>2. 1-24 hours</v>
      </c>
      <c r="O4230" t="str">
        <f t="shared" si="133"/>
        <v>2025-10</v>
      </c>
    </row>
    <row r="4231" spans="1:15" x14ac:dyDescent="0.3">
      <c r="A4231" t="s">
        <v>9966</v>
      </c>
      <c r="B4231" t="s">
        <v>9967</v>
      </c>
      <c r="C4231" t="s">
        <v>28</v>
      </c>
      <c r="D4231" t="s">
        <v>54</v>
      </c>
      <c r="E4231" t="s">
        <v>39</v>
      </c>
      <c r="F4231" t="s">
        <v>106</v>
      </c>
      <c r="G4231">
        <v>3.59</v>
      </c>
      <c r="H4231" t="s">
        <v>32</v>
      </c>
      <c r="I4231" t="s">
        <v>33</v>
      </c>
      <c r="K4231">
        <v>519.36</v>
      </c>
      <c r="L4231" t="s">
        <v>9968</v>
      </c>
      <c r="M4231">
        <f>VLOOKUP(H4231,'Stage Order'!$A$2:$B$8,2,FALSE)</f>
        <v>7</v>
      </c>
      <c r="N4231" t="str">
        <f t="shared" si="132"/>
        <v>2. 1-24 hours</v>
      </c>
      <c r="O4231" t="str">
        <f t="shared" si="133"/>
        <v>2026-05</v>
      </c>
    </row>
    <row r="4232" spans="1:15" x14ac:dyDescent="0.3">
      <c r="A4232" t="s">
        <v>9969</v>
      </c>
      <c r="B4232" t="s">
        <v>9970</v>
      </c>
      <c r="C4232" t="s">
        <v>58</v>
      </c>
      <c r="D4232" t="s">
        <v>54</v>
      </c>
      <c r="E4232" t="s">
        <v>45</v>
      </c>
      <c r="F4232" t="s">
        <v>55</v>
      </c>
      <c r="G4232">
        <v>8.91</v>
      </c>
      <c r="H4232" t="s">
        <v>61</v>
      </c>
      <c r="I4232" t="s">
        <v>42</v>
      </c>
      <c r="M4232">
        <f>VLOOKUP(H4232,'Stage Order'!$A$2:$B$8,2,FALSE)</f>
        <v>1</v>
      </c>
      <c r="N4232" t="str">
        <f t="shared" si="132"/>
        <v>2. 1-24 hours</v>
      </c>
      <c r="O4232" t="str">
        <f t="shared" si="133"/>
        <v>2025-09</v>
      </c>
    </row>
    <row r="4233" spans="1:15" x14ac:dyDescent="0.3">
      <c r="A4233" t="s">
        <v>9971</v>
      </c>
      <c r="B4233" t="s">
        <v>9972</v>
      </c>
      <c r="C4233" t="s">
        <v>28</v>
      </c>
      <c r="D4233" t="s">
        <v>29</v>
      </c>
      <c r="E4233" t="s">
        <v>39</v>
      </c>
      <c r="F4233" t="s">
        <v>106</v>
      </c>
      <c r="G4233">
        <v>1.91</v>
      </c>
      <c r="H4233" t="s">
        <v>41</v>
      </c>
      <c r="I4233" t="s">
        <v>42</v>
      </c>
      <c r="M4233">
        <f>VLOOKUP(H4233,'Stage Order'!$A$2:$B$8,2,FALSE)</f>
        <v>2</v>
      </c>
      <c r="N4233" t="str">
        <f t="shared" si="132"/>
        <v>2. 1-24 hours</v>
      </c>
      <c r="O4233" t="str">
        <f t="shared" si="133"/>
        <v>2025-11</v>
      </c>
    </row>
    <row r="4234" spans="1:15" x14ac:dyDescent="0.3">
      <c r="A4234" t="s">
        <v>9973</v>
      </c>
      <c r="B4234" t="s">
        <v>9974</v>
      </c>
      <c r="C4234" t="s">
        <v>81</v>
      </c>
      <c r="D4234" t="s">
        <v>77</v>
      </c>
      <c r="E4234" t="s">
        <v>30</v>
      </c>
      <c r="F4234" t="s">
        <v>31</v>
      </c>
      <c r="G4234">
        <v>9.27</v>
      </c>
      <c r="H4234" t="s">
        <v>61</v>
      </c>
      <c r="I4234" t="s">
        <v>42</v>
      </c>
      <c r="M4234">
        <f>VLOOKUP(H4234,'Stage Order'!$A$2:$B$8,2,FALSE)</f>
        <v>1</v>
      </c>
      <c r="N4234" t="str">
        <f t="shared" si="132"/>
        <v>2. 1-24 hours</v>
      </c>
      <c r="O4234" t="str">
        <f t="shared" si="133"/>
        <v>2026-02</v>
      </c>
    </row>
    <row r="4235" spans="1:15" x14ac:dyDescent="0.3">
      <c r="A4235" t="s">
        <v>9975</v>
      </c>
      <c r="B4235" t="s">
        <v>9976</v>
      </c>
      <c r="C4235" t="s">
        <v>37</v>
      </c>
      <c r="D4235" t="s">
        <v>54</v>
      </c>
      <c r="E4235" t="s">
        <v>30</v>
      </c>
      <c r="F4235" t="s">
        <v>31</v>
      </c>
      <c r="G4235">
        <v>2.92</v>
      </c>
      <c r="H4235" t="s">
        <v>41</v>
      </c>
      <c r="I4235" t="s">
        <v>42</v>
      </c>
      <c r="M4235">
        <f>VLOOKUP(H4235,'Stage Order'!$A$2:$B$8,2,FALSE)</f>
        <v>2</v>
      </c>
      <c r="N4235" t="str">
        <f t="shared" si="132"/>
        <v>2. 1-24 hours</v>
      </c>
      <c r="O4235" t="str">
        <f t="shared" si="133"/>
        <v>2025-06</v>
      </c>
    </row>
    <row r="4236" spans="1:15" x14ac:dyDescent="0.3">
      <c r="A4236" t="s">
        <v>9977</v>
      </c>
      <c r="B4236" t="s">
        <v>9978</v>
      </c>
      <c r="C4236" t="s">
        <v>53</v>
      </c>
      <c r="D4236" t="s">
        <v>54</v>
      </c>
      <c r="E4236" t="s">
        <v>45</v>
      </c>
      <c r="F4236" t="s">
        <v>94</v>
      </c>
      <c r="G4236">
        <v>1.22</v>
      </c>
      <c r="H4236" t="s">
        <v>41</v>
      </c>
      <c r="I4236" t="s">
        <v>42</v>
      </c>
      <c r="M4236">
        <f>VLOOKUP(H4236,'Stage Order'!$A$2:$B$8,2,FALSE)</f>
        <v>2</v>
      </c>
      <c r="N4236" t="str">
        <f t="shared" si="132"/>
        <v>2. 1-24 hours</v>
      </c>
      <c r="O4236" t="str">
        <f t="shared" si="133"/>
        <v>2025-12</v>
      </c>
    </row>
    <row r="4237" spans="1:15" x14ac:dyDescent="0.3">
      <c r="A4237" t="s">
        <v>9979</v>
      </c>
      <c r="B4237" t="s">
        <v>9980</v>
      </c>
      <c r="C4237" t="s">
        <v>125</v>
      </c>
      <c r="D4237" t="s">
        <v>77</v>
      </c>
      <c r="E4237" t="s">
        <v>45</v>
      </c>
      <c r="F4237" t="s">
        <v>94</v>
      </c>
      <c r="G4237">
        <v>0.85</v>
      </c>
      <c r="H4237" t="s">
        <v>47</v>
      </c>
      <c r="I4237" t="s">
        <v>48</v>
      </c>
      <c r="J4237" t="s">
        <v>139</v>
      </c>
      <c r="K4237">
        <v>1046.26</v>
      </c>
      <c r="L4237" t="s">
        <v>9981</v>
      </c>
      <c r="M4237">
        <f>VLOOKUP(H4237,'Stage Order'!$A$2:$B$8,2,FALSE)</f>
        <v>4</v>
      </c>
      <c r="N4237" t="str">
        <f t="shared" si="132"/>
        <v>1. Under 1 hour</v>
      </c>
      <c r="O4237" t="str">
        <f t="shared" si="133"/>
        <v>2026-04</v>
      </c>
    </row>
    <row r="4238" spans="1:15" x14ac:dyDescent="0.3">
      <c r="A4238" t="s">
        <v>9982</v>
      </c>
      <c r="B4238" t="s">
        <v>9983</v>
      </c>
      <c r="C4238" t="s">
        <v>81</v>
      </c>
      <c r="D4238" t="s">
        <v>97</v>
      </c>
      <c r="E4238" t="s">
        <v>30</v>
      </c>
      <c r="F4238" t="s">
        <v>31</v>
      </c>
      <c r="G4238">
        <v>4.6100000000000003</v>
      </c>
      <c r="H4238" t="s">
        <v>47</v>
      </c>
      <c r="I4238" t="s">
        <v>48</v>
      </c>
      <c r="J4238" t="s">
        <v>139</v>
      </c>
      <c r="K4238">
        <v>1521.14</v>
      </c>
      <c r="L4238" t="s">
        <v>9984</v>
      </c>
      <c r="M4238">
        <f>VLOOKUP(H4238,'Stage Order'!$A$2:$B$8,2,FALSE)</f>
        <v>4</v>
      </c>
      <c r="N4238" t="str">
        <f t="shared" si="132"/>
        <v>2. 1-24 hours</v>
      </c>
      <c r="O4238" t="str">
        <f t="shared" si="133"/>
        <v>2025-02</v>
      </c>
    </row>
    <row r="4239" spans="1:15" x14ac:dyDescent="0.3">
      <c r="A4239" t="s">
        <v>9985</v>
      </c>
      <c r="B4239" t="s">
        <v>9986</v>
      </c>
      <c r="C4239" t="s">
        <v>53</v>
      </c>
      <c r="D4239" t="s">
        <v>77</v>
      </c>
      <c r="E4239" t="s">
        <v>39</v>
      </c>
      <c r="F4239" t="s">
        <v>66</v>
      </c>
      <c r="G4239">
        <v>2.52</v>
      </c>
      <c r="H4239" t="s">
        <v>41</v>
      </c>
      <c r="I4239" t="s">
        <v>42</v>
      </c>
      <c r="M4239">
        <f>VLOOKUP(H4239,'Stage Order'!$A$2:$B$8,2,FALSE)</f>
        <v>2</v>
      </c>
      <c r="N4239" t="str">
        <f t="shared" si="132"/>
        <v>2. 1-24 hours</v>
      </c>
      <c r="O4239" t="str">
        <f t="shared" si="133"/>
        <v>2025-07</v>
      </c>
    </row>
    <row r="4240" spans="1:15" x14ac:dyDescent="0.3">
      <c r="A4240" t="s">
        <v>9987</v>
      </c>
      <c r="B4240" t="s">
        <v>9988</v>
      </c>
      <c r="C4240" t="s">
        <v>125</v>
      </c>
      <c r="D4240" t="s">
        <v>77</v>
      </c>
      <c r="E4240" t="s">
        <v>59</v>
      </c>
      <c r="F4240" t="s">
        <v>117</v>
      </c>
      <c r="G4240">
        <v>1.18</v>
      </c>
      <c r="H4240" t="s">
        <v>41</v>
      </c>
      <c r="I4240" t="s">
        <v>42</v>
      </c>
      <c r="M4240">
        <f>VLOOKUP(H4240,'Stage Order'!$A$2:$B$8,2,FALSE)</f>
        <v>2</v>
      </c>
      <c r="N4240" t="str">
        <f t="shared" si="132"/>
        <v>2. 1-24 hours</v>
      </c>
      <c r="O4240" t="str">
        <f t="shared" si="133"/>
        <v>2026-06</v>
      </c>
    </row>
    <row r="4241" spans="1:15" x14ac:dyDescent="0.3">
      <c r="A4241" t="s">
        <v>9989</v>
      </c>
      <c r="B4241" t="s">
        <v>9990</v>
      </c>
      <c r="C4241" t="s">
        <v>81</v>
      </c>
      <c r="D4241" t="s">
        <v>54</v>
      </c>
      <c r="E4241" t="s">
        <v>59</v>
      </c>
      <c r="F4241" t="s">
        <v>137</v>
      </c>
      <c r="G4241">
        <v>1.97</v>
      </c>
      <c r="H4241" t="s">
        <v>41</v>
      </c>
      <c r="I4241" t="s">
        <v>42</v>
      </c>
      <c r="M4241">
        <f>VLOOKUP(H4241,'Stage Order'!$A$2:$B$8,2,FALSE)</f>
        <v>2</v>
      </c>
      <c r="N4241" t="str">
        <f t="shared" si="132"/>
        <v>2. 1-24 hours</v>
      </c>
      <c r="O4241" t="str">
        <f t="shared" si="133"/>
        <v>2025-01</v>
      </c>
    </row>
    <row r="4242" spans="1:15" x14ac:dyDescent="0.3">
      <c r="A4242" t="s">
        <v>9991</v>
      </c>
      <c r="B4242" t="s">
        <v>9992</v>
      </c>
      <c r="C4242" t="s">
        <v>53</v>
      </c>
      <c r="D4242" t="s">
        <v>97</v>
      </c>
      <c r="E4242" t="s">
        <v>45</v>
      </c>
      <c r="F4242" t="s">
        <v>94</v>
      </c>
      <c r="G4242">
        <v>7.41</v>
      </c>
      <c r="H4242" t="s">
        <v>138</v>
      </c>
      <c r="I4242" t="s">
        <v>48</v>
      </c>
      <c r="J4242" t="s">
        <v>113</v>
      </c>
      <c r="K4242">
        <v>1260.6099999999999</v>
      </c>
      <c r="L4242" t="s">
        <v>9993</v>
      </c>
      <c r="M4242">
        <f>VLOOKUP(H4242,'Stage Order'!$A$2:$B$8,2,FALSE)</f>
        <v>6</v>
      </c>
      <c r="N4242" t="str">
        <f t="shared" si="132"/>
        <v>2. 1-24 hours</v>
      </c>
      <c r="O4242" t="str">
        <f t="shared" si="133"/>
        <v>2025-06</v>
      </c>
    </row>
    <row r="4243" spans="1:15" x14ac:dyDescent="0.3">
      <c r="A4243" t="s">
        <v>9994</v>
      </c>
      <c r="B4243" t="s">
        <v>9995</v>
      </c>
      <c r="C4243" t="s">
        <v>37</v>
      </c>
      <c r="D4243" t="s">
        <v>38</v>
      </c>
      <c r="E4243" t="s">
        <v>59</v>
      </c>
      <c r="F4243" t="s">
        <v>117</v>
      </c>
      <c r="G4243">
        <v>22.52</v>
      </c>
      <c r="H4243" t="s">
        <v>128</v>
      </c>
      <c r="I4243" t="s">
        <v>42</v>
      </c>
      <c r="M4243">
        <f>VLOOKUP(H4243,'Stage Order'!$A$2:$B$8,2,FALSE)</f>
        <v>3</v>
      </c>
      <c r="N4243" t="str">
        <f t="shared" si="132"/>
        <v>2. 1-24 hours</v>
      </c>
      <c r="O4243" t="str">
        <f t="shared" si="133"/>
        <v>2025-11</v>
      </c>
    </row>
    <row r="4244" spans="1:15" x14ac:dyDescent="0.3">
      <c r="A4244" t="s">
        <v>9996</v>
      </c>
      <c r="B4244" t="s">
        <v>9997</v>
      </c>
      <c r="C4244" t="s">
        <v>28</v>
      </c>
      <c r="D4244" t="s">
        <v>54</v>
      </c>
      <c r="E4244" t="s">
        <v>39</v>
      </c>
      <c r="F4244" t="s">
        <v>66</v>
      </c>
      <c r="G4244">
        <v>3.52</v>
      </c>
      <c r="H4244" t="s">
        <v>41</v>
      </c>
      <c r="I4244" t="s">
        <v>42</v>
      </c>
      <c r="M4244">
        <f>VLOOKUP(H4244,'Stage Order'!$A$2:$B$8,2,FALSE)</f>
        <v>2</v>
      </c>
      <c r="N4244" t="str">
        <f t="shared" si="132"/>
        <v>2. 1-24 hours</v>
      </c>
      <c r="O4244" t="str">
        <f t="shared" si="133"/>
        <v>2025-07</v>
      </c>
    </row>
    <row r="4245" spans="1:15" x14ac:dyDescent="0.3">
      <c r="A4245" t="s">
        <v>9998</v>
      </c>
      <c r="B4245" t="s">
        <v>9999</v>
      </c>
      <c r="C4245" t="s">
        <v>58</v>
      </c>
      <c r="D4245" t="s">
        <v>77</v>
      </c>
      <c r="E4245" t="s">
        <v>45</v>
      </c>
      <c r="F4245" t="s">
        <v>46</v>
      </c>
      <c r="G4245">
        <v>1.54</v>
      </c>
      <c r="H4245" t="s">
        <v>41</v>
      </c>
      <c r="I4245" t="s">
        <v>42</v>
      </c>
      <c r="M4245">
        <f>VLOOKUP(H4245,'Stage Order'!$A$2:$B$8,2,FALSE)</f>
        <v>2</v>
      </c>
      <c r="N4245" t="str">
        <f t="shared" si="132"/>
        <v>2. 1-24 hours</v>
      </c>
      <c r="O4245" t="str">
        <f t="shared" si="133"/>
        <v>2025-11</v>
      </c>
    </row>
    <row r="4246" spans="1:15" x14ac:dyDescent="0.3">
      <c r="A4246" t="s">
        <v>10000</v>
      </c>
      <c r="B4246" t="s">
        <v>10001</v>
      </c>
      <c r="C4246" t="s">
        <v>53</v>
      </c>
      <c r="D4246" t="s">
        <v>77</v>
      </c>
      <c r="E4246" t="s">
        <v>45</v>
      </c>
      <c r="F4246" t="s">
        <v>46</v>
      </c>
      <c r="G4246">
        <v>3.67</v>
      </c>
      <c r="H4246" t="s">
        <v>32</v>
      </c>
      <c r="I4246" t="s">
        <v>33</v>
      </c>
      <c r="K4246">
        <v>998.49</v>
      </c>
      <c r="L4246" t="s">
        <v>10002</v>
      </c>
      <c r="M4246">
        <f>VLOOKUP(H4246,'Stage Order'!$A$2:$B$8,2,FALSE)</f>
        <v>7</v>
      </c>
      <c r="N4246" t="str">
        <f t="shared" si="132"/>
        <v>2. 1-24 hours</v>
      </c>
      <c r="O4246" t="str">
        <f t="shared" si="133"/>
        <v>2025-08</v>
      </c>
    </row>
    <row r="4247" spans="1:15" x14ac:dyDescent="0.3">
      <c r="A4247" t="s">
        <v>10003</v>
      </c>
      <c r="B4247" t="s">
        <v>10004</v>
      </c>
      <c r="C4247" t="s">
        <v>58</v>
      </c>
      <c r="D4247" t="s">
        <v>38</v>
      </c>
      <c r="E4247" t="s">
        <v>45</v>
      </c>
      <c r="F4247" t="s">
        <v>46</v>
      </c>
      <c r="G4247">
        <v>2.17</v>
      </c>
      <c r="H4247" t="s">
        <v>61</v>
      </c>
      <c r="I4247" t="s">
        <v>42</v>
      </c>
      <c r="M4247">
        <f>VLOOKUP(H4247,'Stage Order'!$A$2:$B$8,2,FALSE)</f>
        <v>1</v>
      </c>
      <c r="N4247" t="str">
        <f t="shared" si="132"/>
        <v>2. 1-24 hours</v>
      </c>
      <c r="O4247" t="str">
        <f t="shared" si="133"/>
        <v>2025-12</v>
      </c>
    </row>
    <row r="4248" spans="1:15" x14ac:dyDescent="0.3">
      <c r="A4248" t="s">
        <v>10005</v>
      </c>
      <c r="B4248" t="s">
        <v>10006</v>
      </c>
      <c r="C4248" t="s">
        <v>53</v>
      </c>
      <c r="D4248" t="s">
        <v>54</v>
      </c>
      <c r="E4248" t="s">
        <v>59</v>
      </c>
      <c r="F4248" t="s">
        <v>117</v>
      </c>
      <c r="G4248">
        <v>2.6</v>
      </c>
      <c r="H4248" t="s">
        <v>32</v>
      </c>
      <c r="I4248" t="s">
        <v>33</v>
      </c>
      <c r="K4248">
        <v>477.17</v>
      </c>
      <c r="L4248" t="s">
        <v>10007</v>
      </c>
      <c r="M4248">
        <f>VLOOKUP(H4248,'Stage Order'!$A$2:$B$8,2,FALSE)</f>
        <v>7</v>
      </c>
      <c r="N4248" t="str">
        <f t="shared" si="132"/>
        <v>2. 1-24 hours</v>
      </c>
      <c r="O4248" t="str">
        <f t="shared" si="133"/>
        <v>2025-12</v>
      </c>
    </row>
    <row r="4249" spans="1:15" x14ac:dyDescent="0.3">
      <c r="A4249" t="s">
        <v>10008</v>
      </c>
      <c r="B4249" t="s">
        <v>10009</v>
      </c>
      <c r="C4249" t="s">
        <v>125</v>
      </c>
      <c r="D4249" t="s">
        <v>29</v>
      </c>
      <c r="E4249" t="s">
        <v>45</v>
      </c>
      <c r="F4249" t="s">
        <v>46</v>
      </c>
      <c r="G4249">
        <v>2.1800000000000002</v>
      </c>
      <c r="H4249" t="s">
        <v>128</v>
      </c>
      <c r="I4249" t="s">
        <v>42</v>
      </c>
      <c r="M4249">
        <f>VLOOKUP(H4249,'Stage Order'!$A$2:$B$8,2,FALSE)</f>
        <v>3</v>
      </c>
      <c r="N4249" t="str">
        <f t="shared" si="132"/>
        <v>2. 1-24 hours</v>
      </c>
      <c r="O4249" t="str">
        <f t="shared" si="133"/>
        <v>2026-06</v>
      </c>
    </row>
    <row r="4250" spans="1:15" x14ac:dyDescent="0.3">
      <c r="A4250" t="s">
        <v>10010</v>
      </c>
      <c r="B4250" t="s">
        <v>10011</v>
      </c>
      <c r="C4250" t="s">
        <v>37</v>
      </c>
      <c r="D4250" t="s">
        <v>38</v>
      </c>
      <c r="E4250" t="s">
        <v>59</v>
      </c>
      <c r="F4250" t="s">
        <v>117</v>
      </c>
      <c r="G4250">
        <v>2.0099999999999998</v>
      </c>
      <c r="H4250" t="s">
        <v>32</v>
      </c>
      <c r="I4250" t="s">
        <v>33</v>
      </c>
      <c r="K4250">
        <v>296.25</v>
      </c>
      <c r="L4250" t="s">
        <v>10012</v>
      </c>
      <c r="M4250">
        <f>VLOOKUP(H4250,'Stage Order'!$A$2:$B$8,2,FALSE)</f>
        <v>7</v>
      </c>
      <c r="N4250" t="str">
        <f t="shared" si="132"/>
        <v>2. 1-24 hours</v>
      </c>
      <c r="O4250" t="str">
        <f t="shared" si="133"/>
        <v>2025-03</v>
      </c>
    </row>
    <row r="4251" spans="1:15" x14ac:dyDescent="0.3">
      <c r="A4251" t="s">
        <v>10013</v>
      </c>
      <c r="B4251" t="s">
        <v>10014</v>
      </c>
      <c r="C4251" t="s">
        <v>53</v>
      </c>
      <c r="D4251" t="s">
        <v>29</v>
      </c>
      <c r="E4251" t="s">
        <v>39</v>
      </c>
      <c r="F4251" t="s">
        <v>66</v>
      </c>
      <c r="G4251">
        <v>11.18</v>
      </c>
      <c r="H4251" t="s">
        <v>47</v>
      </c>
      <c r="I4251" t="s">
        <v>48</v>
      </c>
      <c r="J4251" t="s">
        <v>49</v>
      </c>
      <c r="K4251">
        <v>680</v>
      </c>
      <c r="L4251" t="s">
        <v>10015</v>
      </c>
      <c r="M4251">
        <f>VLOOKUP(H4251,'Stage Order'!$A$2:$B$8,2,FALSE)</f>
        <v>4</v>
      </c>
      <c r="N4251" t="str">
        <f t="shared" si="132"/>
        <v>2. 1-24 hours</v>
      </c>
      <c r="O4251" t="str">
        <f t="shared" si="133"/>
        <v>2025-09</v>
      </c>
    </row>
    <row r="4252" spans="1:15" x14ac:dyDescent="0.3">
      <c r="A4252" t="s">
        <v>10016</v>
      </c>
      <c r="B4252" t="s">
        <v>10017</v>
      </c>
      <c r="C4252" t="s">
        <v>53</v>
      </c>
      <c r="D4252" t="s">
        <v>29</v>
      </c>
      <c r="E4252" t="s">
        <v>59</v>
      </c>
      <c r="F4252" t="s">
        <v>137</v>
      </c>
      <c r="G4252">
        <v>1.47</v>
      </c>
      <c r="H4252" t="s">
        <v>32</v>
      </c>
      <c r="I4252" t="s">
        <v>33</v>
      </c>
      <c r="K4252">
        <v>672.36</v>
      </c>
      <c r="L4252" t="s">
        <v>10018</v>
      </c>
      <c r="M4252">
        <f>VLOOKUP(H4252,'Stage Order'!$A$2:$B$8,2,FALSE)</f>
        <v>7</v>
      </c>
      <c r="N4252" t="str">
        <f t="shared" si="132"/>
        <v>2. 1-24 hours</v>
      </c>
      <c r="O4252" t="str">
        <f t="shared" si="133"/>
        <v>2025-09</v>
      </c>
    </row>
    <row r="4253" spans="1:15" x14ac:dyDescent="0.3">
      <c r="A4253" t="s">
        <v>10019</v>
      </c>
      <c r="B4253" t="s">
        <v>10020</v>
      </c>
      <c r="C4253" t="s">
        <v>53</v>
      </c>
      <c r="D4253" t="s">
        <v>29</v>
      </c>
      <c r="E4253" t="s">
        <v>39</v>
      </c>
      <c r="F4253" t="s">
        <v>66</v>
      </c>
      <c r="G4253">
        <v>1.61</v>
      </c>
      <c r="H4253" t="s">
        <v>146</v>
      </c>
      <c r="I4253" t="s">
        <v>48</v>
      </c>
      <c r="J4253" t="s">
        <v>49</v>
      </c>
      <c r="K4253">
        <v>721.27</v>
      </c>
      <c r="L4253" t="s">
        <v>10021</v>
      </c>
      <c r="M4253">
        <f>VLOOKUP(H4253,'Stage Order'!$A$2:$B$8,2,FALSE)</f>
        <v>5</v>
      </c>
      <c r="N4253" t="str">
        <f t="shared" si="132"/>
        <v>2. 1-24 hours</v>
      </c>
      <c r="O4253" t="str">
        <f t="shared" si="133"/>
        <v>2025-02</v>
      </c>
    </row>
    <row r="4254" spans="1:15" x14ac:dyDescent="0.3">
      <c r="A4254" t="s">
        <v>10022</v>
      </c>
      <c r="B4254" t="s">
        <v>10023</v>
      </c>
      <c r="C4254" t="s">
        <v>28</v>
      </c>
      <c r="D4254" t="s">
        <v>77</v>
      </c>
      <c r="E4254" t="s">
        <v>59</v>
      </c>
      <c r="F4254" t="s">
        <v>60</v>
      </c>
      <c r="G4254">
        <v>0.89</v>
      </c>
      <c r="H4254" t="s">
        <v>41</v>
      </c>
      <c r="I4254" t="s">
        <v>42</v>
      </c>
      <c r="M4254">
        <f>VLOOKUP(H4254,'Stage Order'!$A$2:$B$8,2,FALSE)</f>
        <v>2</v>
      </c>
      <c r="N4254" t="str">
        <f t="shared" si="132"/>
        <v>1. Under 1 hour</v>
      </c>
      <c r="O4254" t="str">
        <f t="shared" si="133"/>
        <v>2026-04</v>
      </c>
    </row>
    <row r="4255" spans="1:15" x14ac:dyDescent="0.3">
      <c r="A4255" t="s">
        <v>10024</v>
      </c>
      <c r="B4255" t="s">
        <v>10025</v>
      </c>
      <c r="C4255" t="s">
        <v>58</v>
      </c>
      <c r="D4255" t="s">
        <v>38</v>
      </c>
      <c r="E4255" t="s">
        <v>45</v>
      </c>
      <c r="F4255" t="s">
        <v>55</v>
      </c>
      <c r="G4255">
        <v>4.74</v>
      </c>
      <c r="H4255" t="s">
        <v>41</v>
      </c>
      <c r="I4255" t="s">
        <v>42</v>
      </c>
      <c r="M4255">
        <f>VLOOKUP(H4255,'Stage Order'!$A$2:$B$8,2,FALSE)</f>
        <v>2</v>
      </c>
      <c r="N4255" t="str">
        <f t="shared" si="132"/>
        <v>2. 1-24 hours</v>
      </c>
      <c r="O4255" t="str">
        <f t="shared" si="133"/>
        <v>2025-11</v>
      </c>
    </row>
    <row r="4256" spans="1:15" x14ac:dyDescent="0.3">
      <c r="A4256" t="s">
        <v>10026</v>
      </c>
      <c r="B4256" t="s">
        <v>10027</v>
      </c>
      <c r="C4256" t="s">
        <v>37</v>
      </c>
      <c r="D4256" t="s">
        <v>54</v>
      </c>
      <c r="E4256" t="s">
        <v>39</v>
      </c>
      <c r="F4256" t="s">
        <v>40</v>
      </c>
      <c r="G4256">
        <v>8.59</v>
      </c>
      <c r="H4256" t="s">
        <v>138</v>
      </c>
      <c r="I4256" t="s">
        <v>48</v>
      </c>
      <c r="J4256" t="s">
        <v>113</v>
      </c>
      <c r="K4256">
        <v>571.88</v>
      </c>
      <c r="L4256" t="s">
        <v>10028</v>
      </c>
      <c r="M4256">
        <f>VLOOKUP(H4256,'Stage Order'!$A$2:$B$8,2,FALSE)</f>
        <v>6</v>
      </c>
      <c r="N4256" t="str">
        <f t="shared" si="132"/>
        <v>2. 1-24 hours</v>
      </c>
      <c r="O4256" t="str">
        <f t="shared" si="133"/>
        <v>2026-06</v>
      </c>
    </row>
    <row r="4257" spans="1:15" x14ac:dyDescent="0.3">
      <c r="A4257" t="s">
        <v>10029</v>
      </c>
      <c r="B4257" t="s">
        <v>10030</v>
      </c>
      <c r="C4257" t="s">
        <v>53</v>
      </c>
      <c r="D4257" t="s">
        <v>29</v>
      </c>
      <c r="E4257" t="s">
        <v>59</v>
      </c>
      <c r="F4257" t="s">
        <v>60</v>
      </c>
      <c r="G4257">
        <v>2.7</v>
      </c>
      <c r="H4257" t="s">
        <v>61</v>
      </c>
      <c r="I4257" t="s">
        <v>42</v>
      </c>
      <c r="M4257">
        <f>VLOOKUP(H4257,'Stage Order'!$A$2:$B$8,2,FALSE)</f>
        <v>1</v>
      </c>
      <c r="N4257" t="str">
        <f t="shared" si="132"/>
        <v>2. 1-24 hours</v>
      </c>
      <c r="O4257" t="str">
        <f t="shared" si="133"/>
        <v>2026-06</v>
      </c>
    </row>
    <row r="4258" spans="1:15" x14ac:dyDescent="0.3">
      <c r="A4258" t="s">
        <v>10031</v>
      </c>
      <c r="B4258" t="s">
        <v>10032</v>
      </c>
      <c r="C4258" t="s">
        <v>58</v>
      </c>
      <c r="D4258" t="s">
        <v>29</v>
      </c>
      <c r="E4258" t="s">
        <v>45</v>
      </c>
      <c r="F4258" t="s">
        <v>55</v>
      </c>
      <c r="G4258">
        <v>2.59</v>
      </c>
      <c r="H4258" t="s">
        <v>41</v>
      </c>
      <c r="I4258" t="s">
        <v>42</v>
      </c>
      <c r="M4258">
        <f>VLOOKUP(H4258,'Stage Order'!$A$2:$B$8,2,FALSE)</f>
        <v>2</v>
      </c>
      <c r="N4258" t="str">
        <f t="shared" si="132"/>
        <v>2. 1-24 hours</v>
      </c>
      <c r="O4258" t="str">
        <f t="shared" si="133"/>
        <v>2026-05</v>
      </c>
    </row>
    <row r="4259" spans="1:15" x14ac:dyDescent="0.3">
      <c r="A4259" t="s">
        <v>10033</v>
      </c>
      <c r="B4259" t="s">
        <v>10034</v>
      </c>
      <c r="C4259" t="s">
        <v>81</v>
      </c>
      <c r="D4259" t="s">
        <v>29</v>
      </c>
      <c r="E4259" t="s">
        <v>59</v>
      </c>
      <c r="F4259" t="s">
        <v>117</v>
      </c>
      <c r="G4259">
        <v>1.37</v>
      </c>
      <c r="H4259" t="s">
        <v>41</v>
      </c>
      <c r="I4259" t="s">
        <v>42</v>
      </c>
      <c r="M4259">
        <f>VLOOKUP(H4259,'Stage Order'!$A$2:$B$8,2,FALSE)</f>
        <v>2</v>
      </c>
      <c r="N4259" t="str">
        <f t="shared" si="132"/>
        <v>2. 1-24 hours</v>
      </c>
      <c r="O4259" t="str">
        <f t="shared" si="133"/>
        <v>2026-03</v>
      </c>
    </row>
    <row r="4260" spans="1:15" x14ac:dyDescent="0.3">
      <c r="A4260" t="s">
        <v>10035</v>
      </c>
      <c r="B4260" t="s">
        <v>10036</v>
      </c>
      <c r="C4260" t="s">
        <v>125</v>
      </c>
      <c r="D4260" t="s">
        <v>38</v>
      </c>
      <c r="E4260" t="s">
        <v>90</v>
      </c>
      <c r="F4260" t="s">
        <v>91</v>
      </c>
      <c r="G4260">
        <v>2.57</v>
      </c>
      <c r="H4260" t="s">
        <v>61</v>
      </c>
      <c r="I4260" t="s">
        <v>42</v>
      </c>
      <c r="M4260">
        <f>VLOOKUP(H4260,'Stage Order'!$A$2:$B$8,2,FALSE)</f>
        <v>1</v>
      </c>
      <c r="N4260" t="str">
        <f t="shared" si="132"/>
        <v>2. 1-24 hours</v>
      </c>
      <c r="O4260" t="str">
        <f t="shared" si="133"/>
        <v>2025-03</v>
      </c>
    </row>
    <row r="4261" spans="1:15" x14ac:dyDescent="0.3">
      <c r="A4261" t="s">
        <v>10037</v>
      </c>
      <c r="B4261" t="s">
        <v>10038</v>
      </c>
      <c r="C4261" t="s">
        <v>58</v>
      </c>
      <c r="D4261" t="s">
        <v>29</v>
      </c>
      <c r="E4261" t="s">
        <v>45</v>
      </c>
      <c r="F4261" t="s">
        <v>46</v>
      </c>
      <c r="G4261">
        <v>1.75</v>
      </c>
      <c r="H4261" t="s">
        <v>41</v>
      </c>
      <c r="I4261" t="s">
        <v>42</v>
      </c>
      <c r="M4261">
        <f>VLOOKUP(H4261,'Stage Order'!$A$2:$B$8,2,FALSE)</f>
        <v>2</v>
      </c>
      <c r="N4261" t="str">
        <f t="shared" si="132"/>
        <v>2. 1-24 hours</v>
      </c>
      <c r="O4261" t="str">
        <f t="shared" si="133"/>
        <v>2025-12</v>
      </c>
    </row>
    <row r="4262" spans="1:15" x14ac:dyDescent="0.3">
      <c r="A4262" t="s">
        <v>10039</v>
      </c>
      <c r="B4262" t="s">
        <v>10040</v>
      </c>
      <c r="C4262" t="s">
        <v>37</v>
      </c>
      <c r="D4262" t="s">
        <v>29</v>
      </c>
      <c r="E4262" t="s">
        <v>30</v>
      </c>
      <c r="F4262" t="s">
        <v>82</v>
      </c>
      <c r="G4262">
        <v>15.26</v>
      </c>
      <c r="H4262" t="s">
        <v>138</v>
      </c>
      <c r="I4262" t="s">
        <v>48</v>
      </c>
      <c r="J4262" t="s">
        <v>113</v>
      </c>
      <c r="K4262">
        <v>544.72</v>
      </c>
      <c r="L4262" t="s">
        <v>10041</v>
      </c>
      <c r="M4262">
        <f>VLOOKUP(H4262,'Stage Order'!$A$2:$B$8,2,FALSE)</f>
        <v>6</v>
      </c>
      <c r="N4262" t="str">
        <f t="shared" si="132"/>
        <v>2. 1-24 hours</v>
      </c>
      <c r="O4262" t="str">
        <f t="shared" si="133"/>
        <v>2026-01</v>
      </c>
    </row>
    <row r="4263" spans="1:15" x14ac:dyDescent="0.3">
      <c r="A4263" t="s">
        <v>10042</v>
      </c>
      <c r="B4263" t="s">
        <v>10043</v>
      </c>
      <c r="C4263" t="s">
        <v>58</v>
      </c>
      <c r="D4263" t="s">
        <v>77</v>
      </c>
      <c r="E4263" t="s">
        <v>39</v>
      </c>
      <c r="F4263" t="s">
        <v>106</v>
      </c>
      <c r="G4263">
        <v>6.77</v>
      </c>
      <c r="H4263" t="s">
        <v>41</v>
      </c>
      <c r="I4263" t="s">
        <v>42</v>
      </c>
      <c r="M4263">
        <f>VLOOKUP(H4263,'Stage Order'!$A$2:$B$8,2,FALSE)</f>
        <v>2</v>
      </c>
      <c r="N4263" t="str">
        <f t="shared" si="132"/>
        <v>2. 1-24 hours</v>
      </c>
      <c r="O4263" t="str">
        <f t="shared" si="133"/>
        <v>2026-02</v>
      </c>
    </row>
    <row r="4264" spans="1:15" x14ac:dyDescent="0.3">
      <c r="A4264" t="s">
        <v>10044</v>
      </c>
      <c r="B4264" t="s">
        <v>10045</v>
      </c>
      <c r="C4264" t="s">
        <v>28</v>
      </c>
      <c r="D4264" t="s">
        <v>29</v>
      </c>
      <c r="E4264" t="s">
        <v>90</v>
      </c>
      <c r="F4264" t="s">
        <v>91</v>
      </c>
      <c r="G4264">
        <v>1.21</v>
      </c>
      <c r="H4264" t="s">
        <v>41</v>
      </c>
      <c r="I4264" t="s">
        <v>42</v>
      </c>
      <c r="M4264">
        <f>VLOOKUP(H4264,'Stage Order'!$A$2:$B$8,2,FALSE)</f>
        <v>2</v>
      </c>
      <c r="N4264" t="str">
        <f t="shared" si="132"/>
        <v>2. 1-24 hours</v>
      </c>
      <c r="O4264" t="str">
        <f t="shared" si="133"/>
        <v>2025-06</v>
      </c>
    </row>
    <row r="4265" spans="1:15" x14ac:dyDescent="0.3">
      <c r="A4265" t="s">
        <v>10046</v>
      </c>
      <c r="B4265" t="s">
        <v>10047</v>
      </c>
      <c r="C4265" t="s">
        <v>81</v>
      </c>
      <c r="D4265" t="s">
        <v>77</v>
      </c>
      <c r="E4265" t="s">
        <v>45</v>
      </c>
      <c r="F4265" t="s">
        <v>55</v>
      </c>
      <c r="G4265">
        <v>2.16</v>
      </c>
      <c r="H4265" t="s">
        <v>61</v>
      </c>
      <c r="I4265" t="s">
        <v>42</v>
      </c>
      <c r="M4265">
        <f>VLOOKUP(H4265,'Stage Order'!$A$2:$B$8,2,FALSE)</f>
        <v>1</v>
      </c>
      <c r="N4265" t="str">
        <f t="shared" si="132"/>
        <v>2. 1-24 hours</v>
      </c>
      <c r="O4265" t="str">
        <f t="shared" si="133"/>
        <v>2025-10</v>
      </c>
    </row>
    <row r="4266" spans="1:15" x14ac:dyDescent="0.3">
      <c r="A4266" t="s">
        <v>10048</v>
      </c>
      <c r="B4266" t="s">
        <v>10049</v>
      </c>
      <c r="C4266" t="s">
        <v>125</v>
      </c>
      <c r="D4266" t="s">
        <v>97</v>
      </c>
      <c r="E4266" t="s">
        <v>30</v>
      </c>
      <c r="F4266" t="s">
        <v>82</v>
      </c>
      <c r="G4266">
        <v>10.91</v>
      </c>
      <c r="H4266" t="s">
        <v>41</v>
      </c>
      <c r="I4266" t="s">
        <v>42</v>
      </c>
      <c r="M4266">
        <f>VLOOKUP(H4266,'Stage Order'!$A$2:$B$8,2,FALSE)</f>
        <v>2</v>
      </c>
      <c r="N4266" t="str">
        <f t="shared" si="132"/>
        <v>2. 1-24 hours</v>
      </c>
      <c r="O4266" t="str">
        <f t="shared" si="133"/>
        <v>2025-05</v>
      </c>
    </row>
    <row r="4267" spans="1:15" x14ac:dyDescent="0.3">
      <c r="A4267" t="s">
        <v>10050</v>
      </c>
      <c r="B4267" t="s">
        <v>10051</v>
      </c>
      <c r="C4267" t="s">
        <v>81</v>
      </c>
      <c r="D4267" t="s">
        <v>77</v>
      </c>
      <c r="E4267" t="s">
        <v>45</v>
      </c>
      <c r="F4267" t="s">
        <v>46</v>
      </c>
      <c r="G4267">
        <v>0.97</v>
      </c>
      <c r="H4267" t="s">
        <v>61</v>
      </c>
      <c r="I4267" t="s">
        <v>42</v>
      </c>
      <c r="M4267">
        <f>VLOOKUP(H4267,'Stage Order'!$A$2:$B$8,2,FALSE)</f>
        <v>1</v>
      </c>
      <c r="N4267" t="str">
        <f t="shared" si="132"/>
        <v>1. Under 1 hour</v>
      </c>
      <c r="O4267" t="str">
        <f t="shared" si="133"/>
        <v>2025-06</v>
      </c>
    </row>
    <row r="4268" spans="1:15" x14ac:dyDescent="0.3">
      <c r="A4268" t="s">
        <v>10052</v>
      </c>
      <c r="B4268" t="s">
        <v>10053</v>
      </c>
      <c r="C4268" t="s">
        <v>81</v>
      </c>
      <c r="D4268" t="s">
        <v>29</v>
      </c>
      <c r="E4268" t="s">
        <v>59</v>
      </c>
      <c r="F4268" t="s">
        <v>117</v>
      </c>
      <c r="G4268">
        <v>2.46</v>
      </c>
      <c r="H4268" t="s">
        <v>41</v>
      </c>
      <c r="I4268" t="s">
        <v>42</v>
      </c>
      <c r="M4268">
        <f>VLOOKUP(H4268,'Stage Order'!$A$2:$B$8,2,FALSE)</f>
        <v>2</v>
      </c>
      <c r="N4268" t="str">
        <f t="shared" si="132"/>
        <v>2. 1-24 hours</v>
      </c>
      <c r="O4268" t="str">
        <f t="shared" si="133"/>
        <v>2025-09</v>
      </c>
    </row>
    <row r="4269" spans="1:15" x14ac:dyDescent="0.3">
      <c r="A4269" t="s">
        <v>10054</v>
      </c>
      <c r="B4269" t="s">
        <v>10055</v>
      </c>
      <c r="C4269" t="s">
        <v>125</v>
      </c>
      <c r="D4269" t="s">
        <v>38</v>
      </c>
      <c r="E4269" t="s">
        <v>90</v>
      </c>
      <c r="F4269" t="s">
        <v>91</v>
      </c>
      <c r="G4269">
        <v>0.82</v>
      </c>
      <c r="H4269" t="s">
        <v>47</v>
      </c>
      <c r="I4269" t="s">
        <v>48</v>
      </c>
      <c r="J4269" t="s">
        <v>49</v>
      </c>
      <c r="K4269">
        <v>319.57</v>
      </c>
      <c r="L4269" t="s">
        <v>10056</v>
      </c>
      <c r="M4269">
        <f>VLOOKUP(H4269,'Stage Order'!$A$2:$B$8,2,FALSE)</f>
        <v>4</v>
      </c>
      <c r="N4269" t="str">
        <f t="shared" si="132"/>
        <v>1. Under 1 hour</v>
      </c>
      <c r="O4269" t="str">
        <f t="shared" si="133"/>
        <v>2025-01</v>
      </c>
    </row>
    <row r="4270" spans="1:15" x14ac:dyDescent="0.3">
      <c r="A4270" t="s">
        <v>10057</v>
      </c>
      <c r="B4270" t="s">
        <v>10058</v>
      </c>
      <c r="C4270" t="s">
        <v>53</v>
      </c>
      <c r="D4270" t="s">
        <v>38</v>
      </c>
      <c r="E4270" t="s">
        <v>90</v>
      </c>
      <c r="F4270" t="s">
        <v>91</v>
      </c>
      <c r="G4270">
        <v>37.700000000000003</v>
      </c>
      <c r="H4270" t="s">
        <v>41</v>
      </c>
      <c r="I4270" t="s">
        <v>42</v>
      </c>
      <c r="M4270">
        <f>VLOOKUP(H4270,'Stage Order'!$A$2:$B$8,2,FALSE)</f>
        <v>2</v>
      </c>
      <c r="N4270" t="str">
        <f t="shared" si="132"/>
        <v>3. 1-3 days</v>
      </c>
      <c r="O4270" t="str">
        <f t="shared" si="133"/>
        <v>2025-12</v>
      </c>
    </row>
    <row r="4271" spans="1:15" x14ac:dyDescent="0.3">
      <c r="A4271" t="s">
        <v>10059</v>
      </c>
      <c r="B4271" t="s">
        <v>10060</v>
      </c>
      <c r="C4271" t="s">
        <v>58</v>
      </c>
      <c r="D4271" t="s">
        <v>54</v>
      </c>
      <c r="E4271" t="s">
        <v>90</v>
      </c>
      <c r="F4271" t="s">
        <v>91</v>
      </c>
      <c r="G4271">
        <v>0.71</v>
      </c>
      <c r="H4271" t="s">
        <v>61</v>
      </c>
      <c r="I4271" t="s">
        <v>42</v>
      </c>
      <c r="M4271">
        <f>VLOOKUP(H4271,'Stage Order'!$A$2:$B$8,2,FALSE)</f>
        <v>1</v>
      </c>
      <c r="N4271" t="str">
        <f t="shared" si="132"/>
        <v>1. Under 1 hour</v>
      </c>
      <c r="O4271" t="str">
        <f t="shared" si="133"/>
        <v>2025-10</v>
      </c>
    </row>
    <row r="4272" spans="1:15" x14ac:dyDescent="0.3">
      <c r="A4272" t="s">
        <v>10061</v>
      </c>
      <c r="B4272" t="s">
        <v>10062</v>
      </c>
      <c r="C4272" t="s">
        <v>53</v>
      </c>
      <c r="D4272" t="s">
        <v>54</v>
      </c>
      <c r="E4272" t="s">
        <v>30</v>
      </c>
      <c r="F4272" t="s">
        <v>82</v>
      </c>
      <c r="G4272">
        <v>1.41</v>
      </c>
      <c r="H4272" t="s">
        <v>138</v>
      </c>
      <c r="I4272" t="s">
        <v>48</v>
      </c>
      <c r="J4272" t="s">
        <v>139</v>
      </c>
      <c r="K4272">
        <v>570.21</v>
      </c>
      <c r="L4272" t="s">
        <v>10063</v>
      </c>
      <c r="M4272">
        <f>VLOOKUP(H4272,'Stage Order'!$A$2:$B$8,2,FALSE)</f>
        <v>6</v>
      </c>
      <c r="N4272" t="str">
        <f t="shared" si="132"/>
        <v>2. 1-24 hours</v>
      </c>
      <c r="O4272" t="str">
        <f t="shared" si="133"/>
        <v>2025-09</v>
      </c>
    </row>
    <row r="4273" spans="1:15" x14ac:dyDescent="0.3">
      <c r="A4273" t="s">
        <v>10064</v>
      </c>
      <c r="B4273" t="s">
        <v>10065</v>
      </c>
      <c r="C4273" t="s">
        <v>76</v>
      </c>
      <c r="D4273" t="s">
        <v>77</v>
      </c>
      <c r="E4273" t="s">
        <v>30</v>
      </c>
      <c r="F4273" t="s">
        <v>82</v>
      </c>
      <c r="G4273">
        <v>3.32</v>
      </c>
      <c r="H4273" t="s">
        <v>61</v>
      </c>
      <c r="I4273" t="s">
        <v>42</v>
      </c>
      <c r="M4273">
        <f>VLOOKUP(H4273,'Stage Order'!$A$2:$B$8,2,FALSE)</f>
        <v>1</v>
      </c>
      <c r="N4273" t="str">
        <f t="shared" si="132"/>
        <v>2. 1-24 hours</v>
      </c>
      <c r="O4273" t="str">
        <f t="shared" si="133"/>
        <v>2026-02</v>
      </c>
    </row>
    <row r="4274" spans="1:15" x14ac:dyDescent="0.3">
      <c r="A4274" t="s">
        <v>10066</v>
      </c>
      <c r="B4274" t="s">
        <v>10067</v>
      </c>
      <c r="C4274" t="s">
        <v>37</v>
      </c>
      <c r="D4274" t="s">
        <v>54</v>
      </c>
      <c r="E4274" t="s">
        <v>59</v>
      </c>
      <c r="F4274" t="s">
        <v>137</v>
      </c>
      <c r="G4274">
        <v>1.53</v>
      </c>
      <c r="H4274" t="s">
        <v>41</v>
      </c>
      <c r="I4274" t="s">
        <v>42</v>
      </c>
      <c r="M4274">
        <f>VLOOKUP(H4274,'Stage Order'!$A$2:$B$8,2,FALSE)</f>
        <v>2</v>
      </c>
      <c r="N4274" t="str">
        <f t="shared" si="132"/>
        <v>2. 1-24 hours</v>
      </c>
      <c r="O4274" t="str">
        <f t="shared" si="133"/>
        <v>2025-10</v>
      </c>
    </row>
    <row r="4275" spans="1:15" x14ac:dyDescent="0.3">
      <c r="A4275" t="s">
        <v>10068</v>
      </c>
      <c r="B4275" t="s">
        <v>10069</v>
      </c>
      <c r="C4275" t="s">
        <v>53</v>
      </c>
      <c r="D4275" t="s">
        <v>54</v>
      </c>
      <c r="E4275" t="s">
        <v>30</v>
      </c>
      <c r="F4275" t="s">
        <v>31</v>
      </c>
      <c r="G4275">
        <v>1.02</v>
      </c>
      <c r="H4275" t="s">
        <v>32</v>
      </c>
      <c r="I4275" t="s">
        <v>33</v>
      </c>
      <c r="K4275">
        <v>597.30999999999995</v>
      </c>
      <c r="L4275" t="s">
        <v>10070</v>
      </c>
      <c r="M4275">
        <f>VLOOKUP(H4275,'Stage Order'!$A$2:$B$8,2,FALSE)</f>
        <v>7</v>
      </c>
      <c r="N4275" t="str">
        <f t="shared" si="132"/>
        <v>2. 1-24 hours</v>
      </c>
      <c r="O4275" t="str">
        <f t="shared" si="133"/>
        <v>2025-04</v>
      </c>
    </row>
    <row r="4276" spans="1:15" x14ac:dyDescent="0.3">
      <c r="A4276" t="s">
        <v>10071</v>
      </c>
      <c r="B4276" t="s">
        <v>10072</v>
      </c>
      <c r="C4276" t="s">
        <v>58</v>
      </c>
      <c r="D4276" t="s">
        <v>29</v>
      </c>
      <c r="E4276" t="s">
        <v>45</v>
      </c>
      <c r="F4276" t="s">
        <v>94</v>
      </c>
      <c r="G4276">
        <v>1.07</v>
      </c>
      <c r="H4276" t="s">
        <v>32</v>
      </c>
      <c r="I4276" t="s">
        <v>33</v>
      </c>
      <c r="K4276">
        <v>586.37</v>
      </c>
      <c r="L4276" t="s">
        <v>10073</v>
      </c>
      <c r="M4276">
        <f>VLOOKUP(H4276,'Stage Order'!$A$2:$B$8,2,FALSE)</f>
        <v>7</v>
      </c>
      <c r="N4276" t="str">
        <f t="shared" si="132"/>
        <v>2. 1-24 hours</v>
      </c>
      <c r="O4276" t="str">
        <f t="shared" si="133"/>
        <v>2026-06</v>
      </c>
    </row>
    <row r="4277" spans="1:15" x14ac:dyDescent="0.3">
      <c r="A4277" t="s">
        <v>10074</v>
      </c>
      <c r="B4277" t="s">
        <v>10075</v>
      </c>
      <c r="C4277" t="s">
        <v>28</v>
      </c>
      <c r="D4277" t="s">
        <v>54</v>
      </c>
      <c r="E4277" t="s">
        <v>45</v>
      </c>
      <c r="F4277" t="s">
        <v>55</v>
      </c>
      <c r="G4277">
        <v>2.36</v>
      </c>
      <c r="H4277" t="s">
        <v>41</v>
      </c>
      <c r="I4277" t="s">
        <v>42</v>
      </c>
      <c r="M4277">
        <f>VLOOKUP(H4277,'Stage Order'!$A$2:$B$8,2,FALSE)</f>
        <v>2</v>
      </c>
      <c r="N4277" t="str">
        <f t="shared" si="132"/>
        <v>2. 1-24 hours</v>
      </c>
      <c r="O4277" t="str">
        <f t="shared" si="133"/>
        <v>2026-04</v>
      </c>
    </row>
    <row r="4278" spans="1:15" x14ac:dyDescent="0.3">
      <c r="A4278" t="s">
        <v>10076</v>
      </c>
      <c r="B4278" t="s">
        <v>10077</v>
      </c>
      <c r="C4278" t="s">
        <v>37</v>
      </c>
      <c r="D4278" t="s">
        <v>77</v>
      </c>
      <c r="E4278" t="s">
        <v>39</v>
      </c>
      <c r="F4278" t="s">
        <v>106</v>
      </c>
      <c r="G4278">
        <v>4.17</v>
      </c>
      <c r="H4278" t="s">
        <v>32</v>
      </c>
      <c r="I4278" t="s">
        <v>33</v>
      </c>
      <c r="K4278">
        <v>1123.1300000000001</v>
      </c>
      <c r="L4278" t="s">
        <v>10078</v>
      </c>
      <c r="M4278">
        <f>VLOOKUP(H4278,'Stage Order'!$A$2:$B$8,2,FALSE)</f>
        <v>7</v>
      </c>
      <c r="N4278" t="str">
        <f t="shared" si="132"/>
        <v>2. 1-24 hours</v>
      </c>
      <c r="O4278" t="str">
        <f t="shared" si="133"/>
        <v>2026-01</v>
      </c>
    </row>
    <row r="4279" spans="1:15" x14ac:dyDescent="0.3">
      <c r="A4279" t="s">
        <v>10079</v>
      </c>
      <c r="B4279" t="s">
        <v>10080</v>
      </c>
      <c r="C4279" t="s">
        <v>53</v>
      </c>
      <c r="D4279" t="s">
        <v>54</v>
      </c>
      <c r="E4279" t="s">
        <v>90</v>
      </c>
      <c r="F4279" t="s">
        <v>91</v>
      </c>
      <c r="G4279">
        <v>5.33</v>
      </c>
      <c r="H4279" t="s">
        <v>138</v>
      </c>
      <c r="I4279" t="s">
        <v>48</v>
      </c>
      <c r="J4279" t="s">
        <v>49</v>
      </c>
      <c r="K4279">
        <v>449.27</v>
      </c>
      <c r="L4279" t="s">
        <v>10081</v>
      </c>
      <c r="M4279">
        <f>VLOOKUP(H4279,'Stage Order'!$A$2:$B$8,2,FALSE)</f>
        <v>6</v>
      </c>
      <c r="N4279" t="str">
        <f t="shared" si="132"/>
        <v>2. 1-24 hours</v>
      </c>
      <c r="O4279" t="str">
        <f t="shared" si="133"/>
        <v>2026-02</v>
      </c>
    </row>
    <row r="4280" spans="1:15" x14ac:dyDescent="0.3">
      <c r="A4280" t="s">
        <v>10082</v>
      </c>
      <c r="B4280" t="s">
        <v>10083</v>
      </c>
      <c r="C4280" t="s">
        <v>37</v>
      </c>
      <c r="D4280" t="s">
        <v>97</v>
      </c>
      <c r="E4280" t="s">
        <v>45</v>
      </c>
      <c r="F4280" t="s">
        <v>46</v>
      </c>
      <c r="G4280">
        <v>4.55</v>
      </c>
      <c r="H4280" t="s">
        <v>61</v>
      </c>
      <c r="I4280" t="s">
        <v>42</v>
      </c>
      <c r="M4280">
        <f>VLOOKUP(H4280,'Stage Order'!$A$2:$B$8,2,FALSE)</f>
        <v>1</v>
      </c>
      <c r="N4280" t="str">
        <f t="shared" si="132"/>
        <v>2. 1-24 hours</v>
      </c>
      <c r="O4280" t="str">
        <f t="shared" si="133"/>
        <v>2026-05</v>
      </c>
    </row>
    <row r="4281" spans="1:15" x14ac:dyDescent="0.3">
      <c r="A4281" t="s">
        <v>10084</v>
      </c>
      <c r="B4281" t="s">
        <v>10085</v>
      </c>
      <c r="C4281" t="s">
        <v>76</v>
      </c>
      <c r="D4281" t="s">
        <v>54</v>
      </c>
      <c r="E4281" t="s">
        <v>30</v>
      </c>
      <c r="F4281" t="s">
        <v>31</v>
      </c>
      <c r="G4281">
        <v>2.4500000000000002</v>
      </c>
      <c r="H4281" t="s">
        <v>41</v>
      </c>
      <c r="I4281" t="s">
        <v>42</v>
      </c>
      <c r="M4281">
        <f>VLOOKUP(H4281,'Stage Order'!$A$2:$B$8,2,FALSE)</f>
        <v>2</v>
      </c>
      <c r="N4281" t="str">
        <f t="shared" si="132"/>
        <v>2. 1-24 hours</v>
      </c>
      <c r="O4281" t="str">
        <f t="shared" si="133"/>
        <v>2025-07</v>
      </c>
    </row>
    <row r="4282" spans="1:15" x14ac:dyDescent="0.3">
      <c r="A4282" t="s">
        <v>10086</v>
      </c>
      <c r="B4282" t="s">
        <v>10087</v>
      </c>
      <c r="C4282" t="s">
        <v>81</v>
      </c>
      <c r="D4282" t="s">
        <v>77</v>
      </c>
      <c r="E4282" t="s">
        <v>45</v>
      </c>
      <c r="F4282" t="s">
        <v>46</v>
      </c>
      <c r="G4282">
        <v>2.83</v>
      </c>
      <c r="H4282" t="s">
        <v>61</v>
      </c>
      <c r="I4282" t="s">
        <v>42</v>
      </c>
      <c r="M4282">
        <f>VLOOKUP(H4282,'Stage Order'!$A$2:$B$8,2,FALSE)</f>
        <v>1</v>
      </c>
      <c r="N4282" t="str">
        <f t="shared" si="132"/>
        <v>2. 1-24 hours</v>
      </c>
      <c r="O4282" t="str">
        <f t="shared" si="133"/>
        <v>2025-08</v>
      </c>
    </row>
    <row r="4283" spans="1:15" x14ac:dyDescent="0.3">
      <c r="A4283" t="s">
        <v>10088</v>
      </c>
      <c r="B4283" t="s">
        <v>10089</v>
      </c>
      <c r="C4283" t="s">
        <v>58</v>
      </c>
      <c r="D4283" t="s">
        <v>38</v>
      </c>
      <c r="E4283" t="s">
        <v>39</v>
      </c>
      <c r="F4283" t="s">
        <v>66</v>
      </c>
      <c r="G4283">
        <v>6.13</v>
      </c>
      <c r="H4283" t="s">
        <v>47</v>
      </c>
      <c r="I4283" t="s">
        <v>48</v>
      </c>
      <c r="J4283" t="s">
        <v>98</v>
      </c>
      <c r="K4283">
        <v>395.2</v>
      </c>
      <c r="L4283" t="s">
        <v>10090</v>
      </c>
      <c r="M4283">
        <f>VLOOKUP(H4283,'Stage Order'!$A$2:$B$8,2,FALSE)</f>
        <v>4</v>
      </c>
      <c r="N4283" t="str">
        <f t="shared" si="132"/>
        <v>2. 1-24 hours</v>
      </c>
      <c r="O4283" t="str">
        <f t="shared" si="133"/>
        <v>2026-06</v>
      </c>
    </row>
    <row r="4284" spans="1:15" x14ac:dyDescent="0.3">
      <c r="A4284" t="s">
        <v>10091</v>
      </c>
      <c r="B4284" t="s">
        <v>10092</v>
      </c>
      <c r="C4284" t="s">
        <v>53</v>
      </c>
      <c r="D4284" t="s">
        <v>77</v>
      </c>
      <c r="E4284" t="s">
        <v>39</v>
      </c>
      <c r="F4284" t="s">
        <v>66</v>
      </c>
      <c r="G4284">
        <v>1.37</v>
      </c>
      <c r="H4284" t="s">
        <v>32</v>
      </c>
      <c r="I4284" t="s">
        <v>33</v>
      </c>
      <c r="K4284">
        <v>1023.97</v>
      </c>
      <c r="L4284" t="s">
        <v>10093</v>
      </c>
      <c r="M4284">
        <f>VLOOKUP(H4284,'Stage Order'!$A$2:$B$8,2,FALSE)</f>
        <v>7</v>
      </c>
      <c r="N4284" t="str">
        <f t="shared" si="132"/>
        <v>2. 1-24 hours</v>
      </c>
      <c r="O4284" t="str">
        <f t="shared" si="133"/>
        <v>2026-03</v>
      </c>
    </row>
    <row r="4285" spans="1:15" x14ac:dyDescent="0.3">
      <c r="A4285" t="s">
        <v>10094</v>
      </c>
      <c r="B4285" t="s">
        <v>10095</v>
      </c>
      <c r="C4285" t="s">
        <v>81</v>
      </c>
      <c r="D4285" t="s">
        <v>38</v>
      </c>
      <c r="E4285" t="s">
        <v>30</v>
      </c>
      <c r="F4285" t="s">
        <v>78</v>
      </c>
      <c r="G4285">
        <v>8.6199999999999992</v>
      </c>
      <c r="H4285" t="s">
        <v>61</v>
      </c>
      <c r="I4285" t="s">
        <v>42</v>
      </c>
      <c r="M4285">
        <f>VLOOKUP(H4285,'Stage Order'!$A$2:$B$8,2,FALSE)</f>
        <v>1</v>
      </c>
      <c r="N4285" t="str">
        <f t="shared" si="132"/>
        <v>2. 1-24 hours</v>
      </c>
      <c r="O4285" t="str">
        <f t="shared" si="133"/>
        <v>2025-04</v>
      </c>
    </row>
    <row r="4286" spans="1:15" x14ac:dyDescent="0.3">
      <c r="A4286" t="s">
        <v>10096</v>
      </c>
      <c r="B4286" t="s">
        <v>10097</v>
      </c>
      <c r="C4286" t="s">
        <v>125</v>
      </c>
      <c r="D4286" t="s">
        <v>54</v>
      </c>
      <c r="E4286" t="s">
        <v>45</v>
      </c>
      <c r="F4286" t="s">
        <v>46</v>
      </c>
      <c r="G4286">
        <v>1.03</v>
      </c>
      <c r="H4286" t="s">
        <v>41</v>
      </c>
      <c r="I4286" t="s">
        <v>42</v>
      </c>
      <c r="M4286">
        <f>VLOOKUP(H4286,'Stage Order'!$A$2:$B$8,2,FALSE)</f>
        <v>2</v>
      </c>
      <c r="N4286" t="str">
        <f t="shared" si="132"/>
        <v>2. 1-24 hours</v>
      </c>
      <c r="O4286" t="str">
        <f t="shared" si="133"/>
        <v>2025-03</v>
      </c>
    </row>
    <row r="4287" spans="1:15" x14ac:dyDescent="0.3">
      <c r="A4287" t="s">
        <v>10098</v>
      </c>
      <c r="B4287" t="s">
        <v>10099</v>
      </c>
      <c r="C4287" t="s">
        <v>53</v>
      </c>
      <c r="D4287" t="s">
        <v>29</v>
      </c>
      <c r="E4287" t="s">
        <v>39</v>
      </c>
      <c r="F4287" t="s">
        <v>66</v>
      </c>
      <c r="G4287">
        <v>1.43</v>
      </c>
      <c r="H4287" t="s">
        <v>41</v>
      </c>
      <c r="I4287" t="s">
        <v>42</v>
      </c>
      <c r="M4287">
        <f>VLOOKUP(H4287,'Stage Order'!$A$2:$B$8,2,FALSE)</f>
        <v>2</v>
      </c>
      <c r="N4287" t="str">
        <f t="shared" si="132"/>
        <v>2. 1-24 hours</v>
      </c>
      <c r="O4287" t="str">
        <f t="shared" si="133"/>
        <v>2025-04</v>
      </c>
    </row>
    <row r="4288" spans="1:15" x14ac:dyDescent="0.3">
      <c r="A4288" t="s">
        <v>10100</v>
      </c>
      <c r="B4288" t="s">
        <v>10101</v>
      </c>
      <c r="C4288" t="s">
        <v>28</v>
      </c>
      <c r="D4288" t="s">
        <v>29</v>
      </c>
      <c r="E4288" t="s">
        <v>30</v>
      </c>
      <c r="F4288" t="s">
        <v>82</v>
      </c>
      <c r="G4288">
        <v>2.71</v>
      </c>
      <c r="H4288" t="s">
        <v>146</v>
      </c>
      <c r="I4288" t="s">
        <v>48</v>
      </c>
      <c r="J4288" t="s">
        <v>139</v>
      </c>
      <c r="K4288">
        <v>769.3</v>
      </c>
      <c r="L4288" t="s">
        <v>10102</v>
      </c>
      <c r="M4288">
        <f>VLOOKUP(H4288,'Stage Order'!$A$2:$B$8,2,FALSE)</f>
        <v>5</v>
      </c>
      <c r="N4288" t="str">
        <f t="shared" si="132"/>
        <v>2. 1-24 hours</v>
      </c>
      <c r="O4288" t="str">
        <f t="shared" si="133"/>
        <v>2026-05</v>
      </c>
    </row>
    <row r="4289" spans="1:15" x14ac:dyDescent="0.3">
      <c r="A4289" t="s">
        <v>10103</v>
      </c>
      <c r="B4289" t="s">
        <v>10104</v>
      </c>
      <c r="C4289" t="s">
        <v>28</v>
      </c>
      <c r="D4289" t="s">
        <v>77</v>
      </c>
      <c r="E4289" t="s">
        <v>45</v>
      </c>
      <c r="F4289" t="s">
        <v>94</v>
      </c>
      <c r="G4289">
        <v>5.95</v>
      </c>
      <c r="H4289" t="s">
        <v>32</v>
      </c>
      <c r="I4289" t="s">
        <v>33</v>
      </c>
      <c r="K4289">
        <v>821.57</v>
      </c>
      <c r="L4289" t="s">
        <v>10105</v>
      </c>
      <c r="M4289">
        <f>VLOOKUP(H4289,'Stage Order'!$A$2:$B$8,2,FALSE)</f>
        <v>7</v>
      </c>
      <c r="N4289" t="str">
        <f t="shared" si="132"/>
        <v>2. 1-24 hours</v>
      </c>
      <c r="O4289" t="str">
        <f t="shared" si="133"/>
        <v>2026-05</v>
      </c>
    </row>
    <row r="4290" spans="1:15" x14ac:dyDescent="0.3">
      <c r="A4290" t="s">
        <v>10106</v>
      </c>
      <c r="B4290" t="s">
        <v>10107</v>
      </c>
      <c r="C4290" t="s">
        <v>58</v>
      </c>
      <c r="D4290" t="s">
        <v>29</v>
      </c>
      <c r="E4290" t="s">
        <v>59</v>
      </c>
      <c r="F4290" t="s">
        <v>117</v>
      </c>
      <c r="G4290">
        <v>3.16</v>
      </c>
      <c r="H4290" t="s">
        <v>47</v>
      </c>
      <c r="I4290" t="s">
        <v>48</v>
      </c>
      <c r="J4290" t="s">
        <v>742</v>
      </c>
      <c r="K4290">
        <v>713.74</v>
      </c>
      <c r="L4290" t="s">
        <v>10108</v>
      </c>
      <c r="M4290">
        <f>VLOOKUP(H4290,'Stage Order'!$A$2:$B$8,2,FALSE)</f>
        <v>4</v>
      </c>
      <c r="N4290" t="str">
        <f t="shared" ref="N4290:N4353" si="134">IF(G4290&lt;=1,"1. Under 1 hour",IF(G4290&lt;=24,"2. 1-24 hours",IF(G4290&lt;=72,"3. 1-3 days","4. Over 3 days")))</f>
        <v>2. 1-24 hours</v>
      </c>
      <c r="O4290" t="str">
        <f t="shared" ref="O4290:O4353" si="135">TEXT(B4290,"YYYY-MM")</f>
        <v>2026-03</v>
      </c>
    </row>
    <row r="4291" spans="1:15" x14ac:dyDescent="0.3">
      <c r="A4291" t="s">
        <v>10109</v>
      </c>
      <c r="B4291" t="s">
        <v>10110</v>
      </c>
      <c r="C4291" t="s">
        <v>28</v>
      </c>
      <c r="D4291" t="s">
        <v>54</v>
      </c>
      <c r="E4291" t="s">
        <v>90</v>
      </c>
      <c r="F4291" t="s">
        <v>91</v>
      </c>
      <c r="G4291">
        <v>4.1100000000000003</v>
      </c>
      <c r="H4291" t="s">
        <v>138</v>
      </c>
      <c r="I4291" t="s">
        <v>48</v>
      </c>
      <c r="J4291" t="s">
        <v>139</v>
      </c>
      <c r="K4291">
        <v>471.26</v>
      </c>
      <c r="L4291" t="s">
        <v>10111</v>
      </c>
      <c r="M4291">
        <f>VLOOKUP(H4291,'Stage Order'!$A$2:$B$8,2,FALSE)</f>
        <v>6</v>
      </c>
      <c r="N4291" t="str">
        <f t="shared" si="134"/>
        <v>2. 1-24 hours</v>
      </c>
      <c r="O4291" t="str">
        <f t="shared" si="135"/>
        <v>2025-12</v>
      </c>
    </row>
    <row r="4292" spans="1:15" x14ac:dyDescent="0.3">
      <c r="A4292" t="s">
        <v>10112</v>
      </c>
      <c r="B4292" t="s">
        <v>10113</v>
      </c>
      <c r="C4292" t="s">
        <v>37</v>
      </c>
      <c r="D4292" t="s">
        <v>77</v>
      </c>
      <c r="E4292" t="s">
        <v>90</v>
      </c>
      <c r="F4292" t="s">
        <v>112</v>
      </c>
      <c r="G4292">
        <v>11.24</v>
      </c>
      <c r="H4292" t="s">
        <v>41</v>
      </c>
      <c r="I4292" t="s">
        <v>42</v>
      </c>
      <c r="M4292">
        <f>VLOOKUP(H4292,'Stage Order'!$A$2:$B$8,2,FALSE)</f>
        <v>2</v>
      </c>
      <c r="N4292" t="str">
        <f t="shared" si="134"/>
        <v>2. 1-24 hours</v>
      </c>
      <c r="O4292" t="str">
        <f t="shared" si="135"/>
        <v>2025-03</v>
      </c>
    </row>
    <row r="4293" spans="1:15" x14ac:dyDescent="0.3">
      <c r="A4293" t="s">
        <v>10114</v>
      </c>
      <c r="B4293" t="s">
        <v>10115</v>
      </c>
      <c r="C4293" t="s">
        <v>58</v>
      </c>
      <c r="D4293" t="s">
        <v>77</v>
      </c>
      <c r="E4293" t="s">
        <v>45</v>
      </c>
      <c r="F4293" t="s">
        <v>55</v>
      </c>
      <c r="G4293">
        <v>0.5</v>
      </c>
      <c r="H4293" t="s">
        <v>41</v>
      </c>
      <c r="I4293" t="s">
        <v>42</v>
      </c>
      <c r="M4293">
        <f>VLOOKUP(H4293,'Stage Order'!$A$2:$B$8,2,FALSE)</f>
        <v>2</v>
      </c>
      <c r="N4293" t="str">
        <f t="shared" si="134"/>
        <v>1. Under 1 hour</v>
      </c>
      <c r="O4293" t="str">
        <f t="shared" si="135"/>
        <v>2025-02</v>
      </c>
    </row>
    <row r="4294" spans="1:15" x14ac:dyDescent="0.3">
      <c r="A4294" t="s">
        <v>10116</v>
      </c>
      <c r="B4294" t="s">
        <v>10117</v>
      </c>
      <c r="C4294" t="s">
        <v>53</v>
      </c>
      <c r="D4294" t="s">
        <v>54</v>
      </c>
      <c r="E4294" t="s">
        <v>45</v>
      </c>
      <c r="F4294" t="s">
        <v>55</v>
      </c>
      <c r="G4294">
        <v>3.55</v>
      </c>
      <c r="H4294" t="s">
        <v>41</v>
      </c>
      <c r="I4294" t="s">
        <v>42</v>
      </c>
      <c r="M4294">
        <f>VLOOKUP(H4294,'Stage Order'!$A$2:$B$8,2,FALSE)</f>
        <v>2</v>
      </c>
      <c r="N4294" t="str">
        <f t="shared" si="134"/>
        <v>2. 1-24 hours</v>
      </c>
      <c r="O4294" t="str">
        <f t="shared" si="135"/>
        <v>2025-08</v>
      </c>
    </row>
    <row r="4295" spans="1:15" x14ac:dyDescent="0.3">
      <c r="A4295" t="s">
        <v>10118</v>
      </c>
      <c r="B4295" t="s">
        <v>10119</v>
      </c>
      <c r="C4295" t="s">
        <v>58</v>
      </c>
      <c r="D4295" t="s">
        <v>38</v>
      </c>
      <c r="E4295" t="s">
        <v>30</v>
      </c>
      <c r="F4295" t="s">
        <v>82</v>
      </c>
      <c r="G4295">
        <v>1.31</v>
      </c>
      <c r="H4295" t="s">
        <v>32</v>
      </c>
      <c r="I4295" t="s">
        <v>33</v>
      </c>
      <c r="K4295">
        <v>294.05</v>
      </c>
      <c r="L4295" t="s">
        <v>10120</v>
      </c>
      <c r="M4295">
        <f>VLOOKUP(H4295,'Stage Order'!$A$2:$B$8,2,FALSE)</f>
        <v>7</v>
      </c>
      <c r="N4295" t="str">
        <f t="shared" si="134"/>
        <v>2. 1-24 hours</v>
      </c>
      <c r="O4295" t="str">
        <f t="shared" si="135"/>
        <v>2026-02</v>
      </c>
    </row>
    <row r="4296" spans="1:15" x14ac:dyDescent="0.3">
      <c r="A4296" t="s">
        <v>10121</v>
      </c>
      <c r="B4296" t="s">
        <v>10122</v>
      </c>
      <c r="C4296" t="s">
        <v>37</v>
      </c>
      <c r="D4296" t="s">
        <v>29</v>
      </c>
      <c r="E4296" t="s">
        <v>59</v>
      </c>
      <c r="F4296" t="s">
        <v>60</v>
      </c>
      <c r="G4296">
        <v>3.39</v>
      </c>
      <c r="H4296" t="s">
        <v>41</v>
      </c>
      <c r="I4296" t="s">
        <v>42</v>
      </c>
      <c r="M4296">
        <f>VLOOKUP(H4296,'Stage Order'!$A$2:$B$8,2,FALSE)</f>
        <v>2</v>
      </c>
      <c r="N4296" t="str">
        <f t="shared" si="134"/>
        <v>2. 1-24 hours</v>
      </c>
      <c r="O4296" t="str">
        <f t="shared" si="135"/>
        <v>2026-03</v>
      </c>
    </row>
    <row r="4297" spans="1:15" x14ac:dyDescent="0.3">
      <c r="A4297" t="s">
        <v>10123</v>
      </c>
      <c r="B4297" t="s">
        <v>10124</v>
      </c>
      <c r="C4297" t="s">
        <v>28</v>
      </c>
      <c r="D4297" t="s">
        <v>77</v>
      </c>
      <c r="E4297" t="s">
        <v>59</v>
      </c>
      <c r="F4297" t="s">
        <v>117</v>
      </c>
      <c r="G4297">
        <v>4.47</v>
      </c>
      <c r="H4297" t="s">
        <v>138</v>
      </c>
      <c r="I4297" t="s">
        <v>48</v>
      </c>
      <c r="J4297" t="s">
        <v>98</v>
      </c>
      <c r="K4297">
        <v>846.3</v>
      </c>
      <c r="L4297" t="s">
        <v>10125</v>
      </c>
      <c r="M4297">
        <f>VLOOKUP(H4297,'Stage Order'!$A$2:$B$8,2,FALSE)</f>
        <v>6</v>
      </c>
      <c r="N4297" t="str">
        <f t="shared" si="134"/>
        <v>2. 1-24 hours</v>
      </c>
      <c r="O4297" t="str">
        <f t="shared" si="135"/>
        <v>2026-01</v>
      </c>
    </row>
    <row r="4298" spans="1:15" x14ac:dyDescent="0.3">
      <c r="A4298" t="s">
        <v>10126</v>
      </c>
      <c r="B4298" t="s">
        <v>10127</v>
      </c>
      <c r="C4298" t="s">
        <v>58</v>
      </c>
      <c r="D4298" t="s">
        <v>77</v>
      </c>
      <c r="E4298" t="s">
        <v>59</v>
      </c>
      <c r="F4298" t="s">
        <v>137</v>
      </c>
      <c r="G4298">
        <v>2.99</v>
      </c>
      <c r="H4298" t="s">
        <v>41</v>
      </c>
      <c r="I4298" t="s">
        <v>42</v>
      </c>
      <c r="M4298">
        <f>VLOOKUP(H4298,'Stage Order'!$A$2:$B$8,2,FALSE)</f>
        <v>2</v>
      </c>
      <c r="N4298" t="str">
        <f t="shared" si="134"/>
        <v>2. 1-24 hours</v>
      </c>
      <c r="O4298" t="str">
        <f t="shared" si="135"/>
        <v>2025-07</v>
      </c>
    </row>
    <row r="4299" spans="1:15" x14ac:dyDescent="0.3">
      <c r="A4299" t="s">
        <v>10128</v>
      </c>
      <c r="B4299" t="s">
        <v>10129</v>
      </c>
      <c r="C4299" t="s">
        <v>81</v>
      </c>
      <c r="D4299" t="s">
        <v>77</v>
      </c>
      <c r="E4299" t="s">
        <v>59</v>
      </c>
      <c r="F4299" t="s">
        <v>117</v>
      </c>
      <c r="G4299">
        <v>0.96</v>
      </c>
      <c r="H4299" t="s">
        <v>61</v>
      </c>
      <c r="I4299" t="s">
        <v>42</v>
      </c>
      <c r="M4299">
        <f>VLOOKUP(H4299,'Stage Order'!$A$2:$B$8,2,FALSE)</f>
        <v>1</v>
      </c>
      <c r="N4299" t="str">
        <f t="shared" si="134"/>
        <v>1. Under 1 hour</v>
      </c>
      <c r="O4299" t="str">
        <f t="shared" si="135"/>
        <v>2026-06</v>
      </c>
    </row>
    <row r="4300" spans="1:15" x14ac:dyDescent="0.3">
      <c r="A4300" t="s">
        <v>10130</v>
      </c>
      <c r="B4300" t="s">
        <v>10131</v>
      </c>
      <c r="C4300" t="s">
        <v>125</v>
      </c>
      <c r="D4300" t="s">
        <v>77</v>
      </c>
      <c r="E4300" t="s">
        <v>45</v>
      </c>
      <c r="F4300" t="s">
        <v>55</v>
      </c>
      <c r="G4300">
        <v>1.49</v>
      </c>
      <c r="H4300" t="s">
        <v>61</v>
      </c>
      <c r="I4300" t="s">
        <v>42</v>
      </c>
      <c r="M4300">
        <f>VLOOKUP(H4300,'Stage Order'!$A$2:$B$8,2,FALSE)</f>
        <v>1</v>
      </c>
      <c r="N4300" t="str">
        <f t="shared" si="134"/>
        <v>2. 1-24 hours</v>
      </c>
      <c r="O4300" t="str">
        <f t="shared" si="135"/>
        <v>2026-05</v>
      </c>
    </row>
    <row r="4301" spans="1:15" x14ac:dyDescent="0.3">
      <c r="A4301" t="s">
        <v>10132</v>
      </c>
      <c r="B4301" t="s">
        <v>10133</v>
      </c>
      <c r="C4301" t="s">
        <v>58</v>
      </c>
      <c r="D4301" t="s">
        <v>97</v>
      </c>
      <c r="E4301" t="s">
        <v>90</v>
      </c>
      <c r="F4301" t="s">
        <v>91</v>
      </c>
      <c r="G4301">
        <v>1.19</v>
      </c>
      <c r="H4301" t="s">
        <v>47</v>
      </c>
      <c r="I4301" t="s">
        <v>48</v>
      </c>
      <c r="J4301" t="s">
        <v>113</v>
      </c>
      <c r="K4301">
        <v>1435.49</v>
      </c>
      <c r="L4301" t="s">
        <v>10134</v>
      </c>
      <c r="M4301">
        <f>VLOOKUP(H4301,'Stage Order'!$A$2:$B$8,2,FALSE)</f>
        <v>4</v>
      </c>
      <c r="N4301" t="str">
        <f t="shared" si="134"/>
        <v>2. 1-24 hours</v>
      </c>
      <c r="O4301" t="str">
        <f t="shared" si="135"/>
        <v>2026-01</v>
      </c>
    </row>
    <row r="4302" spans="1:15" x14ac:dyDescent="0.3">
      <c r="A4302" t="s">
        <v>10135</v>
      </c>
      <c r="B4302" t="s">
        <v>10136</v>
      </c>
      <c r="C4302" t="s">
        <v>125</v>
      </c>
      <c r="D4302" t="s">
        <v>77</v>
      </c>
      <c r="E4302" t="s">
        <v>39</v>
      </c>
      <c r="F4302" t="s">
        <v>66</v>
      </c>
      <c r="G4302">
        <v>8.9600000000000009</v>
      </c>
      <c r="H4302" t="s">
        <v>61</v>
      </c>
      <c r="I4302" t="s">
        <v>42</v>
      </c>
      <c r="M4302">
        <f>VLOOKUP(H4302,'Stage Order'!$A$2:$B$8,2,FALSE)</f>
        <v>1</v>
      </c>
      <c r="N4302" t="str">
        <f t="shared" si="134"/>
        <v>2. 1-24 hours</v>
      </c>
      <c r="O4302" t="str">
        <f t="shared" si="135"/>
        <v>2026-04</v>
      </c>
    </row>
    <row r="4303" spans="1:15" x14ac:dyDescent="0.3">
      <c r="A4303" t="s">
        <v>10137</v>
      </c>
      <c r="B4303" t="s">
        <v>10138</v>
      </c>
      <c r="C4303" t="s">
        <v>125</v>
      </c>
      <c r="D4303" t="s">
        <v>38</v>
      </c>
      <c r="E4303" t="s">
        <v>39</v>
      </c>
      <c r="F4303" t="s">
        <v>66</v>
      </c>
      <c r="G4303">
        <v>3.96</v>
      </c>
      <c r="H4303" t="s">
        <v>61</v>
      </c>
      <c r="I4303" t="s">
        <v>42</v>
      </c>
      <c r="M4303">
        <f>VLOOKUP(H4303,'Stage Order'!$A$2:$B$8,2,FALSE)</f>
        <v>1</v>
      </c>
      <c r="N4303" t="str">
        <f t="shared" si="134"/>
        <v>2. 1-24 hours</v>
      </c>
      <c r="O4303" t="str">
        <f t="shared" si="135"/>
        <v>2026-06</v>
      </c>
    </row>
    <row r="4304" spans="1:15" x14ac:dyDescent="0.3">
      <c r="A4304" t="s">
        <v>10139</v>
      </c>
      <c r="B4304" t="s">
        <v>10140</v>
      </c>
      <c r="C4304" t="s">
        <v>37</v>
      </c>
      <c r="D4304" t="s">
        <v>29</v>
      </c>
      <c r="E4304" t="s">
        <v>45</v>
      </c>
      <c r="F4304" t="s">
        <v>55</v>
      </c>
      <c r="G4304">
        <v>1.99</v>
      </c>
      <c r="H4304" t="s">
        <v>41</v>
      </c>
      <c r="I4304" t="s">
        <v>42</v>
      </c>
      <c r="M4304">
        <f>VLOOKUP(H4304,'Stage Order'!$A$2:$B$8,2,FALSE)</f>
        <v>2</v>
      </c>
      <c r="N4304" t="str">
        <f t="shared" si="134"/>
        <v>2. 1-24 hours</v>
      </c>
      <c r="O4304" t="str">
        <f t="shared" si="135"/>
        <v>2025-01</v>
      </c>
    </row>
    <row r="4305" spans="1:15" x14ac:dyDescent="0.3">
      <c r="A4305" t="s">
        <v>10141</v>
      </c>
      <c r="B4305" t="s">
        <v>10142</v>
      </c>
      <c r="C4305" t="s">
        <v>37</v>
      </c>
      <c r="D4305" t="s">
        <v>54</v>
      </c>
      <c r="E4305" t="s">
        <v>30</v>
      </c>
      <c r="F4305" t="s">
        <v>31</v>
      </c>
      <c r="G4305">
        <v>9.92</v>
      </c>
      <c r="H4305" t="s">
        <v>146</v>
      </c>
      <c r="I4305" t="s">
        <v>48</v>
      </c>
      <c r="J4305" t="s">
        <v>49</v>
      </c>
      <c r="K4305">
        <v>482.26</v>
      </c>
      <c r="L4305" t="s">
        <v>10143</v>
      </c>
      <c r="M4305">
        <f>VLOOKUP(H4305,'Stage Order'!$A$2:$B$8,2,FALSE)</f>
        <v>5</v>
      </c>
      <c r="N4305" t="str">
        <f t="shared" si="134"/>
        <v>2. 1-24 hours</v>
      </c>
      <c r="O4305" t="str">
        <f t="shared" si="135"/>
        <v>2026-03</v>
      </c>
    </row>
    <row r="4306" spans="1:15" x14ac:dyDescent="0.3">
      <c r="A4306" t="s">
        <v>10144</v>
      </c>
      <c r="B4306" t="s">
        <v>10145</v>
      </c>
      <c r="C4306" t="s">
        <v>81</v>
      </c>
      <c r="D4306" t="s">
        <v>54</v>
      </c>
      <c r="E4306" t="s">
        <v>45</v>
      </c>
      <c r="F4306" t="s">
        <v>55</v>
      </c>
      <c r="G4306">
        <v>13.47</v>
      </c>
      <c r="H4306" t="s">
        <v>41</v>
      </c>
      <c r="I4306" t="s">
        <v>42</v>
      </c>
      <c r="M4306">
        <f>VLOOKUP(H4306,'Stage Order'!$A$2:$B$8,2,FALSE)</f>
        <v>2</v>
      </c>
      <c r="N4306" t="str">
        <f t="shared" si="134"/>
        <v>2. 1-24 hours</v>
      </c>
      <c r="O4306" t="str">
        <f t="shared" si="135"/>
        <v>2025-11</v>
      </c>
    </row>
    <row r="4307" spans="1:15" x14ac:dyDescent="0.3">
      <c r="A4307" t="s">
        <v>10146</v>
      </c>
      <c r="B4307" t="s">
        <v>10147</v>
      </c>
      <c r="C4307" t="s">
        <v>76</v>
      </c>
      <c r="D4307" t="s">
        <v>29</v>
      </c>
      <c r="E4307" t="s">
        <v>39</v>
      </c>
      <c r="F4307" t="s">
        <v>66</v>
      </c>
      <c r="G4307">
        <v>1.74</v>
      </c>
      <c r="H4307" t="s">
        <v>47</v>
      </c>
      <c r="I4307" t="s">
        <v>48</v>
      </c>
      <c r="J4307" t="s">
        <v>742</v>
      </c>
      <c r="K4307">
        <v>648.55999999999995</v>
      </c>
      <c r="L4307" t="s">
        <v>10148</v>
      </c>
      <c r="M4307">
        <f>VLOOKUP(H4307,'Stage Order'!$A$2:$B$8,2,FALSE)</f>
        <v>4</v>
      </c>
      <c r="N4307" t="str">
        <f t="shared" si="134"/>
        <v>2. 1-24 hours</v>
      </c>
      <c r="O4307" t="str">
        <f t="shared" si="135"/>
        <v>2025-01</v>
      </c>
    </row>
    <row r="4308" spans="1:15" x14ac:dyDescent="0.3">
      <c r="A4308" t="s">
        <v>10149</v>
      </c>
      <c r="B4308" t="s">
        <v>10150</v>
      </c>
      <c r="C4308" t="s">
        <v>53</v>
      </c>
      <c r="D4308" t="s">
        <v>38</v>
      </c>
      <c r="E4308" t="s">
        <v>39</v>
      </c>
      <c r="F4308" t="s">
        <v>106</v>
      </c>
      <c r="G4308">
        <v>4.28</v>
      </c>
      <c r="H4308" t="s">
        <v>32</v>
      </c>
      <c r="I4308" t="s">
        <v>33</v>
      </c>
      <c r="K4308">
        <v>422.53</v>
      </c>
      <c r="L4308" t="s">
        <v>10151</v>
      </c>
      <c r="M4308">
        <f>VLOOKUP(H4308,'Stage Order'!$A$2:$B$8,2,FALSE)</f>
        <v>7</v>
      </c>
      <c r="N4308" t="str">
        <f t="shared" si="134"/>
        <v>2. 1-24 hours</v>
      </c>
      <c r="O4308" t="str">
        <f t="shared" si="135"/>
        <v>2025-06</v>
      </c>
    </row>
    <row r="4309" spans="1:15" x14ac:dyDescent="0.3">
      <c r="A4309" t="s">
        <v>10152</v>
      </c>
      <c r="B4309" t="s">
        <v>10153</v>
      </c>
      <c r="C4309" t="s">
        <v>53</v>
      </c>
      <c r="D4309" t="s">
        <v>29</v>
      </c>
      <c r="E4309" t="s">
        <v>45</v>
      </c>
      <c r="F4309" t="s">
        <v>55</v>
      </c>
      <c r="G4309">
        <v>3.92</v>
      </c>
      <c r="H4309" t="s">
        <v>32</v>
      </c>
      <c r="I4309" t="s">
        <v>33</v>
      </c>
      <c r="K4309">
        <v>600.97</v>
      </c>
      <c r="L4309" t="s">
        <v>10154</v>
      </c>
      <c r="M4309">
        <f>VLOOKUP(H4309,'Stage Order'!$A$2:$B$8,2,FALSE)</f>
        <v>7</v>
      </c>
      <c r="N4309" t="str">
        <f t="shared" si="134"/>
        <v>2. 1-24 hours</v>
      </c>
      <c r="O4309" t="str">
        <f t="shared" si="135"/>
        <v>2025-05</v>
      </c>
    </row>
    <row r="4310" spans="1:15" x14ac:dyDescent="0.3">
      <c r="A4310" t="s">
        <v>10155</v>
      </c>
      <c r="B4310" t="s">
        <v>10156</v>
      </c>
      <c r="C4310" t="s">
        <v>125</v>
      </c>
      <c r="D4310" t="s">
        <v>97</v>
      </c>
      <c r="E4310" t="s">
        <v>45</v>
      </c>
      <c r="F4310" t="s">
        <v>55</v>
      </c>
      <c r="G4310">
        <v>3.66</v>
      </c>
      <c r="H4310" t="s">
        <v>41</v>
      </c>
      <c r="I4310" t="s">
        <v>42</v>
      </c>
      <c r="M4310">
        <f>VLOOKUP(H4310,'Stage Order'!$A$2:$B$8,2,FALSE)</f>
        <v>2</v>
      </c>
      <c r="N4310" t="str">
        <f t="shared" si="134"/>
        <v>2. 1-24 hours</v>
      </c>
      <c r="O4310" t="str">
        <f t="shared" si="135"/>
        <v>2026-06</v>
      </c>
    </row>
    <row r="4311" spans="1:15" x14ac:dyDescent="0.3">
      <c r="A4311" t="s">
        <v>10157</v>
      </c>
      <c r="B4311" t="s">
        <v>10158</v>
      </c>
      <c r="C4311" t="s">
        <v>37</v>
      </c>
      <c r="D4311" t="s">
        <v>29</v>
      </c>
      <c r="E4311" t="s">
        <v>90</v>
      </c>
      <c r="F4311" t="s">
        <v>91</v>
      </c>
      <c r="G4311">
        <v>2.71</v>
      </c>
      <c r="H4311" t="s">
        <v>128</v>
      </c>
      <c r="I4311" t="s">
        <v>42</v>
      </c>
      <c r="M4311">
        <f>VLOOKUP(H4311,'Stage Order'!$A$2:$B$8,2,FALSE)</f>
        <v>3</v>
      </c>
      <c r="N4311" t="str">
        <f t="shared" si="134"/>
        <v>2. 1-24 hours</v>
      </c>
      <c r="O4311" t="str">
        <f t="shared" si="135"/>
        <v>2025-02</v>
      </c>
    </row>
    <row r="4312" spans="1:15" x14ac:dyDescent="0.3">
      <c r="A4312" t="s">
        <v>10159</v>
      </c>
      <c r="B4312" t="s">
        <v>10160</v>
      </c>
      <c r="C4312" t="s">
        <v>58</v>
      </c>
      <c r="D4312" t="s">
        <v>29</v>
      </c>
      <c r="E4312" t="s">
        <v>45</v>
      </c>
      <c r="F4312" t="s">
        <v>94</v>
      </c>
      <c r="G4312">
        <v>9.85</v>
      </c>
      <c r="H4312" t="s">
        <v>138</v>
      </c>
      <c r="I4312" t="s">
        <v>48</v>
      </c>
      <c r="J4312" t="s">
        <v>139</v>
      </c>
      <c r="K4312">
        <v>620.57000000000005</v>
      </c>
      <c r="L4312" t="s">
        <v>10161</v>
      </c>
      <c r="M4312">
        <f>VLOOKUP(H4312,'Stage Order'!$A$2:$B$8,2,FALSE)</f>
        <v>6</v>
      </c>
      <c r="N4312" t="str">
        <f t="shared" si="134"/>
        <v>2. 1-24 hours</v>
      </c>
      <c r="O4312" t="str">
        <f t="shared" si="135"/>
        <v>2026-06</v>
      </c>
    </row>
    <row r="4313" spans="1:15" x14ac:dyDescent="0.3">
      <c r="A4313" t="s">
        <v>10162</v>
      </c>
      <c r="B4313" t="s">
        <v>10163</v>
      </c>
      <c r="C4313" t="s">
        <v>58</v>
      </c>
      <c r="D4313" t="s">
        <v>97</v>
      </c>
      <c r="E4313" t="s">
        <v>39</v>
      </c>
      <c r="F4313" t="s">
        <v>106</v>
      </c>
      <c r="G4313">
        <v>1.34</v>
      </c>
      <c r="H4313" t="s">
        <v>61</v>
      </c>
      <c r="I4313" t="s">
        <v>42</v>
      </c>
      <c r="M4313">
        <f>VLOOKUP(H4313,'Stage Order'!$A$2:$B$8,2,FALSE)</f>
        <v>1</v>
      </c>
      <c r="N4313" t="str">
        <f t="shared" si="134"/>
        <v>2. 1-24 hours</v>
      </c>
      <c r="O4313" t="str">
        <f t="shared" si="135"/>
        <v>2026-06</v>
      </c>
    </row>
    <row r="4314" spans="1:15" x14ac:dyDescent="0.3">
      <c r="A4314" t="s">
        <v>10164</v>
      </c>
      <c r="B4314" t="s">
        <v>10165</v>
      </c>
      <c r="C4314" t="s">
        <v>53</v>
      </c>
      <c r="D4314" t="s">
        <v>54</v>
      </c>
      <c r="E4314" t="s">
        <v>90</v>
      </c>
      <c r="F4314" t="s">
        <v>145</v>
      </c>
      <c r="G4314">
        <v>8.9700000000000006</v>
      </c>
      <c r="H4314" t="s">
        <v>41</v>
      </c>
      <c r="I4314" t="s">
        <v>42</v>
      </c>
      <c r="M4314">
        <f>VLOOKUP(H4314,'Stage Order'!$A$2:$B$8,2,FALSE)</f>
        <v>2</v>
      </c>
      <c r="N4314" t="str">
        <f t="shared" si="134"/>
        <v>2. 1-24 hours</v>
      </c>
      <c r="O4314" t="str">
        <f t="shared" si="135"/>
        <v>2025-07</v>
      </c>
    </row>
    <row r="4315" spans="1:15" x14ac:dyDescent="0.3">
      <c r="A4315" t="s">
        <v>10166</v>
      </c>
      <c r="B4315" t="s">
        <v>10167</v>
      </c>
      <c r="C4315" t="s">
        <v>58</v>
      </c>
      <c r="D4315" t="s">
        <v>38</v>
      </c>
      <c r="E4315" t="s">
        <v>39</v>
      </c>
      <c r="F4315" t="s">
        <v>66</v>
      </c>
      <c r="G4315">
        <v>3.17</v>
      </c>
      <c r="H4315" t="s">
        <v>61</v>
      </c>
      <c r="I4315" t="s">
        <v>42</v>
      </c>
      <c r="M4315">
        <f>VLOOKUP(H4315,'Stage Order'!$A$2:$B$8,2,FALSE)</f>
        <v>1</v>
      </c>
      <c r="N4315" t="str">
        <f t="shared" si="134"/>
        <v>2. 1-24 hours</v>
      </c>
      <c r="O4315" t="str">
        <f t="shared" si="135"/>
        <v>2025-05</v>
      </c>
    </row>
    <row r="4316" spans="1:15" x14ac:dyDescent="0.3">
      <c r="A4316" t="s">
        <v>10168</v>
      </c>
      <c r="B4316" t="s">
        <v>10169</v>
      </c>
      <c r="C4316" t="s">
        <v>125</v>
      </c>
      <c r="D4316" t="s">
        <v>38</v>
      </c>
      <c r="E4316" t="s">
        <v>30</v>
      </c>
      <c r="F4316" t="s">
        <v>31</v>
      </c>
      <c r="G4316">
        <v>1.93</v>
      </c>
      <c r="H4316" t="s">
        <v>41</v>
      </c>
      <c r="I4316" t="s">
        <v>42</v>
      </c>
      <c r="M4316">
        <f>VLOOKUP(H4316,'Stage Order'!$A$2:$B$8,2,FALSE)</f>
        <v>2</v>
      </c>
      <c r="N4316" t="str">
        <f t="shared" si="134"/>
        <v>2. 1-24 hours</v>
      </c>
      <c r="O4316" t="str">
        <f t="shared" si="135"/>
        <v>2025-06</v>
      </c>
    </row>
    <row r="4317" spans="1:15" x14ac:dyDescent="0.3">
      <c r="A4317" t="s">
        <v>10170</v>
      </c>
      <c r="B4317" t="s">
        <v>10171</v>
      </c>
      <c r="C4317" t="s">
        <v>53</v>
      </c>
      <c r="D4317" t="s">
        <v>97</v>
      </c>
      <c r="E4317" t="s">
        <v>45</v>
      </c>
      <c r="F4317" t="s">
        <v>55</v>
      </c>
      <c r="G4317">
        <v>6.07</v>
      </c>
      <c r="H4317" t="s">
        <v>41</v>
      </c>
      <c r="I4317" t="s">
        <v>42</v>
      </c>
      <c r="M4317">
        <f>VLOOKUP(H4317,'Stage Order'!$A$2:$B$8,2,FALSE)</f>
        <v>2</v>
      </c>
      <c r="N4317" t="str">
        <f t="shared" si="134"/>
        <v>2. 1-24 hours</v>
      </c>
      <c r="O4317" t="str">
        <f t="shared" si="135"/>
        <v>2025-03</v>
      </c>
    </row>
    <row r="4318" spans="1:15" x14ac:dyDescent="0.3">
      <c r="A4318" t="s">
        <v>10172</v>
      </c>
      <c r="B4318" t="s">
        <v>10173</v>
      </c>
      <c r="C4318" t="s">
        <v>76</v>
      </c>
      <c r="D4318" t="s">
        <v>77</v>
      </c>
      <c r="E4318" t="s">
        <v>39</v>
      </c>
      <c r="F4318" t="s">
        <v>106</v>
      </c>
      <c r="G4318">
        <v>2.06</v>
      </c>
      <c r="H4318" t="s">
        <v>41</v>
      </c>
      <c r="I4318" t="s">
        <v>42</v>
      </c>
      <c r="M4318">
        <f>VLOOKUP(H4318,'Stage Order'!$A$2:$B$8,2,FALSE)</f>
        <v>2</v>
      </c>
      <c r="N4318" t="str">
        <f t="shared" si="134"/>
        <v>2. 1-24 hours</v>
      </c>
      <c r="O4318" t="str">
        <f t="shared" si="135"/>
        <v>2025-03</v>
      </c>
    </row>
    <row r="4319" spans="1:15" x14ac:dyDescent="0.3">
      <c r="A4319" t="s">
        <v>10174</v>
      </c>
      <c r="B4319" t="s">
        <v>10175</v>
      </c>
      <c r="C4319" t="s">
        <v>37</v>
      </c>
      <c r="D4319" t="s">
        <v>54</v>
      </c>
      <c r="E4319" t="s">
        <v>59</v>
      </c>
      <c r="F4319" t="s">
        <v>60</v>
      </c>
      <c r="G4319">
        <v>2.57</v>
      </c>
      <c r="H4319" t="s">
        <v>41</v>
      </c>
      <c r="I4319" t="s">
        <v>42</v>
      </c>
      <c r="M4319">
        <f>VLOOKUP(H4319,'Stage Order'!$A$2:$B$8,2,FALSE)</f>
        <v>2</v>
      </c>
      <c r="N4319" t="str">
        <f t="shared" si="134"/>
        <v>2. 1-24 hours</v>
      </c>
      <c r="O4319" t="str">
        <f t="shared" si="135"/>
        <v>2025-11</v>
      </c>
    </row>
    <row r="4320" spans="1:15" x14ac:dyDescent="0.3">
      <c r="A4320" t="s">
        <v>10176</v>
      </c>
      <c r="B4320" t="s">
        <v>3364</v>
      </c>
      <c r="C4320" t="s">
        <v>58</v>
      </c>
      <c r="D4320" t="s">
        <v>38</v>
      </c>
      <c r="E4320" t="s">
        <v>39</v>
      </c>
      <c r="F4320" t="s">
        <v>40</v>
      </c>
      <c r="G4320">
        <v>3.68</v>
      </c>
      <c r="H4320" t="s">
        <v>41</v>
      </c>
      <c r="I4320" t="s">
        <v>42</v>
      </c>
      <c r="M4320">
        <f>VLOOKUP(H4320,'Stage Order'!$A$2:$B$8,2,FALSE)</f>
        <v>2</v>
      </c>
      <c r="N4320" t="str">
        <f t="shared" si="134"/>
        <v>2. 1-24 hours</v>
      </c>
      <c r="O4320" t="str">
        <f t="shared" si="135"/>
        <v>2026-02</v>
      </c>
    </row>
    <row r="4321" spans="1:15" x14ac:dyDescent="0.3">
      <c r="A4321" t="s">
        <v>10177</v>
      </c>
      <c r="B4321" t="s">
        <v>10178</v>
      </c>
      <c r="C4321" t="s">
        <v>37</v>
      </c>
      <c r="D4321" t="s">
        <v>29</v>
      </c>
      <c r="E4321" t="s">
        <v>59</v>
      </c>
      <c r="F4321" t="s">
        <v>117</v>
      </c>
      <c r="G4321">
        <v>4.3499999999999996</v>
      </c>
      <c r="H4321" t="s">
        <v>61</v>
      </c>
      <c r="I4321" t="s">
        <v>42</v>
      </c>
      <c r="M4321">
        <f>VLOOKUP(H4321,'Stage Order'!$A$2:$B$8,2,FALSE)</f>
        <v>1</v>
      </c>
      <c r="N4321" t="str">
        <f t="shared" si="134"/>
        <v>2. 1-24 hours</v>
      </c>
      <c r="O4321" t="str">
        <f t="shared" si="135"/>
        <v>2026-02</v>
      </c>
    </row>
    <row r="4322" spans="1:15" x14ac:dyDescent="0.3">
      <c r="A4322" t="s">
        <v>10179</v>
      </c>
      <c r="B4322" t="s">
        <v>10180</v>
      </c>
      <c r="C4322" t="s">
        <v>58</v>
      </c>
      <c r="D4322" t="s">
        <v>29</v>
      </c>
      <c r="E4322" t="s">
        <v>39</v>
      </c>
      <c r="F4322" t="s">
        <v>40</v>
      </c>
      <c r="G4322">
        <v>1.92</v>
      </c>
      <c r="H4322" t="s">
        <v>41</v>
      </c>
      <c r="I4322" t="s">
        <v>42</v>
      </c>
      <c r="M4322">
        <f>VLOOKUP(H4322,'Stage Order'!$A$2:$B$8,2,FALSE)</f>
        <v>2</v>
      </c>
      <c r="N4322" t="str">
        <f t="shared" si="134"/>
        <v>2. 1-24 hours</v>
      </c>
      <c r="O4322" t="str">
        <f t="shared" si="135"/>
        <v>2025-05</v>
      </c>
    </row>
    <row r="4323" spans="1:15" x14ac:dyDescent="0.3">
      <c r="A4323" t="s">
        <v>10181</v>
      </c>
      <c r="B4323" t="s">
        <v>10182</v>
      </c>
      <c r="C4323" t="s">
        <v>81</v>
      </c>
      <c r="D4323" t="s">
        <v>97</v>
      </c>
      <c r="E4323" t="s">
        <v>90</v>
      </c>
      <c r="F4323" t="s">
        <v>91</v>
      </c>
      <c r="G4323">
        <v>2.88</v>
      </c>
      <c r="H4323" t="s">
        <v>128</v>
      </c>
      <c r="I4323" t="s">
        <v>42</v>
      </c>
      <c r="M4323">
        <f>VLOOKUP(H4323,'Stage Order'!$A$2:$B$8,2,FALSE)</f>
        <v>3</v>
      </c>
      <c r="N4323" t="str">
        <f t="shared" si="134"/>
        <v>2. 1-24 hours</v>
      </c>
      <c r="O4323" t="str">
        <f t="shared" si="135"/>
        <v>2025-04</v>
      </c>
    </row>
    <row r="4324" spans="1:15" x14ac:dyDescent="0.3">
      <c r="A4324" t="s">
        <v>10183</v>
      </c>
      <c r="B4324" t="s">
        <v>10184</v>
      </c>
      <c r="C4324" t="s">
        <v>37</v>
      </c>
      <c r="D4324" t="s">
        <v>29</v>
      </c>
      <c r="E4324" t="s">
        <v>59</v>
      </c>
      <c r="F4324" t="s">
        <v>60</v>
      </c>
      <c r="G4324">
        <v>2.3199999999999998</v>
      </c>
      <c r="H4324" t="s">
        <v>41</v>
      </c>
      <c r="I4324" t="s">
        <v>42</v>
      </c>
      <c r="M4324">
        <f>VLOOKUP(H4324,'Stage Order'!$A$2:$B$8,2,FALSE)</f>
        <v>2</v>
      </c>
      <c r="N4324" t="str">
        <f t="shared" si="134"/>
        <v>2. 1-24 hours</v>
      </c>
      <c r="O4324" t="str">
        <f t="shared" si="135"/>
        <v>2026-05</v>
      </c>
    </row>
    <row r="4325" spans="1:15" x14ac:dyDescent="0.3">
      <c r="A4325" t="s">
        <v>10185</v>
      </c>
      <c r="B4325" t="s">
        <v>10186</v>
      </c>
      <c r="C4325" t="s">
        <v>53</v>
      </c>
      <c r="D4325" t="s">
        <v>54</v>
      </c>
      <c r="E4325" t="s">
        <v>45</v>
      </c>
      <c r="F4325" t="s">
        <v>55</v>
      </c>
      <c r="G4325">
        <v>2.98</v>
      </c>
      <c r="H4325" t="s">
        <v>128</v>
      </c>
      <c r="I4325" t="s">
        <v>42</v>
      </c>
      <c r="M4325">
        <f>VLOOKUP(H4325,'Stage Order'!$A$2:$B$8,2,FALSE)</f>
        <v>3</v>
      </c>
      <c r="N4325" t="str">
        <f t="shared" si="134"/>
        <v>2. 1-24 hours</v>
      </c>
      <c r="O4325" t="str">
        <f t="shared" si="135"/>
        <v>2025-10</v>
      </c>
    </row>
    <row r="4326" spans="1:15" x14ac:dyDescent="0.3">
      <c r="A4326" t="s">
        <v>10187</v>
      </c>
      <c r="B4326" t="s">
        <v>10188</v>
      </c>
      <c r="C4326" t="s">
        <v>37</v>
      </c>
      <c r="D4326" t="s">
        <v>38</v>
      </c>
      <c r="E4326" t="s">
        <v>39</v>
      </c>
      <c r="F4326" t="s">
        <v>66</v>
      </c>
      <c r="G4326">
        <v>4.43</v>
      </c>
      <c r="H4326" t="s">
        <v>41</v>
      </c>
      <c r="I4326" t="s">
        <v>42</v>
      </c>
      <c r="M4326">
        <f>VLOOKUP(H4326,'Stage Order'!$A$2:$B$8,2,FALSE)</f>
        <v>2</v>
      </c>
      <c r="N4326" t="str">
        <f t="shared" si="134"/>
        <v>2. 1-24 hours</v>
      </c>
      <c r="O4326" t="str">
        <f t="shared" si="135"/>
        <v>2025-04</v>
      </c>
    </row>
    <row r="4327" spans="1:15" x14ac:dyDescent="0.3">
      <c r="A4327" t="s">
        <v>10189</v>
      </c>
      <c r="B4327" t="s">
        <v>10190</v>
      </c>
      <c r="C4327" t="s">
        <v>37</v>
      </c>
      <c r="D4327" t="s">
        <v>29</v>
      </c>
      <c r="E4327" t="s">
        <v>59</v>
      </c>
      <c r="F4327" t="s">
        <v>137</v>
      </c>
      <c r="G4327">
        <v>0.92</v>
      </c>
      <c r="H4327" t="s">
        <v>47</v>
      </c>
      <c r="I4327" t="s">
        <v>48</v>
      </c>
      <c r="J4327" t="s">
        <v>742</v>
      </c>
      <c r="K4327">
        <v>665.53</v>
      </c>
      <c r="L4327" t="s">
        <v>10191</v>
      </c>
      <c r="M4327">
        <f>VLOOKUP(H4327,'Stage Order'!$A$2:$B$8,2,FALSE)</f>
        <v>4</v>
      </c>
      <c r="N4327" t="str">
        <f t="shared" si="134"/>
        <v>1. Under 1 hour</v>
      </c>
      <c r="O4327" t="str">
        <f t="shared" si="135"/>
        <v>2026-01</v>
      </c>
    </row>
    <row r="4328" spans="1:15" x14ac:dyDescent="0.3">
      <c r="A4328" t="s">
        <v>10192</v>
      </c>
      <c r="B4328" t="s">
        <v>10193</v>
      </c>
      <c r="C4328" t="s">
        <v>58</v>
      </c>
      <c r="D4328" t="s">
        <v>29</v>
      </c>
      <c r="E4328" t="s">
        <v>59</v>
      </c>
      <c r="F4328" t="s">
        <v>137</v>
      </c>
      <c r="G4328">
        <v>5.37</v>
      </c>
      <c r="H4328" t="s">
        <v>138</v>
      </c>
      <c r="I4328" t="s">
        <v>48</v>
      </c>
      <c r="J4328" t="s">
        <v>139</v>
      </c>
      <c r="K4328">
        <v>720.67</v>
      </c>
      <c r="L4328" t="s">
        <v>10194</v>
      </c>
      <c r="M4328">
        <f>VLOOKUP(H4328,'Stage Order'!$A$2:$B$8,2,FALSE)</f>
        <v>6</v>
      </c>
      <c r="N4328" t="str">
        <f t="shared" si="134"/>
        <v>2. 1-24 hours</v>
      </c>
      <c r="O4328" t="str">
        <f t="shared" si="135"/>
        <v>2025-05</v>
      </c>
    </row>
    <row r="4329" spans="1:15" x14ac:dyDescent="0.3">
      <c r="A4329" t="s">
        <v>10195</v>
      </c>
      <c r="B4329" t="s">
        <v>10196</v>
      </c>
      <c r="C4329" t="s">
        <v>76</v>
      </c>
      <c r="D4329" t="s">
        <v>38</v>
      </c>
      <c r="E4329" t="s">
        <v>45</v>
      </c>
      <c r="F4329" t="s">
        <v>55</v>
      </c>
      <c r="G4329">
        <v>3.3</v>
      </c>
      <c r="H4329" t="s">
        <v>41</v>
      </c>
      <c r="I4329" t="s">
        <v>42</v>
      </c>
      <c r="M4329">
        <f>VLOOKUP(H4329,'Stage Order'!$A$2:$B$8,2,FALSE)</f>
        <v>2</v>
      </c>
      <c r="N4329" t="str">
        <f t="shared" si="134"/>
        <v>2. 1-24 hours</v>
      </c>
      <c r="O4329" t="str">
        <f t="shared" si="135"/>
        <v>2025-01</v>
      </c>
    </row>
    <row r="4330" spans="1:15" x14ac:dyDescent="0.3">
      <c r="A4330" t="s">
        <v>10197</v>
      </c>
      <c r="B4330" t="s">
        <v>10198</v>
      </c>
      <c r="C4330" t="s">
        <v>125</v>
      </c>
      <c r="D4330" t="s">
        <v>38</v>
      </c>
      <c r="E4330" t="s">
        <v>59</v>
      </c>
      <c r="F4330" t="s">
        <v>137</v>
      </c>
      <c r="G4330">
        <v>1.57</v>
      </c>
      <c r="H4330" t="s">
        <v>47</v>
      </c>
      <c r="I4330" t="s">
        <v>48</v>
      </c>
      <c r="J4330" t="s">
        <v>742</v>
      </c>
      <c r="K4330">
        <v>306.75</v>
      </c>
      <c r="L4330" t="s">
        <v>10199</v>
      </c>
      <c r="M4330">
        <f>VLOOKUP(H4330,'Stage Order'!$A$2:$B$8,2,FALSE)</f>
        <v>4</v>
      </c>
      <c r="N4330" t="str">
        <f t="shared" si="134"/>
        <v>2. 1-24 hours</v>
      </c>
      <c r="O4330" t="str">
        <f t="shared" si="135"/>
        <v>2025-09</v>
      </c>
    </row>
    <row r="4331" spans="1:15" x14ac:dyDescent="0.3">
      <c r="A4331" t="s">
        <v>10200</v>
      </c>
      <c r="B4331" t="s">
        <v>10201</v>
      </c>
      <c r="C4331" t="s">
        <v>37</v>
      </c>
      <c r="D4331" t="s">
        <v>54</v>
      </c>
      <c r="E4331" t="s">
        <v>39</v>
      </c>
      <c r="F4331" t="s">
        <v>106</v>
      </c>
      <c r="G4331">
        <v>2.92</v>
      </c>
      <c r="H4331" t="s">
        <v>32</v>
      </c>
      <c r="I4331" t="s">
        <v>33</v>
      </c>
      <c r="K4331">
        <v>467.05</v>
      </c>
      <c r="L4331" t="s">
        <v>10202</v>
      </c>
      <c r="M4331">
        <f>VLOOKUP(H4331,'Stage Order'!$A$2:$B$8,2,FALSE)</f>
        <v>7</v>
      </c>
      <c r="N4331" t="str">
        <f t="shared" si="134"/>
        <v>2. 1-24 hours</v>
      </c>
      <c r="O4331" t="str">
        <f t="shared" si="135"/>
        <v>2025-02</v>
      </c>
    </row>
    <row r="4332" spans="1:15" x14ac:dyDescent="0.3">
      <c r="A4332" t="s">
        <v>10203</v>
      </c>
      <c r="B4332" t="s">
        <v>10204</v>
      </c>
      <c r="C4332" t="s">
        <v>81</v>
      </c>
      <c r="D4332" t="s">
        <v>54</v>
      </c>
      <c r="E4332" t="s">
        <v>90</v>
      </c>
      <c r="F4332" t="s">
        <v>112</v>
      </c>
      <c r="G4332">
        <v>4.43</v>
      </c>
      <c r="H4332" t="s">
        <v>61</v>
      </c>
      <c r="I4332" t="s">
        <v>42</v>
      </c>
      <c r="M4332">
        <f>VLOOKUP(H4332,'Stage Order'!$A$2:$B$8,2,FALSE)</f>
        <v>1</v>
      </c>
      <c r="N4332" t="str">
        <f t="shared" si="134"/>
        <v>2. 1-24 hours</v>
      </c>
      <c r="O4332" t="str">
        <f t="shared" si="135"/>
        <v>2025-03</v>
      </c>
    </row>
    <row r="4333" spans="1:15" x14ac:dyDescent="0.3">
      <c r="A4333" t="s">
        <v>10205</v>
      </c>
      <c r="B4333" t="s">
        <v>10206</v>
      </c>
      <c r="C4333" t="s">
        <v>53</v>
      </c>
      <c r="D4333" t="s">
        <v>54</v>
      </c>
      <c r="E4333" t="s">
        <v>30</v>
      </c>
      <c r="F4333" t="s">
        <v>31</v>
      </c>
      <c r="G4333">
        <v>4.26</v>
      </c>
      <c r="H4333" t="s">
        <v>41</v>
      </c>
      <c r="I4333" t="s">
        <v>42</v>
      </c>
      <c r="M4333">
        <f>VLOOKUP(H4333,'Stage Order'!$A$2:$B$8,2,FALSE)</f>
        <v>2</v>
      </c>
      <c r="N4333" t="str">
        <f t="shared" si="134"/>
        <v>2. 1-24 hours</v>
      </c>
      <c r="O4333" t="str">
        <f t="shared" si="135"/>
        <v>2025-09</v>
      </c>
    </row>
    <row r="4334" spans="1:15" x14ac:dyDescent="0.3">
      <c r="A4334" t="s">
        <v>10207</v>
      </c>
      <c r="B4334" t="s">
        <v>10208</v>
      </c>
      <c r="C4334" t="s">
        <v>53</v>
      </c>
      <c r="D4334" t="s">
        <v>77</v>
      </c>
      <c r="E4334" t="s">
        <v>90</v>
      </c>
      <c r="F4334" t="s">
        <v>145</v>
      </c>
      <c r="G4334">
        <v>1.1100000000000001</v>
      </c>
      <c r="H4334" t="s">
        <v>41</v>
      </c>
      <c r="I4334" t="s">
        <v>42</v>
      </c>
      <c r="M4334">
        <f>VLOOKUP(H4334,'Stage Order'!$A$2:$B$8,2,FALSE)</f>
        <v>2</v>
      </c>
      <c r="N4334" t="str">
        <f t="shared" si="134"/>
        <v>2. 1-24 hours</v>
      </c>
      <c r="O4334" t="str">
        <f t="shared" si="135"/>
        <v>2026-04</v>
      </c>
    </row>
    <row r="4335" spans="1:15" x14ac:dyDescent="0.3">
      <c r="A4335" t="s">
        <v>10209</v>
      </c>
      <c r="B4335" t="s">
        <v>10210</v>
      </c>
      <c r="C4335" t="s">
        <v>76</v>
      </c>
      <c r="D4335" t="s">
        <v>38</v>
      </c>
      <c r="E4335" t="s">
        <v>39</v>
      </c>
      <c r="F4335" t="s">
        <v>106</v>
      </c>
      <c r="G4335">
        <v>1.98</v>
      </c>
      <c r="H4335" t="s">
        <v>41</v>
      </c>
      <c r="I4335" t="s">
        <v>42</v>
      </c>
      <c r="M4335">
        <f>VLOOKUP(H4335,'Stage Order'!$A$2:$B$8,2,FALSE)</f>
        <v>2</v>
      </c>
      <c r="N4335" t="str">
        <f t="shared" si="134"/>
        <v>2. 1-24 hours</v>
      </c>
      <c r="O4335" t="str">
        <f t="shared" si="135"/>
        <v>2025-04</v>
      </c>
    </row>
    <row r="4336" spans="1:15" x14ac:dyDescent="0.3">
      <c r="A4336" t="s">
        <v>10211</v>
      </c>
      <c r="B4336" t="s">
        <v>10212</v>
      </c>
      <c r="C4336" t="s">
        <v>28</v>
      </c>
      <c r="D4336" t="s">
        <v>38</v>
      </c>
      <c r="E4336" t="s">
        <v>59</v>
      </c>
      <c r="F4336" t="s">
        <v>137</v>
      </c>
      <c r="G4336">
        <v>0.71</v>
      </c>
      <c r="H4336" t="s">
        <v>41</v>
      </c>
      <c r="I4336" t="s">
        <v>42</v>
      </c>
      <c r="M4336">
        <f>VLOOKUP(H4336,'Stage Order'!$A$2:$B$8,2,FALSE)</f>
        <v>2</v>
      </c>
      <c r="N4336" t="str">
        <f t="shared" si="134"/>
        <v>1. Under 1 hour</v>
      </c>
      <c r="O4336" t="str">
        <f t="shared" si="135"/>
        <v>2026-03</v>
      </c>
    </row>
    <row r="4337" spans="1:15" x14ac:dyDescent="0.3">
      <c r="A4337" t="s">
        <v>10213</v>
      </c>
      <c r="B4337" t="s">
        <v>10214</v>
      </c>
      <c r="C4337" t="s">
        <v>81</v>
      </c>
      <c r="D4337" t="s">
        <v>77</v>
      </c>
      <c r="E4337" t="s">
        <v>39</v>
      </c>
      <c r="F4337" t="s">
        <v>106</v>
      </c>
      <c r="G4337">
        <v>4.32</v>
      </c>
      <c r="H4337" t="s">
        <v>41</v>
      </c>
      <c r="I4337" t="s">
        <v>42</v>
      </c>
      <c r="M4337">
        <f>VLOOKUP(H4337,'Stage Order'!$A$2:$B$8,2,FALSE)</f>
        <v>2</v>
      </c>
      <c r="N4337" t="str">
        <f t="shared" si="134"/>
        <v>2. 1-24 hours</v>
      </c>
      <c r="O4337" t="str">
        <f t="shared" si="135"/>
        <v>2025-03</v>
      </c>
    </row>
    <row r="4338" spans="1:15" x14ac:dyDescent="0.3">
      <c r="A4338" t="s">
        <v>10215</v>
      </c>
      <c r="B4338" t="s">
        <v>10216</v>
      </c>
      <c r="C4338" t="s">
        <v>76</v>
      </c>
      <c r="D4338" t="s">
        <v>54</v>
      </c>
      <c r="E4338" t="s">
        <v>30</v>
      </c>
      <c r="F4338" t="s">
        <v>82</v>
      </c>
      <c r="G4338">
        <v>3.69</v>
      </c>
      <c r="H4338" t="s">
        <v>41</v>
      </c>
      <c r="I4338" t="s">
        <v>42</v>
      </c>
      <c r="M4338">
        <f>VLOOKUP(H4338,'Stage Order'!$A$2:$B$8,2,FALSE)</f>
        <v>2</v>
      </c>
      <c r="N4338" t="str">
        <f t="shared" si="134"/>
        <v>2. 1-24 hours</v>
      </c>
      <c r="O4338" t="str">
        <f t="shared" si="135"/>
        <v>2025-10</v>
      </c>
    </row>
    <row r="4339" spans="1:15" x14ac:dyDescent="0.3">
      <c r="A4339" t="s">
        <v>10217</v>
      </c>
      <c r="B4339" t="s">
        <v>3894</v>
      </c>
      <c r="C4339" t="s">
        <v>53</v>
      </c>
      <c r="D4339" t="s">
        <v>54</v>
      </c>
      <c r="E4339" t="s">
        <v>45</v>
      </c>
      <c r="F4339" t="s">
        <v>55</v>
      </c>
      <c r="G4339">
        <v>0.85</v>
      </c>
      <c r="H4339" t="s">
        <v>32</v>
      </c>
      <c r="I4339" t="s">
        <v>33</v>
      </c>
      <c r="K4339">
        <v>426.89</v>
      </c>
      <c r="L4339" t="s">
        <v>10218</v>
      </c>
      <c r="M4339">
        <f>VLOOKUP(H4339,'Stage Order'!$A$2:$B$8,2,FALSE)</f>
        <v>7</v>
      </c>
      <c r="N4339" t="str">
        <f t="shared" si="134"/>
        <v>1. Under 1 hour</v>
      </c>
      <c r="O4339" t="str">
        <f t="shared" si="135"/>
        <v>2026-06</v>
      </c>
    </row>
    <row r="4340" spans="1:15" x14ac:dyDescent="0.3">
      <c r="A4340" t="s">
        <v>10219</v>
      </c>
      <c r="B4340" t="s">
        <v>10220</v>
      </c>
      <c r="C4340" t="s">
        <v>58</v>
      </c>
      <c r="D4340" t="s">
        <v>54</v>
      </c>
      <c r="E4340" t="s">
        <v>59</v>
      </c>
      <c r="F4340" t="s">
        <v>117</v>
      </c>
      <c r="G4340">
        <v>0.24</v>
      </c>
      <c r="H4340" t="s">
        <v>138</v>
      </c>
      <c r="I4340" t="s">
        <v>48</v>
      </c>
      <c r="J4340" t="s">
        <v>49</v>
      </c>
      <c r="K4340">
        <v>567.14</v>
      </c>
      <c r="L4340" t="s">
        <v>10221</v>
      </c>
      <c r="M4340">
        <f>VLOOKUP(H4340,'Stage Order'!$A$2:$B$8,2,FALSE)</f>
        <v>6</v>
      </c>
      <c r="N4340" t="str">
        <f t="shared" si="134"/>
        <v>1. Under 1 hour</v>
      </c>
      <c r="O4340" t="str">
        <f t="shared" si="135"/>
        <v>2026-06</v>
      </c>
    </row>
    <row r="4341" spans="1:15" x14ac:dyDescent="0.3">
      <c r="A4341" t="s">
        <v>10222</v>
      </c>
      <c r="B4341" t="s">
        <v>10223</v>
      </c>
      <c r="C4341" t="s">
        <v>81</v>
      </c>
      <c r="D4341" t="s">
        <v>29</v>
      </c>
      <c r="E4341" t="s">
        <v>30</v>
      </c>
      <c r="F4341" t="s">
        <v>31</v>
      </c>
      <c r="G4341">
        <v>3.71</v>
      </c>
      <c r="H4341" t="s">
        <v>47</v>
      </c>
      <c r="I4341" t="s">
        <v>48</v>
      </c>
      <c r="J4341" t="s">
        <v>139</v>
      </c>
      <c r="K4341">
        <v>617.17999999999995</v>
      </c>
      <c r="L4341" t="s">
        <v>10224</v>
      </c>
      <c r="M4341">
        <f>VLOOKUP(H4341,'Stage Order'!$A$2:$B$8,2,FALSE)</f>
        <v>4</v>
      </c>
      <c r="N4341" t="str">
        <f t="shared" si="134"/>
        <v>2. 1-24 hours</v>
      </c>
      <c r="O4341" t="str">
        <f t="shared" si="135"/>
        <v>2025-06</v>
      </c>
    </row>
    <row r="4342" spans="1:15" x14ac:dyDescent="0.3">
      <c r="A4342" t="s">
        <v>10225</v>
      </c>
      <c r="B4342" t="s">
        <v>10226</v>
      </c>
      <c r="C4342" t="s">
        <v>37</v>
      </c>
      <c r="D4342" t="s">
        <v>97</v>
      </c>
      <c r="E4342" t="s">
        <v>45</v>
      </c>
      <c r="F4342" t="s">
        <v>94</v>
      </c>
      <c r="G4342">
        <v>5.08</v>
      </c>
      <c r="H4342" t="s">
        <v>47</v>
      </c>
      <c r="I4342" t="s">
        <v>48</v>
      </c>
      <c r="J4342" t="s">
        <v>98</v>
      </c>
      <c r="K4342">
        <v>1238.57</v>
      </c>
      <c r="L4342" t="s">
        <v>10227</v>
      </c>
      <c r="M4342">
        <f>VLOOKUP(H4342,'Stage Order'!$A$2:$B$8,2,FALSE)</f>
        <v>4</v>
      </c>
      <c r="N4342" t="str">
        <f t="shared" si="134"/>
        <v>2. 1-24 hours</v>
      </c>
      <c r="O4342" t="str">
        <f t="shared" si="135"/>
        <v>2025-07</v>
      </c>
    </row>
    <row r="4343" spans="1:15" x14ac:dyDescent="0.3">
      <c r="A4343" t="s">
        <v>10228</v>
      </c>
      <c r="B4343" t="s">
        <v>10229</v>
      </c>
      <c r="C4343" t="s">
        <v>58</v>
      </c>
      <c r="D4343" t="s">
        <v>54</v>
      </c>
      <c r="E4343" t="s">
        <v>90</v>
      </c>
      <c r="F4343" t="s">
        <v>145</v>
      </c>
      <c r="G4343">
        <v>3.24</v>
      </c>
      <c r="H4343" t="s">
        <v>41</v>
      </c>
      <c r="I4343" t="s">
        <v>42</v>
      </c>
      <c r="M4343">
        <f>VLOOKUP(H4343,'Stage Order'!$A$2:$B$8,2,FALSE)</f>
        <v>2</v>
      </c>
      <c r="N4343" t="str">
        <f t="shared" si="134"/>
        <v>2. 1-24 hours</v>
      </c>
      <c r="O4343" t="str">
        <f t="shared" si="135"/>
        <v>2025-03</v>
      </c>
    </row>
    <row r="4344" spans="1:15" x14ac:dyDescent="0.3">
      <c r="A4344" t="s">
        <v>10230</v>
      </c>
      <c r="B4344" t="s">
        <v>10231</v>
      </c>
      <c r="C4344" t="s">
        <v>125</v>
      </c>
      <c r="D4344" t="s">
        <v>29</v>
      </c>
      <c r="E4344" t="s">
        <v>45</v>
      </c>
      <c r="F4344" t="s">
        <v>46</v>
      </c>
      <c r="G4344">
        <v>1.23</v>
      </c>
      <c r="H4344" t="s">
        <v>146</v>
      </c>
      <c r="I4344" t="s">
        <v>48</v>
      </c>
      <c r="J4344" t="s">
        <v>139</v>
      </c>
      <c r="K4344">
        <v>637.04999999999995</v>
      </c>
      <c r="L4344" t="s">
        <v>10232</v>
      </c>
      <c r="M4344">
        <f>VLOOKUP(H4344,'Stage Order'!$A$2:$B$8,2,FALSE)</f>
        <v>5</v>
      </c>
      <c r="N4344" t="str">
        <f t="shared" si="134"/>
        <v>2. 1-24 hours</v>
      </c>
      <c r="O4344" t="str">
        <f t="shared" si="135"/>
        <v>2025-10</v>
      </c>
    </row>
    <row r="4345" spans="1:15" x14ac:dyDescent="0.3">
      <c r="A4345" t="s">
        <v>10233</v>
      </c>
      <c r="B4345" t="s">
        <v>10234</v>
      </c>
      <c r="C4345" t="s">
        <v>58</v>
      </c>
      <c r="D4345" t="s">
        <v>29</v>
      </c>
      <c r="E4345" t="s">
        <v>59</v>
      </c>
      <c r="F4345" t="s">
        <v>117</v>
      </c>
      <c r="G4345">
        <v>3.33</v>
      </c>
      <c r="H4345" t="s">
        <v>32</v>
      </c>
      <c r="I4345" t="s">
        <v>33</v>
      </c>
      <c r="K4345">
        <v>589.16</v>
      </c>
      <c r="L4345" t="s">
        <v>10235</v>
      </c>
      <c r="M4345">
        <f>VLOOKUP(H4345,'Stage Order'!$A$2:$B$8,2,FALSE)</f>
        <v>7</v>
      </c>
      <c r="N4345" t="str">
        <f t="shared" si="134"/>
        <v>2. 1-24 hours</v>
      </c>
      <c r="O4345" t="str">
        <f t="shared" si="135"/>
        <v>2025-01</v>
      </c>
    </row>
    <row r="4346" spans="1:15" x14ac:dyDescent="0.3">
      <c r="A4346" t="s">
        <v>10236</v>
      </c>
      <c r="B4346" t="s">
        <v>10237</v>
      </c>
      <c r="C4346" t="s">
        <v>37</v>
      </c>
      <c r="D4346" t="s">
        <v>77</v>
      </c>
      <c r="E4346" t="s">
        <v>90</v>
      </c>
      <c r="F4346" t="s">
        <v>91</v>
      </c>
      <c r="G4346">
        <v>2.35</v>
      </c>
      <c r="H4346" t="s">
        <v>61</v>
      </c>
      <c r="I4346" t="s">
        <v>42</v>
      </c>
      <c r="M4346">
        <f>VLOOKUP(H4346,'Stage Order'!$A$2:$B$8,2,FALSE)</f>
        <v>1</v>
      </c>
      <c r="N4346" t="str">
        <f t="shared" si="134"/>
        <v>2. 1-24 hours</v>
      </c>
      <c r="O4346" t="str">
        <f t="shared" si="135"/>
        <v>2025-04</v>
      </c>
    </row>
    <row r="4347" spans="1:15" x14ac:dyDescent="0.3">
      <c r="A4347" t="s">
        <v>10238</v>
      </c>
      <c r="B4347" t="s">
        <v>10239</v>
      </c>
      <c r="C4347" t="s">
        <v>81</v>
      </c>
      <c r="D4347" t="s">
        <v>29</v>
      </c>
      <c r="E4347" t="s">
        <v>39</v>
      </c>
      <c r="F4347" t="s">
        <v>40</v>
      </c>
      <c r="G4347">
        <v>9.14</v>
      </c>
      <c r="H4347" t="s">
        <v>61</v>
      </c>
      <c r="I4347" t="s">
        <v>42</v>
      </c>
      <c r="M4347">
        <f>VLOOKUP(H4347,'Stage Order'!$A$2:$B$8,2,FALSE)</f>
        <v>1</v>
      </c>
      <c r="N4347" t="str">
        <f t="shared" si="134"/>
        <v>2. 1-24 hours</v>
      </c>
      <c r="O4347" t="str">
        <f t="shared" si="135"/>
        <v>2025-01</v>
      </c>
    </row>
    <row r="4348" spans="1:15" x14ac:dyDescent="0.3">
      <c r="A4348" t="s">
        <v>10240</v>
      </c>
      <c r="B4348" t="s">
        <v>10241</v>
      </c>
      <c r="C4348" t="s">
        <v>37</v>
      </c>
      <c r="D4348" t="s">
        <v>54</v>
      </c>
      <c r="E4348" t="s">
        <v>90</v>
      </c>
      <c r="F4348" t="s">
        <v>112</v>
      </c>
      <c r="G4348">
        <v>6.35</v>
      </c>
      <c r="H4348" t="s">
        <v>128</v>
      </c>
      <c r="I4348" t="s">
        <v>42</v>
      </c>
      <c r="M4348">
        <f>VLOOKUP(H4348,'Stage Order'!$A$2:$B$8,2,FALSE)</f>
        <v>3</v>
      </c>
      <c r="N4348" t="str">
        <f t="shared" si="134"/>
        <v>2. 1-24 hours</v>
      </c>
      <c r="O4348" t="str">
        <f t="shared" si="135"/>
        <v>2026-02</v>
      </c>
    </row>
    <row r="4349" spans="1:15" x14ac:dyDescent="0.3">
      <c r="A4349" t="s">
        <v>10242</v>
      </c>
      <c r="B4349" t="s">
        <v>10243</v>
      </c>
      <c r="C4349" t="s">
        <v>53</v>
      </c>
      <c r="D4349" t="s">
        <v>54</v>
      </c>
      <c r="E4349" t="s">
        <v>90</v>
      </c>
      <c r="F4349" t="s">
        <v>91</v>
      </c>
      <c r="G4349">
        <v>9.5500000000000007</v>
      </c>
      <c r="H4349" t="s">
        <v>47</v>
      </c>
      <c r="I4349" t="s">
        <v>48</v>
      </c>
      <c r="J4349" t="s">
        <v>139</v>
      </c>
      <c r="K4349">
        <v>501.15</v>
      </c>
      <c r="L4349" t="s">
        <v>10244</v>
      </c>
      <c r="M4349">
        <f>VLOOKUP(H4349,'Stage Order'!$A$2:$B$8,2,FALSE)</f>
        <v>4</v>
      </c>
      <c r="N4349" t="str">
        <f t="shared" si="134"/>
        <v>2. 1-24 hours</v>
      </c>
      <c r="O4349" t="str">
        <f t="shared" si="135"/>
        <v>2025-08</v>
      </c>
    </row>
    <row r="4350" spans="1:15" x14ac:dyDescent="0.3">
      <c r="A4350" t="s">
        <v>10245</v>
      </c>
      <c r="B4350" t="s">
        <v>10246</v>
      </c>
      <c r="C4350" t="s">
        <v>37</v>
      </c>
      <c r="D4350" t="s">
        <v>38</v>
      </c>
      <c r="E4350" t="s">
        <v>39</v>
      </c>
      <c r="F4350" t="s">
        <v>106</v>
      </c>
      <c r="G4350">
        <v>2.3199999999999998</v>
      </c>
      <c r="H4350" t="s">
        <v>32</v>
      </c>
      <c r="I4350" t="s">
        <v>33</v>
      </c>
      <c r="K4350">
        <v>320.33</v>
      </c>
      <c r="L4350" t="s">
        <v>10247</v>
      </c>
      <c r="M4350">
        <f>VLOOKUP(H4350,'Stage Order'!$A$2:$B$8,2,FALSE)</f>
        <v>7</v>
      </c>
      <c r="N4350" t="str">
        <f t="shared" si="134"/>
        <v>2. 1-24 hours</v>
      </c>
      <c r="O4350" t="str">
        <f t="shared" si="135"/>
        <v>2025-06</v>
      </c>
    </row>
    <row r="4351" spans="1:15" x14ac:dyDescent="0.3">
      <c r="A4351" t="s">
        <v>10248</v>
      </c>
      <c r="B4351" t="s">
        <v>10249</v>
      </c>
      <c r="C4351" t="s">
        <v>37</v>
      </c>
      <c r="D4351" t="s">
        <v>54</v>
      </c>
      <c r="E4351" t="s">
        <v>45</v>
      </c>
      <c r="F4351" t="s">
        <v>94</v>
      </c>
      <c r="G4351">
        <v>3.73</v>
      </c>
      <c r="H4351" t="s">
        <v>41</v>
      </c>
      <c r="I4351" t="s">
        <v>42</v>
      </c>
      <c r="M4351">
        <f>VLOOKUP(H4351,'Stage Order'!$A$2:$B$8,2,FALSE)</f>
        <v>2</v>
      </c>
      <c r="N4351" t="str">
        <f t="shared" si="134"/>
        <v>2. 1-24 hours</v>
      </c>
      <c r="O4351" t="str">
        <f t="shared" si="135"/>
        <v>2026-01</v>
      </c>
    </row>
    <row r="4352" spans="1:15" x14ac:dyDescent="0.3">
      <c r="A4352" t="s">
        <v>10250</v>
      </c>
      <c r="B4352" t="s">
        <v>10251</v>
      </c>
      <c r="C4352" t="s">
        <v>37</v>
      </c>
      <c r="D4352" t="s">
        <v>77</v>
      </c>
      <c r="E4352" t="s">
        <v>39</v>
      </c>
      <c r="F4352" t="s">
        <v>106</v>
      </c>
      <c r="G4352">
        <v>23.54</v>
      </c>
      <c r="H4352" t="s">
        <v>41</v>
      </c>
      <c r="I4352" t="s">
        <v>42</v>
      </c>
      <c r="M4352">
        <f>VLOOKUP(H4352,'Stage Order'!$A$2:$B$8,2,FALSE)</f>
        <v>2</v>
      </c>
      <c r="N4352" t="str">
        <f t="shared" si="134"/>
        <v>2. 1-24 hours</v>
      </c>
      <c r="O4352" t="str">
        <f t="shared" si="135"/>
        <v>2026-05</v>
      </c>
    </row>
    <row r="4353" spans="1:15" x14ac:dyDescent="0.3">
      <c r="A4353" t="s">
        <v>10252</v>
      </c>
      <c r="B4353" t="s">
        <v>10253</v>
      </c>
      <c r="C4353" t="s">
        <v>53</v>
      </c>
      <c r="D4353" t="s">
        <v>38</v>
      </c>
      <c r="E4353" t="s">
        <v>90</v>
      </c>
      <c r="F4353" t="s">
        <v>112</v>
      </c>
      <c r="G4353">
        <v>1.19</v>
      </c>
      <c r="H4353" t="s">
        <v>32</v>
      </c>
      <c r="I4353" t="s">
        <v>33</v>
      </c>
      <c r="K4353">
        <v>309.27999999999997</v>
      </c>
      <c r="L4353" t="s">
        <v>10254</v>
      </c>
      <c r="M4353">
        <f>VLOOKUP(H4353,'Stage Order'!$A$2:$B$8,2,FALSE)</f>
        <v>7</v>
      </c>
      <c r="N4353" t="str">
        <f t="shared" si="134"/>
        <v>2. 1-24 hours</v>
      </c>
      <c r="O4353" t="str">
        <f t="shared" si="135"/>
        <v>2025-09</v>
      </c>
    </row>
    <row r="4354" spans="1:15" x14ac:dyDescent="0.3">
      <c r="A4354" t="s">
        <v>10255</v>
      </c>
      <c r="B4354" t="s">
        <v>10256</v>
      </c>
      <c r="C4354" t="s">
        <v>28</v>
      </c>
      <c r="D4354" t="s">
        <v>77</v>
      </c>
      <c r="E4354" t="s">
        <v>59</v>
      </c>
      <c r="F4354" t="s">
        <v>60</v>
      </c>
      <c r="G4354">
        <v>2.42</v>
      </c>
      <c r="H4354" t="s">
        <v>32</v>
      </c>
      <c r="I4354" t="s">
        <v>33</v>
      </c>
      <c r="K4354">
        <v>998.15</v>
      </c>
      <c r="L4354" t="s">
        <v>10257</v>
      </c>
      <c r="M4354">
        <f>VLOOKUP(H4354,'Stage Order'!$A$2:$B$8,2,FALSE)</f>
        <v>7</v>
      </c>
      <c r="N4354" t="str">
        <f t="shared" ref="N4354:N4417" si="136">IF(G4354&lt;=1,"1. Under 1 hour",IF(G4354&lt;=24,"2. 1-24 hours",IF(G4354&lt;=72,"3. 1-3 days","4. Over 3 days")))</f>
        <v>2. 1-24 hours</v>
      </c>
      <c r="O4354" t="str">
        <f t="shared" ref="O4354:O4417" si="137">TEXT(B4354,"YYYY-MM")</f>
        <v>2026-01</v>
      </c>
    </row>
    <row r="4355" spans="1:15" x14ac:dyDescent="0.3">
      <c r="A4355" t="s">
        <v>10258</v>
      </c>
      <c r="B4355" t="s">
        <v>10259</v>
      </c>
      <c r="C4355" t="s">
        <v>37</v>
      </c>
      <c r="D4355" t="s">
        <v>77</v>
      </c>
      <c r="E4355" t="s">
        <v>39</v>
      </c>
      <c r="F4355" t="s">
        <v>66</v>
      </c>
      <c r="G4355">
        <v>1.4</v>
      </c>
      <c r="H4355" t="s">
        <v>128</v>
      </c>
      <c r="I4355" t="s">
        <v>42</v>
      </c>
      <c r="M4355">
        <f>VLOOKUP(H4355,'Stage Order'!$A$2:$B$8,2,FALSE)</f>
        <v>3</v>
      </c>
      <c r="N4355" t="str">
        <f t="shared" si="136"/>
        <v>2. 1-24 hours</v>
      </c>
      <c r="O4355" t="str">
        <f t="shared" si="137"/>
        <v>2026-02</v>
      </c>
    </row>
    <row r="4356" spans="1:15" x14ac:dyDescent="0.3">
      <c r="A4356" t="s">
        <v>10260</v>
      </c>
      <c r="B4356" t="s">
        <v>10261</v>
      </c>
      <c r="C4356" t="s">
        <v>58</v>
      </c>
      <c r="D4356" t="s">
        <v>54</v>
      </c>
      <c r="E4356" t="s">
        <v>90</v>
      </c>
      <c r="F4356" t="s">
        <v>112</v>
      </c>
      <c r="G4356">
        <v>4.6399999999999997</v>
      </c>
      <c r="H4356" t="s">
        <v>61</v>
      </c>
      <c r="I4356" t="s">
        <v>42</v>
      </c>
      <c r="M4356">
        <f>VLOOKUP(H4356,'Stage Order'!$A$2:$B$8,2,FALSE)</f>
        <v>1</v>
      </c>
      <c r="N4356" t="str">
        <f t="shared" si="136"/>
        <v>2. 1-24 hours</v>
      </c>
      <c r="O4356" t="str">
        <f t="shared" si="137"/>
        <v>2026-05</v>
      </c>
    </row>
    <row r="4357" spans="1:15" x14ac:dyDescent="0.3">
      <c r="A4357" t="s">
        <v>10262</v>
      </c>
      <c r="B4357" t="s">
        <v>10263</v>
      </c>
      <c r="C4357" t="s">
        <v>58</v>
      </c>
      <c r="D4357" t="s">
        <v>54</v>
      </c>
      <c r="E4357" t="s">
        <v>59</v>
      </c>
      <c r="F4357" t="s">
        <v>137</v>
      </c>
      <c r="G4357">
        <v>2.36</v>
      </c>
      <c r="H4357" t="s">
        <v>47</v>
      </c>
      <c r="I4357" t="s">
        <v>48</v>
      </c>
      <c r="J4357" t="s">
        <v>98</v>
      </c>
      <c r="K4357">
        <v>410.32</v>
      </c>
      <c r="L4357" t="s">
        <v>10264</v>
      </c>
      <c r="M4357">
        <f>VLOOKUP(H4357,'Stage Order'!$A$2:$B$8,2,FALSE)</f>
        <v>4</v>
      </c>
      <c r="N4357" t="str">
        <f t="shared" si="136"/>
        <v>2. 1-24 hours</v>
      </c>
      <c r="O4357" t="str">
        <f t="shared" si="137"/>
        <v>2026-04</v>
      </c>
    </row>
    <row r="4358" spans="1:15" x14ac:dyDescent="0.3">
      <c r="A4358" t="s">
        <v>10265</v>
      </c>
      <c r="B4358" t="s">
        <v>10266</v>
      </c>
      <c r="C4358" t="s">
        <v>58</v>
      </c>
      <c r="D4358" t="s">
        <v>97</v>
      </c>
      <c r="E4358" t="s">
        <v>39</v>
      </c>
      <c r="F4358" t="s">
        <v>106</v>
      </c>
      <c r="G4358">
        <v>1.85</v>
      </c>
      <c r="H4358" t="s">
        <v>146</v>
      </c>
      <c r="I4358" t="s">
        <v>48</v>
      </c>
      <c r="J4358" t="s">
        <v>49</v>
      </c>
      <c r="K4358">
        <v>1496.37</v>
      </c>
      <c r="L4358" t="s">
        <v>10267</v>
      </c>
      <c r="M4358">
        <f>VLOOKUP(H4358,'Stage Order'!$A$2:$B$8,2,FALSE)</f>
        <v>5</v>
      </c>
      <c r="N4358" t="str">
        <f t="shared" si="136"/>
        <v>2. 1-24 hours</v>
      </c>
      <c r="O4358" t="str">
        <f t="shared" si="137"/>
        <v>2026-01</v>
      </c>
    </row>
    <row r="4359" spans="1:15" x14ac:dyDescent="0.3">
      <c r="A4359" t="s">
        <v>10268</v>
      </c>
      <c r="B4359" t="s">
        <v>10269</v>
      </c>
      <c r="C4359" t="s">
        <v>58</v>
      </c>
      <c r="D4359" t="s">
        <v>77</v>
      </c>
      <c r="E4359" t="s">
        <v>90</v>
      </c>
      <c r="F4359" t="s">
        <v>91</v>
      </c>
      <c r="G4359">
        <v>1.58</v>
      </c>
      <c r="H4359" t="s">
        <v>61</v>
      </c>
      <c r="I4359" t="s">
        <v>42</v>
      </c>
      <c r="M4359">
        <f>VLOOKUP(H4359,'Stage Order'!$A$2:$B$8,2,FALSE)</f>
        <v>1</v>
      </c>
      <c r="N4359" t="str">
        <f t="shared" si="136"/>
        <v>2. 1-24 hours</v>
      </c>
      <c r="O4359" t="str">
        <f t="shared" si="137"/>
        <v>2025-02</v>
      </c>
    </row>
    <row r="4360" spans="1:15" x14ac:dyDescent="0.3">
      <c r="A4360" t="s">
        <v>10270</v>
      </c>
      <c r="B4360" t="s">
        <v>10271</v>
      </c>
      <c r="C4360" t="s">
        <v>125</v>
      </c>
      <c r="D4360" t="s">
        <v>38</v>
      </c>
      <c r="E4360" t="s">
        <v>90</v>
      </c>
      <c r="F4360" t="s">
        <v>91</v>
      </c>
      <c r="G4360">
        <v>3.26</v>
      </c>
      <c r="H4360" t="s">
        <v>47</v>
      </c>
      <c r="I4360" t="s">
        <v>48</v>
      </c>
      <c r="J4360" t="s">
        <v>113</v>
      </c>
      <c r="K4360">
        <v>417.11</v>
      </c>
      <c r="L4360" t="s">
        <v>10272</v>
      </c>
      <c r="M4360">
        <f>VLOOKUP(H4360,'Stage Order'!$A$2:$B$8,2,FALSE)</f>
        <v>4</v>
      </c>
      <c r="N4360" t="str">
        <f t="shared" si="136"/>
        <v>2. 1-24 hours</v>
      </c>
      <c r="O4360" t="str">
        <f t="shared" si="137"/>
        <v>2026-05</v>
      </c>
    </row>
    <row r="4361" spans="1:15" x14ac:dyDescent="0.3">
      <c r="A4361" t="s">
        <v>10273</v>
      </c>
      <c r="B4361" t="s">
        <v>10274</v>
      </c>
      <c r="C4361" t="s">
        <v>53</v>
      </c>
      <c r="D4361" t="s">
        <v>29</v>
      </c>
      <c r="E4361" t="s">
        <v>59</v>
      </c>
      <c r="F4361" t="s">
        <v>137</v>
      </c>
      <c r="G4361">
        <v>0.68</v>
      </c>
      <c r="H4361" t="s">
        <v>32</v>
      </c>
      <c r="I4361" t="s">
        <v>33</v>
      </c>
      <c r="K4361">
        <v>765.93</v>
      </c>
      <c r="L4361" t="s">
        <v>10275</v>
      </c>
      <c r="M4361">
        <f>VLOOKUP(H4361,'Stage Order'!$A$2:$B$8,2,FALSE)</f>
        <v>7</v>
      </c>
      <c r="N4361" t="str">
        <f t="shared" si="136"/>
        <v>1. Under 1 hour</v>
      </c>
      <c r="O4361" t="str">
        <f t="shared" si="137"/>
        <v>2025-12</v>
      </c>
    </row>
    <row r="4362" spans="1:15" x14ac:dyDescent="0.3">
      <c r="A4362" t="s">
        <v>10276</v>
      </c>
      <c r="B4362" t="s">
        <v>10277</v>
      </c>
      <c r="C4362" t="s">
        <v>53</v>
      </c>
      <c r="D4362" t="s">
        <v>54</v>
      </c>
      <c r="E4362" t="s">
        <v>39</v>
      </c>
      <c r="F4362" t="s">
        <v>66</v>
      </c>
      <c r="G4362">
        <v>1.8</v>
      </c>
      <c r="H4362" t="s">
        <v>138</v>
      </c>
      <c r="I4362" t="s">
        <v>48</v>
      </c>
      <c r="J4362" t="s">
        <v>49</v>
      </c>
      <c r="K4362">
        <v>415.5</v>
      </c>
      <c r="L4362" t="s">
        <v>10278</v>
      </c>
      <c r="M4362">
        <f>VLOOKUP(H4362,'Stage Order'!$A$2:$B$8,2,FALSE)</f>
        <v>6</v>
      </c>
      <c r="N4362" t="str">
        <f t="shared" si="136"/>
        <v>2. 1-24 hours</v>
      </c>
      <c r="O4362" t="str">
        <f t="shared" si="137"/>
        <v>2026-05</v>
      </c>
    </row>
    <row r="4363" spans="1:15" x14ac:dyDescent="0.3">
      <c r="A4363" t="s">
        <v>10279</v>
      </c>
      <c r="B4363" t="s">
        <v>10280</v>
      </c>
      <c r="C4363" t="s">
        <v>53</v>
      </c>
      <c r="D4363" t="s">
        <v>54</v>
      </c>
      <c r="E4363" t="s">
        <v>59</v>
      </c>
      <c r="F4363" t="s">
        <v>137</v>
      </c>
      <c r="G4363">
        <v>0.69</v>
      </c>
      <c r="H4363" t="s">
        <v>32</v>
      </c>
      <c r="I4363" t="s">
        <v>33</v>
      </c>
      <c r="K4363">
        <v>482.55</v>
      </c>
      <c r="L4363" t="s">
        <v>10281</v>
      </c>
      <c r="M4363">
        <f>VLOOKUP(H4363,'Stage Order'!$A$2:$B$8,2,FALSE)</f>
        <v>7</v>
      </c>
      <c r="N4363" t="str">
        <f t="shared" si="136"/>
        <v>1. Under 1 hour</v>
      </c>
      <c r="O4363" t="str">
        <f t="shared" si="137"/>
        <v>2025-07</v>
      </c>
    </row>
    <row r="4364" spans="1:15" x14ac:dyDescent="0.3">
      <c r="A4364" t="s">
        <v>10282</v>
      </c>
      <c r="B4364" t="s">
        <v>10283</v>
      </c>
      <c r="C4364" t="s">
        <v>37</v>
      </c>
      <c r="D4364" t="s">
        <v>77</v>
      </c>
      <c r="E4364" t="s">
        <v>39</v>
      </c>
      <c r="F4364" t="s">
        <v>106</v>
      </c>
      <c r="G4364">
        <v>1.77</v>
      </c>
      <c r="H4364" t="s">
        <v>61</v>
      </c>
      <c r="I4364" t="s">
        <v>42</v>
      </c>
      <c r="M4364">
        <f>VLOOKUP(H4364,'Stage Order'!$A$2:$B$8,2,FALSE)</f>
        <v>1</v>
      </c>
      <c r="N4364" t="str">
        <f t="shared" si="136"/>
        <v>2. 1-24 hours</v>
      </c>
      <c r="O4364" t="str">
        <f t="shared" si="137"/>
        <v>2026-03</v>
      </c>
    </row>
    <row r="4365" spans="1:15" x14ac:dyDescent="0.3">
      <c r="A4365" t="s">
        <v>10284</v>
      </c>
      <c r="B4365" t="s">
        <v>10285</v>
      </c>
      <c r="C4365" t="s">
        <v>53</v>
      </c>
      <c r="D4365" t="s">
        <v>38</v>
      </c>
      <c r="E4365" t="s">
        <v>45</v>
      </c>
      <c r="F4365" t="s">
        <v>94</v>
      </c>
      <c r="G4365">
        <v>1.75</v>
      </c>
      <c r="H4365" t="s">
        <v>32</v>
      </c>
      <c r="I4365" t="s">
        <v>33</v>
      </c>
      <c r="K4365">
        <v>352.5</v>
      </c>
      <c r="L4365" t="s">
        <v>10286</v>
      </c>
      <c r="M4365">
        <f>VLOOKUP(H4365,'Stage Order'!$A$2:$B$8,2,FALSE)</f>
        <v>7</v>
      </c>
      <c r="N4365" t="str">
        <f t="shared" si="136"/>
        <v>2. 1-24 hours</v>
      </c>
      <c r="O4365" t="str">
        <f t="shared" si="137"/>
        <v>2025-03</v>
      </c>
    </row>
    <row r="4366" spans="1:15" x14ac:dyDescent="0.3">
      <c r="A4366" t="s">
        <v>10287</v>
      </c>
      <c r="B4366" t="s">
        <v>10288</v>
      </c>
      <c r="C4366" t="s">
        <v>37</v>
      </c>
      <c r="D4366" t="s">
        <v>38</v>
      </c>
      <c r="E4366" t="s">
        <v>39</v>
      </c>
      <c r="F4366" t="s">
        <v>66</v>
      </c>
      <c r="G4366">
        <v>7.93</v>
      </c>
      <c r="H4366" t="s">
        <v>146</v>
      </c>
      <c r="I4366" t="s">
        <v>48</v>
      </c>
      <c r="J4366" t="s">
        <v>49</v>
      </c>
      <c r="K4366">
        <v>354.69</v>
      </c>
      <c r="L4366" t="s">
        <v>10289</v>
      </c>
      <c r="M4366">
        <f>VLOOKUP(H4366,'Stage Order'!$A$2:$B$8,2,FALSE)</f>
        <v>5</v>
      </c>
      <c r="N4366" t="str">
        <f t="shared" si="136"/>
        <v>2. 1-24 hours</v>
      </c>
      <c r="O4366" t="str">
        <f t="shared" si="137"/>
        <v>2025-12</v>
      </c>
    </row>
    <row r="4367" spans="1:15" x14ac:dyDescent="0.3">
      <c r="A4367" t="s">
        <v>10290</v>
      </c>
      <c r="B4367" t="s">
        <v>10291</v>
      </c>
      <c r="C4367" t="s">
        <v>58</v>
      </c>
      <c r="D4367" t="s">
        <v>38</v>
      </c>
      <c r="E4367" t="s">
        <v>90</v>
      </c>
      <c r="F4367" t="s">
        <v>112</v>
      </c>
      <c r="G4367">
        <v>3.26</v>
      </c>
      <c r="H4367" t="s">
        <v>41</v>
      </c>
      <c r="I4367" t="s">
        <v>42</v>
      </c>
      <c r="M4367">
        <f>VLOOKUP(H4367,'Stage Order'!$A$2:$B$8,2,FALSE)</f>
        <v>2</v>
      </c>
      <c r="N4367" t="str">
        <f t="shared" si="136"/>
        <v>2. 1-24 hours</v>
      </c>
      <c r="O4367" t="str">
        <f t="shared" si="137"/>
        <v>2025-10</v>
      </c>
    </row>
    <row r="4368" spans="1:15" x14ac:dyDescent="0.3">
      <c r="A4368" t="s">
        <v>10292</v>
      </c>
      <c r="B4368" t="s">
        <v>10293</v>
      </c>
      <c r="C4368" t="s">
        <v>37</v>
      </c>
      <c r="D4368" t="s">
        <v>38</v>
      </c>
      <c r="E4368" t="s">
        <v>39</v>
      </c>
      <c r="F4368" t="s">
        <v>66</v>
      </c>
      <c r="G4368">
        <v>2.27</v>
      </c>
      <c r="H4368" t="s">
        <v>61</v>
      </c>
      <c r="I4368" t="s">
        <v>42</v>
      </c>
      <c r="M4368">
        <f>VLOOKUP(H4368,'Stage Order'!$A$2:$B$8,2,FALSE)</f>
        <v>1</v>
      </c>
      <c r="N4368" t="str">
        <f t="shared" si="136"/>
        <v>2. 1-24 hours</v>
      </c>
      <c r="O4368" t="str">
        <f t="shared" si="137"/>
        <v>2025-08</v>
      </c>
    </row>
    <row r="4369" spans="1:15" x14ac:dyDescent="0.3">
      <c r="A4369" t="s">
        <v>10294</v>
      </c>
      <c r="B4369" t="s">
        <v>10295</v>
      </c>
      <c r="C4369" t="s">
        <v>37</v>
      </c>
      <c r="D4369" t="s">
        <v>29</v>
      </c>
      <c r="E4369" t="s">
        <v>39</v>
      </c>
      <c r="F4369" t="s">
        <v>66</v>
      </c>
      <c r="G4369">
        <v>15.01</v>
      </c>
      <c r="H4369" t="s">
        <v>128</v>
      </c>
      <c r="I4369" t="s">
        <v>42</v>
      </c>
      <c r="M4369">
        <f>VLOOKUP(H4369,'Stage Order'!$A$2:$B$8,2,FALSE)</f>
        <v>3</v>
      </c>
      <c r="N4369" t="str">
        <f t="shared" si="136"/>
        <v>2. 1-24 hours</v>
      </c>
      <c r="O4369" t="str">
        <f t="shared" si="137"/>
        <v>2025-09</v>
      </c>
    </row>
    <row r="4370" spans="1:15" x14ac:dyDescent="0.3">
      <c r="A4370" t="s">
        <v>10296</v>
      </c>
      <c r="B4370" t="s">
        <v>10297</v>
      </c>
      <c r="C4370" t="s">
        <v>125</v>
      </c>
      <c r="D4370" t="s">
        <v>77</v>
      </c>
      <c r="E4370" t="s">
        <v>59</v>
      </c>
      <c r="F4370" t="s">
        <v>137</v>
      </c>
      <c r="G4370">
        <v>1.65</v>
      </c>
      <c r="H4370" t="s">
        <v>41</v>
      </c>
      <c r="I4370" t="s">
        <v>42</v>
      </c>
      <c r="M4370">
        <f>VLOOKUP(H4370,'Stage Order'!$A$2:$B$8,2,FALSE)</f>
        <v>2</v>
      </c>
      <c r="N4370" t="str">
        <f t="shared" si="136"/>
        <v>2. 1-24 hours</v>
      </c>
      <c r="O4370" t="str">
        <f t="shared" si="137"/>
        <v>2026-06</v>
      </c>
    </row>
    <row r="4371" spans="1:15" x14ac:dyDescent="0.3">
      <c r="A4371" t="s">
        <v>10298</v>
      </c>
      <c r="B4371" t="s">
        <v>10299</v>
      </c>
      <c r="C4371" t="s">
        <v>53</v>
      </c>
      <c r="D4371" t="s">
        <v>77</v>
      </c>
      <c r="E4371" t="s">
        <v>45</v>
      </c>
      <c r="F4371" t="s">
        <v>46</v>
      </c>
      <c r="G4371">
        <v>0.3</v>
      </c>
      <c r="H4371" t="s">
        <v>32</v>
      </c>
      <c r="I4371" t="s">
        <v>33</v>
      </c>
      <c r="K4371">
        <v>1130.2</v>
      </c>
      <c r="L4371" t="s">
        <v>10300</v>
      </c>
      <c r="M4371">
        <f>VLOOKUP(H4371,'Stage Order'!$A$2:$B$8,2,FALSE)</f>
        <v>7</v>
      </c>
      <c r="N4371" t="str">
        <f t="shared" si="136"/>
        <v>1. Under 1 hour</v>
      </c>
      <c r="O4371" t="str">
        <f t="shared" si="137"/>
        <v>2025-01</v>
      </c>
    </row>
    <row r="4372" spans="1:15" x14ac:dyDescent="0.3">
      <c r="A4372" t="s">
        <v>10301</v>
      </c>
      <c r="B4372" t="s">
        <v>10302</v>
      </c>
      <c r="C4372" t="s">
        <v>76</v>
      </c>
      <c r="D4372" t="s">
        <v>77</v>
      </c>
      <c r="E4372" t="s">
        <v>39</v>
      </c>
      <c r="F4372" t="s">
        <v>40</v>
      </c>
      <c r="G4372">
        <v>3.54</v>
      </c>
      <c r="H4372" t="s">
        <v>146</v>
      </c>
      <c r="I4372" t="s">
        <v>48</v>
      </c>
      <c r="J4372" t="s">
        <v>98</v>
      </c>
      <c r="K4372">
        <v>947.09</v>
      </c>
      <c r="L4372" t="s">
        <v>10303</v>
      </c>
      <c r="M4372">
        <f>VLOOKUP(H4372,'Stage Order'!$A$2:$B$8,2,FALSE)</f>
        <v>5</v>
      </c>
      <c r="N4372" t="str">
        <f t="shared" si="136"/>
        <v>2. 1-24 hours</v>
      </c>
      <c r="O4372" t="str">
        <f t="shared" si="137"/>
        <v>2025-10</v>
      </c>
    </row>
    <row r="4373" spans="1:15" x14ac:dyDescent="0.3">
      <c r="A4373" t="s">
        <v>10304</v>
      </c>
      <c r="B4373" t="s">
        <v>10305</v>
      </c>
      <c r="C4373" t="s">
        <v>58</v>
      </c>
      <c r="D4373" t="s">
        <v>29</v>
      </c>
      <c r="E4373" t="s">
        <v>45</v>
      </c>
      <c r="F4373" t="s">
        <v>55</v>
      </c>
      <c r="G4373">
        <v>4.3099999999999996</v>
      </c>
      <c r="H4373" t="s">
        <v>41</v>
      </c>
      <c r="I4373" t="s">
        <v>42</v>
      </c>
      <c r="M4373">
        <f>VLOOKUP(H4373,'Stage Order'!$A$2:$B$8,2,FALSE)</f>
        <v>2</v>
      </c>
      <c r="N4373" t="str">
        <f t="shared" si="136"/>
        <v>2. 1-24 hours</v>
      </c>
      <c r="O4373" t="str">
        <f t="shared" si="137"/>
        <v>2026-03</v>
      </c>
    </row>
    <row r="4374" spans="1:15" x14ac:dyDescent="0.3">
      <c r="A4374" t="s">
        <v>10306</v>
      </c>
      <c r="B4374" t="s">
        <v>10307</v>
      </c>
      <c r="C4374" t="s">
        <v>58</v>
      </c>
      <c r="D4374" t="s">
        <v>77</v>
      </c>
      <c r="E4374" t="s">
        <v>39</v>
      </c>
      <c r="F4374" t="s">
        <v>40</v>
      </c>
      <c r="G4374">
        <v>1.17</v>
      </c>
      <c r="H4374" t="s">
        <v>47</v>
      </c>
      <c r="I4374" t="s">
        <v>48</v>
      </c>
      <c r="J4374" t="s">
        <v>49</v>
      </c>
      <c r="K4374">
        <v>1032.43</v>
      </c>
      <c r="L4374" t="s">
        <v>10308</v>
      </c>
      <c r="M4374">
        <f>VLOOKUP(H4374,'Stage Order'!$A$2:$B$8,2,FALSE)</f>
        <v>4</v>
      </c>
      <c r="N4374" t="str">
        <f t="shared" si="136"/>
        <v>2. 1-24 hours</v>
      </c>
      <c r="O4374" t="str">
        <f t="shared" si="137"/>
        <v>2025-09</v>
      </c>
    </row>
    <row r="4375" spans="1:15" x14ac:dyDescent="0.3">
      <c r="A4375" t="s">
        <v>10309</v>
      </c>
      <c r="B4375" t="s">
        <v>10310</v>
      </c>
      <c r="C4375" t="s">
        <v>37</v>
      </c>
      <c r="D4375" t="s">
        <v>97</v>
      </c>
      <c r="E4375" t="s">
        <v>59</v>
      </c>
      <c r="F4375" t="s">
        <v>117</v>
      </c>
      <c r="G4375">
        <v>4.58</v>
      </c>
      <c r="H4375" t="s">
        <v>32</v>
      </c>
      <c r="I4375" t="s">
        <v>33</v>
      </c>
      <c r="K4375">
        <v>1685.45</v>
      </c>
      <c r="L4375" t="s">
        <v>10311</v>
      </c>
      <c r="M4375">
        <f>VLOOKUP(H4375,'Stage Order'!$A$2:$B$8,2,FALSE)</f>
        <v>7</v>
      </c>
      <c r="N4375" t="str">
        <f t="shared" si="136"/>
        <v>2. 1-24 hours</v>
      </c>
      <c r="O4375" t="str">
        <f t="shared" si="137"/>
        <v>2025-03</v>
      </c>
    </row>
    <row r="4376" spans="1:15" x14ac:dyDescent="0.3">
      <c r="A4376" t="s">
        <v>10312</v>
      </c>
      <c r="B4376" t="s">
        <v>10313</v>
      </c>
      <c r="C4376" t="s">
        <v>58</v>
      </c>
      <c r="D4376" t="s">
        <v>77</v>
      </c>
      <c r="E4376" t="s">
        <v>39</v>
      </c>
      <c r="F4376" t="s">
        <v>106</v>
      </c>
      <c r="G4376">
        <v>5.88</v>
      </c>
      <c r="H4376" t="s">
        <v>128</v>
      </c>
      <c r="I4376" t="s">
        <v>42</v>
      </c>
      <c r="M4376">
        <f>VLOOKUP(H4376,'Stage Order'!$A$2:$B$8,2,FALSE)</f>
        <v>3</v>
      </c>
      <c r="N4376" t="str">
        <f t="shared" si="136"/>
        <v>2. 1-24 hours</v>
      </c>
      <c r="O4376" t="str">
        <f t="shared" si="137"/>
        <v>2026-06</v>
      </c>
    </row>
    <row r="4377" spans="1:15" x14ac:dyDescent="0.3">
      <c r="A4377" t="s">
        <v>10314</v>
      </c>
      <c r="B4377" t="s">
        <v>10315</v>
      </c>
      <c r="C4377" t="s">
        <v>81</v>
      </c>
      <c r="D4377" t="s">
        <v>77</v>
      </c>
      <c r="E4377" t="s">
        <v>59</v>
      </c>
      <c r="F4377" t="s">
        <v>137</v>
      </c>
      <c r="G4377">
        <v>1.25</v>
      </c>
      <c r="H4377" t="s">
        <v>41</v>
      </c>
      <c r="I4377" t="s">
        <v>42</v>
      </c>
      <c r="M4377">
        <f>VLOOKUP(H4377,'Stage Order'!$A$2:$B$8,2,FALSE)</f>
        <v>2</v>
      </c>
      <c r="N4377" t="str">
        <f t="shared" si="136"/>
        <v>2. 1-24 hours</v>
      </c>
      <c r="O4377" t="str">
        <f t="shared" si="137"/>
        <v>2026-02</v>
      </c>
    </row>
    <row r="4378" spans="1:15" x14ac:dyDescent="0.3">
      <c r="A4378" t="s">
        <v>10316</v>
      </c>
      <c r="B4378" t="s">
        <v>10317</v>
      </c>
      <c r="C4378" t="s">
        <v>53</v>
      </c>
      <c r="D4378" t="s">
        <v>38</v>
      </c>
      <c r="E4378" t="s">
        <v>59</v>
      </c>
      <c r="F4378" t="s">
        <v>137</v>
      </c>
      <c r="G4378">
        <v>16.079999999999998</v>
      </c>
      <c r="H4378" t="s">
        <v>61</v>
      </c>
      <c r="I4378" t="s">
        <v>42</v>
      </c>
      <c r="M4378">
        <f>VLOOKUP(H4378,'Stage Order'!$A$2:$B$8,2,FALSE)</f>
        <v>1</v>
      </c>
      <c r="N4378" t="str">
        <f t="shared" si="136"/>
        <v>2. 1-24 hours</v>
      </c>
      <c r="O4378" t="str">
        <f t="shared" si="137"/>
        <v>2025-12</v>
      </c>
    </row>
    <row r="4379" spans="1:15" x14ac:dyDescent="0.3">
      <c r="A4379" t="s">
        <v>10318</v>
      </c>
      <c r="B4379" t="s">
        <v>10319</v>
      </c>
      <c r="C4379" t="s">
        <v>37</v>
      </c>
      <c r="D4379" t="s">
        <v>54</v>
      </c>
      <c r="E4379" t="s">
        <v>39</v>
      </c>
      <c r="F4379" t="s">
        <v>66</v>
      </c>
      <c r="G4379">
        <v>2.72</v>
      </c>
      <c r="H4379" t="s">
        <v>41</v>
      </c>
      <c r="I4379" t="s">
        <v>42</v>
      </c>
      <c r="M4379">
        <f>VLOOKUP(H4379,'Stage Order'!$A$2:$B$8,2,FALSE)</f>
        <v>2</v>
      </c>
      <c r="N4379" t="str">
        <f t="shared" si="136"/>
        <v>2. 1-24 hours</v>
      </c>
      <c r="O4379" t="str">
        <f t="shared" si="137"/>
        <v>2026-02</v>
      </c>
    </row>
    <row r="4380" spans="1:15" x14ac:dyDescent="0.3">
      <c r="A4380" t="s">
        <v>10320</v>
      </c>
      <c r="B4380" t="s">
        <v>10321</v>
      </c>
      <c r="C4380" t="s">
        <v>58</v>
      </c>
      <c r="D4380" t="s">
        <v>38</v>
      </c>
      <c r="E4380" t="s">
        <v>90</v>
      </c>
      <c r="F4380" t="s">
        <v>112</v>
      </c>
      <c r="G4380">
        <v>1.35</v>
      </c>
      <c r="H4380" t="s">
        <v>47</v>
      </c>
      <c r="I4380" t="s">
        <v>48</v>
      </c>
      <c r="J4380" t="s">
        <v>98</v>
      </c>
      <c r="K4380">
        <v>407.32</v>
      </c>
      <c r="L4380" t="s">
        <v>10322</v>
      </c>
      <c r="M4380">
        <f>VLOOKUP(H4380,'Stage Order'!$A$2:$B$8,2,FALSE)</f>
        <v>4</v>
      </c>
      <c r="N4380" t="str">
        <f t="shared" si="136"/>
        <v>2. 1-24 hours</v>
      </c>
      <c r="O4380" t="str">
        <f t="shared" si="137"/>
        <v>2025-12</v>
      </c>
    </row>
    <row r="4381" spans="1:15" x14ac:dyDescent="0.3">
      <c r="A4381" t="s">
        <v>10323</v>
      </c>
      <c r="B4381" t="s">
        <v>10324</v>
      </c>
      <c r="C4381" t="s">
        <v>37</v>
      </c>
      <c r="D4381" t="s">
        <v>77</v>
      </c>
      <c r="E4381" t="s">
        <v>39</v>
      </c>
      <c r="F4381" t="s">
        <v>106</v>
      </c>
      <c r="G4381">
        <v>10.48</v>
      </c>
      <c r="H4381" t="s">
        <v>146</v>
      </c>
      <c r="I4381" t="s">
        <v>48</v>
      </c>
      <c r="J4381" t="s">
        <v>113</v>
      </c>
      <c r="K4381">
        <v>1128.77</v>
      </c>
      <c r="L4381" t="s">
        <v>10325</v>
      </c>
      <c r="M4381">
        <f>VLOOKUP(H4381,'Stage Order'!$A$2:$B$8,2,FALSE)</f>
        <v>5</v>
      </c>
      <c r="N4381" t="str">
        <f t="shared" si="136"/>
        <v>2. 1-24 hours</v>
      </c>
      <c r="O4381" t="str">
        <f t="shared" si="137"/>
        <v>2025-07</v>
      </c>
    </row>
    <row r="4382" spans="1:15" x14ac:dyDescent="0.3">
      <c r="A4382" t="s">
        <v>10326</v>
      </c>
      <c r="B4382" t="s">
        <v>10327</v>
      </c>
      <c r="C4382" t="s">
        <v>125</v>
      </c>
      <c r="D4382" t="s">
        <v>29</v>
      </c>
      <c r="E4382" t="s">
        <v>39</v>
      </c>
      <c r="F4382" t="s">
        <v>66</v>
      </c>
      <c r="G4382">
        <v>2.06</v>
      </c>
      <c r="H4382" t="s">
        <v>61</v>
      </c>
      <c r="I4382" t="s">
        <v>42</v>
      </c>
      <c r="M4382">
        <f>VLOOKUP(H4382,'Stage Order'!$A$2:$B$8,2,FALSE)</f>
        <v>1</v>
      </c>
      <c r="N4382" t="str">
        <f t="shared" si="136"/>
        <v>2. 1-24 hours</v>
      </c>
      <c r="O4382" t="str">
        <f t="shared" si="137"/>
        <v>2025-09</v>
      </c>
    </row>
    <row r="4383" spans="1:15" x14ac:dyDescent="0.3">
      <c r="A4383" t="s">
        <v>10328</v>
      </c>
      <c r="B4383" t="s">
        <v>10329</v>
      </c>
      <c r="C4383" t="s">
        <v>28</v>
      </c>
      <c r="D4383" t="s">
        <v>54</v>
      </c>
      <c r="E4383" t="s">
        <v>45</v>
      </c>
      <c r="F4383" t="s">
        <v>46</v>
      </c>
      <c r="G4383">
        <v>4.05</v>
      </c>
      <c r="H4383" t="s">
        <v>41</v>
      </c>
      <c r="I4383" t="s">
        <v>42</v>
      </c>
      <c r="M4383">
        <f>VLOOKUP(H4383,'Stage Order'!$A$2:$B$8,2,FALSE)</f>
        <v>2</v>
      </c>
      <c r="N4383" t="str">
        <f t="shared" si="136"/>
        <v>2. 1-24 hours</v>
      </c>
      <c r="O4383" t="str">
        <f t="shared" si="137"/>
        <v>2025-08</v>
      </c>
    </row>
    <row r="4384" spans="1:15" x14ac:dyDescent="0.3">
      <c r="A4384" t="s">
        <v>10330</v>
      </c>
      <c r="B4384" t="s">
        <v>10331</v>
      </c>
      <c r="C4384" t="s">
        <v>58</v>
      </c>
      <c r="D4384" t="s">
        <v>54</v>
      </c>
      <c r="E4384" t="s">
        <v>45</v>
      </c>
      <c r="F4384" t="s">
        <v>94</v>
      </c>
      <c r="G4384">
        <v>2.1800000000000002</v>
      </c>
      <c r="H4384" t="s">
        <v>41</v>
      </c>
      <c r="I4384" t="s">
        <v>42</v>
      </c>
      <c r="M4384">
        <f>VLOOKUP(H4384,'Stage Order'!$A$2:$B$8,2,FALSE)</f>
        <v>2</v>
      </c>
      <c r="N4384" t="str">
        <f t="shared" si="136"/>
        <v>2. 1-24 hours</v>
      </c>
      <c r="O4384" t="str">
        <f t="shared" si="137"/>
        <v>2025-11</v>
      </c>
    </row>
    <row r="4385" spans="1:15" x14ac:dyDescent="0.3">
      <c r="A4385" t="s">
        <v>10332</v>
      </c>
      <c r="B4385" t="s">
        <v>10333</v>
      </c>
      <c r="C4385" t="s">
        <v>37</v>
      </c>
      <c r="D4385" t="s">
        <v>77</v>
      </c>
      <c r="E4385" t="s">
        <v>59</v>
      </c>
      <c r="F4385" t="s">
        <v>117</v>
      </c>
      <c r="G4385">
        <v>0.35</v>
      </c>
      <c r="H4385" t="s">
        <v>32</v>
      </c>
      <c r="I4385" t="s">
        <v>33</v>
      </c>
      <c r="K4385">
        <v>829.61</v>
      </c>
      <c r="L4385" t="s">
        <v>10334</v>
      </c>
      <c r="M4385">
        <f>VLOOKUP(H4385,'Stage Order'!$A$2:$B$8,2,FALSE)</f>
        <v>7</v>
      </c>
      <c r="N4385" t="str">
        <f t="shared" si="136"/>
        <v>1. Under 1 hour</v>
      </c>
      <c r="O4385" t="str">
        <f t="shared" si="137"/>
        <v>2026-01</v>
      </c>
    </row>
    <row r="4386" spans="1:15" x14ac:dyDescent="0.3">
      <c r="A4386" t="s">
        <v>10335</v>
      </c>
      <c r="B4386" t="s">
        <v>10336</v>
      </c>
      <c r="C4386" t="s">
        <v>37</v>
      </c>
      <c r="D4386" t="s">
        <v>54</v>
      </c>
      <c r="E4386" t="s">
        <v>45</v>
      </c>
      <c r="F4386" t="s">
        <v>46</v>
      </c>
      <c r="G4386">
        <v>2.83</v>
      </c>
      <c r="H4386" t="s">
        <v>41</v>
      </c>
      <c r="I4386" t="s">
        <v>42</v>
      </c>
      <c r="M4386">
        <f>VLOOKUP(H4386,'Stage Order'!$A$2:$B$8,2,FALSE)</f>
        <v>2</v>
      </c>
      <c r="N4386" t="str">
        <f t="shared" si="136"/>
        <v>2. 1-24 hours</v>
      </c>
      <c r="O4386" t="str">
        <f t="shared" si="137"/>
        <v>2025-02</v>
      </c>
    </row>
    <row r="4387" spans="1:15" x14ac:dyDescent="0.3">
      <c r="A4387" t="s">
        <v>10337</v>
      </c>
      <c r="B4387" t="s">
        <v>10338</v>
      </c>
      <c r="C4387" t="s">
        <v>81</v>
      </c>
      <c r="D4387" t="s">
        <v>29</v>
      </c>
      <c r="E4387" t="s">
        <v>59</v>
      </c>
      <c r="F4387" t="s">
        <v>117</v>
      </c>
      <c r="G4387">
        <v>7.51</v>
      </c>
      <c r="H4387" t="s">
        <v>61</v>
      </c>
      <c r="I4387" t="s">
        <v>42</v>
      </c>
      <c r="M4387">
        <f>VLOOKUP(H4387,'Stage Order'!$A$2:$B$8,2,FALSE)</f>
        <v>1</v>
      </c>
      <c r="N4387" t="str">
        <f t="shared" si="136"/>
        <v>2. 1-24 hours</v>
      </c>
      <c r="O4387" t="str">
        <f t="shared" si="137"/>
        <v>2025-10</v>
      </c>
    </row>
    <row r="4388" spans="1:15" x14ac:dyDescent="0.3">
      <c r="A4388" t="s">
        <v>10339</v>
      </c>
      <c r="B4388" t="s">
        <v>10340</v>
      </c>
      <c r="C4388" t="s">
        <v>81</v>
      </c>
      <c r="D4388" t="s">
        <v>97</v>
      </c>
      <c r="E4388" t="s">
        <v>59</v>
      </c>
      <c r="F4388" t="s">
        <v>137</v>
      </c>
      <c r="G4388">
        <v>2.4500000000000002</v>
      </c>
      <c r="H4388" t="s">
        <v>61</v>
      </c>
      <c r="I4388" t="s">
        <v>42</v>
      </c>
      <c r="M4388">
        <f>VLOOKUP(H4388,'Stage Order'!$A$2:$B$8,2,FALSE)</f>
        <v>1</v>
      </c>
      <c r="N4388" t="str">
        <f t="shared" si="136"/>
        <v>2. 1-24 hours</v>
      </c>
      <c r="O4388" t="str">
        <f t="shared" si="137"/>
        <v>2025-10</v>
      </c>
    </row>
    <row r="4389" spans="1:15" x14ac:dyDescent="0.3">
      <c r="A4389" t="s">
        <v>10341</v>
      </c>
      <c r="B4389" t="s">
        <v>10342</v>
      </c>
      <c r="C4389" t="s">
        <v>58</v>
      </c>
      <c r="D4389" t="s">
        <v>29</v>
      </c>
      <c r="E4389" t="s">
        <v>90</v>
      </c>
      <c r="F4389" t="s">
        <v>91</v>
      </c>
      <c r="G4389">
        <v>4.5999999999999996</v>
      </c>
      <c r="H4389" t="s">
        <v>128</v>
      </c>
      <c r="I4389" t="s">
        <v>42</v>
      </c>
      <c r="M4389">
        <f>VLOOKUP(H4389,'Stage Order'!$A$2:$B$8,2,FALSE)</f>
        <v>3</v>
      </c>
      <c r="N4389" t="str">
        <f t="shared" si="136"/>
        <v>2. 1-24 hours</v>
      </c>
      <c r="O4389" t="str">
        <f t="shared" si="137"/>
        <v>2025-07</v>
      </c>
    </row>
    <row r="4390" spans="1:15" x14ac:dyDescent="0.3">
      <c r="A4390" t="s">
        <v>10343</v>
      </c>
      <c r="B4390" t="s">
        <v>10344</v>
      </c>
      <c r="C4390" t="s">
        <v>76</v>
      </c>
      <c r="D4390" t="s">
        <v>54</v>
      </c>
      <c r="E4390" t="s">
        <v>45</v>
      </c>
      <c r="F4390" t="s">
        <v>55</v>
      </c>
      <c r="G4390">
        <v>5.81</v>
      </c>
      <c r="H4390" t="s">
        <v>47</v>
      </c>
      <c r="I4390" t="s">
        <v>48</v>
      </c>
      <c r="J4390" t="s">
        <v>113</v>
      </c>
      <c r="K4390">
        <v>456.24</v>
      </c>
      <c r="L4390" t="s">
        <v>10345</v>
      </c>
      <c r="M4390">
        <f>VLOOKUP(H4390,'Stage Order'!$A$2:$B$8,2,FALSE)</f>
        <v>4</v>
      </c>
      <c r="N4390" t="str">
        <f t="shared" si="136"/>
        <v>2. 1-24 hours</v>
      </c>
      <c r="O4390" t="str">
        <f t="shared" si="137"/>
        <v>2025-01</v>
      </c>
    </row>
    <row r="4391" spans="1:15" x14ac:dyDescent="0.3">
      <c r="A4391" t="s">
        <v>10346</v>
      </c>
      <c r="B4391" t="s">
        <v>10347</v>
      </c>
      <c r="C4391" t="s">
        <v>81</v>
      </c>
      <c r="D4391" t="s">
        <v>54</v>
      </c>
      <c r="E4391" t="s">
        <v>39</v>
      </c>
      <c r="F4391" t="s">
        <v>40</v>
      </c>
      <c r="G4391">
        <v>2.17</v>
      </c>
      <c r="H4391" t="s">
        <v>61</v>
      </c>
      <c r="I4391" t="s">
        <v>42</v>
      </c>
      <c r="M4391">
        <f>VLOOKUP(H4391,'Stage Order'!$A$2:$B$8,2,FALSE)</f>
        <v>1</v>
      </c>
      <c r="N4391" t="str">
        <f t="shared" si="136"/>
        <v>2. 1-24 hours</v>
      </c>
      <c r="O4391" t="str">
        <f t="shared" si="137"/>
        <v>2026-03</v>
      </c>
    </row>
    <row r="4392" spans="1:15" x14ac:dyDescent="0.3">
      <c r="A4392" t="s">
        <v>10348</v>
      </c>
      <c r="B4392" t="s">
        <v>10349</v>
      </c>
      <c r="C4392" t="s">
        <v>125</v>
      </c>
      <c r="D4392" t="s">
        <v>29</v>
      </c>
      <c r="E4392" t="s">
        <v>45</v>
      </c>
      <c r="F4392" t="s">
        <v>55</v>
      </c>
      <c r="G4392">
        <v>1.55</v>
      </c>
      <c r="H4392" t="s">
        <v>41</v>
      </c>
      <c r="I4392" t="s">
        <v>42</v>
      </c>
      <c r="M4392">
        <f>VLOOKUP(H4392,'Stage Order'!$A$2:$B$8,2,FALSE)</f>
        <v>2</v>
      </c>
      <c r="N4392" t="str">
        <f t="shared" si="136"/>
        <v>2. 1-24 hours</v>
      </c>
      <c r="O4392" t="str">
        <f t="shared" si="137"/>
        <v>2026-05</v>
      </c>
    </row>
    <row r="4393" spans="1:15" x14ac:dyDescent="0.3">
      <c r="A4393" t="s">
        <v>10350</v>
      </c>
      <c r="B4393" t="s">
        <v>10351</v>
      </c>
      <c r="C4393" t="s">
        <v>58</v>
      </c>
      <c r="D4393" t="s">
        <v>54</v>
      </c>
      <c r="E4393" t="s">
        <v>30</v>
      </c>
      <c r="F4393" t="s">
        <v>31</v>
      </c>
      <c r="G4393">
        <v>2.98</v>
      </c>
      <c r="H4393" t="s">
        <v>41</v>
      </c>
      <c r="I4393" t="s">
        <v>42</v>
      </c>
      <c r="M4393">
        <f>VLOOKUP(H4393,'Stage Order'!$A$2:$B$8,2,FALSE)</f>
        <v>2</v>
      </c>
      <c r="N4393" t="str">
        <f t="shared" si="136"/>
        <v>2. 1-24 hours</v>
      </c>
      <c r="O4393" t="str">
        <f t="shared" si="137"/>
        <v>2025-12</v>
      </c>
    </row>
    <row r="4394" spans="1:15" x14ac:dyDescent="0.3">
      <c r="A4394" t="s">
        <v>10352</v>
      </c>
      <c r="B4394" t="s">
        <v>10353</v>
      </c>
      <c r="C4394" t="s">
        <v>53</v>
      </c>
      <c r="D4394" t="s">
        <v>77</v>
      </c>
      <c r="E4394" t="s">
        <v>39</v>
      </c>
      <c r="F4394" t="s">
        <v>106</v>
      </c>
      <c r="G4394">
        <v>1.36</v>
      </c>
      <c r="H4394" t="s">
        <v>32</v>
      </c>
      <c r="I4394" t="s">
        <v>33</v>
      </c>
      <c r="K4394">
        <v>1179.8399999999999</v>
      </c>
      <c r="L4394" t="s">
        <v>10354</v>
      </c>
      <c r="M4394">
        <f>VLOOKUP(H4394,'Stage Order'!$A$2:$B$8,2,FALSE)</f>
        <v>7</v>
      </c>
      <c r="N4394" t="str">
        <f t="shared" si="136"/>
        <v>2. 1-24 hours</v>
      </c>
      <c r="O4394" t="str">
        <f t="shared" si="137"/>
        <v>2025-09</v>
      </c>
    </row>
    <row r="4395" spans="1:15" x14ac:dyDescent="0.3">
      <c r="A4395" t="s">
        <v>10355</v>
      </c>
      <c r="B4395" t="s">
        <v>10356</v>
      </c>
      <c r="C4395" t="s">
        <v>58</v>
      </c>
      <c r="D4395" t="s">
        <v>77</v>
      </c>
      <c r="E4395" t="s">
        <v>90</v>
      </c>
      <c r="F4395" t="s">
        <v>91</v>
      </c>
      <c r="G4395">
        <v>4.03</v>
      </c>
      <c r="H4395" t="s">
        <v>146</v>
      </c>
      <c r="I4395" t="s">
        <v>48</v>
      </c>
      <c r="J4395" t="s">
        <v>113</v>
      </c>
      <c r="K4395">
        <v>1166.92</v>
      </c>
      <c r="L4395" t="s">
        <v>10357</v>
      </c>
      <c r="M4395">
        <f>VLOOKUP(H4395,'Stage Order'!$A$2:$B$8,2,FALSE)</f>
        <v>5</v>
      </c>
      <c r="N4395" t="str">
        <f t="shared" si="136"/>
        <v>2. 1-24 hours</v>
      </c>
      <c r="O4395" t="str">
        <f t="shared" si="137"/>
        <v>2026-05</v>
      </c>
    </row>
    <row r="4396" spans="1:15" x14ac:dyDescent="0.3">
      <c r="A4396" t="s">
        <v>10358</v>
      </c>
      <c r="B4396" t="s">
        <v>10359</v>
      </c>
      <c r="C4396" t="s">
        <v>58</v>
      </c>
      <c r="D4396" t="s">
        <v>54</v>
      </c>
      <c r="E4396" t="s">
        <v>45</v>
      </c>
      <c r="F4396" t="s">
        <v>55</v>
      </c>
      <c r="G4396">
        <v>2.1800000000000002</v>
      </c>
      <c r="H4396" t="s">
        <v>41</v>
      </c>
      <c r="I4396" t="s">
        <v>42</v>
      </c>
      <c r="M4396">
        <f>VLOOKUP(H4396,'Stage Order'!$A$2:$B$8,2,FALSE)</f>
        <v>2</v>
      </c>
      <c r="N4396" t="str">
        <f t="shared" si="136"/>
        <v>2. 1-24 hours</v>
      </c>
      <c r="O4396" t="str">
        <f t="shared" si="137"/>
        <v>2025-07</v>
      </c>
    </row>
    <row r="4397" spans="1:15" x14ac:dyDescent="0.3">
      <c r="A4397" t="s">
        <v>10360</v>
      </c>
      <c r="B4397" t="s">
        <v>10361</v>
      </c>
      <c r="C4397" t="s">
        <v>58</v>
      </c>
      <c r="D4397" t="s">
        <v>54</v>
      </c>
      <c r="E4397" t="s">
        <v>59</v>
      </c>
      <c r="F4397" t="s">
        <v>137</v>
      </c>
      <c r="G4397">
        <v>7.37</v>
      </c>
      <c r="H4397" t="s">
        <v>41</v>
      </c>
      <c r="I4397" t="s">
        <v>42</v>
      </c>
      <c r="M4397">
        <f>VLOOKUP(H4397,'Stage Order'!$A$2:$B$8,2,FALSE)</f>
        <v>2</v>
      </c>
      <c r="N4397" t="str">
        <f t="shared" si="136"/>
        <v>2. 1-24 hours</v>
      </c>
      <c r="O4397" t="str">
        <f t="shared" si="137"/>
        <v>2025-06</v>
      </c>
    </row>
    <row r="4398" spans="1:15" x14ac:dyDescent="0.3">
      <c r="A4398" t="s">
        <v>10362</v>
      </c>
      <c r="B4398" t="s">
        <v>10363</v>
      </c>
      <c r="C4398" t="s">
        <v>28</v>
      </c>
      <c r="D4398" t="s">
        <v>38</v>
      </c>
      <c r="E4398" t="s">
        <v>90</v>
      </c>
      <c r="F4398" t="s">
        <v>91</v>
      </c>
      <c r="G4398">
        <v>1.88</v>
      </c>
      <c r="H4398" t="s">
        <v>41</v>
      </c>
      <c r="I4398" t="s">
        <v>42</v>
      </c>
      <c r="M4398">
        <f>VLOOKUP(H4398,'Stage Order'!$A$2:$B$8,2,FALSE)</f>
        <v>2</v>
      </c>
      <c r="N4398" t="str">
        <f t="shared" si="136"/>
        <v>2. 1-24 hours</v>
      </c>
      <c r="O4398" t="str">
        <f t="shared" si="137"/>
        <v>2025-11</v>
      </c>
    </row>
    <row r="4399" spans="1:15" x14ac:dyDescent="0.3">
      <c r="A4399" t="s">
        <v>10364</v>
      </c>
      <c r="B4399" t="s">
        <v>10365</v>
      </c>
      <c r="C4399" t="s">
        <v>37</v>
      </c>
      <c r="D4399" t="s">
        <v>29</v>
      </c>
      <c r="E4399" t="s">
        <v>39</v>
      </c>
      <c r="F4399" t="s">
        <v>106</v>
      </c>
      <c r="G4399">
        <v>5.1100000000000003</v>
      </c>
      <c r="H4399" t="s">
        <v>146</v>
      </c>
      <c r="I4399" t="s">
        <v>48</v>
      </c>
      <c r="J4399" t="s">
        <v>113</v>
      </c>
      <c r="K4399">
        <v>682.8</v>
      </c>
      <c r="L4399" t="s">
        <v>10366</v>
      </c>
      <c r="M4399">
        <f>VLOOKUP(H4399,'Stage Order'!$A$2:$B$8,2,FALSE)</f>
        <v>5</v>
      </c>
      <c r="N4399" t="str">
        <f t="shared" si="136"/>
        <v>2. 1-24 hours</v>
      </c>
      <c r="O4399" t="str">
        <f t="shared" si="137"/>
        <v>2026-04</v>
      </c>
    </row>
    <row r="4400" spans="1:15" x14ac:dyDescent="0.3">
      <c r="A4400" t="s">
        <v>10367</v>
      </c>
      <c r="B4400" t="s">
        <v>10368</v>
      </c>
      <c r="C4400" t="s">
        <v>81</v>
      </c>
      <c r="D4400" t="s">
        <v>54</v>
      </c>
      <c r="E4400" t="s">
        <v>59</v>
      </c>
      <c r="F4400" t="s">
        <v>117</v>
      </c>
      <c r="G4400">
        <v>1.24</v>
      </c>
      <c r="H4400" t="s">
        <v>41</v>
      </c>
      <c r="I4400" t="s">
        <v>42</v>
      </c>
      <c r="M4400">
        <f>VLOOKUP(H4400,'Stage Order'!$A$2:$B$8,2,FALSE)</f>
        <v>2</v>
      </c>
      <c r="N4400" t="str">
        <f t="shared" si="136"/>
        <v>2. 1-24 hours</v>
      </c>
      <c r="O4400" t="str">
        <f t="shared" si="137"/>
        <v>2025-02</v>
      </c>
    </row>
    <row r="4401" spans="1:15" x14ac:dyDescent="0.3">
      <c r="A4401" t="s">
        <v>10369</v>
      </c>
      <c r="B4401" t="s">
        <v>10370</v>
      </c>
      <c r="C4401" t="s">
        <v>58</v>
      </c>
      <c r="D4401" t="s">
        <v>54</v>
      </c>
      <c r="E4401" t="s">
        <v>59</v>
      </c>
      <c r="F4401" t="s">
        <v>60</v>
      </c>
      <c r="G4401">
        <v>3.12</v>
      </c>
      <c r="H4401" t="s">
        <v>41</v>
      </c>
      <c r="I4401" t="s">
        <v>42</v>
      </c>
      <c r="M4401">
        <f>VLOOKUP(H4401,'Stage Order'!$A$2:$B$8,2,FALSE)</f>
        <v>2</v>
      </c>
      <c r="N4401" t="str">
        <f t="shared" si="136"/>
        <v>2. 1-24 hours</v>
      </c>
      <c r="O4401" t="str">
        <f t="shared" si="137"/>
        <v>2025-07</v>
      </c>
    </row>
    <row r="4402" spans="1:15" x14ac:dyDescent="0.3">
      <c r="A4402" t="s">
        <v>10371</v>
      </c>
      <c r="B4402" t="s">
        <v>10372</v>
      </c>
      <c r="C4402" t="s">
        <v>76</v>
      </c>
      <c r="D4402" t="s">
        <v>97</v>
      </c>
      <c r="E4402" t="s">
        <v>45</v>
      </c>
      <c r="F4402" t="s">
        <v>55</v>
      </c>
      <c r="G4402">
        <v>8.73</v>
      </c>
      <c r="H4402" t="s">
        <v>41</v>
      </c>
      <c r="I4402" t="s">
        <v>42</v>
      </c>
      <c r="M4402">
        <f>VLOOKUP(H4402,'Stage Order'!$A$2:$B$8,2,FALSE)</f>
        <v>2</v>
      </c>
      <c r="N4402" t="str">
        <f t="shared" si="136"/>
        <v>2. 1-24 hours</v>
      </c>
      <c r="O4402" t="str">
        <f t="shared" si="137"/>
        <v>2026-02</v>
      </c>
    </row>
    <row r="4403" spans="1:15" x14ac:dyDescent="0.3">
      <c r="A4403" t="s">
        <v>10373</v>
      </c>
      <c r="B4403" t="s">
        <v>10374</v>
      </c>
      <c r="C4403" t="s">
        <v>81</v>
      </c>
      <c r="D4403" t="s">
        <v>77</v>
      </c>
      <c r="E4403" t="s">
        <v>59</v>
      </c>
      <c r="F4403" t="s">
        <v>60</v>
      </c>
      <c r="G4403">
        <v>2.35</v>
      </c>
      <c r="H4403" t="s">
        <v>61</v>
      </c>
      <c r="I4403" t="s">
        <v>42</v>
      </c>
      <c r="M4403">
        <f>VLOOKUP(H4403,'Stage Order'!$A$2:$B$8,2,FALSE)</f>
        <v>1</v>
      </c>
      <c r="N4403" t="str">
        <f t="shared" si="136"/>
        <v>2. 1-24 hours</v>
      </c>
      <c r="O4403" t="str">
        <f t="shared" si="137"/>
        <v>2025-11</v>
      </c>
    </row>
    <row r="4404" spans="1:15" x14ac:dyDescent="0.3">
      <c r="A4404" t="s">
        <v>10375</v>
      </c>
      <c r="B4404" t="s">
        <v>10376</v>
      </c>
      <c r="C4404" t="s">
        <v>81</v>
      </c>
      <c r="D4404" t="s">
        <v>54</v>
      </c>
      <c r="E4404" t="s">
        <v>90</v>
      </c>
      <c r="F4404" t="s">
        <v>145</v>
      </c>
      <c r="G4404">
        <v>7.01</v>
      </c>
      <c r="H4404" t="s">
        <v>41</v>
      </c>
      <c r="I4404" t="s">
        <v>42</v>
      </c>
      <c r="M4404">
        <f>VLOOKUP(H4404,'Stage Order'!$A$2:$B$8,2,FALSE)</f>
        <v>2</v>
      </c>
      <c r="N4404" t="str">
        <f t="shared" si="136"/>
        <v>2. 1-24 hours</v>
      </c>
      <c r="O4404" t="str">
        <f t="shared" si="137"/>
        <v>2025-12</v>
      </c>
    </row>
    <row r="4405" spans="1:15" x14ac:dyDescent="0.3">
      <c r="A4405" t="s">
        <v>10377</v>
      </c>
      <c r="B4405" t="s">
        <v>10378</v>
      </c>
      <c r="C4405" t="s">
        <v>81</v>
      </c>
      <c r="D4405" t="s">
        <v>54</v>
      </c>
      <c r="E4405" t="s">
        <v>45</v>
      </c>
      <c r="F4405" t="s">
        <v>46</v>
      </c>
      <c r="G4405">
        <v>3.72</v>
      </c>
      <c r="H4405" t="s">
        <v>41</v>
      </c>
      <c r="I4405" t="s">
        <v>42</v>
      </c>
      <c r="M4405">
        <f>VLOOKUP(H4405,'Stage Order'!$A$2:$B$8,2,FALSE)</f>
        <v>2</v>
      </c>
      <c r="N4405" t="str">
        <f t="shared" si="136"/>
        <v>2. 1-24 hours</v>
      </c>
      <c r="O4405" t="str">
        <f t="shared" si="137"/>
        <v>2025-02</v>
      </c>
    </row>
    <row r="4406" spans="1:15" x14ac:dyDescent="0.3">
      <c r="A4406" t="s">
        <v>10379</v>
      </c>
      <c r="B4406" t="s">
        <v>10380</v>
      </c>
      <c r="C4406" t="s">
        <v>81</v>
      </c>
      <c r="D4406" t="s">
        <v>54</v>
      </c>
      <c r="E4406" t="s">
        <v>45</v>
      </c>
      <c r="F4406" t="s">
        <v>94</v>
      </c>
      <c r="G4406">
        <v>7.38</v>
      </c>
      <c r="H4406" t="s">
        <v>41</v>
      </c>
      <c r="I4406" t="s">
        <v>42</v>
      </c>
      <c r="M4406">
        <f>VLOOKUP(H4406,'Stage Order'!$A$2:$B$8,2,FALSE)</f>
        <v>2</v>
      </c>
      <c r="N4406" t="str">
        <f t="shared" si="136"/>
        <v>2. 1-24 hours</v>
      </c>
      <c r="O4406" t="str">
        <f t="shared" si="137"/>
        <v>2025-07</v>
      </c>
    </row>
    <row r="4407" spans="1:15" x14ac:dyDescent="0.3">
      <c r="A4407" t="s">
        <v>10381</v>
      </c>
      <c r="B4407" t="s">
        <v>10382</v>
      </c>
      <c r="C4407" t="s">
        <v>37</v>
      </c>
      <c r="D4407" t="s">
        <v>54</v>
      </c>
      <c r="E4407" t="s">
        <v>45</v>
      </c>
      <c r="F4407" t="s">
        <v>46</v>
      </c>
      <c r="G4407">
        <v>3.65</v>
      </c>
      <c r="H4407" t="s">
        <v>41</v>
      </c>
      <c r="I4407" t="s">
        <v>42</v>
      </c>
      <c r="M4407">
        <f>VLOOKUP(H4407,'Stage Order'!$A$2:$B$8,2,FALSE)</f>
        <v>2</v>
      </c>
      <c r="N4407" t="str">
        <f t="shared" si="136"/>
        <v>2. 1-24 hours</v>
      </c>
      <c r="O4407" t="str">
        <f t="shared" si="137"/>
        <v>2025-02</v>
      </c>
    </row>
    <row r="4408" spans="1:15" x14ac:dyDescent="0.3">
      <c r="A4408" t="s">
        <v>10383</v>
      </c>
      <c r="B4408" t="s">
        <v>10384</v>
      </c>
      <c r="C4408" t="s">
        <v>53</v>
      </c>
      <c r="D4408" t="s">
        <v>97</v>
      </c>
      <c r="E4408" t="s">
        <v>39</v>
      </c>
      <c r="F4408" t="s">
        <v>106</v>
      </c>
      <c r="G4408">
        <v>7.91</v>
      </c>
      <c r="H4408" t="s">
        <v>32</v>
      </c>
      <c r="I4408" t="s">
        <v>33</v>
      </c>
      <c r="K4408">
        <v>1488.11</v>
      </c>
      <c r="L4408" t="s">
        <v>10385</v>
      </c>
      <c r="M4408">
        <f>VLOOKUP(H4408,'Stage Order'!$A$2:$B$8,2,FALSE)</f>
        <v>7</v>
      </c>
      <c r="N4408" t="str">
        <f t="shared" si="136"/>
        <v>2. 1-24 hours</v>
      </c>
      <c r="O4408" t="str">
        <f t="shared" si="137"/>
        <v>2025-11</v>
      </c>
    </row>
    <row r="4409" spans="1:15" x14ac:dyDescent="0.3">
      <c r="A4409" t="s">
        <v>10386</v>
      </c>
      <c r="B4409" t="s">
        <v>10387</v>
      </c>
      <c r="C4409" t="s">
        <v>125</v>
      </c>
      <c r="D4409" t="s">
        <v>54</v>
      </c>
      <c r="E4409" t="s">
        <v>45</v>
      </c>
      <c r="F4409" t="s">
        <v>94</v>
      </c>
      <c r="G4409">
        <v>4.08</v>
      </c>
      <c r="H4409" t="s">
        <v>41</v>
      </c>
      <c r="I4409" t="s">
        <v>42</v>
      </c>
      <c r="M4409">
        <f>VLOOKUP(H4409,'Stage Order'!$A$2:$B$8,2,FALSE)</f>
        <v>2</v>
      </c>
      <c r="N4409" t="str">
        <f t="shared" si="136"/>
        <v>2. 1-24 hours</v>
      </c>
      <c r="O4409" t="str">
        <f t="shared" si="137"/>
        <v>2026-02</v>
      </c>
    </row>
    <row r="4410" spans="1:15" x14ac:dyDescent="0.3">
      <c r="A4410" t="s">
        <v>10388</v>
      </c>
      <c r="B4410" t="s">
        <v>10389</v>
      </c>
      <c r="C4410" t="s">
        <v>81</v>
      </c>
      <c r="D4410" t="s">
        <v>29</v>
      </c>
      <c r="E4410" t="s">
        <v>59</v>
      </c>
      <c r="F4410" t="s">
        <v>117</v>
      </c>
      <c r="G4410">
        <v>1.31</v>
      </c>
      <c r="H4410" t="s">
        <v>61</v>
      </c>
      <c r="I4410" t="s">
        <v>42</v>
      </c>
      <c r="M4410">
        <f>VLOOKUP(H4410,'Stage Order'!$A$2:$B$8,2,FALSE)</f>
        <v>1</v>
      </c>
      <c r="N4410" t="str">
        <f t="shared" si="136"/>
        <v>2. 1-24 hours</v>
      </c>
      <c r="O4410" t="str">
        <f t="shared" si="137"/>
        <v>2026-03</v>
      </c>
    </row>
    <row r="4411" spans="1:15" x14ac:dyDescent="0.3">
      <c r="A4411" t="s">
        <v>10390</v>
      </c>
      <c r="B4411" t="s">
        <v>10391</v>
      </c>
      <c r="C4411" t="s">
        <v>37</v>
      </c>
      <c r="D4411" t="s">
        <v>54</v>
      </c>
      <c r="E4411" t="s">
        <v>45</v>
      </c>
      <c r="F4411" t="s">
        <v>55</v>
      </c>
      <c r="G4411">
        <v>3.35</v>
      </c>
      <c r="H4411" t="s">
        <v>146</v>
      </c>
      <c r="I4411" t="s">
        <v>48</v>
      </c>
      <c r="J4411" t="s">
        <v>49</v>
      </c>
      <c r="K4411">
        <v>572.59</v>
      </c>
      <c r="L4411" t="s">
        <v>10392</v>
      </c>
      <c r="M4411">
        <f>VLOOKUP(H4411,'Stage Order'!$A$2:$B$8,2,FALSE)</f>
        <v>5</v>
      </c>
      <c r="N4411" t="str">
        <f t="shared" si="136"/>
        <v>2. 1-24 hours</v>
      </c>
      <c r="O4411" t="str">
        <f t="shared" si="137"/>
        <v>2025-10</v>
      </c>
    </row>
    <row r="4412" spans="1:15" x14ac:dyDescent="0.3">
      <c r="A4412" t="s">
        <v>10393</v>
      </c>
      <c r="B4412" t="s">
        <v>10394</v>
      </c>
      <c r="C4412" t="s">
        <v>76</v>
      </c>
      <c r="D4412" t="s">
        <v>29</v>
      </c>
      <c r="E4412" t="s">
        <v>45</v>
      </c>
      <c r="F4412" t="s">
        <v>94</v>
      </c>
      <c r="G4412">
        <v>1.45</v>
      </c>
      <c r="H4412" t="s">
        <v>138</v>
      </c>
      <c r="I4412" t="s">
        <v>48</v>
      </c>
      <c r="J4412" t="s">
        <v>139</v>
      </c>
      <c r="K4412">
        <v>544.75</v>
      </c>
      <c r="L4412" t="s">
        <v>10395</v>
      </c>
      <c r="M4412">
        <f>VLOOKUP(H4412,'Stage Order'!$A$2:$B$8,2,FALSE)</f>
        <v>6</v>
      </c>
      <c r="N4412" t="str">
        <f t="shared" si="136"/>
        <v>2. 1-24 hours</v>
      </c>
      <c r="O4412" t="str">
        <f t="shared" si="137"/>
        <v>2025-04</v>
      </c>
    </row>
    <row r="4413" spans="1:15" x14ac:dyDescent="0.3">
      <c r="A4413" t="s">
        <v>10396</v>
      </c>
      <c r="B4413" t="s">
        <v>10397</v>
      </c>
      <c r="C4413" t="s">
        <v>81</v>
      </c>
      <c r="D4413" t="s">
        <v>54</v>
      </c>
      <c r="E4413" t="s">
        <v>45</v>
      </c>
      <c r="F4413" t="s">
        <v>55</v>
      </c>
      <c r="G4413">
        <v>1.63</v>
      </c>
      <c r="H4413" t="s">
        <v>61</v>
      </c>
      <c r="I4413" t="s">
        <v>42</v>
      </c>
      <c r="M4413">
        <f>VLOOKUP(H4413,'Stage Order'!$A$2:$B$8,2,FALSE)</f>
        <v>1</v>
      </c>
      <c r="N4413" t="str">
        <f t="shared" si="136"/>
        <v>2. 1-24 hours</v>
      </c>
      <c r="O4413" t="str">
        <f t="shared" si="137"/>
        <v>2025-06</v>
      </c>
    </row>
    <row r="4414" spans="1:15" x14ac:dyDescent="0.3">
      <c r="A4414" t="s">
        <v>10398</v>
      </c>
      <c r="B4414" t="s">
        <v>10399</v>
      </c>
      <c r="C4414" t="s">
        <v>76</v>
      </c>
      <c r="D4414" t="s">
        <v>38</v>
      </c>
      <c r="E4414" t="s">
        <v>30</v>
      </c>
      <c r="F4414" t="s">
        <v>31</v>
      </c>
      <c r="G4414">
        <v>4.1500000000000004</v>
      </c>
      <c r="H4414" t="s">
        <v>32</v>
      </c>
      <c r="I4414" t="s">
        <v>33</v>
      </c>
      <c r="K4414">
        <v>348.09</v>
      </c>
      <c r="L4414" t="s">
        <v>10400</v>
      </c>
      <c r="M4414">
        <f>VLOOKUP(H4414,'Stage Order'!$A$2:$B$8,2,FALSE)</f>
        <v>7</v>
      </c>
      <c r="N4414" t="str">
        <f t="shared" si="136"/>
        <v>2. 1-24 hours</v>
      </c>
      <c r="O4414" t="str">
        <f t="shared" si="137"/>
        <v>2025-09</v>
      </c>
    </row>
    <row r="4415" spans="1:15" x14ac:dyDescent="0.3">
      <c r="A4415" t="s">
        <v>10401</v>
      </c>
      <c r="B4415" t="s">
        <v>10402</v>
      </c>
      <c r="C4415" t="s">
        <v>37</v>
      </c>
      <c r="D4415" t="s">
        <v>38</v>
      </c>
      <c r="E4415" t="s">
        <v>90</v>
      </c>
      <c r="F4415" t="s">
        <v>112</v>
      </c>
      <c r="G4415">
        <v>2.91</v>
      </c>
      <c r="H4415" t="s">
        <v>41</v>
      </c>
      <c r="I4415" t="s">
        <v>42</v>
      </c>
      <c r="M4415">
        <f>VLOOKUP(H4415,'Stage Order'!$A$2:$B$8,2,FALSE)</f>
        <v>2</v>
      </c>
      <c r="N4415" t="str">
        <f t="shared" si="136"/>
        <v>2. 1-24 hours</v>
      </c>
      <c r="O4415" t="str">
        <f t="shared" si="137"/>
        <v>2025-04</v>
      </c>
    </row>
    <row r="4416" spans="1:15" x14ac:dyDescent="0.3">
      <c r="A4416" t="s">
        <v>10403</v>
      </c>
      <c r="B4416" t="s">
        <v>10404</v>
      </c>
      <c r="C4416" t="s">
        <v>58</v>
      </c>
      <c r="D4416" t="s">
        <v>54</v>
      </c>
      <c r="E4416" t="s">
        <v>90</v>
      </c>
      <c r="F4416" t="s">
        <v>91</v>
      </c>
      <c r="G4416">
        <v>2.2999999999999998</v>
      </c>
      <c r="H4416" t="s">
        <v>61</v>
      </c>
      <c r="I4416" t="s">
        <v>42</v>
      </c>
      <c r="M4416">
        <f>VLOOKUP(H4416,'Stage Order'!$A$2:$B$8,2,FALSE)</f>
        <v>1</v>
      </c>
      <c r="N4416" t="str">
        <f t="shared" si="136"/>
        <v>2. 1-24 hours</v>
      </c>
      <c r="O4416" t="str">
        <f t="shared" si="137"/>
        <v>2025-05</v>
      </c>
    </row>
    <row r="4417" spans="1:15" x14ac:dyDescent="0.3">
      <c r="A4417" t="s">
        <v>10405</v>
      </c>
      <c r="B4417" t="s">
        <v>10406</v>
      </c>
      <c r="C4417" t="s">
        <v>37</v>
      </c>
      <c r="D4417" t="s">
        <v>38</v>
      </c>
      <c r="E4417" t="s">
        <v>59</v>
      </c>
      <c r="F4417" t="s">
        <v>137</v>
      </c>
      <c r="G4417">
        <v>0.45</v>
      </c>
      <c r="H4417" t="s">
        <v>138</v>
      </c>
      <c r="I4417" t="s">
        <v>48</v>
      </c>
      <c r="J4417" t="s">
        <v>49</v>
      </c>
      <c r="K4417">
        <v>385.7</v>
      </c>
      <c r="L4417" t="s">
        <v>10407</v>
      </c>
      <c r="M4417">
        <f>VLOOKUP(H4417,'Stage Order'!$A$2:$B$8,2,FALSE)</f>
        <v>6</v>
      </c>
      <c r="N4417" t="str">
        <f t="shared" si="136"/>
        <v>1. Under 1 hour</v>
      </c>
      <c r="O4417" t="str">
        <f t="shared" si="137"/>
        <v>2026-01</v>
      </c>
    </row>
    <row r="4418" spans="1:15" x14ac:dyDescent="0.3">
      <c r="A4418" t="s">
        <v>10408</v>
      </c>
      <c r="B4418" t="s">
        <v>10409</v>
      </c>
      <c r="C4418" t="s">
        <v>28</v>
      </c>
      <c r="D4418" t="s">
        <v>54</v>
      </c>
      <c r="E4418" t="s">
        <v>90</v>
      </c>
      <c r="F4418" t="s">
        <v>112</v>
      </c>
      <c r="G4418">
        <v>3.83</v>
      </c>
      <c r="H4418" t="s">
        <v>32</v>
      </c>
      <c r="I4418" t="s">
        <v>33</v>
      </c>
      <c r="K4418">
        <v>596.02</v>
      </c>
      <c r="L4418" t="s">
        <v>10410</v>
      </c>
      <c r="M4418">
        <f>VLOOKUP(H4418,'Stage Order'!$A$2:$B$8,2,FALSE)</f>
        <v>7</v>
      </c>
      <c r="N4418" t="str">
        <f t="shared" ref="N4418:N4481" si="138">IF(G4418&lt;=1,"1. Under 1 hour",IF(G4418&lt;=24,"2. 1-24 hours",IF(G4418&lt;=72,"3. 1-3 days","4. Over 3 days")))</f>
        <v>2. 1-24 hours</v>
      </c>
      <c r="O4418" t="str">
        <f t="shared" ref="O4418:O4481" si="139">TEXT(B4418,"YYYY-MM")</f>
        <v>2026-06</v>
      </c>
    </row>
    <row r="4419" spans="1:15" x14ac:dyDescent="0.3">
      <c r="A4419" t="s">
        <v>10411</v>
      </c>
      <c r="B4419" t="s">
        <v>10412</v>
      </c>
      <c r="C4419" t="s">
        <v>37</v>
      </c>
      <c r="D4419" t="s">
        <v>77</v>
      </c>
      <c r="E4419" t="s">
        <v>39</v>
      </c>
      <c r="F4419" t="s">
        <v>106</v>
      </c>
      <c r="G4419">
        <v>0.97</v>
      </c>
      <c r="H4419" t="s">
        <v>41</v>
      </c>
      <c r="I4419" t="s">
        <v>42</v>
      </c>
      <c r="M4419">
        <f>VLOOKUP(H4419,'Stage Order'!$A$2:$B$8,2,FALSE)</f>
        <v>2</v>
      </c>
      <c r="N4419" t="str">
        <f t="shared" si="138"/>
        <v>1. Under 1 hour</v>
      </c>
      <c r="O4419" t="str">
        <f t="shared" si="139"/>
        <v>2025-01</v>
      </c>
    </row>
    <row r="4420" spans="1:15" x14ac:dyDescent="0.3">
      <c r="A4420" t="s">
        <v>10413</v>
      </c>
      <c r="B4420" t="s">
        <v>10414</v>
      </c>
      <c r="C4420" t="s">
        <v>53</v>
      </c>
      <c r="D4420" t="s">
        <v>54</v>
      </c>
      <c r="E4420" t="s">
        <v>45</v>
      </c>
      <c r="F4420" t="s">
        <v>94</v>
      </c>
      <c r="G4420">
        <v>3.31</v>
      </c>
      <c r="H4420" t="s">
        <v>41</v>
      </c>
      <c r="I4420" t="s">
        <v>42</v>
      </c>
      <c r="M4420">
        <f>VLOOKUP(H4420,'Stage Order'!$A$2:$B$8,2,FALSE)</f>
        <v>2</v>
      </c>
      <c r="N4420" t="str">
        <f t="shared" si="138"/>
        <v>2. 1-24 hours</v>
      </c>
      <c r="O4420" t="str">
        <f t="shared" si="139"/>
        <v>2026-05</v>
      </c>
    </row>
    <row r="4421" spans="1:15" x14ac:dyDescent="0.3">
      <c r="A4421" t="s">
        <v>10415</v>
      </c>
      <c r="B4421" t="s">
        <v>10416</v>
      </c>
      <c r="C4421" t="s">
        <v>125</v>
      </c>
      <c r="D4421" t="s">
        <v>29</v>
      </c>
      <c r="E4421" t="s">
        <v>30</v>
      </c>
      <c r="F4421" t="s">
        <v>31</v>
      </c>
      <c r="G4421">
        <v>5.71</v>
      </c>
      <c r="H4421" t="s">
        <v>41</v>
      </c>
      <c r="I4421" t="s">
        <v>42</v>
      </c>
      <c r="M4421">
        <f>VLOOKUP(H4421,'Stage Order'!$A$2:$B$8,2,FALSE)</f>
        <v>2</v>
      </c>
      <c r="N4421" t="str">
        <f t="shared" si="138"/>
        <v>2. 1-24 hours</v>
      </c>
      <c r="O4421" t="str">
        <f t="shared" si="139"/>
        <v>2025-08</v>
      </c>
    </row>
    <row r="4422" spans="1:15" x14ac:dyDescent="0.3">
      <c r="A4422" t="s">
        <v>10417</v>
      </c>
      <c r="B4422" t="s">
        <v>10418</v>
      </c>
      <c r="C4422" t="s">
        <v>76</v>
      </c>
      <c r="D4422" t="s">
        <v>97</v>
      </c>
      <c r="E4422" t="s">
        <v>59</v>
      </c>
      <c r="F4422" t="s">
        <v>137</v>
      </c>
      <c r="G4422">
        <v>1.74</v>
      </c>
      <c r="H4422" t="s">
        <v>41</v>
      </c>
      <c r="I4422" t="s">
        <v>42</v>
      </c>
      <c r="M4422">
        <f>VLOOKUP(H4422,'Stage Order'!$A$2:$B$8,2,FALSE)</f>
        <v>2</v>
      </c>
      <c r="N4422" t="str">
        <f t="shared" si="138"/>
        <v>2. 1-24 hours</v>
      </c>
      <c r="O4422" t="str">
        <f t="shared" si="139"/>
        <v>2025-05</v>
      </c>
    </row>
    <row r="4423" spans="1:15" x14ac:dyDescent="0.3">
      <c r="A4423" t="s">
        <v>10419</v>
      </c>
      <c r="B4423" t="s">
        <v>10420</v>
      </c>
      <c r="C4423" t="s">
        <v>58</v>
      </c>
      <c r="D4423" t="s">
        <v>29</v>
      </c>
      <c r="E4423" t="s">
        <v>90</v>
      </c>
      <c r="F4423" t="s">
        <v>91</v>
      </c>
      <c r="G4423">
        <v>0.72</v>
      </c>
      <c r="H4423" t="s">
        <v>41</v>
      </c>
      <c r="I4423" t="s">
        <v>42</v>
      </c>
      <c r="M4423">
        <f>VLOOKUP(H4423,'Stage Order'!$A$2:$B$8,2,FALSE)</f>
        <v>2</v>
      </c>
      <c r="N4423" t="str">
        <f t="shared" si="138"/>
        <v>1. Under 1 hour</v>
      </c>
      <c r="O4423" t="str">
        <f t="shared" si="139"/>
        <v>2025-10</v>
      </c>
    </row>
    <row r="4424" spans="1:15" x14ac:dyDescent="0.3">
      <c r="A4424" t="s">
        <v>10421</v>
      </c>
      <c r="B4424" t="s">
        <v>10422</v>
      </c>
      <c r="C4424" t="s">
        <v>37</v>
      </c>
      <c r="D4424" t="s">
        <v>29</v>
      </c>
      <c r="E4424" t="s">
        <v>59</v>
      </c>
      <c r="F4424" t="s">
        <v>60</v>
      </c>
      <c r="G4424">
        <v>4.96</v>
      </c>
      <c r="H4424" t="s">
        <v>41</v>
      </c>
      <c r="I4424" t="s">
        <v>42</v>
      </c>
      <c r="M4424">
        <f>VLOOKUP(H4424,'Stage Order'!$A$2:$B$8,2,FALSE)</f>
        <v>2</v>
      </c>
      <c r="N4424" t="str">
        <f t="shared" si="138"/>
        <v>2. 1-24 hours</v>
      </c>
      <c r="O4424" t="str">
        <f t="shared" si="139"/>
        <v>2025-10</v>
      </c>
    </row>
    <row r="4425" spans="1:15" x14ac:dyDescent="0.3">
      <c r="A4425" t="s">
        <v>10423</v>
      </c>
      <c r="B4425" t="s">
        <v>10424</v>
      </c>
      <c r="C4425" t="s">
        <v>37</v>
      </c>
      <c r="D4425" t="s">
        <v>54</v>
      </c>
      <c r="E4425" t="s">
        <v>45</v>
      </c>
      <c r="F4425" t="s">
        <v>46</v>
      </c>
      <c r="G4425">
        <v>30.45</v>
      </c>
      <c r="H4425" t="s">
        <v>41</v>
      </c>
      <c r="I4425" t="s">
        <v>42</v>
      </c>
      <c r="M4425">
        <f>VLOOKUP(H4425,'Stage Order'!$A$2:$B$8,2,FALSE)</f>
        <v>2</v>
      </c>
      <c r="N4425" t="str">
        <f t="shared" si="138"/>
        <v>3. 1-3 days</v>
      </c>
      <c r="O4425" t="str">
        <f t="shared" si="139"/>
        <v>2026-02</v>
      </c>
    </row>
    <row r="4426" spans="1:15" x14ac:dyDescent="0.3">
      <c r="A4426" t="s">
        <v>10425</v>
      </c>
      <c r="B4426" t="s">
        <v>10426</v>
      </c>
      <c r="C4426" t="s">
        <v>125</v>
      </c>
      <c r="D4426" t="s">
        <v>54</v>
      </c>
      <c r="E4426" t="s">
        <v>45</v>
      </c>
      <c r="F4426" t="s">
        <v>55</v>
      </c>
      <c r="G4426">
        <v>3.5</v>
      </c>
      <c r="H4426" t="s">
        <v>41</v>
      </c>
      <c r="I4426" t="s">
        <v>42</v>
      </c>
      <c r="M4426">
        <f>VLOOKUP(H4426,'Stage Order'!$A$2:$B$8,2,FALSE)</f>
        <v>2</v>
      </c>
      <c r="N4426" t="str">
        <f t="shared" si="138"/>
        <v>2. 1-24 hours</v>
      </c>
      <c r="O4426" t="str">
        <f t="shared" si="139"/>
        <v>2025-02</v>
      </c>
    </row>
    <row r="4427" spans="1:15" x14ac:dyDescent="0.3">
      <c r="A4427" t="s">
        <v>10427</v>
      </c>
      <c r="B4427" t="s">
        <v>10428</v>
      </c>
      <c r="C4427" t="s">
        <v>76</v>
      </c>
      <c r="D4427" t="s">
        <v>77</v>
      </c>
      <c r="E4427" t="s">
        <v>45</v>
      </c>
      <c r="F4427" t="s">
        <v>55</v>
      </c>
      <c r="G4427">
        <v>6.08</v>
      </c>
      <c r="H4427" t="s">
        <v>41</v>
      </c>
      <c r="I4427" t="s">
        <v>42</v>
      </c>
      <c r="M4427">
        <f>VLOOKUP(H4427,'Stage Order'!$A$2:$B$8,2,FALSE)</f>
        <v>2</v>
      </c>
      <c r="N4427" t="str">
        <f t="shared" si="138"/>
        <v>2. 1-24 hours</v>
      </c>
      <c r="O4427" t="str">
        <f t="shared" si="139"/>
        <v>2026-01</v>
      </c>
    </row>
    <row r="4428" spans="1:15" x14ac:dyDescent="0.3">
      <c r="A4428" t="s">
        <v>10429</v>
      </c>
      <c r="B4428" t="s">
        <v>10430</v>
      </c>
      <c r="C4428" t="s">
        <v>81</v>
      </c>
      <c r="D4428" t="s">
        <v>97</v>
      </c>
      <c r="E4428" t="s">
        <v>59</v>
      </c>
      <c r="F4428" t="s">
        <v>137</v>
      </c>
      <c r="G4428">
        <v>3.98</v>
      </c>
      <c r="H4428" t="s">
        <v>61</v>
      </c>
      <c r="I4428" t="s">
        <v>42</v>
      </c>
      <c r="M4428">
        <f>VLOOKUP(H4428,'Stage Order'!$A$2:$B$8,2,FALSE)</f>
        <v>1</v>
      </c>
      <c r="N4428" t="str">
        <f t="shared" si="138"/>
        <v>2. 1-24 hours</v>
      </c>
      <c r="O4428" t="str">
        <f t="shared" si="139"/>
        <v>2025-02</v>
      </c>
    </row>
    <row r="4429" spans="1:15" x14ac:dyDescent="0.3">
      <c r="A4429" t="s">
        <v>10431</v>
      </c>
      <c r="B4429" t="s">
        <v>10432</v>
      </c>
      <c r="C4429" t="s">
        <v>53</v>
      </c>
      <c r="D4429" t="s">
        <v>29</v>
      </c>
      <c r="E4429" t="s">
        <v>90</v>
      </c>
      <c r="F4429" t="s">
        <v>145</v>
      </c>
      <c r="G4429">
        <v>11.2</v>
      </c>
      <c r="H4429" t="s">
        <v>41</v>
      </c>
      <c r="I4429" t="s">
        <v>42</v>
      </c>
      <c r="M4429">
        <f>VLOOKUP(H4429,'Stage Order'!$A$2:$B$8,2,FALSE)</f>
        <v>2</v>
      </c>
      <c r="N4429" t="str">
        <f t="shared" si="138"/>
        <v>2. 1-24 hours</v>
      </c>
      <c r="O4429" t="str">
        <f t="shared" si="139"/>
        <v>2025-07</v>
      </c>
    </row>
    <row r="4430" spans="1:15" x14ac:dyDescent="0.3">
      <c r="A4430" t="s">
        <v>10433</v>
      </c>
      <c r="B4430" t="s">
        <v>10434</v>
      </c>
      <c r="C4430" t="s">
        <v>37</v>
      </c>
      <c r="D4430" t="s">
        <v>54</v>
      </c>
      <c r="E4430" t="s">
        <v>59</v>
      </c>
      <c r="F4430" t="s">
        <v>117</v>
      </c>
      <c r="G4430">
        <v>2.5499999999999998</v>
      </c>
      <c r="H4430" t="s">
        <v>41</v>
      </c>
      <c r="I4430" t="s">
        <v>42</v>
      </c>
      <c r="M4430">
        <f>VLOOKUP(H4430,'Stage Order'!$A$2:$B$8,2,FALSE)</f>
        <v>2</v>
      </c>
      <c r="N4430" t="str">
        <f t="shared" si="138"/>
        <v>2. 1-24 hours</v>
      </c>
      <c r="O4430" t="str">
        <f t="shared" si="139"/>
        <v>2025-10</v>
      </c>
    </row>
    <row r="4431" spans="1:15" x14ac:dyDescent="0.3">
      <c r="A4431" t="s">
        <v>10435</v>
      </c>
      <c r="B4431" t="s">
        <v>10436</v>
      </c>
      <c r="C4431" t="s">
        <v>58</v>
      </c>
      <c r="D4431" t="s">
        <v>29</v>
      </c>
      <c r="E4431" t="s">
        <v>59</v>
      </c>
      <c r="F4431" t="s">
        <v>137</v>
      </c>
      <c r="G4431">
        <v>5.24</v>
      </c>
      <c r="H4431" t="s">
        <v>41</v>
      </c>
      <c r="I4431" t="s">
        <v>42</v>
      </c>
      <c r="M4431">
        <f>VLOOKUP(H4431,'Stage Order'!$A$2:$B$8,2,FALSE)</f>
        <v>2</v>
      </c>
      <c r="N4431" t="str">
        <f t="shared" si="138"/>
        <v>2. 1-24 hours</v>
      </c>
      <c r="O4431" t="str">
        <f t="shared" si="139"/>
        <v>2026-01</v>
      </c>
    </row>
    <row r="4432" spans="1:15" x14ac:dyDescent="0.3">
      <c r="A4432" t="s">
        <v>10437</v>
      </c>
      <c r="B4432" t="s">
        <v>10438</v>
      </c>
      <c r="C4432" t="s">
        <v>37</v>
      </c>
      <c r="D4432" t="s">
        <v>29</v>
      </c>
      <c r="E4432" t="s">
        <v>30</v>
      </c>
      <c r="F4432" t="s">
        <v>31</v>
      </c>
      <c r="G4432">
        <v>1.27</v>
      </c>
      <c r="H4432" t="s">
        <v>61</v>
      </c>
      <c r="I4432" t="s">
        <v>42</v>
      </c>
      <c r="M4432">
        <f>VLOOKUP(H4432,'Stage Order'!$A$2:$B$8,2,FALSE)</f>
        <v>1</v>
      </c>
      <c r="N4432" t="str">
        <f t="shared" si="138"/>
        <v>2. 1-24 hours</v>
      </c>
      <c r="O4432" t="str">
        <f t="shared" si="139"/>
        <v>2025-11</v>
      </c>
    </row>
    <row r="4433" spans="1:15" x14ac:dyDescent="0.3">
      <c r="A4433" t="s">
        <v>10439</v>
      </c>
      <c r="B4433" t="s">
        <v>10440</v>
      </c>
      <c r="C4433" t="s">
        <v>28</v>
      </c>
      <c r="D4433" t="s">
        <v>38</v>
      </c>
      <c r="E4433" t="s">
        <v>39</v>
      </c>
      <c r="F4433" t="s">
        <v>106</v>
      </c>
      <c r="G4433">
        <v>7.43</v>
      </c>
      <c r="H4433" t="s">
        <v>32</v>
      </c>
      <c r="I4433" t="s">
        <v>33</v>
      </c>
      <c r="K4433">
        <v>419.69</v>
      </c>
      <c r="L4433" t="s">
        <v>10441</v>
      </c>
      <c r="M4433">
        <f>VLOOKUP(H4433,'Stage Order'!$A$2:$B$8,2,FALSE)</f>
        <v>7</v>
      </c>
      <c r="N4433" t="str">
        <f t="shared" si="138"/>
        <v>2. 1-24 hours</v>
      </c>
      <c r="O4433" t="str">
        <f t="shared" si="139"/>
        <v>2025-11</v>
      </c>
    </row>
    <row r="4434" spans="1:15" x14ac:dyDescent="0.3">
      <c r="A4434" t="s">
        <v>10442</v>
      </c>
      <c r="B4434" t="s">
        <v>10443</v>
      </c>
      <c r="C4434" t="s">
        <v>125</v>
      </c>
      <c r="D4434" t="s">
        <v>97</v>
      </c>
      <c r="E4434" t="s">
        <v>39</v>
      </c>
      <c r="F4434" t="s">
        <v>106</v>
      </c>
      <c r="G4434">
        <v>3.24</v>
      </c>
      <c r="H4434" t="s">
        <v>146</v>
      </c>
      <c r="I4434" t="s">
        <v>48</v>
      </c>
      <c r="J4434" t="s">
        <v>98</v>
      </c>
      <c r="K4434">
        <v>1247.6400000000001</v>
      </c>
      <c r="L4434" t="s">
        <v>10444</v>
      </c>
      <c r="M4434">
        <f>VLOOKUP(H4434,'Stage Order'!$A$2:$B$8,2,FALSE)</f>
        <v>5</v>
      </c>
      <c r="N4434" t="str">
        <f t="shared" si="138"/>
        <v>2. 1-24 hours</v>
      </c>
      <c r="O4434" t="str">
        <f t="shared" si="139"/>
        <v>2025-01</v>
      </c>
    </row>
    <row r="4435" spans="1:15" x14ac:dyDescent="0.3">
      <c r="A4435" t="s">
        <v>10445</v>
      </c>
      <c r="B4435" t="s">
        <v>10446</v>
      </c>
      <c r="C4435" t="s">
        <v>37</v>
      </c>
      <c r="D4435" t="s">
        <v>29</v>
      </c>
      <c r="E4435" t="s">
        <v>45</v>
      </c>
      <c r="F4435" t="s">
        <v>94</v>
      </c>
      <c r="G4435">
        <v>4.2300000000000004</v>
      </c>
      <c r="H4435" t="s">
        <v>138</v>
      </c>
      <c r="I4435" t="s">
        <v>48</v>
      </c>
      <c r="J4435" t="s">
        <v>98</v>
      </c>
      <c r="K4435">
        <v>608.45000000000005</v>
      </c>
      <c r="L4435" t="s">
        <v>10447</v>
      </c>
      <c r="M4435">
        <f>VLOOKUP(H4435,'Stage Order'!$A$2:$B$8,2,FALSE)</f>
        <v>6</v>
      </c>
      <c r="N4435" t="str">
        <f t="shared" si="138"/>
        <v>2. 1-24 hours</v>
      </c>
      <c r="O4435" t="str">
        <f t="shared" si="139"/>
        <v>2025-05</v>
      </c>
    </row>
    <row r="4436" spans="1:15" x14ac:dyDescent="0.3">
      <c r="A4436" t="s">
        <v>10448</v>
      </c>
      <c r="B4436" t="s">
        <v>10449</v>
      </c>
      <c r="C4436" t="s">
        <v>81</v>
      </c>
      <c r="D4436" t="s">
        <v>77</v>
      </c>
      <c r="E4436" t="s">
        <v>45</v>
      </c>
      <c r="F4436" t="s">
        <v>55</v>
      </c>
      <c r="G4436">
        <v>3.35</v>
      </c>
      <c r="H4436" t="s">
        <v>41</v>
      </c>
      <c r="I4436" t="s">
        <v>42</v>
      </c>
      <c r="M4436">
        <f>VLOOKUP(H4436,'Stage Order'!$A$2:$B$8,2,FALSE)</f>
        <v>2</v>
      </c>
      <c r="N4436" t="str">
        <f t="shared" si="138"/>
        <v>2. 1-24 hours</v>
      </c>
      <c r="O4436" t="str">
        <f t="shared" si="139"/>
        <v>2026-02</v>
      </c>
    </row>
    <row r="4437" spans="1:15" x14ac:dyDescent="0.3">
      <c r="A4437" t="s">
        <v>10450</v>
      </c>
      <c r="B4437" t="s">
        <v>10451</v>
      </c>
      <c r="C4437" t="s">
        <v>76</v>
      </c>
      <c r="D4437" t="s">
        <v>38</v>
      </c>
      <c r="E4437" t="s">
        <v>45</v>
      </c>
      <c r="F4437" t="s">
        <v>55</v>
      </c>
      <c r="G4437">
        <v>4.53</v>
      </c>
      <c r="H4437" t="s">
        <v>41</v>
      </c>
      <c r="I4437" t="s">
        <v>42</v>
      </c>
      <c r="M4437">
        <f>VLOOKUP(H4437,'Stage Order'!$A$2:$B$8,2,FALSE)</f>
        <v>2</v>
      </c>
      <c r="N4437" t="str">
        <f t="shared" si="138"/>
        <v>2. 1-24 hours</v>
      </c>
      <c r="O4437" t="str">
        <f t="shared" si="139"/>
        <v>2026-04</v>
      </c>
    </row>
    <row r="4438" spans="1:15" x14ac:dyDescent="0.3">
      <c r="A4438" t="s">
        <v>10452</v>
      </c>
      <c r="B4438" t="s">
        <v>10453</v>
      </c>
      <c r="C4438" t="s">
        <v>37</v>
      </c>
      <c r="D4438" t="s">
        <v>29</v>
      </c>
      <c r="E4438" t="s">
        <v>39</v>
      </c>
      <c r="F4438" t="s">
        <v>66</v>
      </c>
      <c r="G4438">
        <v>3.95</v>
      </c>
      <c r="H4438" t="s">
        <v>47</v>
      </c>
      <c r="I4438" t="s">
        <v>48</v>
      </c>
      <c r="J4438" t="s">
        <v>49</v>
      </c>
      <c r="K4438">
        <v>722.51</v>
      </c>
      <c r="L4438" t="s">
        <v>10454</v>
      </c>
      <c r="M4438">
        <f>VLOOKUP(H4438,'Stage Order'!$A$2:$B$8,2,FALSE)</f>
        <v>4</v>
      </c>
      <c r="N4438" t="str">
        <f t="shared" si="138"/>
        <v>2. 1-24 hours</v>
      </c>
      <c r="O4438" t="str">
        <f t="shared" si="139"/>
        <v>2025-12</v>
      </c>
    </row>
    <row r="4439" spans="1:15" x14ac:dyDescent="0.3">
      <c r="A4439" t="s">
        <v>10455</v>
      </c>
      <c r="B4439" t="s">
        <v>10456</v>
      </c>
      <c r="C4439" t="s">
        <v>28</v>
      </c>
      <c r="D4439" t="s">
        <v>38</v>
      </c>
      <c r="E4439" t="s">
        <v>30</v>
      </c>
      <c r="F4439" t="s">
        <v>31</v>
      </c>
      <c r="G4439">
        <v>9.24</v>
      </c>
      <c r="H4439" t="s">
        <v>41</v>
      </c>
      <c r="I4439" t="s">
        <v>42</v>
      </c>
      <c r="M4439">
        <f>VLOOKUP(H4439,'Stage Order'!$A$2:$B$8,2,FALSE)</f>
        <v>2</v>
      </c>
      <c r="N4439" t="str">
        <f t="shared" si="138"/>
        <v>2. 1-24 hours</v>
      </c>
      <c r="O4439" t="str">
        <f t="shared" si="139"/>
        <v>2025-08</v>
      </c>
    </row>
    <row r="4440" spans="1:15" x14ac:dyDescent="0.3">
      <c r="A4440" t="s">
        <v>10457</v>
      </c>
      <c r="B4440" t="s">
        <v>10458</v>
      </c>
      <c r="C4440" t="s">
        <v>28</v>
      </c>
      <c r="D4440" t="s">
        <v>77</v>
      </c>
      <c r="E4440" t="s">
        <v>90</v>
      </c>
      <c r="F4440" t="s">
        <v>112</v>
      </c>
      <c r="G4440">
        <v>3.78</v>
      </c>
      <c r="H4440" t="s">
        <v>41</v>
      </c>
      <c r="I4440" t="s">
        <v>42</v>
      </c>
      <c r="M4440">
        <f>VLOOKUP(H4440,'Stage Order'!$A$2:$B$8,2,FALSE)</f>
        <v>2</v>
      </c>
      <c r="N4440" t="str">
        <f t="shared" si="138"/>
        <v>2. 1-24 hours</v>
      </c>
      <c r="O4440" t="str">
        <f t="shared" si="139"/>
        <v>2025-10</v>
      </c>
    </row>
    <row r="4441" spans="1:15" x14ac:dyDescent="0.3">
      <c r="A4441" t="s">
        <v>10459</v>
      </c>
      <c r="B4441" t="s">
        <v>10460</v>
      </c>
      <c r="C4441" t="s">
        <v>53</v>
      </c>
      <c r="D4441" t="s">
        <v>97</v>
      </c>
      <c r="E4441" t="s">
        <v>59</v>
      </c>
      <c r="F4441" t="s">
        <v>137</v>
      </c>
      <c r="G4441">
        <v>0.92</v>
      </c>
      <c r="H4441" t="s">
        <v>61</v>
      </c>
      <c r="I4441" t="s">
        <v>42</v>
      </c>
      <c r="M4441">
        <f>VLOOKUP(H4441,'Stage Order'!$A$2:$B$8,2,FALSE)</f>
        <v>1</v>
      </c>
      <c r="N4441" t="str">
        <f t="shared" si="138"/>
        <v>1. Under 1 hour</v>
      </c>
      <c r="O4441" t="str">
        <f t="shared" si="139"/>
        <v>2025-03</v>
      </c>
    </row>
    <row r="4442" spans="1:15" x14ac:dyDescent="0.3">
      <c r="A4442" t="s">
        <v>10461</v>
      </c>
      <c r="B4442" t="s">
        <v>10462</v>
      </c>
      <c r="C4442" t="s">
        <v>37</v>
      </c>
      <c r="D4442" t="s">
        <v>97</v>
      </c>
      <c r="E4442" t="s">
        <v>90</v>
      </c>
      <c r="F4442" t="s">
        <v>145</v>
      </c>
      <c r="G4442">
        <v>3.83</v>
      </c>
      <c r="H4442" t="s">
        <v>61</v>
      </c>
      <c r="I4442" t="s">
        <v>42</v>
      </c>
      <c r="M4442">
        <f>VLOOKUP(H4442,'Stage Order'!$A$2:$B$8,2,FALSE)</f>
        <v>1</v>
      </c>
      <c r="N4442" t="str">
        <f t="shared" si="138"/>
        <v>2. 1-24 hours</v>
      </c>
      <c r="O4442" t="str">
        <f t="shared" si="139"/>
        <v>2025-03</v>
      </c>
    </row>
    <row r="4443" spans="1:15" x14ac:dyDescent="0.3">
      <c r="A4443" t="s">
        <v>10463</v>
      </c>
      <c r="B4443" t="s">
        <v>10464</v>
      </c>
      <c r="C4443" t="s">
        <v>125</v>
      </c>
      <c r="D4443" t="s">
        <v>38</v>
      </c>
      <c r="E4443" t="s">
        <v>90</v>
      </c>
      <c r="F4443" t="s">
        <v>91</v>
      </c>
      <c r="G4443">
        <v>2.92</v>
      </c>
      <c r="H4443" t="s">
        <v>41</v>
      </c>
      <c r="I4443" t="s">
        <v>42</v>
      </c>
      <c r="M4443">
        <f>VLOOKUP(H4443,'Stage Order'!$A$2:$B$8,2,FALSE)</f>
        <v>2</v>
      </c>
      <c r="N4443" t="str">
        <f t="shared" si="138"/>
        <v>2. 1-24 hours</v>
      </c>
      <c r="O4443" t="str">
        <f t="shared" si="139"/>
        <v>2026-04</v>
      </c>
    </row>
    <row r="4444" spans="1:15" x14ac:dyDescent="0.3">
      <c r="A4444" t="s">
        <v>10465</v>
      </c>
      <c r="B4444" t="s">
        <v>6831</v>
      </c>
      <c r="C4444" t="s">
        <v>37</v>
      </c>
      <c r="D4444" t="s">
        <v>77</v>
      </c>
      <c r="E4444" t="s">
        <v>39</v>
      </c>
      <c r="F4444" t="s">
        <v>40</v>
      </c>
      <c r="G4444">
        <v>16.059999999999999</v>
      </c>
      <c r="H4444" t="s">
        <v>32</v>
      </c>
      <c r="I4444" t="s">
        <v>33</v>
      </c>
      <c r="K4444">
        <v>1027.24</v>
      </c>
      <c r="L4444" t="s">
        <v>10466</v>
      </c>
      <c r="M4444">
        <f>VLOOKUP(H4444,'Stage Order'!$A$2:$B$8,2,FALSE)</f>
        <v>7</v>
      </c>
      <c r="N4444" t="str">
        <f t="shared" si="138"/>
        <v>2. 1-24 hours</v>
      </c>
      <c r="O4444" t="str">
        <f t="shared" si="139"/>
        <v>2025-02</v>
      </c>
    </row>
    <row r="4445" spans="1:15" x14ac:dyDescent="0.3">
      <c r="A4445" t="s">
        <v>10467</v>
      </c>
      <c r="B4445" t="s">
        <v>10468</v>
      </c>
      <c r="C4445" t="s">
        <v>81</v>
      </c>
      <c r="D4445" t="s">
        <v>29</v>
      </c>
      <c r="E4445" t="s">
        <v>45</v>
      </c>
      <c r="F4445" t="s">
        <v>46</v>
      </c>
      <c r="G4445">
        <v>7.17</v>
      </c>
      <c r="H4445" t="s">
        <v>41</v>
      </c>
      <c r="I4445" t="s">
        <v>42</v>
      </c>
      <c r="M4445">
        <f>VLOOKUP(H4445,'Stage Order'!$A$2:$B$8,2,FALSE)</f>
        <v>2</v>
      </c>
      <c r="N4445" t="str">
        <f t="shared" si="138"/>
        <v>2. 1-24 hours</v>
      </c>
      <c r="O4445" t="str">
        <f t="shared" si="139"/>
        <v>2026-02</v>
      </c>
    </row>
    <row r="4446" spans="1:15" x14ac:dyDescent="0.3">
      <c r="A4446" t="s">
        <v>10469</v>
      </c>
      <c r="B4446" t="s">
        <v>10470</v>
      </c>
      <c r="C4446" t="s">
        <v>125</v>
      </c>
      <c r="D4446" t="s">
        <v>54</v>
      </c>
      <c r="E4446" t="s">
        <v>59</v>
      </c>
      <c r="F4446" t="s">
        <v>117</v>
      </c>
      <c r="G4446">
        <v>6.63</v>
      </c>
      <c r="H4446" t="s">
        <v>41</v>
      </c>
      <c r="I4446" t="s">
        <v>42</v>
      </c>
      <c r="M4446">
        <f>VLOOKUP(H4446,'Stage Order'!$A$2:$B$8,2,FALSE)</f>
        <v>2</v>
      </c>
      <c r="N4446" t="str">
        <f t="shared" si="138"/>
        <v>2. 1-24 hours</v>
      </c>
      <c r="O4446" t="str">
        <f t="shared" si="139"/>
        <v>2026-05</v>
      </c>
    </row>
    <row r="4447" spans="1:15" x14ac:dyDescent="0.3">
      <c r="A4447" t="s">
        <v>10471</v>
      </c>
      <c r="B4447" t="s">
        <v>10472</v>
      </c>
      <c r="C4447" t="s">
        <v>58</v>
      </c>
      <c r="D4447" t="s">
        <v>77</v>
      </c>
      <c r="E4447" t="s">
        <v>39</v>
      </c>
      <c r="F4447" t="s">
        <v>106</v>
      </c>
      <c r="G4447">
        <v>54.77</v>
      </c>
      <c r="H4447" t="s">
        <v>61</v>
      </c>
      <c r="I4447" t="s">
        <v>42</v>
      </c>
      <c r="M4447">
        <f>VLOOKUP(H4447,'Stage Order'!$A$2:$B$8,2,FALSE)</f>
        <v>1</v>
      </c>
      <c r="N4447" t="str">
        <f t="shared" si="138"/>
        <v>3. 1-3 days</v>
      </c>
      <c r="O4447" t="str">
        <f t="shared" si="139"/>
        <v>2025-09</v>
      </c>
    </row>
    <row r="4448" spans="1:15" x14ac:dyDescent="0.3">
      <c r="A4448" t="s">
        <v>10473</v>
      </c>
      <c r="B4448" t="s">
        <v>10474</v>
      </c>
      <c r="C4448" t="s">
        <v>81</v>
      </c>
      <c r="D4448" t="s">
        <v>38</v>
      </c>
      <c r="E4448" t="s">
        <v>90</v>
      </c>
      <c r="F4448" t="s">
        <v>145</v>
      </c>
      <c r="G4448">
        <v>5.58</v>
      </c>
      <c r="H4448" t="s">
        <v>61</v>
      </c>
      <c r="I4448" t="s">
        <v>42</v>
      </c>
      <c r="M4448">
        <f>VLOOKUP(H4448,'Stage Order'!$A$2:$B$8,2,FALSE)</f>
        <v>1</v>
      </c>
      <c r="N4448" t="str">
        <f t="shared" si="138"/>
        <v>2. 1-24 hours</v>
      </c>
      <c r="O4448" t="str">
        <f t="shared" si="139"/>
        <v>2026-05</v>
      </c>
    </row>
    <row r="4449" spans="1:15" x14ac:dyDescent="0.3">
      <c r="A4449" t="s">
        <v>10475</v>
      </c>
      <c r="B4449" t="s">
        <v>10476</v>
      </c>
      <c r="C4449" t="s">
        <v>37</v>
      </c>
      <c r="D4449" t="s">
        <v>38</v>
      </c>
      <c r="E4449" t="s">
        <v>90</v>
      </c>
      <c r="F4449" t="s">
        <v>91</v>
      </c>
      <c r="G4449">
        <v>13.88</v>
      </c>
      <c r="H4449" t="s">
        <v>61</v>
      </c>
      <c r="I4449" t="s">
        <v>42</v>
      </c>
      <c r="M4449">
        <f>VLOOKUP(H4449,'Stage Order'!$A$2:$B$8,2,FALSE)</f>
        <v>1</v>
      </c>
      <c r="N4449" t="str">
        <f t="shared" si="138"/>
        <v>2. 1-24 hours</v>
      </c>
      <c r="O4449" t="str">
        <f t="shared" si="139"/>
        <v>2025-12</v>
      </c>
    </row>
    <row r="4450" spans="1:15" x14ac:dyDescent="0.3">
      <c r="A4450" t="s">
        <v>10477</v>
      </c>
      <c r="B4450" t="s">
        <v>10478</v>
      </c>
      <c r="C4450" t="s">
        <v>37</v>
      </c>
      <c r="D4450" t="s">
        <v>38</v>
      </c>
      <c r="E4450" t="s">
        <v>39</v>
      </c>
      <c r="F4450" t="s">
        <v>66</v>
      </c>
      <c r="G4450">
        <v>6.95</v>
      </c>
      <c r="H4450" t="s">
        <v>61</v>
      </c>
      <c r="I4450" t="s">
        <v>42</v>
      </c>
      <c r="M4450">
        <f>VLOOKUP(H4450,'Stage Order'!$A$2:$B$8,2,FALSE)</f>
        <v>1</v>
      </c>
      <c r="N4450" t="str">
        <f t="shared" si="138"/>
        <v>2. 1-24 hours</v>
      </c>
      <c r="O4450" t="str">
        <f t="shared" si="139"/>
        <v>2025-10</v>
      </c>
    </row>
    <row r="4451" spans="1:15" x14ac:dyDescent="0.3">
      <c r="A4451" t="s">
        <v>10479</v>
      </c>
      <c r="B4451" t="s">
        <v>10480</v>
      </c>
      <c r="C4451" t="s">
        <v>58</v>
      </c>
      <c r="D4451" t="s">
        <v>77</v>
      </c>
      <c r="E4451" t="s">
        <v>30</v>
      </c>
      <c r="F4451" t="s">
        <v>31</v>
      </c>
      <c r="G4451">
        <v>5.46</v>
      </c>
      <c r="H4451" t="s">
        <v>41</v>
      </c>
      <c r="I4451" t="s">
        <v>42</v>
      </c>
      <c r="M4451">
        <f>VLOOKUP(H4451,'Stage Order'!$A$2:$B$8,2,FALSE)</f>
        <v>2</v>
      </c>
      <c r="N4451" t="str">
        <f t="shared" si="138"/>
        <v>2. 1-24 hours</v>
      </c>
      <c r="O4451" t="str">
        <f t="shared" si="139"/>
        <v>2025-01</v>
      </c>
    </row>
    <row r="4452" spans="1:15" x14ac:dyDescent="0.3">
      <c r="A4452" t="s">
        <v>10481</v>
      </c>
      <c r="B4452" t="s">
        <v>10482</v>
      </c>
      <c r="C4452" t="s">
        <v>81</v>
      </c>
      <c r="D4452" t="s">
        <v>54</v>
      </c>
      <c r="E4452" t="s">
        <v>90</v>
      </c>
      <c r="F4452" t="s">
        <v>91</v>
      </c>
      <c r="G4452">
        <v>1.97</v>
      </c>
      <c r="H4452" t="s">
        <v>128</v>
      </c>
      <c r="I4452" t="s">
        <v>42</v>
      </c>
      <c r="M4452">
        <f>VLOOKUP(H4452,'Stage Order'!$A$2:$B$8,2,FALSE)</f>
        <v>3</v>
      </c>
      <c r="N4452" t="str">
        <f t="shared" si="138"/>
        <v>2. 1-24 hours</v>
      </c>
      <c r="O4452" t="str">
        <f t="shared" si="139"/>
        <v>2025-02</v>
      </c>
    </row>
    <row r="4453" spans="1:15" x14ac:dyDescent="0.3">
      <c r="A4453" t="s">
        <v>10483</v>
      </c>
      <c r="B4453" t="s">
        <v>10484</v>
      </c>
      <c r="C4453" t="s">
        <v>53</v>
      </c>
      <c r="D4453" t="s">
        <v>54</v>
      </c>
      <c r="E4453" t="s">
        <v>45</v>
      </c>
      <c r="F4453" t="s">
        <v>94</v>
      </c>
      <c r="G4453">
        <v>5.17</v>
      </c>
      <c r="H4453" t="s">
        <v>32</v>
      </c>
      <c r="I4453" t="s">
        <v>33</v>
      </c>
      <c r="K4453">
        <v>423.38</v>
      </c>
      <c r="L4453" t="s">
        <v>10485</v>
      </c>
      <c r="M4453">
        <f>VLOOKUP(H4453,'Stage Order'!$A$2:$B$8,2,FALSE)</f>
        <v>7</v>
      </c>
      <c r="N4453" t="str">
        <f t="shared" si="138"/>
        <v>2. 1-24 hours</v>
      </c>
      <c r="O4453" t="str">
        <f t="shared" si="139"/>
        <v>2026-02</v>
      </c>
    </row>
    <row r="4454" spans="1:15" x14ac:dyDescent="0.3">
      <c r="A4454" t="s">
        <v>10486</v>
      </c>
      <c r="B4454" t="s">
        <v>10487</v>
      </c>
      <c r="C4454" t="s">
        <v>125</v>
      </c>
      <c r="D4454" t="s">
        <v>54</v>
      </c>
      <c r="E4454" t="s">
        <v>39</v>
      </c>
      <c r="F4454" t="s">
        <v>106</v>
      </c>
      <c r="G4454">
        <v>6.9</v>
      </c>
      <c r="H4454" t="s">
        <v>61</v>
      </c>
      <c r="I4454" t="s">
        <v>42</v>
      </c>
      <c r="M4454">
        <f>VLOOKUP(H4454,'Stage Order'!$A$2:$B$8,2,FALSE)</f>
        <v>1</v>
      </c>
      <c r="N4454" t="str">
        <f t="shared" si="138"/>
        <v>2. 1-24 hours</v>
      </c>
      <c r="O4454" t="str">
        <f t="shared" si="139"/>
        <v>2025-01</v>
      </c>
    </row>
    <row r="4455" spans="1:15" x14ac:dyDescent="0.3">
      <c r="A4455" t="s">
        <v>10488</v>
      </c>
      <c r="B4455" t="s">
        <v>10489</v>
      </c>
      <c r="C4455" t="s">
        <v>53</v>
      </c>
      <c r="D4455" t="s">
        <v>29</v>
      </c>
      <c r="E4455" t="s">
        <v>39</v>
      </c>
      <c r="F4455" t="s">
        <v>40</v>
      </c>
      <c r="G4455">
        <v>3.12</v>
      </c>
      <c r="H4455" t="s">
        <v>138</v>
      </c>
      <c r="I4455" t="s">
        <v>48</v>
      </c>
      <c r="J4455" t="s">
        <v>98</v>
      </c>
      <c r="K4455">
        <v>612.58000000000004</v>
      </c>
      <c r="L4455" t="s">
        <v>10490</v>
      </c>
      <c r="M4455">
        <f>VLOOKUP(H4455,'Stage Order'!$A$2:$B$8,2,FALSE)</f>
        <v>6</v>
      </c>
      <c r="N4455" t="str">
        <f t="shared" si="138"/>
        <v>2. 1-24 hours</v>
      </c>
      <c r="O4455" t="str">
        <f t="shared" si="139"/>
        <v>2026-04</v>
      </c>
    </row>
    <row r="4456" spans="1:15" x14ac:dyDescent="0.3">
      <c r="A4456" t="s">
        <v>10491</v>
      </c>
      <c r="B4456" t="s">
        <v>10492</v>
      </c>
      <c r="C4456" t="s">
        <v>81</v>
      </c>
      <c r="D4456" t="s">
        <v>54</v>
      </c>
      <c r="E4456" t="s">
        <v>39</v>
      </c>
      <c r="F4456" t="s">
        <v>66</v>
      </c>
      <c r="G4456">
        <v>1.92</v>
      </c>
      <c r="H4456" t="s">
        <v>61</v>
      </c>
      <c r="I4456" t="s">
        <v>42</v>
      </c>
      <c r="M4456">
        <f>VLOOKUP(H4456,'Stage Order'!$A$2:$B$8,2,FALSE)</f>
        <v>1</v>
      </c>
      <c r="N4456" t="str">
        <f t="shared" si="138"/>
        <v>2. 1-24 hours</v>
      </c>
      <c r="O4456" t="str">
        <f t="shared" si="139"/>
        <v>2025-07</v>
      </c>
    </row>
    <row r="4457" spans="1:15" x14ac:dyDescent="0.3">
      <c r="A4457" t="s">
        <v>10493</v>
      </c>
      <c r="B4457" t="s">
        <v>10494</v>
      </c>
      <c r="C4457" t="s">
        <v>37</v>
      </c>
      <c r="D4457" t="s">
        <v>77</v>
      </c>
      <c r="E4457" t="s">
        <v>45</v>
      </c>
      <c r="F4457" t="s">
        <v>94</v>
      </c>
      <c r="G4457">
        <v>1.04</v>
      </c>
      <c r="H4457" t="s">
        <v>41</v>
      </c>
      <c r="I4457" t="s">
        <v>42</v>
      </c>
      <c r="M4457">
        <f>VLOOKUP(H4457,'Stage Order'!$A$2:$B$8,2,FALSE)</f>
        <v>2</v>
      </c>
      <c r="N4457" t="str">
        <f t="shared" si="138"/>
        <v>2. 1-24 hours</v>
      </c>
      <c r="O4457" t="str">
        <f t="shared" si="139"/>
        <v>2026-03</v>
      </c>
    </row>
    <row r="4458" spans="1:15" x14ac:dyDescent="0.3">
      <c r="A4458" t="s">
        <v>10495</v>
      </c>
      <c r="B4458" t="s">
        <v>10496</v>
      </c>
      <c r="C4458" t="s">
        <v>125</v>
      </c>
      <c r="D4458" t="s">
        <v>54</v>
      </c>
      <c r="E4458" t="s">
        <v>39</v>
      </c>
      <c r="F4458" t="s">
        <v>106</v>
      </c>
      <c r="G4458">
        <v>1.55</v>
      </c>
      <c r="H4458" t="s">
        <v>41</v>
      </c>
      <c r="I4458" t="s">
        <v>42</v>
      </c>
      <c r="M4458">
        <f>VLOOKUP(H4458,'Stage Order'!$A$2:$B$8,2,FALSE)</f>
        <v>2</v>
      </c>
      <c r="N4458" t="str">
        <f t="shared" si="138"/>
        <v>2. 1-24 hours</v>
      </c>
      <c r="O4458" t="str">
        <f t="shared" si="139"/>
        <v>2025-11</v>
      </c>
    </row>
    <row r="4459" spans="1:15" x14ac:dyDescent="0.3">
      <c r="A4459" t="s">
        <v>10497</v>
      </c>
      <c r="B4459" t="s">
        <v>10498</v>
      </c>
      <c r="C4459" t="s">
        <v>81</v>
      </c>
      <c r="D4459" t="s">
        <v>38</v>
      </c>
      <c r="E4459" t="s">
        <v>45</v>
      </c>
      <c r="F4459" t="s">
        <v>94</v>
      </c>
      <c r="G4459">
        <v>10.19</v>
      </c>
      <c r="H4459" t="s">
        <v>61</v>
      </c>
      <c r="I4459" t="s">
        <v>42</v>
      </c>
      <c r="M4459">
        <f>VLOOKUP(H4459,'Stage Order'!$A$2:$B$8,2,FALSE)</f>
        <v>1</v>
      </c>
      <c r="N4459" t="str">
        <f t="shared" si="138"/>
        <v>2. 1-24 hours</v>
      </c>
      <c r="O4459" t="str">
        <f t="shared" si="139"/>
        <v>2026-01</v>
      </c>
    </row>
    <row r="4460" spans="1:15" x14ac:dyDescent="0.3">
      <c r="A4460" t="s">
        <v>10499</v>
      </c>
      <c r="B4460" t="s">
        <v>10500</v>
      </c>
      <c r="C4460" t="s">
        <v>53</v>
      </c>
      <c r="D4460" t="s">
        <v>97</v>
      </c>
      <c r="E4460" t="s">
        <v>59</v>
      </c>
      <c r="F4460" t="s">
        <v>60</v>
      </c>
      <c r="G4460">
        <v>3.98</v>
      </c>
      <c r="H4460" t="s">
        <v>41</v>
      </c>
      <c r="I4460" t="s">
        <v>42</v>
      </c>
      <c r="M4460">
        <f>VLOOKUP(H4460,'Stage Order'!$A$2:$B$8,2,FALSE)</f>
        <v>2</v>
      </c>
      <c r="N4460" t="str">
        <f t="shared" si="138"/>
        <v>2. 1-24 hours</v>
      </c>
      <c r="O4460" t="str">
        <f t="shared" si="139"/>
        <v>2025-05</v>
      </c>
    </row>
    <row r="4461" spans="1:15" x14ac:dyDescent="0.3">
      <c r="A4461" t="s">
        <v>10501</v>
      </c>
      <c r="B4461" t="s">
        <v>10502</v>
      </c>
      <c r="C4461" t="s">
        <v>76</v>
      </c>
      <c r="D4461" t="s">
        <v>29</v>
      </c>
      <c r="E4461" t="s">
        <v>39</v>
      </c>
      <c r="F4461" t="s">
        <v>66</v>
      </c>
      <c r="G4461">
        <v>8.4499999999999993</v>
      </c>
      <c r="H4461" t="s">
        <v>61</v>
      </c>
      <c r="I4461" t="s">
        <v>42</v>
      </c>
      <c r="M4461">
        <f>VLOOKUP(H4461,'Stage Order'!$A$2:$B$8,2,FALSE)</f>
        <v>1</v>
      </c>
      <c r="N4461" t="str">
        <f t="shared" si="138"/>
        <v>2. 1-24 hours</v>
      </c>
      <c r="O4461" t="str">
        <f t="shared" si="139"/>
        <v>2025-04</v>
      </c>
    </row>
    <row r="4462" spans="1:15" x14ac:dyDescent="0.3">
      <c r="A4462" t="s">
        <v>10503</v>
      </c>
      <c r="B4462" t="s">
        <v>10504</v>
      </c>
      <c r="C4462" t="s">
        <v>53</v>
      </c>
      <c r="D4462" t="s">
        <v>54</v>
      </c>
      <c r="E4462" t="s">
        <v>45</v>
      </c>
      <c r="F4462" t="s">
        <v>55</v>
      </c>
      <c r="G4462">
        <v>3.27</v>
      </c>
      <c r="H4462" t="s">
        <v>41</v>
      </c>
      <c r="I4462" t="s">
        <v>42</v>
      </c>
      <c r="M4462">
        <f>VLOOKUP(H4462,'Stage Order'!$A$2:$B$8,2,FALSE)</f>
        <v>2</v>
      </c>
      <c r="N4462" t="str">
        <f t="shared" si="138"/>
        <v>2. 1-24 hours</v>
      </c>
      <c r="O4462" t="str">
        <f t="shared" si="139"/>
        <v>2025-10</v>
      </c>
    </row>
    <row r="4463" spans="1:15" x14ac:dyDescent="0.3">
      <c r="A4463" t="s">
        <v>10505</v>
      </c>
      <c r="B4463" t="s">
        <v>10506</v>
      </c>
      <c r="C4463" t="s">
        <v>28</v>
      </c>
      <c r="D4463" t="s">
        <v>77</v>
      </c>
      <c r="E4463" t="s">
        <v>45</v>
      </c>
      <c r="F4463" t="s">
        <v>46</v>
      </c>
      <c r="G4463">
        <v>1.44</v>
      </c>
      <c r="H4463" t="s">
        <v>32</v>
      </c>
      <c r="I4463" t="s">
        <v>33</v>
      </c>
      <c r="K4463">
        <v>932.66</v>
      </c>
      <c r="L4463" t="s">
        <v>10507</v>
      </c>
      <c r="M4463">
        <f>VLOOKUP(H4463,'Stage Order'!$A$2:$B$8,2,FALSE)</f>
        <v>7</v>
      </c>
      <c r="N4463" t="str">
        <f t="shared" si="138"/>
        <v>2. 1-24 hours</v>
      </c>
      <c r="O4463" t="str">
        <f t="shared" si="139"/>
        <v>2026-06</v>
      </c>
    </row>
    <row r="4464" spans="1:15" x14ac:dyDescent="0.3">
      <c r="A4464" t="s">
        <v>10508</v>
      </c>
      <c r="B4464" t="s">
        <v>10509</v>
      </c>
      <c r="C4464" t="s">
        <v>58</v>
      </c>
      <c r="D4464" t="s">
        <v>77</v>
      </c>
      <c r="E4464" t="s">
        <v>45</v>
      </c>
      <c r="F4464" t="s">
        <v>46</v>
      </c>
      <c r="G4464">
        <v>4.87</v>
      </c>
      <c r="H4464" t="s">
        <v>41</v>
      </c>
      <c r="I4464" t="s">
        <v>42</v>
      </c>
      <c r="M4464">
        <f>VLOOKUP(H4464,'Stage Order'!$A$2:$B$8,2,FALSE)</f>
        <v>2</v>
      </c>
      <c r="N4464" t="str">
        <f t="shared" si="138"/>
        <v>2. 1-24 hours</v>
      </c>
      <c r="O4464" t="str">
        <f t="shared" si="139"/>
        <v>2026-06</v>
      </c>
    </row>
    <row r="4465" spans="1:15" x14ac:dyDescent="0.3">
      <c r="A4465" t="s">
        <v>10510</v>
      </c>
      <c r="B4465" t="s">
        <v>10511</v>
      </c>
      <c r="C4465" t="s">
        <v>125</v>
      </c>
      <c r="D4465" t="s">
        <v>38</v>
      </c>
      <c r="E4465" t="s">
        <v>45</v>
      </c>
      <c r="F4465" t="s">
        <v>55</v>
      </c>
      <c r="G4465">
        <v>3.18</v>
      </c>
      <c r="H4465" t="s">
        <v>47</v>
      </c>
      <c r="I4465" t="s">
        <v>48</v>
      </c>
      <c r="J4465" t="s">
        <v>139</v>
      </c>
      <c r="K4465">
        <v>373.95</v>
      </c>
      <c r="L4465" t="s">
        <v>10512</v>
      </c>
      <c r="M4465">
        <f>VLOOKUP(H4465,'Stage Order'!$A$2:$B$8,2,FALSE)</f>
        <v>4</v>
      </c>
      <c r="N4465" t="str">
        <f t="shared" si="138"/>
        <v>2. 1-24 hours</v>
      </c>
      <c r="O4465" t="str">
        <f t="shared" si="139"/>
        <v>2025-03</v>
      </c>
    </row>
    <row r="4466" spans="1:15" x14ac:dyDescent="0.3">
      <c r="A4466" t="s">
        <v>10513</v>
      </c>
      <c r="B4466" t="s">
        <v>10514</v>
      </c>
      <c r="C4466" t="s">
        <v>37</v>
      </c>
      <c r="D4466" t="s">
        <v>54</v>
      </c>
      <c r="E4466" t="s">
        <v>45</v>
      </c>
      <c r="F4466" t="s">
        <v>55</v>
      </c>
      <c r="G4466">
        <v>1.41</v>
      </c>
      <c r="H4466" t="s">
        <v>47</v>
      </c>
      <c r="I4466" t="s">
        <v>48</v>
      </c>
      <c r="J4466" t="s">
        <v>113</v>
      </c>
      <c r="K4466">
        <v>509.96</v>
      </c>
      <c r="L4466" t="s">
        <v>10515</v>
      </c>
      <c r="M4466">
        <f>VLOOKUP(H4466,'Stage Order'!$A$2:$B$8,2,FALSE)</f>
        <v>4</v>
      </c>
      <c r="N4466" t="str">
        <f t="shared" si="138"/>
        <v>2. 1-24 hours</v>
      </c>
      <c r="O4466" t="str">
        <f t="shared" si="139"/>
        <v>2026-02</v>
      </c>
    </row>
    <row r="4467" spans="1:15" x14ac:dyDescent="0.3">
      <c r="A4467" t="s">
        <v>10516</v>
      </c>
      <c r="B4467" t="s">
        <v>10517</v>
      </c>
      <c r="C4467" t="s">
        <v>53</v>
      </c>
      <c r="D4467" t="s">
        <v>54</v>
      </c>
      <c r="E4467" t="s">
        <v>59</v>
      </c>
      <c r="F4467" t="s">
        <v>137</v>
      </c>
      <c r="G4467">
        <v>0.9</v>
      </c>
      <c r="H4467" t="s">
        <v>41</v>
      </c>
      <c r="I4467" t="s">
        <v>42</v>
      </c>
      <c r="M4467">
        <f>VLOOKUP(H4467,'Stage Order'!$A$2:$B$8,2,FALSE)</f>
        <v>2</v>
      </c>
      <c r="N4467" t="str">
        <f t="shared" si="138"/>
        <v>1. Under 1 hour</v>
      </c>
      <c r="O4467" t="str">
        <f t="shared" si="139"/>
        <v>2025-05</v>
      </c>
    </row>
    <row r="4468" spans="1:15" x14ac:dyDescent="0.3">
      <c r="A4468" t="s">
        <v>10518</v>
      </c>
      <c r="B4468" t="s">
        <v>10519</v>
      </c>
      <c r="C4468" t="s">
        <v>53</v>
      </c>
      <c r="D4468" t="s">
        <v>29</v>
      </c>
      <c r="E4468" t="s">
        <v>59</v>
      </c>
      <c r="F4468" t="s">
        <v>60</v>
      </c>
      <c r="G4468">
        <v>35.700000000000003</v>
      </c>
      <c r="H4468" t="s">
        <v>41</v>
      </c>
      <c r="I4468" t="s">
        <v>42</v>
      </c>
      <c r="M4468">
        <f>VLOOKUP(H4468,'Stage Order'!$A$2:$B$8,2,FALSE)</f>
        <v>2</v>
      </c>
      <c r="N4468" t="str">
        <f t="shared" si="138"/>
        <v>3. 1-3 days</v>
      </c>
      <c r="O4468" t="str">
        <f t="shared" si="139"/>
        <v>2025-03</v>
      </c>
    </row>
    <row r="4469" spans="1:15" x14ac:dyDescent="0.3">
      <c r="A4469" t="s">
        <v>10520</v>
      </c>
      <c r="B4469" t="s">
        <v>10521</v>
      </c>
      <c r="C4469" t="s">
        <v>58</v>
      </c>
      <c r="D4469" t="s">
        <v>29</v>
      </c>
      <c r="E4469" t="s">
        <v>90</v>
      </c>
      <c r="F4469" t="s">
        <v>112</v>
      </c>
      <c r="G4469">
        <v>0.63</v>
      </c>
      <c r="H4469" t="s">
        <v>41</v>
      </c>
      <c r="I4469" t="s">
        <v>42</v>
      </c>
      <c r="M4469">
        <f>VLOOKUP(H4469,'Stage Order'!$A$2:$B$8,2,FALSE)</f>
        <v>2</v>
      </c>
      <c r="N4469" t="str">
        <f t="shared" si="138"/>
        <v>1. Under 1 hour</v>
      </c>
      <c r="O4469" t="str">
        <f t="shared" si="139"/>
        <v>2026-03</v>
      </c>
    </row>
    <row r="4470" spans="1:15" x14ac:dyDescent="0.3">
      <c r="A4470" t="s">
        <v>10522</v>
      </c>
      <c r="B4470" t="s">
        <v>10523</v>
      </c>
      <c r="C4470" t="s">
        <v>58</v>
      </c>
      <c r="D4470" t="s">
        <v>54</v>
      </c>
      <c r="E4470" t="s">
        <v>30</v>
      </c>
      <c r="F4470" t="s">
        <v>31</v>
      </c>
      <c r="G4470">
        <v>2.33</v>
      </c>
      <c r="H4470" t="s">
        <v>41</v>
      </c>
      <c r="I4470" t="s">
        <v>42</v>
      </c>
      <c r="M4470">
        <f>VLOOKUP(H4470,'Stage Order'!$A$2:$B$8,2,FALSE)</f>
        <v>2</v>
      </c>
      <c r="N4470" t="str">
        <f t="shared" si="138"/>
        <v>2. 1-24 hours</v>
      </c>
      <c r="O4470" t="str">
        <f t="shared" si="139"/>
        <v>2025-03</v>
      </c>
    </row>
    <row r="4471" spans="1:15" x14ac:dyDescent="0.3">
      <c r="A4471" t="s">
        <v>10524</v>
      </c>
      <c r="B4471" t="s">
        <v>10525</v>
      </c>
      <c r="C4471" t="s">
        <v>53</v>
      </c>
      <c r="D4471" t="s">
        <v>77</v>
      </c>
      <c r="E4471" t="s">
        <v>59</v>
      </c>
      <c r="F4471" t="s">
        <v>137</v>
      </c>
      <c r="G4471">
        <v>2.35</v>
      </c>
      <c r="H4471" t="s">
        <v>41</v>
      </c>
      <c r="I4471" t="s">
        <v>42</v>
      </c>
      <c r="M4471">
        <f>VLOOKUP(H4471,'Stage Order'!$A$2:$B$8,2,FALSE)</f>
        <v>2</v>
      </c>
      <c r="N4471" t="str">
        <f t="shared" si="138"/>
        <v>2. 1-24 hours</v>
      </c>
      <c r="O4471" t="str">
        <f t="shared" si="139"/>
        <v>2026-01</v>
      </c>
    </row>
    <row r="4472" spans="1:15" x14ac:dyDescent="0.3">
      <c r="A4472" t="s">
        <v>10526</v>
      </c>
      <c r="B4472" t="s">
        <v>10527</v>
      </c>
      <c r="C4472" t="s">
        <v>125</v>
      </c>
      <c r="D4472" t="s">
        <v>29</v>
      </c>
      <c r="E4472" t="s">
        <v>90</v>
      </c>
      <c r="F4472" t="s">
        <v>112</v>
      </c>
      <c r="G4472">
        <v>0.41</v>
      </c>
      <c r="H4472" t="s">
        <v>138</v>
      </c>
      <c r="I4472" t="s">
        <v>48</v>
      </c>
      <c r="J4472" t="s">
        <v>113</v>
      </c>
      <c r="K4472">
        <v>725.43</v>
      </c>
      <c r="L4472" t="s">
        <v>10528</v>
      </c>
      <c r="M4472">
        <f>VLOOKUP(H4472,'Stage Order'!$A$2:$B$8,2,FALSE)</f>
        <v>6</v>
      </c>
      <c r="N4472" t="str">
        <f t="shared" si="138"/>
        <v>1. Under 1 hour</v>
      </c>
      <c r="O4472" t="str">
        <f t="shared" si="139"/>
        <v>2025-10</v>
      </c>
    </row>
    <row r="4473" spans="1:15" x14ac:dyDescent="0.3">
      <c r="A4473" t="s">
        <v>10529</v>
      </c>
      <c r="B4473" t="s">
        <v>10530</v>
      </c>
      <c r="C4473" t="s">
        <v>125</v>
      </c>
      <c r="D4473" t="s">
        <v>77</v>
      </c>
      <c r="E4473" t="s">
        <v>45</v>
      </c>
      <c r="F4473" t="s">
        <v>55</v>
      </c>
      <c r="G4473">
        <v>0.78</v>
      </c>
      <c r="H4473" t="s">
        <v>61</v>
      </c>
      <c r="I4473" t="s">
        <v>42</v>
      </c>
      <c r="M4473">
        <f>VLOOKUP(H4473,'Stage Order'!$A$2:$B$8,2,FALSE)</f>
        <v>1</v>
      </c>
      <c r="N4473" t="str">
        <f t="shared" si="138"/>
        <v>1. Under 1 hour</v>
      </c>
      <c r="O4473" t="str">
        <f t="shared" si="139"/>
        <v>2026-03</v>
      </c>
    </row>
    <row r="4474" spans="1:15" x14ac:dyDescent="0.3">
      <c r="A4474" t="s">
        <v>10531</v>
      </c>
      <c r="B4474" t="s">
        <v>10532</v>
      </c>
      <c r="C4474" t="s">
        <v>53</v>
      </c>
      <c r="D4474" t="s">
        <v>29</v>
      </c>
      <c r="E4474" t="s">
        <v>45</v>
      </c>
      <c r="F4474" t="s">
        <v>55</v>
      </c>
      <c r="G4474">
        <v>2.79</v>
      </c>
      <c r="H4474" t="s">
        <v>138</v>
      </c>
      <c r="I4474" t="s">
        <v>48</v>
      </c>
      <c r="J4474" t="s">
        <v>139</v>
      </c>
      <c r="K4474">
        <v>756.84</v>
      </c>
      <c r="L4474" t="s">
        <v>10533</v>
      </c>
      <c r="M4474">
        <f>VLOOKUP(H4474,'Stage Order'!$A$2:$B$8,2,FALSE)</f>
        <v>6</v>
      </c>
      <c r="N4474" t="str">
        <f t="shared" si="138"/>
        <v>2. 1-24 hours</v>
      </c>
      <c r="O4474" t="str">
        <f t="shared" si="139"/>
        <v>2026-02</v>
      </c>
    </row>
    <row r="4475" spans="1:15" x14ac:dyDescent="0.3">
      <c r="A4475" t="s">
        <v>10534</v>
      </c>
      <c r="B4475" t="s">
        <v>10535</v>
      </c>
      <c r="C4475" t="s">
        <v>58</v>
      </c>
      <c r="D4475" t="s">
        <v>38</v>
      </c>
      <c r="E4475" t="s">
        <v>39</v>
      </c>
      <c r="F4475" t="s">
        <v>66</v>
      </c>
      <c r="G4475">
        <v>1.1200000000000001</v>
      </c>
      <c r="H4475" t="s">
        <v>128</v>
      </c>
      <c r="I4475" t="s">
        <v>42</v>
      </c>
      <c r="M4475">
        <f>VLOOKUP(H4475,'Stage Order'!$A$2:$B$8,2,FALSE)</f>
        <v>3</v>
      </c>
      <c r="N4475" t="str">
        <f t="shared" si="138"/>
        <v>2. 1-24 hours</v>
      </c>
      <c r="O4475" t="str">
        <f t="shared" si="139"/>
        <v>2025-04</v>
      </c>
    </row>
    <row r="4476" spans="1:15" x14ac:dyDescent="0.3">
      <c r="A4476" t="s">
        <v>10536</v>
      </c>
      <c r="B4476" t="s">
        <v>10537</v>
      </c>
      <c r="C4476" t="s">
        <v>58</v>
      </c>
      <c r="D4476" t="s">
        <v>29</v>
      </c>
      <c r="E4476" t="s">
        <v>39</v>
      </c>
      <c r="F4476" t="s">
        <v>66</v>
      </c>
      <c r="G4476">
        <v>1.1499999999999999</v>
      </c>
      <c r="H4476" t="s">
        <v>41</v>
      </c>
      <c r="I4476" t="s">
        <v>42</v>
      </c>
      <c r="M4476">
        <f>VLOOKUP(H4476,'Stage Order'!$A$2:$B$8,2,FALSE)</f>
        <v>2</v>
      </c>
      <c r="N4476" t="str">
        <f t="shared" si="138"/>
        <v>2. 1-24 hours</v>
      </c>
      <c r="O4476" t="str">
        <f t="shared" si="139"/>
        <v>2025-05</v>
      </c>
    </row>
    <row r="4477" spans="1:15" x14ac:dyDescent="0.3">
      <c r="A4477" t="s">
        <v>10538</v>
      </c>
      <c r="B4477" t="s">
        <v>10539</v>
      </c>
      <c r="C4477" t="s">
        <v>28</v>
      </c>
      <c r="D4477" t="s">
        <v>38</v>
      </c>
      <c r="E4477" t="s">
        <v>59</v>
      </c>
      <c r="F4477" t="s">
        <v>117</v>
      </c>
      <c r="G4477">
        <v>6.81</v>
      </c>
      <c r="H4477" t="s">
        <v>32</v>
      </c>
      <c r="I4477" t="s">
        <v>33</v>
      </c>
      <c r="K4477">
        <v>312.97000000000003</v>
      </c>
      <c r="L4477" t="s">
        <v>10540</v>
      </c>
      <c r="M4477">
        <f>VLOOKUP(H4477,'Stage Order'!$A$2:$B$8,2,FALSE)</f>
        <v>7</v>
      </c>
      <c r="N4477" t="str">
        <f t="shared" si="138"/>
        <v>2. 1-24 hours</v>
      </c>
      <c r="O4477" t="str">
        <f t="shared" si="139"/>
        <v>2026-06</v>
      </c>
    </row>
    <row r="4478" spans="1:15" x14ac:dyDescent="0.3">
      <c r="A4478" t="s">
        <v>10541</v>
      </c>
      <c r="B4478" t="s">
        <v>10542</v>
      </c>
      <c r="C4478" t="s">
        <v>81</v>
      </c>
      <c r="D4478" t="s">
        <v>97</v>
      </c>
      <c r="E4478" t="s">
        <v>45</v>
      </c>
      <c r="F4478" t="s">
        <v>94</v>
      </c>
      <c r="G4478">
        <v>1.1000000000000001</v>
      </c>
      <c r="H4478" t="s">
        <v>61</v>
      </c>
      <c r="I4478" t="s">
        <v>42</v>
      </c>
      <c r="M4478">
        <f>VLOOKUP(H4478,'Stage Order'!$A$2:$B$8,2,FALSE)</f>
        <v>1</v>
      </c>
      <c r="N4478" t="str">
        <f t="shared" si="138"/>
        <v>2. 1-24 hours</v>
      </c>
      <c r="O4478" t="str">
        <f t="shared" si="139"/>
        <v>2026-01</v>
      </c>
    </row>
    <row r="4479" spans="1:15" x14ac:dyDescent="0.3">
      <c r="A4479" t="s">
        <v>10543</v>
      </c>
      <c r="B4479" t="s">
        <v>10544</v>
      </c>
      <c r="C4479" t="s">
        <v>28</v>
      </c>
      <c r="D4479" t="s">
        <v>38</v>
      </c>
      <c r="E4479" t="s">
        <v>39</v>
      </c>
      <c r="F4479" t="s">
        <v>106</v>
      </c>
      <c r="G4479">
        <v>5.15</v>
      </c>
      <c r="H4479" t="s">
        <v>41</v>
      </c>
      <c r="I4479" t="s">
        <v>42</v>
      </c>
      <c r="M4479">
        <f>VLOOKUP(H4479,'Stage Order'!$A$2:$B$8,2,FALSE)</f>
        <v>2</v>
      </c>
      <c r="N4479" t="str">
        <f t="shared" si="138"/>
        <v>2. 1-24 hours</v>
      </c>
      <c r="O4479" t="str">
        <f t="shared" si="139"/>
        <v>2026-05</v>
      </c>
    </row>
    <row r="4480" spans="1:15" x14ac:dyDescent="0.3">
      <c r="A4480" t="s">
        <v>10545</v>
      </c>
      <c r="B4480" t="s">
        <v>10546</v>
      </c>
      <c r="C4480" t="s">
        <v>53</v>
      </c>
      <c r="D4480" t="s">
        <v>77</v>
      </c>
      <c r="E4480" t="s">
        <v>39</v>
      </c>
      <c r="F4480" t="s">
        <v>66</v>
      </c>
      <c r="G4480">
        <v>2.59</v>
      </c>
      <c r="H4480" t="s">
        <v>41</v>
      </c>
      <c r="I4480" t="s">
        <v>42</v>
      </c>
      <c r="M4480">
        <f>VLOOKUP(H4480,'Stage Order'!$A$2:$B$8,2,FALSE)</f>
        <v>2</v>
      </c>
      <c r="N4480" t="str">
        <f t="shared" si="138"/>
        <v>2. 1-24 hours</v>
      </c>
      <c r="O4480" t="str">
        <f t="shared" si="139"/>
        <v>2026-06</v>
      </c>
    </row>
    <row r="4481" spans="1:15" x14ac:dyDescent="0.3">
      <c r="A4481" t="s">
        <v>10547</v>
      </c>
      <c r="B4481" t="s">
        <v>10548</v>
      </c>
      <c r="C4481" t="s">
        <v>125</v>
      </c>
      <c r="D4481" t="s">
        <v>38</v>
      </c>
      <c r="E4481" t="s">
        <v>45</v>
      </c>
      <c r="F4481" t="s">
        <v>55</v>
      </c>
      <c r="G4481">
        <v>1.08</v>
      </c>
      <c r="H4481" t="s">
        <v>61</v>
      </c>
      <c r="I4481" t="s">
        <v>42</v>
      </c>
      <c r="M4481">
        <f>VLOOKUP(H4481,'Stage Order'!$A$2:$B$8,2,FALSE)</f>
        <v>1</v>
      </c>
      <c r="N4481" t="str">
        <f t="shared" si="138"/>
        <v>2. 1-24 hours</v>
      </c>
      <c r="O4481" t="str">
        <f t="shared" si="139"/>
        <v>2026-01</v>
      </c>
    </row>
    <row r="4482" spans="1:15" x14ac:dyDescent="0.3">
      <c r="A4482" t="s">
        <v>10549</v>
      </c>
      <c r="B4482" t="s">
        <v>10550</v>
      </c>
      <c r="C4482" t="s">
        <v>58</v>
      </c>
      <c r="D4482" t="s">
        <v>54</v>
      </c>
      <c r="E4482" t="s">
        <v>45</v>
      </c>
      <c r="F4482" t="s">
        <v>55</v>
      </c>
      <c r="G4482">
        <v>16.87</v>
      </c>
      <c r="H4482" t="s">
        <v>128</v>
      </c>
      <c r="I4482" t="s">
        <v>42</v>
      </c>
      <c r="M4482">
        <f>VLOOKUP(H4482,'Stage Order'!$A$2:$B$8,2,FALSE)</f>
        <v>3</v>
      </c>
      <c r="N4482" t="str">
        <f t="shared" ref="N4482:N4545" si="140">IF(G4482&lt;=1,"1. Under 1 hour",IF(G4482&lt;=24,"2. 1-24 hours",IF(G4482&lt;=72,"3. 1-3 days","4. Over 3 days")))</f>
        <v>2. 1-24 hours</v>
      </c>
      <c r="O4482" t="str">
        <f t="shared" ref="O4482:O4545" si="141">TEXT(B4482,"YYYY-MM")</f>
        <v>2026-02</v>
      </c>
    </row>
    <row r="4483" spans="1:15" x14ac:dyDescent="0.3">
      <c r="A4483" t="s">
        <v>10551</v>
      </c>
      <c r="B4483" t="s">
        <v>10552</v>
      </c>
      <c r="C4483" t="s">
        <v>28</v>
      </c>
      <c r="D4483" t="s">
        <v>54</v>
      </c>
      <c r="E4483" t="s">
        <v>39</v>
      </c>
      <c r="F4483" t="s">
        <v>40</v>
      </c>
      <c r="G4483">
        <v>4.2300000000000004</v>
      </c>
      <c r="H4483" t="s">
        <v>32</v>
      </c>
      <c r="I4483" t="s">
        <v>33</v>
      </c>
      <c r="K4483">
        <v>476.02</v>
      </c>
      <c r="L4483" t="s">
        <v>10553</v>
      </c>
      <c r="M4483">
        <f>VLOOKUP(H4483,'Stage Order'!$A$2:$B$8,2,FALSE)</f>
        <v>7</v>
      </c>
      <c r="N4483" t="str">
        <f t="shared" si="140"/>
        <v>2. 1-24 hours</v>
      </c>
      <c r="O4483" t="str">
        <f t="shared" si="141"/>
        <v>2025-01</v>
      </c>
    </row>
    <row r="4484" spans="1:15" x14ac:dyDescent="0.3">
      <c r="A4484" t="s">
        <v>10554</v>
      </c>
      <c r="B4484" t="s">
        <v>10555</v>
      </c>
      <c r="C4484" t="s">
        <v>58</v>
      </c>
      <c r="D4484" t="s">
        <v>54</v>
      </c>
      <c r="E4484" t="s">
        <v>39</v>
      </c>
      <c r="F4484" t="s">
        <v>40</v>
      </c>
      <c r="G4484">
        <v>0.97</v>
      </c>
      <c r="H4484" t="s">
        <v>61</v>
      </c>
      <c r="I4484" t="s">
        <v>42</v>
      </c>
      <c r="M4484">
        <f>VLOOKUP(H4484,'Stage Order'!$A$2:$B$8,2,FALSE)</f>
        <v>1</v>
      </c>
      <c r="N4484" t="str">
        <f t="shared" si="140"/>
        <v>1. Under 1 hour</v>
      </c>
      <c r="O4484" t="str">
        <f t="shared" si="141"/>
        <v>2025-05</v>
      </c>
    </row>
    <row r="4485" spans="1:15" x14ac:dyDescent="0.3">
      <c r="A4485" t="s">
        <v>10556</v>
      </c>
      <c r="B4485" t="s">
        <v>10557</v>
      </c>
      <c r="C4485" t="s">
        <v>37</v>
      </c>
      <c r="D4485" t="s">
        <v>38</v>
      </c>
      <c r="E4485" t="s">
        <v>90</v>
      </c>
      <c r="F4485" t="s">
        <v>91</v>
      </c>
      <c r="G4485">
        <v>2.8</v>
      </c>
      <c r="H4485" t="s">
        <v>128</v>
      </c>
      <c r="I4485" t="s">
        <v>42</v>
      </c>
      <c r="M4485">
        <f>VLOOKUP(H4485,'Stage Order'!$A$2:$B$8,2,FALSE)</f>
        <v>3</v>
      </c>
      <c r="N4485" t="str">
        <f t="shared" si="140"/>
        <v>2. 1-24 hours</v>
      </c>
      <c r="O4485" t="str">
        <f t="shared" si="141"/>
        <v>2026-02</v>
      </c>
    </row>
    <row r="4486" spans="1:15" x14ac:dyDescent="0.3">
      <c r="A4486" t="s">
        <v>10558</v>
      </c>
      <c r="B4486" t="s">
        <v>10559</v>
      </c>
      <c r="C4486" t="s">
        <v>58</v>
      </c>
      <c r="D4486" t="s">
        <v>54</v>
      </c>
      <c r="E4486" t="s">
        <v>59</v>
      </c>
      <c r="F4486" t="s">
        <v>137</v>
      </c>
      <c r="G4486">
        <v>3.07</v>
      </c>
      <c r="H4486" t="s">
        <v>128</v>
      </c>
      <c r="I4486" t="s">
        <v>42</v>
      </c>
      <c r="M4486">
        <f>VLOOKUP(H4486,'Stage Order'!$A$2:$B$8,2,FALSE)</f>
        <v>3</v>
      </c>
      <c r="N4486" t="str">
        <f t="shared" si="140"/>
        <v>2. 1-24 hours</v>
      </c>
      <c r="O4486" t="str">
        <f t="shared" si="141"/>
        <v>2026-01</v>
      </c>
    </row>
    <row r="4487" spans="1:15" x14ac:dyDescent="0.3">
      <c r="A4487" t="s">
        <v>10560</v>
      </c>
      <c r="B4487" t="s">
        <v>10561</v>
      </c>
      <c r="C4487" t="s">
        <v>125</v>
      </c>
      <c r="D4487" t="s">
        <v>77</v>
      </c>
      <c r="E4487" t="s">
        <v>59</v>
      </c>
      <c r="F4487" t="s">
        <v>60</v>
      </c>
      <c r="G4487">
        <v>2.38</v>
      </c>
      <c r="H4487" t="s">
        <v>138</v>
      </c>
      <c r="I4487" t="s">
        <v>48</v>
      </c>
      <c r="J4487" t="s">
        <v>98</v>
      </c>
      <c r="K4487">
        <v>1143.02</v>
      </c>
      <c r="L4487" t="s">
        <v>10562</v>
      </c>
      <c r="M4487">
        <f>VLOOKUP(H4487,'Stage Order'!$A$2:$B$8,2,FALSE)</f>
        <v>6</v>
      </c>
      <c r="N4487" t="str">
        <f t="shared" si="140"/>
        <v>2. 1-24 hours</v>
      </c>
      <c r="O4487" t="str">
        <f t="shared" si="141"/>
        <v>2026-02</v>
      </c>
    </row>
    <row r="4488" spans="1:15" x14ac:dyDescent="0.3">
      <c r="A4488" t="s">
        <v>10563</v>
      </c>
      <c r="B4488" t="s">
        <v>10564</v>
      </c>
      <c r="C4488" t="s">
        <v>37</v>
      </c>
      <c r="D4488" t="s">
        <v>97</v>
      </c>
      <c r="E4488" t="s">
        <v>39</v>
      </c>
      <c r="F4488" t="s">
        <v>66</v>
      </c>
      <c r="G4488">
        <v>2.56</v>
      </c>
      <c r="H4488" t="s">
        <v>128</v>
      </c>
      <c r="I4488" t="s">
        <v>42</v>
      </c>
      <c r="M4488">
        <f>VLOOKUP(H4488,'Stage Order'!$A$2:$B$8,2,FALSE)</f>
        <v>3</v>
      </c>
      <c r="N4488" t="str">
        <f t="shared" si="140"/>
        <v>2. 1-24 hours</v>
      </c>
      <c r="O4488" t="str">
        <f t="shared" si="141"/>
        <v>2025-12</v>
      </c>
    </row>
    <row r="4489" spans="1:15" x14ac:dyDescent="0.3">
      <c r="A4489" t="s">
        <v>10565</v>
      </c>
      <c r="B4489" t="s">
        <v>10566</v>
      </c>
      <c r="C4489" t="s">
        <v>58</v>
      </c>
      <c r="D4489" t="s">
        <v>54</v>
      </c>
      <c r="E4489" t="s">
        <v>59</v>
      </c>
      <c r="F4489" t="s">
        <v>137</v>
      </c>
      <c r="G4489">
        <v>4.57</v>
      </c>
      <c r="H4489" t="s">
        <v>41</v>
      </c>
      <c r="I4489" t="s">
        <v>42</v>
      </c>
      <c r="M4489">
        <f>VLOOKUP(H4489,'Stage Order'!$A$2:$B$8,2,FALSE)</f>
        <v>2</v>
      </c>
      <c r="N4489" t="str">
        <f t="shared" si="140"/>
        <v>2. 1-24 hours</v>
      </c>
      <c r="O4489" t="str">
        <f t="shared" si="141"/>
        <v>2025-07</v>
      </c>
    </row>
    <row r="4490" spans="1:15" x14ac:dyDescent="0.3">
      <c r="A4490" t="s">
        <v>10567</v>
      </c>
      <c r="B4490" t="s">
        <v>10568</v>
      </c>
      <c r="C4490" t="s">
        <v>28</v>
      </c>
      <c r="D4490" t="s">
        <v>54</v>
      </c>
      <c r="E4490" t="s">
        <v>45</v>
      </c>
      <c r="F4490" t="s">
        <v>94</v>
      </c>
      <c r="G4490">
        <v>3.99</v>
      </c>
      <c r="H4490" t="s">
        <v>32</v>
      </c>
      <c r="I4490" t="s">
        <v>33</v>
      </c>
      <c r="K4490">
        <v>577.66999999999996</v>
      </c>
      <c r="L4490" t="s">
        <v>10569</v>
      </c>
      <c r="M4490">
        <f>VLOOKUP(H4490,'Stage Order'!$A$2:$B$8,2,FALSE)</f>
        <v>7</v>
      </c>
      <c r="N4490" t="str">
        <f t="shared" si="140"/>
        <v>2. 1-24 hours</v>
      </c>
      <c r="O4490" t="str">
        <f t="shared" si="141"/>
        <v>2025-10</v>
      </c>
    </row>
    <row r="4491" spans="1:15" x14ac:dyDescent="0.3">
      <c r="A4491" t="s">
        <v>10570</v>
      </c>
      <c r="B4491" t="s">
        <v>10571</v>
      </c>
      <c r="C4491" t="s">
        <v>76</v>
      </c>
      <c r="D4491" t="s">
        <v>54</v>
      </c>
      <c r="E4491" t="s">
        <v>45</v>
      </c>
      <c r="F4491" t="s">
        <v>94</v>
      </c>
      <c r="G4491">
        <v>4.84</v>
      </c>
      <c r="H4491" t="s">
        <v>41</v>
      </c>
      <c r="I4491" t="s">
        <v>42</v>
      </c>
      <c r="M4491">
        <f>VLOOKUP(H4491,'Stage Order'!$A$2:$B$8,2,FALSE)</f>
        <v>2</v>
      </c>
      <c r="N4491" t="str">
        <f t="shared" si="140"/>
        <v>2. 1-24 hours</v>
      </c>
      <c r="O4491" t="str">
        <f t="shared" si="141"/>
        <v>2026-01</v>
      </c>
    </row>
    <row r="4492" spans="1:15" x14ac:dyDescent="0.3">
      <c r="A4492" t="s">
        <v>10572</v>
      </c>
      <c r="B4492" t="s">
        <v>10573</v>
      </c>
      <c r="C4492" t="s">
        <v>58</v>
      </c>
      <c r="D4492" t="s">
        <v>77</v>
      </c>
      <c r="E4492" t="s">
        <v>45</v>
      </c>
      <c r="F4492" t="s">
        <v>55</v>
      </c>
      <c r="G4492">
        <v>4.6900000000000004</v>
      </c>
      <c r="H4492" t="s">
        <v>47</v>
      </c>
      <c r="I4492" t="s">
        <v>48</v>
      </c>
      <c r="J4492" t="s">
        <v>98</v>
      </c>
      <c r="K4492">
        <v>966.8</v>
      </c>
      <c r="L4492" t="s">
        <v>10574</v>
      </c>
      <c r="M4492">
        <f>VLOOKUP(H4492,'Stage Order'!$A$2:$B$8,2,FALSE)</f>
        <v>4</v>
      </c>
      <c r="N4492" t="str">
        <f t="shared" si="140"/>
        <v>2. 1-24 hours</v>
      </c>
      <c r="O4492" t="str">
        <f t="shared" si="141"/>
        <v>2025-07</v>
      </c>
    </row>
    <row r="4493" spans="1:15" x14ac:dyDescent="0.3">
      <c r="A4493" t="s">
        <v>10575</v>
      </c>
      <c r="B4493" t="s">
        <v>10576</v>
      </c>
      <c r="C4493" t="s">
        <v>37</v>
      </c>
      <c r="D4493" t="s">
        <v>29</v>
      </c>
      <c r="E4493" t="s">
        <v>30</v>
      </c>
      <c r="F4493" t="s">
        <v>31</v>
      </c>
      <c r="G4493">
        <v>3.81</v>
      </c>
      <c r="H4493" t="s">
        <v>138</v>
      </c>
      <c r="I4493" t="s">
        <v>48</v>
      </c>
      <c r="J4493" t="s">
        <v>98</v>
      </c>
      <c r="K4493">
        <v>748.48</v>
      </c>
      <c r="L4493" t="s">
        <v>10577</v>
      </c>
      <c r="M4493">
        <f>VLOOKUP(H4493,'Stage Order'!$A$2:$B$8,2,FALSE)</f>
        <v>6</v>
      </c>
      <c r="N4493" t="str">
        <f t="shared" si="140"/>
        <v>2. 1-24 hours</v>
      </c>
      <c r="O4493" t="str">
        <f t="shared" si="141"/>
        <v>2025-03</v>
      </c>
    </row>
    <row r="4494" spans="1:15" x14ac:dyDescent="0.3">
      <c r="A4494" t="s">
        <v>10578</v>
      </c>
      <c r="B4494" t="s">
        <v>10579</v>
      </c>
      <c r="C4494" t="s">
        <v>125</v>
      </c>
      <c r="D4494" t="s">
        <v>29</v>
      </c>
      <c r="E4494" t="s">
        <v>45</v>
      </c>
      <c r="F4494" t="s">
        <v>46</v>
      </c>
      <c r="G4494">
        <v>1.06</v>
      </c>
      <c r="H4494" t="s">
        <v>128</v>
      </c>
      <c r="I4494" t="s">
        <v>42</v>
      </c>
      <c r="M4494">
        <f>VLOOKUP(H4494,'Stage Order'!$A$2:$B$8,2,FALSE)</f>
        <v>3</v>
      </c>
      <c r="N4494" t="str">
        <f t="shared" si="140"/>
        <v>2. 1-24 hours</v>
      </c>
      <c r="O4494" t="str">
        <f t="shared" si="141"/>
        <v>2025-09</v>
      </c>
    </row>
    <row r="4495" spans="1:15" x14ac:dyDescent="0.3">
      <c r="A4495" t="s">
        <v>10580</v>
      </c>
      <c r="B4495" t="s">
        <v>10581</v>
      </c>
      <c r="C4495" t="s">
        <v>58</v>
      </c>
      <c r="D4495" t="s">
        <v>77</v>
      </c>
      <c r="E4495" t="s">
        <v>39</v>
      </c>
      <c r="F4495" t="s">
        <v>40</v>
      </c>
      <c r="G4495">
        <v>2.15</v>
      </c>
      <c r="H4495" t="s">
        <v>32</v>
      </c>
      <c r="I4495" t="s">
        <v>33</v>
      </c>
      <c r="K4495">
        <v>863.71</v>
      </c>
      <c r="L4495" t="s">
        <v>10582</v>
      </c>
      <c r="M4495">
        <f>VLOOKUP(H4495,'Stage Order'!$A$2:$B$8,2,FALSE)</f>
        <v>7</v>
      </c>
      <c r="N4495" t="str">
        <f t="shared" si="140"/>
        <v>2. 1-24 hours</v>
      </c>
      <c r="O4495" t="str">
        <f t="shared" si="141"/>
        <v>2025-09</v>
      </c>
    </row>
    <row r="4496" spans="1:15" x14ac:dyDescent="0.3">
      <c r="A4496" t="s">
        <v>10583</v>
      </c>
      <c r="B4496" t="s">
        <v>10584</v>
      </c>
      <c r="C4496" t="s">
        <v>58</v>
      </c>
      <c r="D4496" t="s">
        <v>77</v>
      </c>
      <c r="E4496" t="s">
        <v>59</v>
      </c>
      <c r="F4496" t="s">
        <v>60</v>
      </c>
      <c r="G4496">
        <v>3.52</v>
      </c>
      <c r="H4496" t="s">
        <v>41</v>
      </c>
      <c r="I4496" t="s">
        <v>42</v>
      </c>
      <c r="M4496">
        <f>VLOOKUP(H4496,'Stage Order'!$A$2:$B$8,2,FALSE)</f>
        <v>2</v>
      </c>
      <c r="N4496" t="str">
        <f t="shared" si="140"/>
        <v>2. 1-24 hours</v>
      </c>
      <c r="O4496" t="str">
        <f t="shared" si="141"/>
        <v>2025-05</v>
      </c>
    </row>
    <row r="4497" spans="1:15" x14ac:dyDescent="0.3">
      <c r="A4497" t="s">
        <v>10585</v>
      </c>
      <c r="B4497" t="s">
        <v>10586</v>
      </c>
      <c r="C4497" t="s">
        <v>37</v>
      </c>
      <c r="D4497" t="s">
        <v>54</v>
      </c>
      <c r="E4497" t="s">
        <v>45</v>
      </c>
      <c r="F4497" t="s">
        <v>55</v>
      </c>
      <c r="G4497">
        <v>1.99</v>
      </c>
      <c r="H4497" t="s">
        <v>32</v>
      </c>
      <c r="I4497" t="s">
        <v>33</v>
      </c>
      <c r="K4497">
        <v>482.32</v>
      </c>
      <c r="L4497" t="s">
        <v>10587</v>
      </c>
      <c r="M4497">
        <f>VLOOKUP(H4497,'Stage Order'!$A$2:$B$8,2,FALSE)</f>
        <v>7</v>
      </c>
      <c r="N4497" t="str">
        <f t="shared" si="140"/>
        <v>2. 1-24 hours</v>
      </c>
      <c r="O4497" t="str">
        <f t="shared" si="141"/>
        <v>2025-12</v>
      </c>
    </row>
    <row r="4498" spans="1:15" x14ac:dyDescent="0.3">
      <c r="A4498" t="s">
        <v>10588</v>
      </c>
      <c r="B4498" t="s">
        <v>10589</v>
      </c>
      <c r="C4498" t="s">
        <v>53</v>
      </c>
      <c r="D4498" t="s">
        <v>54</v>
      </c>
      <c r="E4498" t="s">
        <v>39</v>
      </c>
      <c r="F4498" t="s">
        <v>106</v>
      </c>
      <c r="G4498">
        <v>3.61</v>
      </c>
      <c r="H4498" t="s">
        <v>32</v>
      </c>
      <c r="I4498" t="s">
        <v>33</v>
      </c>
      <c r="K4498">
        <v>489.11</v>
      </c>
      <c r="L4498" t="s">
        <v>10590</v>
      </c>
      <c r="M4498">
        <f>VLOOKUP(H4498,'Stage Order'!$A$2:$B$8,2,FALSE)</f>
        <v>7</v>
      </c>
      <c r="N4498" t="str">
        <f t="shared" si="140"/>
        <v>2. 1-24 hours</v>
      </c>
      <c r="O4498" t="str">
        <f t="shared" si="141"/>
        <v>2026-03</v>
      </c>
    </row>
    <row r="4499" spans="1:15" x14ac:dyDescent="0.3">
      <c r="A4499" t="s">
        <v>10591</v>
      </c>
      <c r="B4499" t="s">
        <v>10592</v>
      </c>
      <c r="C4499" t="s">
        <v>37</v>
      </c>
      <c r="D4499" t="s">
        <v>38</v>
      </c>
      <c r="E4499" t="s">
        <v>45</v>
      </c>
      <c r="F4499" t="s">
        <v>46</v>
      </c>
      <c r="G4499">
        <v>2.25</v>
      </c>
      <c r="H4499" t="s">
        <v>41</v>
      </c>
      <c r="I4499" t="s">
        <v>42</v>
      </c>
      <c r="M4499">
        <f>VLOOKUP(H4499,'Stage Order'!$A$2:$B$8,2,FALSE)</f>
        <v>2</v>
      </c>
      <c r="N4499" t="str">
        <f t="shared" si="140"/>
        <v>2. 1-24 hours</v>
      </c>
      <c r="O4499" t="str">
        <f t="shared" si="141"/>
        <v>2025-08</v>
      </c>
    </row>
    <row r="4500" spans="1:15" x14ac:dyDescent="0.3">
      <c r="A4500" t="s">
        <v>10593</v>
      </c>
      <c r="B4500" t="s">
        <v>10594</v>
      </c>
      <c r="C4500" t="s">
        <v>37</v>
      </c>
      <c r="D4500" t="s">
        <v>54</v>
      </c>
      <c r="E4500" t="s">
        <v>30</v>
      </c>
      <c r="F4500" t="s">
        <v>78</v>
      </c>
      <c r="G4500">
        <v>2.78</v>
      </c>
      <c r="H4500" t="s">
        <v>47</v>
      </c>
      <c r="I4500" t="s">
        <v>48</v>
      </c>
      <c r="J4500" t="s">
        <v>49</v>
      </c>
      <c r="K4500">
        <v>442.09</v>
      </c>
      <c r="L4500" t="s">
        <v>10595</v>
      </c>
      <c r="M4500">
        <f>VLOOKUP(H4500,'Stage Order'!$A$2:$B$8,2,FALSE)</f>
        <v>4</v>
      </c>
      <c r="N4500" t="str">
        <f t="shared" si="140"/>
        <v>2. 1-24 hours</v>
      </c>
      <c r="O4500" t="str">
        <f t="shared" si="141"/>
        <v>2026-05</v>
      </c>
    </row>
    <row r="4501" spans="1:15" x14ac:dyDescent="0.3">
      <c r="A4501" t="s">
        <v>10596</v>
      </c>
      <c r="B4501" t="s">
        <v>10597</v>
      </c>
      <c r="C4501" t="s">
        <v>37</v>
      </c>
      <c r="D4501" t="s">
        <v>29</v>
      </c>
      <c r="E4501" t="s">
        <v>30</v>
      </c>
      <c r="F4501" t="s">
        <v>82</v>
      </c>
      <c r="G4501">
        <v>4.78</v>
      </c>
      <c r="H4501" t="s">
        <v>61</v>
      </c>
      <c r="I4501" t="s">
        <v>42</v>
      </c>
      <c r="M4501">
        <f>VLOOKUP(H4501,'Stage Order'!$A$2:$B$8,2,FALSE)</f>
        <v>1</v>
      </c>
      <c r="N4501" t="str">
        <f t="shared" si="140"/>
        <v>2. 1-24 hours</v>
      </c>
      <c r="O4501" t="str">
        <f t="shared" si="141"/>
        <v>2025-06</v>
      </c>
    </row>
    <row r="4502" spans="1:15" x14ac:dyDescent="0.3">
      <c r="A4502" t="s">
        <v>10598</v>
      </c>
      <c r="B4502" t="s">
        <v>10599</v>
      </c>
      <c r="C4502" t="s">
        <v>37</v>
      </c>
      <c r="D4502" t="s">
        <v>38</v>
      </c>
      <c r="E4502" t="s">
        <v>39</v>
      </c>
      <c r="F4502" t="s">
        <v>106</v>
      </c>
      <c r="G4502">
        <v>0.53</v>
      </c>
      <c r="H4502" t="s">
        <v>138</v>
      </c>
      <c r="I4502" t="s">
        <v>48</v>
      </c>
      <c r="J4502" t="s">
        <v>98</v>
      </c>
      <c r="K4502">
        <v>366.18</v>
      </c>
      <c r="L4502" t="s">
        <v>10600</v>
      </c>
      <c r="M4502">
        <f>VLOOKUP(H4502,'Stage Order'!$A$2:$B$8,2,FALSE)</f>
        <v>6</v>
      </c>
      <c r="N4502" t="str">
        <f t="shared" si="140"/>
        <v>1. Under 1 hour</v>
      </c>
      <c r="O4502" t="str">
        <f t="shared" si="141"/>
        <v>2025-11</v>
      </c>
    </row>
    <row r="4503" spans="1:15" x14ac:dyDescent="0.3">
      <c r="A4503" t="s">
        <v>10601</v>
      </c>
      <c r="B4503" t="s">
        <v>10602</v>
      </c>
      <c r="C4503" t="s">
        <v>81</v>
      </c>
      <c r="D4503" t="s">
        <v>54</v>
      </c>
      <c r="E4503" t="s">
        <v>45</v>
      </c>
      <c r="F4503" t="s">
        <v>55</v>
      </c>
      <c r="G4503">
        <v>16.21</v>
      </c>
      <c r="H4503" t="s">
        <v>61</v>
      </c>
      <c r="I4503" t="s">
        <v>42</v>
      </c>
      <c r="M4503">
        <f>VLOOKUP(H4503,'Stage Order'!$A$2:$B$8,2,FALSE)</f>
        <v>1</v>
      </c>
      <c r="N4503" t="str">
        <f t="shared" si="140"/>
        <v>2. 1-24 hours</v>
      </c>
      <c r="O4503" t="str">
        <f t="shared" si="141"/>
        <v>2025-06</v>
      </c>
    </row>
    <row r="4504" spans="1:15" x14ac:dyDescent="0.3">
      <c r="A4504" t="s">
        <v>10603</v>
      </c>
      <c r="B4504" t="s">
        <v>10604</v>
      </c>
      <c r="C4504" t="s">
        <v>37</v>
      </c>
      <c r="D4504" t="s">
        <v>29</v>
      </c>
      <c r="E4504" t="s">
        <v>45</v>
      </c>
      <c r="F4504" t="s">
        <v>94</v>
      </c>
      <c r="G4504">
        <v>7.63</v>
      </c>
      <c r="H4504" t="s">
        <v>41</v>
      </c>
      <c r="I4504" t="s">
        <v>42</v>
      </c>
      <c r="M4504">
        <f>VLOOKUP(H4504,'Stage Order'!$A$2:$B$8,2,FALSE)</f>
        <v>2</v>
      </c>
      <c r="N4504" t="str">
        <f t="shared" si="140"/>
        <v>2. 1-24 hours</v>
      </c>
      <c r="O4504" t="str">
        <f t="shared" si="141"/>
        <v>2026-02</v>
      </c>
    </row>
    <row r="4505" spans="1:15" x14ac:dyDescent="0.3">
      <c r="A4505" t="s">
        <v>10605</v>
      </c>
      <c r="B4505" t="s">
        <v>10606</v>
      </c>
      <c r="C4505" t="s">
        <v>37</v>
      </c>
      <c r="D4505" t="s">
        <v>29</v>
      </c>
      <c r="E4505" t="s">
        <v>45</v>
      </c>
      <c r="F4505" t="s">
        <v>94</v>
      </c>
      <c r="G4505">
        <v>2.2999999999999998</v>
      </c>
      <c r="H4505" t="s">
        <v>146</v>
      </c>
      <c r="I4505" t="s">
        <v>48</v>
      </c>
      <c r="J4505" t="s">
        <v>139</v>
      </c>
      <c r="K4505">
        <v>559.75</v>
      </c>
      <c r="L4505" t="s">
        <v>10607</v>
      </c>
      <c r="M4505">
        <f>VLOOKUP(H4505,'Stage Order'!$A$2:$B$8,2,FALSE)</f>
        <v>5</v>
      </c>
      <c r="N4505" t="str">
        <f t="shared" si="140"/>
        <v>2. 1-24 hours</v>
      </c>
      <c r="O4505" t="str">
        <f t="shared" si="141"/>
        <v>2025-06</v>
      </c>
    </row>
    <row r="4506" spans="1:15" x14ac:dyDescent="0.3">
      <c r="A4506" t="s">
        <v>10608</v>
      </c>
      <c r="B4506" t="s">
        <v>10609</v>
      </c>
      <c r="C4506" t="s">
        <v>37</v>
      </c>
      <c r="D4506" t="s">
        <v>77</v>
      </c>
      <c r="E4506" t="s">
        <v>45</v>
      </c>
      <c r="F4506" t="s">
        <v>46</v>
      </c>
      <c r="G4506">
        <v>10.14</v>
      </c>
      <c r="H4506" t="s">
        <v>41</v>
      </c>
      <c r="I4506" t="s">
        <v>42</v>
      </c>
      <c r="M4506">
        <f>VLOOKUP(H4506,'Stage Order'!$A$2:$B$8,2,FALSE)</f>
        <v>2</v>
      </c>
      <c r="N4506" t="str">
        <f t="shared" si="140"/>
        <v>2. 1-24 hours</v>
      </c>
      <c r="O4506" t="str">
        <f t="shared" si="141"/>
        <v>2025-02</v>
      </c>
    </row>
    <row r="4507" spans="1:15" x14ac:dyDescent="0.3">
      <c r="A4507" t="s">
        <v>10610</v>
      </c>
      <c r="B4507" t="s">
        <v>10611</v>
      </c>
      <c r="C4507" t="s">
        <v>76</v>
      </c>
      <c r="D4507" t="s">
        <v>29</v>
      </c>
      <c r="E4507" t="s">
        <v>45</v>
      </c>
      <c r="F4507" t="s">
        <v>46</v>
      </c>
      <c r="G4507">
        <v>10.81</v>
      </c>
      <c r="H4507" t="s">
        <v>138</v>
      </c>
      <c r="I4507" t="s">
        <v>48</v>
      </c>
      <c r="J4507" t="s">
        <v>49</v>
      </c>
      <c r="K4507">
        <v>547.83000000000004</v>
      </c>
      <c r="L4507" t="s">
        <v>10612</v>
      </c>
      <c r="M4507">
        <f>VLOOKUP(H4507,'Stage Order'!$A$2:$B$8,2,FALSE)</f>
        <v>6</v>
      </c>
      <c r="N4507" t="str">
        <f t="shared" si="140"/>
        <v>2. 1-24 hours</v>
      </c>
      <c r="O4507" t="str">
        <f t="shared" si="141"/>
        <v>2025-09</v>
      </c>
    </row>
    <row r="4508" spans="1:15" x14ac:dyDescent="0.3">
      <c r="A4508" t="s">
        <v>10613</v>
      </c>
      <c r="B4508" t="s">
        <v>10614</v>
      </c>
      <c r="C4508" t="s">
        <v>37</v>
      </c>
      <c r="D4508" t="s">
        <v>77</v>
      </c>
      <c r="E4508" t="s">
        <v>39</v>
      </c>
      <c r="F4508" t="s">
        <v>106</v>
      </c>
      <c r="G4508">
        <v>6.59</v>
      </c>
      <c r="H4508" t="s">
        <v>32</v>
      </c>
      <c r="I4508" t="s">
        <v>33</v>
      </c>
      <c r="K4508">
        <v>895.35</v>
      </c>
      <c r="L4508" t="s">
        <v>10615</v>
      </c>
      <c r="M4508">
        <f>VLOOKUP(H4508,'Stage Order'!$A$2:$B$8,2,FALSE)</f>
        <v>7</v>
      </c>
      <c r="N4508" t="str">
        <f t="shared" si="140"/>
        <v>2. 1-24 hours</v>
      </c>
      <c r="O4508" t="str">
        <f t="shared" si="141"/>
        <v>2026-06</v>
      </c>
    </row>
    <row r="4509" spans="1:15" x14ac:dyDescent="0.3">
      <c r="A4509" t="s">
        <v>10616</v>
      </c>
      <c r="B4509" t="s">
        <v>10617</v>
      </c>
      <c r="C4509" t="s">
        <v>37</v>
      </c>
      <c r="D4509" t="s">
        <v>77</v>
      </c>
      <c r="E4509" t="s">
        <v>90</v>
      </c>
      <c r="F4509" t="s">
        <v>145</v>
      </c>
      <c r="G4509">
        <v>48.39</v>
      </c>
      <c r="H4509" t="s">
        <v>41</v>
      </c>
      <c r="I4509" t="s">
        <v>42</v>
      </c>
      <c r="M4509">
        <f>VLOOKUP(H4509,'Stage Order'!$A$2:$B$8,2,FALSE)</f>
        <v>2</v>
      </c>
      <c r="N4509" t="str">
        <f t="shared" si="140"/>
        <v>3. 1-3 days</v>
      </c>
      <c r="O4509" t="str">
        <f t="shared" si="141"/>
        <v>2025-11</v>
      </c>
    </row>
    <row r="4510" spans="1:15" x14ac:dyDescent="0.3">
      <c r="A4510" t="s">
        <v>10618</v>
      </c>
      <c r="B4510" t="s">
        <v>10619</v>
      </c>
      <c r="C4510" t="s">
        <v>53</v>
      </c>
      <c r="D4510" t="s">
        <v>97</v>
      </c>
      <c r="E4510" t="s">
        <v>59</v>
      </c>
      <c r="F4510" t="s">
        <v>137</v>
      </c>
      <c r="G4510">
        <v>6.71</v>
      </c>
      <c r="H4510" t="s">
        <v>41</v>
      </c>
      <c r="I4510" t="s">
        <v>42</v>
      </c>
      <c r="M4510">
        <f>VLOOKUP(H4510,'Stage Order'!$A$2:$B$8,2,FALSE)</f>
        <v>2</v>
      </c>
      <c r="N4510" t="str">
        <f t="shared" si="140"/>
        <v>2. 1-24 hours</v>
      </c>
      <c r="O4510" t="str">
        <f t="shared" si="141"/>
        <v>2025-06</v>
      </c>
    </row>
    <row r="4511" spans="1:15" x14ac:dyDescent="0.3">
      <c r="A4511" t="s">
        <v>10620</v>
      </c>
      <c r="B4511" t="s">
        <v>10621</v>
      </c>
      <c r="C4511" t="s">
        <v>53</v>
      </c>
      <c r="D4511" t="s">
        <v>54</v>
      </c>
      <c r="E4511" t="s">
        <v>90</v>
      </c>
      <c r="F4511" t="s">
        <v>145</v>
      </c>
      <c r="G4511">
        <v>5.38</v>
      </c>
      <c r="H4511" t="s">
        <v>32</v>
      </c>
      <c r="I4511" t="s">
        <v>33</v>
      </c>
      <c r="K4511">
        <v>595.58000000000004</v>
      </c>
      <c r="L4511" t="s">
        <v>10622</v>
      </c>
      <c r="M4511">
        <f>VLOOKUP(H4511,'Stage Order'!$A$2:$B$8,2,FALSE)</f>
        <v>7</v>
      </c>
      <c r="N4511" t="str">
        <f t="shared" si="140"/>
        <v>2. 1-24 hours</v>
      </c>
      <c r="O4511" t="str">
        <f t="shared" si="141"/>
        <v>2025-10</v>
      </c>
    </row>
    <row r="4512" spans="1:15" x14ac:dyDescent="0.3">
      <c r="A4512" t="s">
        <v>10623</v>
      </c>
      <c r="B4512" t="s">
        <v>10624</v>
      </c>
      <c r="C4512" t="s">
        <v>37</v>
      </c>
      <c r="D4512" t="s">
        <v>54</v>
      </c>
      <c r="E4512" t="s">
        <v>39</v>
      </c>
      <c r="F4512" t="s">
        <v>106</v>
      </c>
      <c r="G4512">
        <v>10</v>
      </c>
      <c r="H4512" t="s">
        <v>32</v>
      </c>
      <c r="I4512" t="s">
        <v>33</v>
      </c>
      <c r="K4512">
        <v>408.54</v>
      </c>
      <c r="L4512" t="s">
        <v>10625</v>
      </c>
      <c r="M4512">
        <f>VLOOKUP(H4512,'Stage Order'!$A$2:$B$8,2,FALSE)</f>
        <v>7</v>
      </c>
      <c r="N4512" t="str">
        <f t="shared" si="140"/>
        <v>2. 1-24 hours</v>
      </c>
      <c r="O4512" t="str">
        <f t="shared" si="141"/>
        <v>2026-05</v>
      </c>
    </row>
    <row r="4513" spans="1:15" x14ac:dyDescent="0.3">
      <c r="A4513" t="s">
        <v>10626</v>
      </c>
      <c r="B4513" t="s">
        <v>10627</v>
      </c>
      <c r="C4513" t="s">
        <v>125</v>
      </c>
      <c r="D4513" t="s">
        <v>29</v>
      </c>
      <c r="E4513" t="s">
        <v>39</v>
      </c>
      <c r="F4513" t="s">
        <v>106</v>
      </c>
      <c r="G4513">
        <v>3.05</v>
      </c>
      <c r="H4513" t="s">
        <v>32</v>
      </c>
      <c r="I4513" t="s">
        <v>33</v>
      </c>
      <c r="K4513">
        <v>685.76</v>
      </c>
      <c r="L4513" t="s">
        <v>10628</v>
      </c>
      <c r="M4513">
        <f>VLOOKUP(H4513,'Stage Order'!$A$2:$B$8,2,FALSE)</f>
        <v>7</v>
      </c>
      <c r="N4513" t="str">
        <f t="shared" si="140"/>
        <v>2. 1-24 hours</v>
      </c>
      <c r="O4513" t="str">
        <f t="shared" si="141"/>
        <v>2026-03</v>
      </c>
    </row>
    <row r="4514" spans="1:15" x14ac:dyDescent="0.3">
      <c r="A4514" t="s">
        <v>10629</v>
      </c>
      <c r="B4514" t="s">
        <v>10630</v>
      </c>
      <c r="C4514" t="s">
        <v>81</v>
      </c>
      <c r="D4514" t="s">
        <v>77</v>
      </c>
      <c r="E4514" t="s">
        <v>59</v>
      </c>
      <c r="F4514" t="s">
        <v>117</v>
      </c>
      <c r="G4514">
        <v>1.71</v>
      </c>
      <c r="H4514" t="s">
        <v>61</v>
      </c>
      <c r="I4514" t="s">
        <v>42</v>
      </c>
      <c r="M4514">
        <f>VLOOKUP(H4514,'Stage Order'!$A$2:$B$8,2,FALSE)</f>
        <v>1</v>
      </c>
      <c r="N4514" t="str">
        <f t="shared" si="140"/>
        <v>2. 1-24 hours</v>
      </c>
      <c r="O4514" t="str">
        <f t="shared" si="141"/>
        <v>2025-01</v>
      </c>
    </row>
    <row r="4515" spans="1:15" x14ac:dyDescent="0.3">
      <c r="A4515" t="s">
        <v>10631</v>
      </c>
      <c r="B4515" t="s">
        <v>10632</v>
      </c>
      <c r="C4515" t="s">
        <v>37</v>
      </c>
      <c r="D4515" t="s">
        <v>54</v>
      </c>
      <c r="E4515" t="s">
        <v>45</v>
      </c>
      <c r="F4515" t="s">
        <v>55</v>
      </c>
      <c r="G4515">
        <v>19.03</v>
      </c>
      <c r="H4515" t="s">
        <v>41</v>
      </c>
      <c r="I4515" t="s">
        <v>42</v>
      </c>
      <c r="M4515">
        <f>VLOOKUP(H4515,'Stage Order'!$A$2:$B$8,2,FALSE)</f>
        <v>2</v>
      </c>
      <c r="N4515" t="str">
        <f t="shared" si="140"/>
        <v>2. 1-24 hours</v>
      </c>
      <c r="O4515" t="str">
        <f t="shared" si="141"/>
        <v>2025-12</v>
      </c>
    </row>
    <row r="4516" spans="1:15" x14ac:dyDescent="0.3">
      <c r="A4516" t="s">
        <v>10633</v>
      </c>
      <c r="B4516" t="s">
        <v>10634</v>
      </c>
      <c r="C4516" t="s">
        <v>37</v>
      </c>
      <c r="D4516" t="s">
        <v>29</v>
      </c>
      <c r="E4516" t="s">
        <v>59</v>
      </c>
      <c r="F4516" t="s">
        <v>60</v>
      </c>
      <c r="G4516">
        <v>3.26</v>
      </c>
      <c r="H4516" t="s">
        <v>41</v>
      </c>
      <c r="I4516" t="s">
        <v>42</v>
      </c>
      <c r="M4516">
        <f>VLOOKUP(H4516,'Stage Order'!$A$2:$B$8,2,FALSE)</f>
        <v>2</v>
      </c>
      <c r="N4516" t="str">
        <f t="shared" si="140"/>
        <v>2. 1-24 hours</v>
      </c>
      <c r="O4516" t="str">
        <f t="shared" si="141"/>
        <v>2025-11</v>
      </c>
    </row>
    <row r="4517" spans="1:15" x14ac:dyDescent="0.3">
      <c r="A4517" t="s">
        <v>10635</v>
      </c>
      <c r="B4517" t="s">
        <v>10636</v>
      </c>
      <c r="C4517" t="s">
        <v>81</v>
      </c>
      <c r="D4517" t="s">
        <v>77</v>
      </c>
      <c r="E4517" t="s">
        <v>90</v>
      </c>
      <c r="F4517" t="s">
        <v>91</v>
      </c>
      <c r="G4517">
        <v>2.46</v>
      </c>
      <c r="H4517" t="s">
        <v>61</v>
      </c>
      <c r="I4517" t="s">
        <v>42</v>
      </c>
      <c r="M4517">
        <f>VLOOKUP(H4517,'Stage Order'!$A$2:$B$8,2,FALSE)</f>
        <v>1</v>
      </c>
      <c r="N4517" t="str">
        <f t="shared" si="140"/>
        <v>2. 1-24 hours</v>
      </c>
      <c r="O4517" t="str">
        <f t="shared" si="141"/>
        <v>2026-01</v>
      </c>
    </row>
    <row r="4518" spans="1:15" x14ac:dyDescent="0.3">
      <c r="A4518" t="s">
        <v>10637</v>
      </c>
      <c r="B4518" t="s">
        <v>10638</v>
      </c>
      <c r="C4518" t="s">
        <v>28</v>
      </c>
      <c r="D4518" t="s">
        <v>54</v>
      </c>
      <c r="E4518" t="s">
        <v>39</v>
      </c>
      <c r="F4518" t="s">
        <v>40</v>
      </c>
      <c r="G4518">
        <v>1.71</v>
      </c>
      <c r="H4518" t="s">
        <v>32</v>
      </c>
      <c r="I4518" t="s">
        <v>33</v>
      </c>
      <c r="K4518">
        <v>504.25</v>
      </c>
      <c r="L4518" t="s">
        <v>10639</v>
      </c>
      <c r="M4518">
        <f>VLOOKUP(H4518,'Stage Order'!$A$2:$B$8,2,FALSE)</f>
        <v>7</v>
      </c>
      <c r="N4518" t="str">
        <f t="shared" si="140"/>
        <v>2. 1-24 hours</v>
      </c>
      <c r="O4518" t="str">
        <f t="shared" si="141"/>
        <v>2025-04</v>
      </c>
    </row>
    <row r="4519" spans="1:15" x14ac:dyDescent="0.3">
      <c r="A4519" t="s">
        <v>10640</v>
      </c>
      <c r="B4519" t="s">
        <v>10641</v>
      </c>
      <c r="C4519" t="s">
        <v>125</v>
      </c>
      <c r="D4519" t="s">
        <v>97</v>
      </c>
      <c r="E4519" t="s">
        <v>45</v>
      </c>
      <c r="F4519" t="s">
        <v>55</v>
      </c>
      <c r="G4519">
        <v>6.2</v>
      </c>
      <c r="H4519" t="s">
        <v>47</v>
      </c>
      <c r="I4519" t="s">
        <v>48</v>
      </c>
      <c r="J4519" t="s">
        <v>49</v>
      </c>
      <c r="K4519">
        <v>1204.46</v>
      </c>
      <c r="L4519" t="s">
        <v>10642</v>
      </c>
      <c r="M4519">
        <f>VLOOKUP(H4519,'Stage Order'!$A$2:$B$8,2,FALSE)</f>
        <v>4</v>
      </c>
      <c r="N4519" t="str">
        <f t="shared" si="140"/>
        <v>2. 1-24 hours</v>
      </c>
      <c r="O4519" t="str">
        <f t="shared" si="141"/>
        <v>2025-04</v>
      </c>
    </row>
    <row r="4520" spans="1:15" x14ac:dyDescent="0.3">
      <c r="A4520" t="s">
        <v>10643</v>
      </c>
      <c r="B4520" t="s">
        <v>10644</v>
      </c>
      <c r="C4520" t="s">
        <v>81</v>
      </c>
      <c r="D4520" t="s">
        <v>77</v>
      </c>
      <c r="E4520" t="s">
        <v>90</v>
      </c>
      <c r="F4520" t="s">
        <v>145</v>
      </c>
      <c r="G4520">
        <v>1.99</v>
      </c>
      <c r="H4520" t="s">
        <v>61</v>
      </c>
      <c r="I4520" t="s">
        <v>42</v>
      </c>
      <c r="M4520">
        <f>VLOOKUP(H4520,'Stage Order'!$A$2:$B$8,2,FALSE)</f>
        <v>1</v>
      </c>
      <c r="N4520" t="str">
        <f t="shared" si="140"/>
        <v>2. 1-24 hours</v>
      </c>
      <c r="O4520" t="str">
        <f t="shared" si="141"/>
        <v>2026-04</v>
      </c>
    </row>
    <row r="4521" spans="1:15" x14ac:dyDescent="0.3">
      <c r="A4521" t="s">
        <v>10645</v>
      </c>
      <c r="B4521" t="s">
        <v>10646</v>
      </c>
      <c r="C4521" t="s">
        <v>81</v>
      </c>
      <c r="D4521" t="s">
        <v>29</v>
      </c>
      <c r="E4521" t="s">
        <v>45</v>
      </c>
      <c r="F4521" t="s">
        <v>46</v>
      </c>
      <c r="G4521">
        <v>0.87</v>
      </c>
      <c r="H4521" t="s">
        <v>128</v>
      </c>
      <c r="I4521" t="s">
        <v>42</v>
      </c>
      <c r="M4521">
        <f>VLOOKUP(H4521,'Stage Order'!$A$2:$B$8,2,FALSE)</f>
        <v>3</v>
      </c>
      <c r="N4521" t="str">
        <f t="shared" si="140"/>
        <v>1. Under 1 hour</v>
      </c>
      <c r="O4521" t="str">
        <f t="shared" si="141"/>
        <v>2025-09</v>
      </c>
    </row>
    <row r="4522" spans="1:15" x14ac:dyDescent="0.3">
      <c r="A4522" t="s">
        <v>10647</v>
      </c>
      <c r="B4522" t="s">
        <v>10648</v>
      </c>
      <c r="C4522" t="s">
        <v>37</v>
      </c>
      <c r="D4522" t="s">
        <v>29</v>
      </c>
      <c r="E4522" t="s">
        <v>39</v>
      </c>
      <c r="F4522" t="s">
        <v>40</v>
      </c>
      <c r="G4522">
        <v>6.15</v>
      </c>
      <c r="H4522" t="s">
        <v>32</v>
      </c>
      <c r="I4522" t="s">
        <v>33</v>
      </c>
      <c r="K4522">
        <v>574.04</v>
      </c>
      <c r="L4522" t="s">
        <v>10649</v>
      </c>
      <c r="M4522">
        <f>VLOOKUP(H4522,'Stage Order'!$A$2:$B$8,2,FALSE)</f>
        <v>7</v>
      </c>
      <c r="N4522" t="str">
        <f t="shared" si="140"/>
        <v>2. 1-24 hours</v>
      </c>
      <c r="O4522" t="str">
        <f t="shared" si="141"/>
        <v>2025-07</v>
      </c>
    </row>
    <row r="4523" spans="1:15" x14ac:dyDescent="0.3">
      <c r="A4523" t="s">
        <v>10650</v>
      </c>
      <c r="B4523" t="s">
        <v>10651</v>
      </c>
      <c r="C4523" t="s">
        <v>28</v>
      </c>
      <c r="D4523" t="s">
        <v>97</v>
      </c>
      <c r="E4523" t="s">
        <v>45</v>
      </c>
      <c r="F4523" t="s">
        <v>46</v>
      </c>
      <c r="G4523">
        <v>1.02</v>
      </c>
      <c r="H4523" t="s">
        <v>41</v>
      </c>
      <c r="I4523" t="s">
        <v>42</v>
      </c>
      <c r="M4523">
        <f>VLOOKUP(H4523,'Stage Order'!$A$2:$B$8,2,FALSE)</f>
        <v>2</v>
      </c>
      <c r="N4523" t="str">
        <f t="shared" si="140"/>
        <v>2. 1-24 hours</v>
      </c>
      <c r="O4523" t="str">
        <f t="shared" si="141"/>
        <v>2026-05</v>
      </c>
    </row>
    <row r="4524" spans="1:15" x14ac:dyDescent="0.3">
      <c r="A4524" t="s">
        <v>10652</v>
      </c>
      <c r="B4524" t="s">
        <v>10653</v>
      </c>
      <c r="C4524" t="s">
        <v>37</v>
      </c>
      <c r="D4524" t="s">
        <v>54</v>
      </c>
      <c r="E4524" t="s">
        <v>39</v>
      </c>
      <c r="F4524" t="s">
        <v>106</v>
      </c>
      <c r="G4524">
        <v>2.7</v>
      </c>
      <c r="H4524" t="s">
        <v>32</v>
      </c>
      <c r="I4524" t="s">
        <v>33</v>
      </c>
      <c r="K4524">
        <v>573.96</v>
      </c>
      <c r="L4524" t="s">
        <v>10654</v>
      </c>
      <c r="M4524">
        <f>VLOOKUP(H4524,'Stage Order'!$A$2:$B$8,2,FALSE)</f>
        <v>7</v>
      </c>
      <c r="N4524" t="str">
        <f t="shared" si="140"/>
        <v>2. 1-24 hours</v>
      </c>
      <c r="O4524" t="str">
        <f t="shared" si="141"/>
        <v>2025-05</v>
      </c>
    </row>
    <row r="4525" spans="1:15" x14ac:dyDescent="0.3">
      <c r="A4525" t="s">
        <v>10655</v>
      </c>
      <c r="B4525" t="s">
        <v>10656</v>
      </c>
      <c r="C4525" t="s">
        <v>28</v>
      </c>
      <c r="D4525" t="s">
        <v>97</v>
      </c>
      <c r="E4525" t="s">
        <v>30</v>
      </c>
      <c r="F4525" t="s">
        <v>78</v>
      </c>
      <c r="G4525">
        <v>2.41</v>
      </c>
      <c r="H4525" t="s">
        <v>138</v>
      </c>
      <c r="I4525" t="s">
        <v>48</v>
      </c>
      <c r="J4525" t="s">
        <v>98</v>
      </c>
      <c r="K4525">
        <v>1437.3</v>
      </c>
      <c r="L4525" t="s">
        <v>10657</v>
      </c>
      <c r="M4525">
        <f>VLOOKUP(H4525,'Stage Order'!$A$2:$B$8,2,FALSE)</f>
        <v>6</v>
      </c>
      <c r="N4525" t="str">
        <f t="shared" si="140"/>
        <v>2. 1-24 hours</v>
      </c>
      <c r="O4525" t="str">
        <f t="shared" si="141"/>
        <v>2025-01</v>
      </c>
    </row>
    <row r="4526" spans="1:15" x14ac:dyDescent="0.3">
      <c r="A4526" t="s">
        <v>10658</v>
      </c>
      <c r="B4526" t="s">
        <v>10659</v>
      </c>
      <c r="C4526" t="s">
        <v>37</v>
      </c>
      <c r="D4526" t="s">
        <v>38</v>
      </c>
      <c r="E4526" t="s">
        <v>59</v>
      </c>
      <c r="F4526" t="s">
        <v>137</v>
      </c>
      <c r="G4526">
        <v>2.2200000000000002</v>
      </c>
      <c r="H4526" t="s">
        <v>41</v>
      </c>
      <c r="I4526" t="s">
        <v>42</v>
      </c>
      <c r="M4526">
        <f>VLOOKUP(H4526,'Stage Order'!$A$2:$B$8,2,FALSE)</f>
        <v>2</v>
      </c>
      <c r="N4526" t="str">
        <f t="shared" si="140"/>
        <v>2. 1-24 hours</v>
      </c>
      <c r="O4526" t="str">
        <f t="shared" si="141"/>
        <v>2026-04</v>
      </c>
    </row>
    <row r="4527" spans="1:15" x14ac:dyDescent="0.3">
      <c r="A4527" t="s">
        <v>10660</v>
      </c>
      <c r="B4527" t="s">
        <v>10661</v>
      </c>
      <c r="C4527" t="s">
        <v>53</v>
      </c>
      <c r="D4527" t="s">
        <v>77</v>
      </c>
      <c r="E4527" t="s">
        <v>90</v>
      </c>
      <c r="F4527" t="s">
        <v>112</v>
      </c>
      <c r="G4527">
        <v>1.96</v>
      </c>
      <c r="H4527" t="s">
        <v>41</v>
      </c>
      <c r="I4527" t="s">
        <v>42</v>
      </c>
      <c r="M4527">
        <f>VLOOKUP(H4527,'Stage Order'!$A$2:$B$8,2,FALSE)</f>
        <v>2</v>
      </c>
      <c r="N4527" t="str">
        <f t="shared" si="140"/>
        <v>2. 1-24 hours</v>
      </c>
      <c r="O4527" t="str">
        <f t="shared" si="141"/>
        <v>2026-03</v>
      </c>
    </row>
    <row r="4528" spans="1:15" x14ac:dyDescent="0.3">
      <c r="A4528" t="s">
        <v>10662</v>
      </c>
      <c r="B4528" t="s">
        <v>10663</v>
      </c>
      <c r="C4528" t="s">
        <v>125</v>
      </c>
      <c r="D4528" t="s">
        <v>97</v>
      </c>
      <c r="E4528" t="s">
        <v>39</v>
      </c>
      <c r="F4528" t="s">
        <v>106</v>
      </c>
      <c r="G4528">
        <v>1.21</v>
      </c>
      <c r="H4528" t="s">
        <v>41</v>
      </c>
      <c r="I4528" t="s">
        <v>42</v>
      </c>
      <c r="M4528">
        <f>VLOOKUP(H4528,'Stage Order'!$A$2:$B$8,2,FALSE)</f>
        <v>2</v>
      </c>
      <c r="N4528" t="str">
        <f t="shared" si="140"/>
        <v>2. 1-24 hours</v>
      </c>
      <c r="O4528" t="str">
        <f t="shared" si="141"/>
        <v>2025-03</v>
      </c>
    </row>
    <row r="4529" spans="1:15" x14ac:dyDescent="0.3">
      <c r="A4529" t="s">
        <v>10664</v>
      </c>
      <c r="B4529" t="s">
        <v>10665</v>
      </c>
      <c r="C4529" t="s">
        <v>28</v>
      </c>
      <c r="D4529" t="s">
        <v>77</v>
      </c>
      <c r="E4529" t="s">
        <v>90</v>
      </c>
      <c r="F4529" t="s">
        <v>112</v>
      </c>
      <c r="G4529">
        <v>3.32</v>
      </c>
      <c r="H4529" t="s">
        <v>146</v>
      </c>
      <c r="I4529" t="s">
        <v>48</v>
      </c>
      <c r="J4529" t="s">
        <v>49</v>
      </c>
      <c r="K4529">
        <v>1003.73</v>
      </c>
      <c r="L4529" t="s">
        <v>10666</v>
      </c>
      <c r="M4529">
        <f>VLOOKUP(H4529,'Stage Order'!$A$2:$B$8,2,FALSE)</f>
        <v>5</v>
      </c>
      <c r="N4529" t="str">
        <f t="shared" si="140"/>
        <v>2. 1-24 hours</v>
      </c>
      <c r="O4529" t="str">
        <f t="shared" si="141"/>
        <v>2026-06</v>
      </c>
    </row>
    <row r="4530" spans="1:15" x14ac:dyDescent="0.3">
      <c r="A4530" t="s">
        <v>10667</v>
      </c>
      <c r="B4530" t="s">
        <v>10668</v>
      </c>
      <c r="C4530" t="s">
        <v>125</v>
      </c>
      <c r="D4530" t="s">
        <v>77</v>
      </c>
      <c r="E4530" t="s">
        <v>30</v>
      </c>
      <c r="F4530" t="s">
        <v>78</v>
      </c>
      <c r="G4530">
        <v>7.6</v>
      </c>
      <c r="H4530" t="s">
        <v>41</v>
      </c>
      <c r="I4530" t="s">
        <v>42</v>
      </c>
      <c r="M4530">
        <f>VLOOKUP(H4530,'Stage Order'!$A$2:$B$8,2,FALSE)</f>
        <v>2</v>
      </c>
      <c r="N4530" t="str">
        <f t="shared" si="140"/>
        <v>2. 1-24 hours</v>
      </c>
      <c r="O4530" t="str">
        <f t="shared" si="141"/>
        <v>2026-06</v>
      </c>
    </row>
    <row r="4531" spans="1:15" x14ac:dyDescent="0.3">
      <c r="A4531" t="s">
        <v>10669</v>
      </c>
      <c r="B4531" t="s">
        <v>10670</v>
      </c>
      <c r="C4531" t="s">
        <v>28</v>
      </c>
      <c r="D4531" t="s">
        <v>77</v>
      </c>
      <c r="E4531" t="s">
        <v>45</v>
      </c>
      <c r="F4531" t="s">
        <v>94</v>
      </c>
      <c r="G4531">
        <v>4.3</v>
      </c>
      <c r="H4531" t="s">
        <v>32</v>
      </c>
      <c r="I4531" t="s">
        <v>33</v>
      </c>
      <c r="K4531">
        <v>1081.97</v>
      </c>
      <c r="L4531" t="s">
        <v>10671</v>
      </c>
      <c r="M4531">
        <f>VLOOKUP(H4531,'Stage Order'!$A$2:$B$8,2,FALSE)</f>
        <v>7</v>
      </c>
      <c r="N4531" t="str">
        <f t="shared" si="140"/>
        <v>2. 1-24 hours</v>
      </c>
      <c r="O4531" t="str">
        <f t="shared" si="141"/>
        <v>2026-02</v>
      </c>
    </row>
    <row r="4532" spans="1:15" x14ac:dyDescent="0.3">
      <c r="A4532" t="s">
        <v>10672</v>
      </c>
      <c r="B4532" t="s">
        <v>10673</v>
      </c>
      <c r="C4532" t="s">
        <v>58</v>
      </c>
      <c r="D4532" t="s">
        <v>54</v>
      </c>
      <c r="E4532" t="s">
        <v>59</v>
      </c>
      <c r="F4532" t="s">
        <v>137</v>
      </c>
      <c r="G4532">
        <v>3.09</v>
      </c>
      <c r="H4532" t="s">
        <v>61</v>
      </c>
      <c r="I4532" t="s">
        <v>42</v>
      </c>
      <c r="M4532">
        <f>VLOOKUP(H4532,'Stage Order'!$A$2:$B$8,2,FALSE)</f>
        <v>1</v>
      </c>
      <c r="N4532" t="str">
        <f t="shared" si="140"/>
        <v>2. 1-24 hours</v>
      </c>
      <c r="O4532" t="str">
        <f t="shared" si="141"/>
        <v>2026-04</v>
      </c>
    </row>
    <row r="4533" spans="1:15" x14ac:dyDescent="0.3">
      <c r="A4533" t="s">
        <v>10674</v>
      </c>
      <c r="B4533" t="s">
        <v>10675</v>
      </c>
      <c r="C4533" t="s">
        <v>125</v>
      </c>
      <c r="D4533" t="s">
        <v>54</v>
      </c>
      <c r="E4533" t="s">
        <v>30</v>
      </c>
      <c r="F4533" t="s">
        <v>78</v>
      </c>
      <c r="G4533">
        <v>2.5</v>
      </c>
      <c r="H4533" t="s">
        <v>61</v>
      </c>
      <c r="I4533" t="s">
        <v>42</v>
      </c>
      <c r="M4533">
        <f>VLOOKUP(H4533,'Stage Order'!$A$2:$B$8,2,FALSE)</f>
        <v>1</v>
      </c>
      <c r="N4533" t="str">
        <f t="shared" si="140"/>
        <v>2. 1-24 hours</v>
      </c>
      <c r="O4533" t="str">
        <f t="shared" si="141"/>
        <v>2026-05</v>
      </c>
    </row>
    <row r="4534" spans="1:15" x14ac:dyDescent="0.3">
      <c r="A4534" t="s">
        <v>10676</v>
      </c>
      <c r="B4534" t="s">
        <v>10677</v>
      </c>
      <c r="C4534" t="s">
        <v>53</v>
      </c>
      <c r="D4534" t="s">
        <v>54</v>
      </c>
      <c r="E4534" t="s">
        <v>45</v>
      </c>
      <c r="F4534" t="s">
        <v>94</v>
      </c>
      <c r="G4534">
        <v>1.56</v>
      </c>
      <c r="H4534" t="s">
        <v>41</v>
      </c>
      <c r="I4534" t="s">
        <v>42</v>
      </c>
      <c r="M4534">
        <f>VLOOKUP(H4534,'Stage Order'!$A$2:$B$8,2,FALSE)</f>
        <v>2</v>
      </c>
      <c r="N4534" t="str">
        <f t="shared" si="140"/>
        <v>2. 1-24 hours</v>
      </c>
      <c r="O4534" t="str">
        <f t="shared" si="141"/>
        <v>2026-01</v>
      </c>
    </row>
    <row r="4535" spans="1:15" x14ac:dyDescent="0.3">
      <c r="A4535" t="s">
        <v>10678</v>
      </c>
      <c r="B4535" t="s">
        <v>10679</v>
      </c>
      <c r="C4535" t="s">
        <v>76</v>
      </c>
      <c r="D4535" t="s">
        <v>54</v>
      </c>
      <c r="E4535" t="s">
        <v>90</v>
      </c>
      <c r="F4535" t="s">
        <v>112</v>
      </c>
      <c r="G4535">
        <v>7.02</v>
      </c>
      <c r="H4535" t="s">
        <v>32</v>
      </c>
      <c r="I4535" t="s">
        <v>33</v>
      </c>
      <c r="K4535">
        <v>474.5</v>
      </c>
      <c r="L4535" t="s">
        <v>10680</v>
      </c>
      <c r="M4535">
        <f>VLOOKUP(H4535,'Stage Order'!$A$2:$B$8,2,FALSE)</f>
        <v>7</v>
      </c>
      <c r="N4535" t="str">
        <f t="shared" si="140"/>
        <v>2. 1-24 hours</v>
      </c>
      <c r="O4535" t="str">
        <f t="shared" si="141"/>
        <v>2025-01</v>
      </c>
    </row>
    <row r="4536" spans="1:15" x14ac:dyDescent="0.3">
      <c r="A4536" t="s">
        <v>10681</v>
      </c>
      <c r="B4536" t="s">
        <v>10682</v>
      </c>
      <c r="C4536" t="s">
        <v>76</v>
      </c>
      <c r="D4536" t="s">
        <v>54</v>
      </c>
      <c r="E4536" t="s">
        <v>39</v>
      </c>
      <c r="F4536" t="s">
        <v>66</v>
      </c>
      <c r="G4536">
        <v>3.43</v>
      </c>
      <c r="H4536" t="s">
        <v>41</v>
      </c>
      <c r="I4536" t="s">
        <v>42</v>
      </c>
      <c r="M4536">
        <f>VLOOKUP(H4536,'Stage Order'!$A$2:$B$8,2,FALSE)</f>
        <v>2</v>
      </c>
      <c r="N4536" t="str">
        <f t="shared" si="140"/>
        <v>2. 1-24 hours</v>
      </c>
      <c r="O4536" t="str">
        <f t="shared" si="141"/>
        <v>2025-06</v>
      </c>
    </row>
    <row r="4537" spans="1:15" x14ac:dyDescent="0.3">
      <c r="A4537" t="s">
        <v>10683</v>
      </c>
      <c r="B4537" t="s">
        <v>10684</v>
      </c>
      <c r="C4537" t="s">
        <v>58</v>
      </c>
      <c r="D4537" t="s">
        <v>54</v>
      </c>
      <c r="E4537" t="s">
        <v>39</v>
      </c>
      <c r="F4537" t="s">
        <v>66</v>
      </c>
      <c r="G4537">
        <v>1.06</v>
      </c>
      <c r="H4537" t="s">
        <v>61</v>
      </c>
      <c r="I4537" t="s">
        <v>42</v>
      </c>
      <c r="M4537">
        <f>VLOOKUP(H4537,'Stage Order'!$A$2:$B$8,2,FALSE)</f>
        <v>1</v>
      </c>
      <c r="N4537" t="str">
        <f t="shared" si="140"/>
        <v>2. 1-24 hours</v>
      </c>
      <c r="O4537" t="str">
        <f t="shared" si="141"/>
        <v>2026-05</v>
      </c>
    </row>
    <row r="4538" spans="1:15" x14ac:dyDescent="0.3">
      <c r="A4538" t="s">
        <v>10685</v>
      </c>
      <c r="B4538" t="s">
        <v>10686</v>
      </c>
      <c r="C4538" t="s">
        <v>37</v>
      </c>
      <c r="D4538" t="s">
        <v>77</v>
      </c>
      <c r="E4538" t="s">
        <v>30</v>
      </c>
      <c r="F4538" t="s">
        <v>31</v>
      </c>
      <c r="G4538">
        <v>7.16</v>
      </c>
      <c r="H4538" t="s">
        <v>41</v>
      </c>
      <c r="I4538" t="s">
        <v>42</v>
      </c>
      <c r="M4538">
        <f>VLOOKUP(H4538,'Stage Order'!$A$2:$B$8,2,FALSE)</f>
        <v>2</v>
      </c>
      <c r="N4538" t="str">
        <f t="shared" si="140"/>
        <v>2. 1-24 hours</v>
      </c>
      <c r="O4538" t="str">
        <f t="shared" si="141"/>
        <v>2025-03</v>
      </c>
    </row>
    <row r="4539" spans="1:15" x14ac:dyDescent="0.3">
      <c r="A4539" t="s">
        <v>10687</v>
      </c>
      <c r="B4539" t="s">
        <v>10688</v>
      </c>
      <c r="C4539" t="s">
        <v>76</v>
      </c>
      <c r="D4539" t="s">
        <v>54</v>
      </c>
      <c r="E4539" t="s">
        <v>39</v>
      </c>
      <c r="F4539" t="s">
        <v>106</v>
      </c>
      <c r="G4539">
        <v>5.64</v>
      </c>
      <c r="H4539" t="s">
        <v>41</v>
      </c>
      <c r="I4539" t="s">
        <v>42</v>
      </c>
      <c r="M4539">
        <f>VLOOKUP(H4539,'Stage Order'!$A$2:$B$8,2,FALSE)</f>
        <v>2</v>
      </c>
      <c r="N4539" t="str">
        <f t="shared" si="140"/>
        <v>2. 1-24 hours</v>
      </c>
      <c r="O4539" t="str">
        <f t="shared" si="141"/>
        <v>2025-02</v>
      </c>
    </row>
    <row r="4540" spans="1:15" x14ac:dyDescent="0.3">
      <c r="A4540" t="s">
        <v>10689</v>
      </c>
      <c r="B4540" t="s">
        <v>10690</v>
      </c>
      <c r="C4540" t="s">
        <v>125</v>
      </c>
      <c r="D4540" t="s">
        <v>38</v>
      </c>
      <c r="E4540" t="s">
        <v>45</v>
      </c>
      <c r="F4540" t="s">
        <v>94</v>
      </c>
      <c r="G4540">
        <v>2.06</v>
      </c>
      <c r="H4540" t="s">
        <v>146</v>
      </c>
      <c r="I4540" t="s">
        <v>48</v>
      </c>
      <c r="J4540" t="s">
        <v>139</v>
      </c>
      <c r="K4540">
        <v>312.87</v>
      </c>
      <c r="L4540" t="s">
        <v>10691</v>
      </c>
      <c r="M4540">
        <f>VLOOKUP(H4540,'Stage Order'!$A$2:$B$8,2,FALSE)</f>
        <v>5</v>
      </c>
      <c r="N4540" t="str">
        <f t="shared" si="140"/>
        <v>2. 1-24 hours</v>
      </c>
      <c r="O4540" t="str">
        <f t="shared" si="141"/>
        <v>2025-05</v>
      </c>
    </row>
    <row r="4541" spans="1:15" x14ac:dyDescent="0.3">
      <c r="A4541" t="s">
        <v>10692</v>
      </c>
      <c r="B4541" t="s">
        <v>10693</v>
      </c>
      <c r="C4541" t="s">
        <v>53</v>
      </c>
      <c r="D4541" t="s">
        <v>54</v>
      </c>
      <c r="E4541" t="s">
        <v>45</v>
      </c>
      <c r="F4541" t="s">
        <v>46</v>
      </c>
      <c r="G4541">
        <v>1.06</v>
      </c>
      <c r="H4541" t="s">
        <v>32</v>
      </c>
      <c r="I4541" t="s">
        <v>33</v>
      </c>
      <c r="K4541">
        <v>525.87</v>
      </c>
      <c r="L4541" t="s">
        <v>10694</v>
      </c>
      <c r="M4541">
        <f>VLOOKUP(H4541,'Stage Order'!$A$2:$B$8,2,FALSE)</f>
        <v>7</v>
      </c>
      <c r="N4541" t="str">
        <f t="shared" si="140"/>
        <v>2. 1-24 hours</v>
      </c>
      <c r="O4541" t="str">
        <f t="shared" si="141"/>
        <v>2025-08</v>
      </c>
    </row>
    <row r="4542" spans="1:15" x14ac:dyDescent="0.3">
      <c r="A4542" t="s">
        <v>10695</v>
      </c>
      <c r="B4542" t="s">
        <v>10696</v>
      </c>
      <c r="C4542" t="s">
        <v>81</v>
      </c>
      <c r="D4542" t="s">
        <v>54</v>
      </c>
      <c r="E4542" t="s">
        <v>30</v>
      </c>
      <c r="F4542" t="s">
        <v>82</v>
      </c>
      <c r="G4542">
        <v>0.73</v>
      </c>
      <c r="H4542" t="s">
        <v>61</v>
      </c>
      <c r="I4542" t="s">
        <v>42</v>
      </c>
      <c r="M4542">
        <f>VLOOKUP(H4542,'Stage Order'!$A$2:$B$8,2,FALSE)</f>
        <v>1</v>
      </c>
      <c r="N4542" t="str">
        <f t="shared" si="140"/>
        <v>1. Under 1 hour</v>
      </c>
      <c r="O4542" t="str">
        <f t="shared" si="141"/>
        <v>2025-09</v>
      </c>
    </row>
    <row r="4543" spans="1:15" x14ac:dyDescent="0.3">
      <c r="A4543" t="s">
        <v>10697</v>
      </c>
      <c r="B4543" t="s">
        <v>10698</v>
      </c>
      <c r="C4543" t="s">
        <v>28</v>
      </c>
      <c r="D4543" t="s">
        <v>97</v>
      </c>
      <c r="E4543" t="s">
        <v>39</v>
      </c>
      <c r="F4543" t="s">
        <v>66</v>
      </c>
      <c r="G4543">
        <v>2.65</v>
      </c>
      <c r="H4543" t="s">
        <v>41</v>
      </c>
      <c r="I4543" t="s">
        <v>42</v>
      </c>
      <c r="M4543">
        <f>VLOOKUP(H4543,'Stage Order'!$A$2:$B$8,2,FALSE)</f>
        <v>2</v>
      </c>
      <c r="N4543" t="str">
        <f t="shared" si="140"/>
        <v>2. 1-24 hours</v>
      </c>
      <c r="O4543" t="str">
        <f t="shared" si="141"/>
        <v>2026-03</v>
      </c>
    </row>
    <row r="4544" spans="1:15" x14ac:dyDescent="0.3">
      <c r="A4544" t="s">
        <v>10699</v>
      </c>
      <c r="B4544" t="s">
        <v>10700</v>
      </c>
      <c r="C4544" t="s">
        <v>58</v>
      </c>
      <c r="D4544" t="s">
        <v>77</v>
      </c>
      <c r="E4544" t="s">
        <v>59</v>
      </c>
      <c r="F4544" t="s">
        <v>117</v>
      </c>
      <c r="G4544">
        <v>2.4900000000000002</v>
      </c>
      <c r="H4544" t="s">
        <v>32</v>
      </c>
      <c r="I4544" t="s">
        <v>33</v>
      </c>
      <c r="K4544">
        <v>860.67</v>
      </c>
      <c r="L4544" t="s">
        <v>10701</v>
      </c>
      <c r="M4544">
        <f>VLOOKUP(H4544,'Stage Order'!$A$2:$B$8,2,FALSE)</f>
        <v>7</v>
      </c>
      <c r="N4544" t="str">
        <f t="shared" si="140"/>
        <v>2. 1-24 hours</v>
      </c>
      <c r="O4544" t="str">
        <f t="shared" si="141"/>
        <v>2025-12</v>
      </c>
    </row>
    <row r="4545" spans="1:15" x14ac:dyDescent="0.3">
      <c r="A4545" t="s">
        <v>10702</v>
      </c>
      <c r="B4545" t="s">
        <v>10703</v>
      </c>
      <c r="C4545" t="s">
        <v>53</v>
      </c>
      <c r="D4545" t="s">
        <v>77</v>
      </c>
      <c r="E4545" t="s">
        <v>45</v>
      </c>
      <c r="F4545" t="s">
        <v>46</v>
      </c>
      <c r="G4545">
        <v>0.99</v>
      </c>
      <c r="H4545" t="s">
        <v>128</v>
      </c>
      <c r="I4545" t="s">
        <v>42</v>
      </c>
      <c r="M4545">
        <f>VLOOKUP(H4545,'Stage Order'!$A$2:$B$8,2,FALSE)</f>
        <v>3</v>
      </c>
      <c r="N4545" t="str">
        <f t="shared" si="140"/>
        <v>1. Under 1 hour</v>
      </c>
      <c r="O4545" t="str">
        <f t="shared" si="141"/>
        <v>2025-12</v>
      </c>
    </row>
    <row r="4546" spans="1:15" x14ac:dyDescent="0.3">
      <c r="A4546" t="s">
        <v>10704</v>
      </c>
      <c r="B4546" t="s">
        <v>10705</v>
      </c>
      <c r="C4546" t="s">
        <v>125</v>
      </c>
      <c r="D4546" t="s">
        <v>29</v>
      </c>
      <c r="E4546" t="s">
        <v>59</v>
      </c>
      <c r="F4546" t="s">
        <v>60</v>
      </c>
      <c r="G4546">
        <v>0.22</v>
      </c>
      <c r="H4546" t="s">
        <v>32</v>
      </c>
      <c r="I4546" t="s">
        <v>33</v>
      </c>
      <c r="K4546">
        <v>572.58000000000004</v>
      </c>
      <c r="L4546" t="s">
        <v>10706</v>
      </c>
      <c r="M4546">
        <f>VLOOKUP(H4546,'Stage Order'!$A$2:$B$8,2,FALSE)</f>
        <v>7</v>
      </c>
      <c r="N4546" t="str">
        <f t="shared" ref="N4546:N4609" si="142">IF(G4546&lt;=1,"1. Under 1 hour",IF(G4546&lt;=24,"2. 1-24 hours",IF(G4546&lt;=72,"3. 1-3 days","4. Over 3 days")))</f>
        <v>1. Under 1 hour</v>
      </c>
      <c r="O4546" t="str">
        <f t="shared" ref="O4546:O4609" si="143">TEXT(B4546,"YYYY-MM")</f>
        <v>2026-01</v>
      </c>
    </row>
    <row r="4547" spans="1:15" x14ac:dyDescent="0.3">
      <c r="A4547" t="s">
        <v>10707</v>
      </c>
      <c r="B4547" t="s">
        <v>10708</v>
      </c>
      <c r="C4547" t="s">
        <v>37</v>
      </c>
      <c r="D4547" t="s">
        <v>54</v>
      </c>
      <c r="E4547" t="s">
        <v>90</v>
      </c>
      <c r="F4547" t="s">
        <v>145</v>
      </c>
      <c r="G4547">
        <v>1.1499999999999999</v>
      </c>
      <c r="H4547" t="s">
        <v>61</v>
      </c>
      <c r="I4547" t="s">
        <v>42</v>
      </c>
      <c r="M4547">
        <f>VLOOKUP(H4547,'Stage Order'!$A$2:$B$8,2,FALSE)</f>
        <v>1</v>
      </c>
      <c r="N4547" t="str">
        <f t="shared" si="142"/>
        <v>2. 1-24 hours</v>
      </c>
      <c r="O4547" t="str">
        <f t="shared" si="143"/>
        <v>2025-08</v>
      </c>
    </row>
    <row r="4548" spans="1:15" x14ac:dyDescent="0.3">
      <c r="A4548" t="s">
        <v>10709</v>
      </c>
      <c r="B4548" t="s">
        <v>10710</v>
      </c>
      <c r="C4548" t="s">
        <v>37</v>
      </c>
      <c r="D4548" t="s">
        <v>29</v>
      </c>
      <c r="E4548" t="s">
        <v>45</v>
      </c>
      <c r="F4548" t="s">
        <v>94</v>
      </c>
      <c r="G4548">
        <v>1.41</v>
      </c>
      <c r="H4548" t="s">
        <v>41</v>
      </c>
      <c r="I4548" t="s">
        <v>42</v>
      </c>
      <c r="M4548">
        <f>VLOOKUP(H4548,'Stage Order'!$A$2:$B$8,2,FALSE)</f>
        <v>2</v>
      </c>
      <c r="N4548" t="str">
        <f t="shared" si="142"/>
        <v>2. 1-24 hours</v>
      </c>
      <c r="O4548" t="str">
        <f t="shared" si="143"/>
        <v>2025-08</v>
      </c>
    </row>
    <row r="4549" spans="1:15" x14ac:dyDescent="0.3">
      <c r="A4549" t="s">
        <v>10711</v>
      </c>
      <c r="B4549" t="s">
        <v>10712</v>
      </c>
      <c r="C4549" t="s">
        <v>58</v>
      </c>
      <c r="D4549" t="s">
        <v>38</v>
      </c>
      <c r="E4549" t="s">
        <v>59</v>
      </c>
      <c r="F4549" t="s">
        <v>117</v>
      </c>
      <c r="G4549">
        <v>2.5</v>
      </c>
      <c r="H4549" t="s">
        <v>47</v>
      </c>
      <c r="I4549" t="s">
        <v>48</v>
      </c>
      <c r="J4549" t="s">
        <v>139</v>
      </c>
      <c r="K4549">
        <v>333.19</v>
      </c>
      <c r="L4549" t="s">
        <v>10713</v>
      </c>
      <c r="M4549">
        <f>VLOOKUP(H4549,'Stage Order'!$A$2:$B$8,2,FALSE)</f>
        <v>4</v>
      </c>
      <c r="N4549" t="str">
        <f t="shared" si="142"/>
        <v>2. 1-24 hours</v>
      </c>
      <c r="O4549" t="str">
        <f t="shared" si="143"/>
        <v>2026-02</v>
      </c>
    </row>
    <row r="4550" spans="1:15" x14ac:dyDescent="0.3">
      <c r="A4550" t="s">
        <v>10714</v>
      </c>
      <c r="B4550" t="s">
        <v>10715</v>
      </c>
      <c r="C4550" t="s">
        <v>81</v>
      </c>
      <c r="D4550" t="s">
        <v>54</v>
      </c>
      <c r="E4550" t="s">
        <v>39</v>
      </c>
      <c r="F4550" t="s">
        <v>66</v>
      </c>
      <c r="G4550">
        <v>8.3000000000000007</v>
      </c>
      <c r="H4550" t="s">
        <v>61</v>
      </c>
      <c r="I4550" t="s">
        <v>42</v>
      </c>
      <c r="M4550">
        <f>VLOOKUP(H4550,'Stage Order'!$A$2:$B$8,2,FALSE)</f>
        <v>1</v>
      </c>
      <c r="N4550" t="str">
        <f t="shared" si="142"/>
        <v>2. 1-24 hours</v>
      </c>
      <c r="O4550" t="str">
        <f t="shared" si="143"/>
        <v>2026-04</v>
      </c>
    </row>
    <row r="4551" spans="1:15" x14ac:dyDescent="0.3">
      <c r="A4551" t="s">
        <v>10716</v>
      </c>
      <c r="B4551" t="s">
        <v>10717</v>
      </c>
      <c r="C4551" t="s">
        <v>76</v>
      </c>
      <c r="D4551" t="s">
        <v>54</v>
      </c>
      <c r="E4551" t="s">
        <v>30</v>
      </c>
      <c r="F4551" t="s">
        <v>78</v>
      </c>
      <c r="G4551">
        <v>4</v>
      </c>
      <c r="H4551" t="s">
        <v>47</v>
      </c>
      <c r="I4551" t="s">
        <v>48</v>
      </c>
      <c r="J4551" t="s">
        <v>113</v>
      </c>
      <c r="K4551">
        <v>580.5</v>
      </c>
      <c r="L4551" t="s">
        <v>10718</v>
      </c>
      <c r="M4551">
        <f>VLOOKUP(H4551,'Stage Order'!$A$2:$B$8,2,FALSE)</f>
        <v>4</v>
      </c>
      <c r="N4551" t="str">
        <f t="shared" si="142"/>
        <v>2. 1-24 hours</v>
      </c>
      <c r="O4551" t="str">
        <f t="shared" si="143"/>
        <v>2026-03</v>
      </c>
    </row>
    <row r="4552" spans="1:15" x14ac:dyDescent="0.3">
      <c r="A4552" t="s">
        <v>10719</v>
      </c>
      <c r="B4552" t="s">
        <v>10720</v>
      </c>
      <c r="C4552" t="s">
        <v>53</v>
      </c>
      <c r="D4552" t="s">
        <v>97</v>
      </c>
      <c r="E4552" t="s">
        <v>30</v>
      </c>
      <c r="F4552" t="s">
        <v>82</v>
      </c>
      <c r="G4552">
        <v>3.71</v>
      </c>
      <c r="H4552" t="s">
        <v>47</v>
      </c>
      <c r="I4552" t="s">
        <v>48</v>
      </c>
      <c r="J4552" t="s">
        <v>49</v>
      </c>
      <c r="K4552">
        <v>1727.91</v>
      </c>
      <c r="L4552" t="s">
        <v>10721</v>
      </c>
      <c r="M4552">
        <f>VLOOKUP(H4552,'Stage Order'!$A$2:$B$8,2,FALSE)</f>
        <v>4</v>
      </c>
      <c r="N4552" t="str">
        <f t="shared" si="142"/>
        <v>2. 1-24 hours</v>
      </c>
      <c r="O4552" t="str">
        <f t="shared" si="143"/>
        <v>2026-04</v>
      </c>
    </row>
    <row r="4553" spans="1:15" x14ac:dyDescent="0.3">
      <c r="A4553" t="s">
        <v>10722</v>
      </c>
      <c r="B4553" t="s">
        <v>10723</v>
      </c>
      <c r="C4553" t="s">
        <v>28</v>
      </c>
      <c r="D4553" t="s">
        <v>77</v>
      </c>
      <c r="E4553" t="s">
        <v>30</v>
      </c>
      <c r="F4553" t="s">
        <v>78</v>
      </c>
      <c r="G4553">
        <v>1.96</v>
      </c>
      <c r="H4553" t="s">
        <v>41</v>
      </c>
      <c r="I4553" t="s">
        <v>42</v>
      </c>
      <c r="M4553">
        <f>VLOOKUP(H4553,'Stage Order'!$A$2:$B$8,2,FALSE)</f>
        <v>2</v>
      </c>
      <c r="N4553" t="str">
        <f t="shared" si="142"/>
        <v>2. 1-24 hours</v>
      </c>
      <c r="O4553" t="str">
        <f t="shared" si="143"/>
        <v>2025-11</v>
      </c>
    </row>
    <row r="4554" spans="1:15" x14ac:dyDescent="0.3">
      <c r="A4554" t="s">
        <v>10724</v>
      </c>
      <c r="B4554" t="s">
        <v>10725</v>
      </c>
      <c r="C4554" t="s">
        <v>37</v>
      </c>
      <c r="D4554" t="s">
        <v>77</v>
      </c>
      <c r="E4554" t="s">
        <v>39</v>
      </c>
      <c r="F4554" t="s">
        <v>106</v>
      </c>
      <c r="G4554">
        <v>1.73</v>
      </c>
      <c r="H4554" t="s">
        <v>41</v>
      </c>
      <c r="I4554" t="s">
        <v>42</v>
      </c>
      <c r="M4554">
        <f>VLOOKUP(H4554,'Stage Order'!$A$2:$B$8,2,FALSE)</f>
        <v>2</v>
      </c>
      <c r="N4554" t="str">
        <f t="shared" si="142"/>
        <v>2. 1-24 hours</v>
      </c>
      <c r="O4554" t="str">
        <f t="shared" si="143"/>
        <v>2025-02</v>
      </c>
    </row>
    <row r="4555" spans="1:15" x14ac:dyDescent="0.3">
      <c r="A4555" t="s">
        <v>10726</v>
      </c>
      <c r="B4555" t="s">
        <v>10727</v>
      </c>
      <c r="C4555" t="s">
        <v>58</v>
      </c>
      <c r="D4555" t="s">
        <v>29</v>
      </c>
      <c r="E4555" t="s">
        <v>30</v>
      </c>
      <c r="F4555" t="s">
        <v>78</v>
      </c>
      <c r="G4555">
        <v>8.09</v>
      </c>
      <c r="H4555" t="s">
        <v>61</v>
      </c>
      <c r="I4555" t="s">
        <v>42</v>
      </c>
      <c r="M4555">
        <f>VLOOKUP(H4555,'Stage Order'!$A$2:$B$8,2,FALSE)</f>
        <v>1</v>
      </c>
      <c r="N4555" t="str">
        <f t="shared" si="142"/>
        <v>2. 1-24 hours</v>
      </c>
      <c r="O4555" t="str">
        <f t="shared" si="143"/>
        <v>2025-05</v>
      </c>
    </row>
    <row r="4556" spans="1:15" x14ac:dyDescent="0.3">
      <c r="A4556" t="s">
        <v>10728</v>
      </c>
      <c r="B4556" t="s">
        <v>10729</v>
      </c>
      <c r="C4556" t="s">
        <v>58</v>
      </c>
      <c r="D4556" t="s">
        <v>77</v>
      </c>
      <c r="E4556" t="s">
        <v>30</v>
      </c>
      <c r="F4556" t="s">
        <v>78</v>
      </c>
      <c r="G4556">
        <v>4.45</v>
      </c>
      <c r="H4556" t="s">
        <v>47</v>
      </c>
      <c r="I4556" t="s">
        <v>48</v>
      </c>
      <c r="J4556" t="s">
        <v>139</v>
      </c>
      <c r="K4556">
        <v>1015.19</v>
      </c>
      <c r="L4556" t="s">
        <v>10730</v>
      </c>
      <c r="M4556">
        <f>VLOOKUP(H4556,'Stage Order'!$A$2:$B$8,2,FALSE)</f>
        <v>4</v>
      </c>
      <c r="N4556" t="str">
        <f t="shared" si="142"/>
        <v>2. 1-24 hours</v>
      </c>
      <c r="O4556" t="str">
        <f t="shared" si="143"/>
        <v>2025-01</v>
      </c>
    </row>
    <row r="4557" spans="1:15" x14ac:dyDescent="0.3">
      <c r="A4557" t="s">
        <v>10731</v>
      </c>
      <c r="B4557" t="s">
        <v>10732</v>
      </c>
      <c r="C4557" t="s">
        <v>37</v>
      </c>
      <c r="D4557" t="s">
        <v>29</v>
      </c>
      <c r="E4557" t="s">
        <v>59</v>
      </c>
      <c r="F4557" t="s">
        <v>137</v>
      </c>
      <c r="G4557">
        <v>23.89</v>
      </c>
      <c r="H4557" t="s">
        <v>32</v>
      </c>
      <c r="I4557" t="s">
        <v>33</v>
      </c>
      <c r="K4557">
        <v>745.78</v>
      </c>
      <c r="L4557" t="s">
        <v>10733</v>
      </c>
      <c r="M4557">
        <f>VLOOKUP(H4557,'Stage Order'!$A$2:$B$8,2,FALSE)</f>
        <v>7</v>
      </c>
      <c r="N4557" t="str">
        <f t="shared" si="142"/>
        <v>2. 1-24 hours</v>
      </c>
      <c r="O4557" t="str">
        <f t="shared" si="143"/>
        <v>2025-12</v>
      </c>
    </row>
    <row r="4558" spans="1:15" x14ac:dyDescent="0.3">
      <c r="A4558" t="s">
        <v>10734</v>
      </c>
      <c r="B4558" t="s">
        <v>10735</v>
      </c>
      <c r="C4558" t="s">
        <v>81</v>
      </c>
      <c r="D4558" t="s">
        <v>29</v>
      </c>
      <c r="E4558" t="s">
        <v>90</v>
      </c>
      <c r="F4558" t="s">
        <v>112</v>
      </c>
      <c r="G4558">
        <v>4.6500000000000004</v>
      </c>
      <c r="H4558" t="s">
        <v>41</v>
      </c>
      <c r="I4558" t="s">
        <v>42</v>
      </c>
      <c r="M4558">
        <f>VLOOKUP(H4558,'Stage Order'!$A$2:$B$8,2,FALSE)</f>
        <v>2</v>
      </c>
      <c r="N4558" t="str">
        <f t="shared" si="142"/>
        <v>2. 1-24 hours</v>
      </c>
      <c r="O4558" t="str">
        <f t="shared" si="143"/>
        <v>2025-10</v>
      </c>
    </row>
    <row r="4559" spans="1:15" x14ac:dyDescent="0.3">
      <c r="A4559" t="s">
        <v>10736</v>
      </c>
      <c r="B4559" t="s">
        <v>10737</v>
      </c>
      <c r="C4559" t="s">
        <v>28</v>
      </c>
      <c r="D4559" t="s">
        <v>29</v>
      </c>
      <c r="E4559" t="s">
        <v>90</v>
      </c>
      <c r="F4559" t="s">
        <v>145</v>
      </c>
      <c r="G4559">
        <v>9.01</v>
      </c>
      <c r="H4559" t="s">
        <v>41</v>
      </c>
      <c r="I4559" t="s">
        <v>42</v>
      </c>
      <c r="M4559">
        <f>VLOOKUP(H4559,'Stage Order'!$A$2:$B$8,2,FALSE)</f>
        <v>2</v>
      </c>
      <c r="N4559" t="str">
        <f t="shared" si="142"/>
        <v>2. 1-24 hours</v>
      </c>
      <c r="O4559" t="str">
        <f t="shared" si="143"/>
        <v>2025-02</v>
      </c>
    </row>
    <row r="4560" spans="1:15" x14ac:dyDescent="0.3">
      <c r="A4560" t="s">
        <v>10738</v>
      </c>
      <c r="B4560" t="s">
        <v>10739</v>
      </c>
      <c r="C4560" t="s">
        <v>76</v>
      </c>
      <c r="D4560" t="s">
        <v>97</v>
      </c>
      <c r="E4560" t="s">
        <v>39</v>
      </c>
      <c r="F4560" t="s">
        <v>40</v>
      </c>
      <c r="G4560">
        <v>3.67</v>
      </c>
      <c r="H4560" t="s">
        <v>41</v>
      </c>
      <c r="I4560" t="s">
        <v>42</v>
      </c>
      <c r="M4560">
        <f>VLOOKUP(H4560,'Stage Order'!$A$2:$B$8,2,FALSE)</f>
        <v>2</v>
      </c>
      <c r="N4560" t="str">
        <f t="shared" si="142"/>
        <v>2. 1-24 hours</v>
      </c>
      <c r="O4560" t="str">
        <f t="shared" si="143"/>
        <v>2025-03</v>
      </c>
    </row>
    <row r="4561" spans="1:15" x14ac:dyDescent="0.3">
      <c r="A4561" t="s">
        <v>10740</v>
      </c>
      <c r="B4561" t="s">
        <v>10741</v>
      </c>
      <c r="C4561" t="s">
        <v>58</v>
      </c>
      <c r="D4561" t="s">
        <v>54</v>
      </c>
      <c r="E4561" t="s">
        <v>30</v>
      </c>
      <c r="F4561" t="s">
        <v>78</v>
      </c>
      <c r="G4561">
        <v>16.010000000000002</v>
      </c>
      <c r="H4561" t="s">
        <v>41</v>
      </c>
      <c r="I4561" t="s">
        <v>42</v>
      </c>
      <c r="M4561">
        <f>VLOOKUP(H4561,'Stage Order'!$A$2:$B$8,2,FALSE)</f>
        <v>2</v>
      </c>
      <c r="N4561" t="str">
        <f t="shared" si="142"/>
        <v>2. 1-24 hours</v>
      </c>
      <c r="O4561" t="str">
        <f t="shared" si="143"/>
        <v>2025-08</v>
      </c>
    </row>
    <row r="4562" spans="1:15" x14ac:dyDescent="0.3">
      <c r="A4562" t="s">
        <v>10742</v>
      </c>
      <c r="B4562" t="s">
        <v>10743</v>
      </c>
      <c r="C4562" t="s">
        <v>125</v>
      </c>
      <c r="D4562" t="s">
        <v>77</v>
      </c>
      <c r="E4562" t="s">
        <v>59</v>
      </c>
      <c r="F4562" t="s">
        <v>60</v>
      </c>
      <c r="G4562">
        <v>0.94</v>
      </c>
      <c r="H4562" t="s">
        <v>61</v>
      </c>
      <c r="I4562" t="s">
        <v>42</v>
      </c>
      <c r="M4562">
        <f>VLOOKUP(H4562,'Stage Order'!$A$2:$B$8,2,FALSE)</f>
        <v>1</v>
      </c>
      <c r="N4562" t="str">
        <f t="shared" si="142"/>
        <v>1. Under 1 hour</v>
      </c>
      <c r="O4562" t="str">
        <f t="shared" si="143"/>
        <v>2026-01</v>
      </c>
    </row>
    <row r="4563" spans="1:15" x14ac:dyDescent="0.3">
      <c r="A4563" t="s">
        <v>10744</v>
      </c>
      <c r="B4563" t="s">
        <v>10745</v>
      </c>
      <c r="C4563" t="s">
        <v>125</v>
      </c>
      <c r="D4563" t="s">
        <v>77</v>
      </c>
      <c r="E4563" t="s">
        <v>39</v>
      </c>
      <c r="F4563" t="s">
        <v>40</v>
      </c>
      <c r="G4563">
        <v>7.18</v>
      </c>
      <c r="H4563" t="s">
        <v>47</v>
      </c>
      <c r="I4563" t="s">
        <v>48</v>
      </c>
      <c r="J4563" t="s">
        <v>49</v>
      </c>
      <c r="K4563">
        <v>1085.9000000000001</v>
      </c>
      <c r="L4563" t="s">
        <v>10746</v>
      </c>
      <c r="M4563">
        <f>VLOOKUP(H4563,'Stage Order'!$A$2:$B$8,2,FALSE)</f>
        <v>4</v>
      </c>
      <c r="N4563" t="str">
        <f t="shared" si="142"/>
        <v>2. 1-24 hours</v>
      </c>
      <c r="O4563" t="str">
        <f t="shared" si="143"/>
        <v>2025-03</v>
      </c>
    </row>
    <row r="4564" spans="1:15" x14ac:dyDescent="0.3">
      <c r="A4564" t="s">
        <v>10747</v>
      </c>
      <c r="B4564" t="s">
        <v>10748</v>
      </c>
      <c r="C4564" t="s">
        <v>28</v>
      </c>
      <c r="D4564" t="s">
        <v>54</v>
      </c>
      <c r="E4564" t="s">
        <v>39</v>
      </c>
      <c r="F4564" t="s">
        <v>40</v>
      </c>
      <c r="G4564">
        <v>4.37</v>
      </c>
      <c r="H4564" t="s">
        <v>41</v>
      </c>
      <c r="I4564" t="s">
        <v>42</v>
      </c>
      <c r="M4564">
        <f>VLOOKUP(H4564,'Stage Order'!$A$2:$B$8,2,FALSE)</f>
        <v>2</v>
      </c>
      <c r="N4564" t="str">
        <f t="shared" si="142"/>
        <v>2. 1-24 hours</v>
      </c>
      <c r="O4564" t="str">
        <f t="shared" si="143"/>
        <v>2025-04</v>
      </c>
    </row>
    <row r="4565" spans="1:15" x14ac:dyDescent="0.3">
      <c r="A4565" t="s">
        <v>10749</v>
      </c>
      <c r="B4565" t="s">
        <v>10750</v>
      </c>
      <c r="C4565" t="s">
        <v>76</v>
      </c>
      <c r="D4565" t="s">
        <v>77</v>
      </c>
      <c r="E4565" t="s">
        <v>45</v>
      </c>
      <c r="F4565" t="s">
        <v>94</v>
      </c>
      <c r="G4565">
        <v>0.76</v>
      </c>
      <c r="H4565" t="s">
        <v>32</v>
      </c>
      <c r="I4565" t="s">
        <v>33</v>
      </c>
      <c r="K4565">
        <v>1135.46</v>
      </c>
      <c r="L4565" t="s">
        <v>10751</v>
      </c>
      <c r="M4565">
        <f>VLOOKUP(H4565,'Stage Order'!$A$2:$B$8,2,FALSE)</f>
        <v>7</v>
      </c>
      <c r="N4565" t="str">
        <f t="shared" si="142"/>
        <v>1. Under 1 hour</v>
      </c>
      <c r="O4565" t="str">
        <f t="shared" si="143"/>
        <v>2025-11</v>
      </c>
    </row>
    <row r="4566" spans="1:15" x14ac:dyDescent="0.3">
      <c r="A4566" t="s">
        <v>10752</v>
      </c>
      <c r="B4566" t="s">
        <v>10753</v>
      </c>
      <c r="C4566" t="s">
        <v>37</v>
      </c>
      <c r="D4566" t="s">
        <v>38</v>
      </c>
      <c r="E4566" t="s">
        <v>30</v>
      </c>
      <c r="F4566" t="s">
        <v>82</v>
      </c>
      <c r="G4566">
        <v>1.47</v>
      </c>
      <c r="H4566" t="s">
        <v>41</v>
      </c>
      <c r="I4566" t="s">
        <v>42</v>
      </c>
      <c r="M4566">
        <f>VLOOKUP(H4566,'Stage Order'!$A$2:$B$8,2,FALSE)</f>
        <v>2</v>
      </c>
      <c r="N4566" t="str">
        <f t="shared" si="142"/>
        <v>2. 1-24 hours</v>
      </c>
      <c r="O4566" t="str">
        <f t="shared" si="143"/>
        <v>2026-03</v>
      </c>
    </row>
    <row r="4567" spans="1:15" x14ac:dyDescent="0.3">
      <c r="A4567" t="s">
        <v>10754</v>
      </c>
      <c r="B4567" t="s">
        <v>10755</v>
      </c>
      <c r="C4567" t="s">
        <v>125</v>
      </c>
      <c r="D4567" t="s">
        <v>54</v>
      </c>
      <c r="E4567" t="s">
        <v>39</v>
      </c>
      <c r="F4567" t="s">
        <v>66</v>
      </c>
      <c r="G4567">
        <v>7.68</v>
      </c>
      <c r="H4567" t="s">
        <v>61</v>
      </c>
      <c r="I4567" t="s">
        <v>42</v>
      </c>
      <c r="M4567">
        <f>VLOOKUP(H4567,'Stage Order'!$A$2:$B$8,2,FALSE)</f>
        <v>1</v>
      </c>
      <c r="N4567" t="str">
        <f t="shared" si="142"/>
        <v>2. 1-24 hours</v>
      </c>
      <c r="O4567" t="str">
        <f t="shared" si="143"/>
        <v>2025-02</v>
      </c>
    </row>
    <row r="4568" spans="1:15" x14ac:dyDescent="0.3">
      <c r="A4568" t="s">
        <v>10756</v>
      </c>
      <c r="B4568" t="s">
        <v>10757</v>
      </c>
      <c r="C4568" t="s">
        <v>28</v>
      </c>
      <c r="D4568" t="s">
        <v>97</v>
      </c>
      <c r="E4568" t="s">
        <v>30</v>
      </c>
      <c r="F4568" t="s">
        <v>82</v>
      </c>
      <c r="G4568">
        <v>3.27</v>
      </c>
      <c r="H4568" t="s">
        <v>32</v>
      </c>
      <c r="I4568" t="s">
        <v>33</v>
      </c>
      <c r="K4568">
        <v>1720.34</v>
      </c>
      <c r="L4568" t="s">
        <v>10758</v>
      </c>
      <c r="M4568">
        <f>VLOOKUP(H4568,'Stage Order'!$A$2:$B$8,2,FALSE)</f>
        <v>7</v>
      </c>
      <c r="N4568" t="str">
        <f t="shared" si="142"/>
        <v>2. 1-24 hours</v>
      </c>
      <c r="O4568" t="str">
        <f t="shared" si="143"/>
        <v>2026-01</v>
      </c>
    </row>
    <row r="4569" spans="1:15" x14ac:dyDescent="0.3">
      <c r="A4569" t="s">
        <v>10759</v>
      </c>
      <c r="B4569" t="s">
        <v>10760</v>
      </c>
      <c r="C4569" t="s">
        <v>37</v>
      </c>
      <c r="D4569" t="s">
        <v>29</v>
      </c>
      <c r="E4569" t="s">
        <v>45</v>
      </c>
      <c r="F4569" t="s">
        <v>46</v>
      </c>
      <c r="G4569">
        <v>5.1100000000000003</v>
      </c>
      <c r="H4569" t="s">
        <v>41</v>
      </c>
      <c r="I4569" t="s">
        <v>42</v>
      </c>
      <c r="M4569">
        <f>VLOOKUP(H4569,'Stage Order'!$A$2:$B$8,2,FALSE)</f>
        <v>2</v>
      </c>
      <c r="N4569" t="str">
        <f t="shared" si="142"/>
        <v>2. 1-24 hours</v>
      </c>
      <c r="O4569" t="str">
        <f t="shared" si="143"/>
        <v>2025-04</v>
      </c>
    </row>
    <row r="4570" spans="1:15" x14ac:dyDescent="0.3">
      <c r="A4570" t="s">
        <v>10761</v>
      </c>
      <c r="B4570" t="s">
        <v>10762</v>
      </c>
      <c r="C4570" t="s">
        <v>125</v>
      </c>
      <c r="D4570" t="s">
        <v>29</v>
      </c>
      <c r="E4570" t="s">
        <v>39</v>
      </c>
      <c r="F4570" t="s">
        <v>66</v>
      </c>
      <c r="G4570">
        <v>2.09</v>
      </c>
      <c r="H4570" t="s">
        <v>41</v>
      </c>
      <c r="I4570" t="s">
        <v>42</v>
      </c>
      <c r="M4570">
        <f>VLOOKUP(H4570,'Stage Order'!$A$2:$B$8,2,FALSE)</f>
        <v>2</v>
      </c>
      <c r="N4570" t="str">
        <f t="shared" si="142"/>
        <v>2. 1-24 hours</v>
      </c>
      <c r="O4570" t="str">
        <f t="shared" si="143"/>
        <v>2025-08</v>
      </c>
    </row>
    <row r="4571" spans="1:15" x14ac:dyDescent="0.3">
      <c r="A4571" t="s">
        <v>10763</v>
      </c>
      <c r="B4571" t="s">
        <v>10764</v>
      </c>
      <c r="C4571" t="s">
        <v>125</v>
      </c>
      <c r="D4571" t="s">
        <v>54</v>
      </c>
      <c r="E4571" t="s">
        <v>90</v>
      </c>
      <c r="F4571" t="s">
        <v>91</v>
      </c>
      <c r="G4571">
        <v>9.73</v>
      </c>
      <c r="H4571" t="s">
        <v>41</v>
      </c>
      <c r="I4571" t="s">
        <v>42</v>
      </c>
      <c r="M4571">
        <f>VLOOKUP(H4571,'Stage Order'!$A$2:$B$8,2,FALSE)</f>
        <v>2</v>
      </c>
      <c r="N4571" t="str">
        <f t="shared" si="142"/>
        <v>2. 1-24 hours</v>
      </c>
      <c r="O4571" t="str">
        <f t="shared" si="143"/>
        <v>2025-12</v>
      </c>
    </row>
    <row r="4572" spans="1:15" x14ac:dyDescent="0.3">
      <c r="A4572" t="s">
        <v>10765</v>
      </c>
      <c r="B4572" t="s">
        <v>10766</v>
      </c>
      <c r="C4572" t="s">
        <v>58</v>
      </c>
      <c r="D4572" t="s">
        <v>38</v>
      </c>
      <c r="E4572" t="s">
        <v>59</v>
      </c>
      <c r="F4572" t="s">
        <v>137</v>
      </c>
      <c r="G4572">
        <v>3.22</v>
      </c>
      <c r="H4572" t="s">
        <v>61</v>
      </c>
      <c r="I4572" t="s">
        <v>42</v>
      </c>
      <c r="M4572">
        <f>VLOOKUP(H4572,'Stage Order'!$A$2:$B$8,2,FALSE)</f>
        <v>1</v>
      </c>
      <c r="N4572" t="str">
        <f t="shared" si="142"/>
        <v>2. 1-24 hours</v>
      </c>
      <c r="O4572" t="str">
        <f t="shared" si="143"/>
        <v>2025-04</v>
      </c>
    </row>
    <row r="4573" spans="1:15" x14ac:dyDescent="0.3">
      <c r="A4573" t="s">
        <v>10767</v>
      </c>
      <c r="B4573" t="s">
        <v>10768</v>
      </c>
      <c r="C4573" t="s">
        <v>37</v>
      </c>
      <c r="D4573" t="s">
        <v>29</v>
      </c>
      <c r="E4573" t="s">
        <v>90</v>
      </c>
      <c r="F4573" t="s">
        <v>145</v>
      </c>
      <c r="G4573">
        <v>2.4</v>
      </c>
      <c r="H4573" t="s">
        <v>146</v>
      </c>
      <c r="I4573" t="s">
        <v>48</v>
      </c>
      <c r="J4573" t="s">
        <v>113</v>
      </c>
      <c r="K4573">
        <v>598.28</v>
      </c>
      <c r="L4573" t="s">
        <v>10769</v>
      </c>
      <c r="M4573">
        <f>VLOOKUP(H4573,'Stage Order'!$A$2:$B$8,2,FALSE)</f>
        <v>5</v>
      </c>
      <c r="N4573" t="str">
        <f t="shared" si="142"/>
        <v>2. 1-24 hours</v>
      </c>
      <c r="O4573" t="str">
        <f t="shared" si="143"/>
        <v>2025-09</v>
      </c>
    </row>
    <row r="4574" spans="1:15" x14ac:dyDescent="0.3">
      <c r="A4574" t="s">
        <v>10770</v>
      </c>
      <c r="B4574" t="s">
        <v>10771</v>
      </c>
      <c r="C4574" t="s">
        <v>37</v>
      </c>
      <c r="D4574" t="s">
        <v>77</v>
      </c>
      <c r="E4574" t="s">
        <v>59</v>
      </c>
      <c r="F4574" t="s">
        <v>60</v>
      </c>
      <c r="G4574">
        <v>0.81</v>
      </c>
      <c r="H4574" t="s">
        <v>138</v>
      </c>
      <c r="I4574" t="s">
        <v>48</v>
      </c>
      <c r="J4574" t="s">
        <v>98</v>
      </c>
      <c r="K4574">
        <v>955.34</v>
      </c>
      <c r="L4574" t="s">
        <v>10772</v>
      </c>
      <c r="M4574">
        <f>VLOOKUP(H4574,'Stage Order'!$A$2:$B$8,2,FALSE)</f>
        <v>6</v>
      </c>
      <c r="N4574" t="str">
        <f t="shared" si="142"/>
        <v>1. Under 1 hour</v>
      </c>
      <c r="O4574" t="str">
        <f t="shared" si="143"/>
        <v>2026-04</v>
      </c>
    </row>
    <row r="4575" spans="1:15" x14ac:dyDescent="0.3">
      <c r="A4575" t="s">
        <v>10773</v>
      </c>
      <c r="B4575" t="s">
        <v>10774</v>
      </c>
      <c r="C4575" t="s">
        <v>125</v>
      </c>
      <c r="D4575" t="s">
        <v>54</v>
      </c>
      <c r="E4575" t="s">
        <v>39</v>
      </c>
      <c r="F4575" t="s">
        <v>66</v>
      </c>
      <c r="G4575">
        <v>1.53</v>
      </c>
      <c r="H4575" t="s">
        <v>61</v>
      </c>
      <c r="I4575" t="s">
        <v>42</v>
      </c>
      <c r="M4575">
        <f>VLOOKUP(H4575,'Stage Order'!$A$2:$B$8,2,FALSE)</f>
        <v>1</v>
      </c>
      <c r="N4575" t="str">
        <f t="shared" si="142"/>
        <v>2. 1-24 hours</v>
      </c>
      <c r="O4575" t="str">
        <f t="shared" si="143"/>
        <v>2025-07</v>
      </c>
    </row>
    <row r="4576" spans="1:15" x14ac:dyDescent="0.3">
      <c r="A4576" t="s">
        <v>10775</v>
      </c>
      <c r="B4576" t="s">
        <v>10776</v>
      </c>
      <c r="C4576" t="s">
        <v>37</v>
      </c>
      <c r="D4576" t="s">
        <v>77</v>
      </c>
      <c r="E4576" t="s">
        <v>90</v>
      </c>
      <c r="F4576" t="s">
        <v>112</v>
      </c>
      <c r="G4576">
        <v>7.84</v>
      </c>
      <c r="H4576" t="s">
        <v>41</v>
      </c>
      <c r="I4576" t="s">
        <v>42</v>
      </c>
      <c r="M4576">
        <f>VLOOKUP(H4576,'Stage Order'!$A$2:$B$8,2,FALSE)</f>
        <v>2</v>
      </c>
      <c r="N4576" t="str">
        <f t="shared" si="142"/>
        <v>2. 1-24 hours</v>
      </c>
      <c r="O4576" t="str">
        <f t="shared" si="143"/>
        <v>2025-03</v>
      </c>
    </row>
    <row r="4577" spans="1:15" x14ac:dyDescent="0.3">
      <c r="A4577" t="s">
        <v>10777</v>
      </c>
      <c r="B4577" t="s">
        <v>10778</v>
      </c>
      <c r="C4577" t="s">
        <v>58</v>
      </c>
      <c r="D4577" t="s">
        <v>77</v>
      </c>
      <c r="E4577" t="s">
        <v>59</v>
      </c>
      <c r="F4577" t="s">
        <v>60</v>
      </c>
      <c r="G4577">
        <v>10.8</v>
      </c>
      <c r="H4577" t="s">
        <v>41</v>
      </c>
      <c r="I4577" t="s">
        <v>42</v>
      </c>
      <c r="M4577">
        <f>VLOOKUP(H4577,'Stage Order'!$A$2:$B$8,2,FALSE)</f>
        <v>2</v>
      </c>
      <c r="N4577" t="str">
        <f t="shared" si="142"/>
        <v>2. 1-24 hours</v>
      </c>
      <c r="O4577" t="str">
        <f t="shared" si="143"/>
        <v>2025-07</v>
      </c>
    </row>
    <row r="4578" spans="1:15" x14ac:dyDescent="0.3">
      <c r="A4578" t="s">
        <v>10779</v>
      </c>
      <c r="B4578" t="s">
        <v>10780</v>
      </c>
      <c r="C4578" t="s">
        <v>58</v>
      </c>
      <c r="D4578" t="s">
        <v>54</v>
      </c>
      <c r="E4578" t="s">
        <v>90</v>
      </c>
      <c r="F4578" t="s">
        <v>91</v>
      </c>
      <c r="G4578">
        <v>2.93</v>
      </c>
      <c r="H4578" t="s">
        <v>41</v>
      </c>
      <c r="I4578" t="s">
        <v>42</v>
      </c>
      <c r="M4578">
        <f>VLOOKUP(H4578,'Stage Order'!$A$2:$B$8,2,FALSE)</f>
        <v>2</v>
      </c>
      <c r="N4578" t="str">
        <f t="shared" si="142"/>
        <v>2. 1-24 hours</v>
      </c>
      <c r="O4578" t="str">
        <f t="shared" si="143"/>
        <v>2026-01</v>
      </c>
    </row>
    <row r="4579" spans="1:15" x14ac:dyDescent="0.3">
      <c r="A4579" t="s">
        <v>10781</v>
      </c>
      <c r="B4579" t="s">
        <v>10782</v>
      </c>
      <c r="C4579" t="s">
        <v>81</v>
      </c>
      <c r="D4579" t="s">
        <v>29</v>
      </c>
      <c r="E4579" t="s">
        <v>90</v>
      </c>
      <c r="F4579" t="s">
        <v>112</v>
      </c>
      <c r="G4579">
        <v>5.46</v>
      </c>
      <c r="H4579" t="s">
        <v>61</v>
      </c>
      <c r="I4579" t="s">
        <v>42</v>
      </c>
      <c r="M4579">
        <f>VLOOKUP(H4579,'Stage Order'!$A$2:$B$8,2,FALSE)</f>
        <v>1</v>
      </c>
      <c r="N4579" t="str">
        <f t="shared" si="142"/>
        <v>2. 1-24 hours</v>
      </c>
      <c r="O4579" t="str">
        <f t="shared" si="143"/>
        <v>2025-08</v>
      </c>
    </row>
    <row r="4580" spans="1:15" x14ac:dyDescent="0.3">
      <c r="A4580" t="s">
        <v>10783</v>
      </c>
      <c r="B4580" t="s">
        <v>10784</v>
      </c>
      <c r="C4580" t="s">
        <v>76</v>
      </c>
      <c r="D4580" t="s">
        <v>97</v>
      </c>
      <c r="E4580" t="s">
        <v>45</v>
      </c>
      <c r="F4580" t="s">
        <v>55</v>
      </c>
      <c r="G4580">
        <v>5.08</v>
      </c>
      <c r="H4580" t="s">
        <v>41</v>
      </c>
      <c r="I4580" t="s">
        <v>42</v>
      </c>
      <c r="M4580">
        <f>VLOOKUP(H4580,'Stage Order'!$A$2:$B$8,2,FALSE)</f>
        <v>2</v>
      </c>
      <c r="N4580" t="str">
        <f t="shared" si="142"/>
        <v>2. 1-24 hours</v>
      </c>
      <c r="O4580" t="str">
        <f t="shared" si="143"/>
        <v>2026-01</v>
      </c>
    </row>
    <row r="4581" spans="1:15" x14ac:dyDescent="0.3">
      <c r="A4581" t="s">
        <v>10785</v>
      </c>
      <c r="B4581" t="s">
        <v>10786</v>
      </c>
      <c r="C4581" t="s">
        <v>53</v>
      </c>
      <c r="D4581" t="s">
        <v>29</v>
      </c>
      <c r="E4581" t="s">
        <v>45</v>
      </c>
      <c r="F4581" t="s">
        <v>46</v>
      </c>
      <c r="G4581">
        <v>5.14</v>
      </c>
      <c r="H4581" t="s">
        <v>41</v>
      </c>
      <c r="I4581" t="s">
        <v>42</v>
      </c>
      <c r="M4581">
        <f>VLOOKUP(H4581,'Stage Order'!$A$2:$B$8,2,FALSE)</f>
        <v>2</v>
      </c>
      <c r="N4581" t="str">
        <f t="shared" si="142"/>
        <v>2. 1-24 hours</v>
      </c>
      <c r="O4581" t="str">
        <f t="shared" si="143"/>
        <v>2025-08</v>
      </c>
    </row>
    <row r="4582" spans="1:15" x14ac:dyDescent="0.3">
      <c r="A4582" t="s">
        <v>10787</v>
      </c>
      <c r="B4582" t="s">
        <v>10788</v>
      </c>
      <c r="C4582" t="s">
        <v>58</v>
      </c>
      <c r="D4582" t="s">
        <v>29</v>
      </c>
      <c r="E4582" t="s">
        <v>30</v>
      </c>
      <c r="F4582" t="s">
        <v>82</v>
      </c>
      <c r="G4582">
        <v>3.7</v>
      </c>
      <c r="H4582" t="s">
        <v>47</v>
      </c>
      <c r="I4582" t="s">
        <v>48</v>
      </c>
      <c r="J4582" t="s">
        <v>139</v>
      </c>
      <c r="K4582">
        <v>739.72</v>
      </c>
      <c r="L4582" t="s">
        <v>10789</v>
      </c>
      <c r="M4582">
        <f>VLOOKUP(H4582,'Stage Order'!$A$2:$B$8,2,FALSE)</f>
        <v>4</v>
      </c>
      <c r="N4582" t="str">
        <f t="shared" si="142"/>
        <v>2. 1-24 hours</v>
      </c>
      <c r="O4582" t="str">
        <f t="shared" si="143"/>
        <v>2025-06</v>
      </c>
    </row>
    <row r="4583" spans="1:15" x14ac:dyDescent="0.3">
      <c r="A4583" t="s">
        <v>10790</v>
      </c>
      <c r="B4583" t="s">
        <v>10791</v>
      </c>
      <c r="C4583" t="s">
        <v>125</v>
      </c>
      <c r="D4583" t="s">
        <v>77</v>
      </c>
      <c r="E4583" t="s">
        <v>59</v>
      </c>
      <c r="F4583" t="s">
        <v>117</v>
      </c>
      <c r="G4583">
        <v>7.3</v>
      </c>
      <c r="H4583" t="s">
        <v>61</v>
      </c>
      <c r="I4583" t="s">
        <v>42</v>
      </c>
      <c r="M4583">
        <f>VLOOKUP(H4583,'Stage Order'!$A$2:$B$8,2,FALSE)</f>
        <v>1</v>
      </c>
      <c r="N4583" t="str">
        <f t="shared" si="142"/>
        <v>2. 1-24 hours</v>
      </c>
      <c r="O4583" t="str">
        <f t="shared" si="143"/>
        <v>2025-05</v>
      </c>
    </row>
    <row r="4584" spans="1:15" x14ac:dyDescent="0.3">
      <c r="A4584" t="s">
        <v>10792</v>
      </c>
      <c r="B4584" t="s">
        <v>10793</v>
      </c>
      <c r="C4584" t="s">
        <v>76</v>
      </c>
      <c r="D4584" t="s">
        <v>29</v>
      </c>
      <c r="E4584" t="s">
        <v>90</v>
      </c>
      <c r="F4584" t="s">
        <v>91</v>
      </c>
      <c r="G4584">
        <v>1.55</v>
      </c>
      <c r="H4584" t="s">
        <v>128</v>
      </c>
      <c r="I4584" t="s">
        <v>42</v>
      </c>
      <c r="M4584">
        <f>VLOOKUP(H4584,'Stage Order'!$A$2:$B$8,2,FALSE)</f>
        <v>3</v>
      </c>
      <c r="N4584" t="str">
        <f t="shared" si="142"/>
        <v>2. 1-24 hours</v>
      </c>
      <c r="O4584" t="str">
        <f t="shared" si="143"/>
        <v>2025-03</v>
      </c>
    </row>
    <row r="4585" spans="1:15" x14ac:dyDescent="0.3">
      <c r="A4585" t="s">
        <v>10794</v>
      </c>
      <c r="B4585" t="s">
        <v>10795</v>
      </c>
      <c r="C4585" t="s">
        <v>37</v>
      </c>
      <c r="D4585" t="s">
        <v>97</v>
      </c>
      <c r="E4585" t="s">
        <v>90</v>
      </c>
      <c r="F4585" t="s">
        <v>145</v>
      </c>
      <c r="G4585">
        <v>5.18</v>
      </c>
      <c r="H4585" t="s">
        <v>41</v>
      </c>
      <c r="I4585" t="s">
        <v>42</v>
      </c>
      <c r="M4585">
        <f>VLOOKUP(H4585,'Stage Order'!$A$2:$B$8,2,FALSE)</f>
        <v>2</v>
      </c>
      <c r="N4585" t="str">
        <f t="shared" si="142"/>
        <v>2. 1-24 hours</v>
      </c>
      <c r="O4585" t="str">
        <f t="shared" si="143"/>
        <v>2025-03</v>
      </c>
    </row>
    <row r="4586" spans="1:15" x14ac:dyDescent="0.3">
      <c r="A4586" t="s">
        <v>10796</v>
      </c>
      <c r="B4586" t="s">
        <v>10797</v>
      </c>
      <c r="C4586" t="s">
        <v>53</v>
      </c>
      <c r="D4586" t="s">
        <v>29</v>
      </c>
      <c r="E4586" t="s">
        <v>39</v>
      </c>
      <c r="F4586" t="s">
        <v>40</v>
      </c>
      <c r="G4586">
        <v>1.8</v>
      </c>
      <c r="H4586" t="s">
        <v>41</v>
      </c>
      <c r="I4586" t="s">
        <v>42</v>
      </c>
      <c r="M4586">
        <f>VLOOKUP(H4586,'Stage Order'!$A$2:$B$8,2,FALSE)</f>
        <v>2</v>
      </c>
      <c r="N4586" t="str">
        <f t="shared" si="142"/>
        <v>2. 1-24 hours</v>
      </c>
      <c r="O4586" t="str">
        <f t="shared" si="143"/>
        <v>2025-11</v>
      </c>
    </row>
    <row r="4587" spans="1:15" x14ac:dyDescent="0.3">
      <c r="A4587" t="s">
        <v>10798</v>
      </c>
      <c r="B4587" t="s">
        <v>10799</v>
      </c>
      <c r="C4587" t="s">
        <v>37</v>
      </c>
      <c r="D4587" t="s">
        <v>54</v>
      </c>
      <c r="E4587" t="s">
        <v>90</v>
      </c>
      <c r="F4587" t="s">
        <v>112</v>
      </c>
      <c r="G4587">
        <v>10.63</v>
      </c>
      <c r="H4587" t="s">
        <v>32</v>
      </c>
      <c r="I4587" t="s">
        <v>33</v>
      </c>
      <c r="K4587">
        <v>457.3</v>
      </c>
      <c r="L4587" t="s">
        <v>10800</v>
      </c>
      <c r="M4587">
        <f>VLOOKUP(H4587,'Stage Order'!$A$2:$B$8,2,FALSE)</f>
        <v>7</v>
      </c>
      <c r="N4587" t="str">
        <f t="shared" si="142"/>
        <v>2. 1-24 hours</v>
      </c>
      <c r="O4587" t="str">
        <f t="shared" si="143"/>
        <v>2025-09</v>
      </c>
    </row>
    <row r="4588" spans="1:15" x14ac:dyDescent="0.3">
      <c r="A4588" t="s">
        <v>10801</v>
      </c>
      <c r="B4588" t="s">
        <v>10802</v>
      </c>
      <c r="C4588" t="s">
        <v>81</v>
      </c>
      <c r="D4588" t="s">
        <v>77</v>
      </c>
      <c r="E4588" t="s">
        <v>30</v>
      </c>
      <c r="F4588" t="s">
        <v>31</v>
      </c>
      <c r="G4588">
        <v>1.96</v>
      </c>
      <c r="H4588" t="s">
        <v>41</v>
      </c>
      <c r="I4588" t="s">
        <v>42</v>
      </c>
      <c r="M4588">
        <f>VLOOKUP(H4588,'Stage Order'!$A$2:$B$8,2,FALSE)</f>
        <v>2</v>
      </c>
      <c r="N4588" t="str">
        <f t="shared" si="142"/>
        <v>2. 1-24 hours</v>
      </c>
      <c r="O4588" t="str">
        <f t="shared" si="143"/>
        <v>2026-04</v>
      </c>
    </row>
    <row r="4589" spans="1:15" x14ac:dyDescent="0.3">
      <c r="A4589" t="s">
        <v>10803</v>
      </c>
      <c r="B4589" t="s">
        <v>10804</v>
      </c>
      <c r="C4589" t="s">
        <v>37</v>
      </c>
      <c r="D4589" t="s">
        <v>77</v>
      </c>
      <c r="E4589" t="s">
        <v>59</v>
      </c>
      <c r="F4589" t="s">
        <v>117</v>
      </c>
      <c r="G4589">
        <v>7.19</v>
      </c>
      <c r="H4589" t="s">
        <v>32</v>
      </c>
      <c r="I4589" t="s">
        <v>33</v>
      </c>
      <c r="K4589">
        <v>936.47</v>
      </c>
      <c r="L4589" t="s">
        <v>10805</v>
      </c>
      <c r="M4589">
        <f>VLOOKUP(H4589,'Stage Order'!$A$2:$B$8,2,FALSE)</f>
        <v>7</v>
      </c>
      <c r="N4589" t="str">
        <f t="shared" si="142"/>
        <v>2. 1-24 hours</v>
      </c>
      <c r="O4589" t="str">
        <f t="shared" si="143"/>
        <v>2025-08</v>
      </c>
    </row>
    <row r="4590" spans="1:15" x14ac:dyDescent="0.3">
      <c r="A4590" t="s">
        <v>10806</v>
      </c>
      <c r="B4590" t="s">
        <v>10807</v>
      </c>
      <c r="C4590" t="s">
        <v>76</v>
      </c>
      <c r="D4590" t="s">
        <v>77</v>
      </c>
      <c r="E4590" t="s">
        <v>59</v>
      </c>
      <c r="F4590" t="s">
        <v>60</v>
      </c>
      <c r="G4590">
        <v>8.09</v>
      </c>
      <c r="H4590" t="s">
        <v>47</v>
      </c>
      <c r="I4590" t="s">
        <v>48</v>
      </c>
      <c r="J4590" t="s">
        <v>139</v>
      </c>
      <c r="K4590">
        <v>978.54</v>
      </c>
      <c r="L4590" t="s">
        <v>10808</v>
      </c>
      <c r="M4590">
        <f>VLOOKUP(H4590,'Stage Order'!$A$2:$B$8,2,FALSE)</f>
        <v>4</v>
      </c>
      <c r="N4590" t="str">
        <f t="shared" si="142"/>
        <v>2. 1-24 hours</v>
      </c>
      <c r="O4590" t="str">
        <f t="shared" si="143"/>
        <v>2026-03</v>
      </c>
    </row>
    <row r="4591" spans="1:15" x14ac:dyDescent="0.3">
      <c r="A4591" t="s">
        <v>10809</v>
      </c>
      <c r="B4591" t="s">
        <v>10810</v>
      </c>
      <c r="C4591" t="s">
        <v>81</v>
      </c>
      <c r="D4591" t="s">
        <v>97</v>
      </c>
      <c r="E4591" t="s">
        <v>45</v>
      </c>
      <c r="F4591" t="s">
        <v>46</v>
      </c>
      <c r="G4591">
        <v>7.16</v>
      </c>
      <c r="H4591" t="s">
        <v>61</v>
      </c>
      <c r="I4591" t="s">
        <v>42</v>
      </c>
      <c r="M4591">
        <f>VLOOKUP(H4591,'Stage Order'!$A$2:$B$8,2,FALSE)</f>
        <v>1</v>
      </c>
      <c r="N4591" t="str">
        <f t="shared" si="142"/>
        <v>2. 1-24 hours</v>
      </c>
      <c r="O4591" t="str">
        <f t="shared" si="143"/>
        <v>2026-05</v>
      </c>
    </row>
    <row r="4592" spans="1:15" x14ac:dyDescent="0.3">
      <c r="A4592" t="s">
        <v>10811</v>
      </c>
      <c r="B4592" t="s">
        <v>10812</v>
      </c>
      <c r="C4592" t="s">
        <v>76</v>
      </c>
      <c r="D4592" t="s">
        <v>54</v>
      </c>
      <c r="E4592" t="s">
        <v>59</v>
      </c>
      <c r="F4592" t="s">
        <v>137</v>
      </c>
      <c r="G4592">
        <v>18.98</v>
      </c>
      <c r="H4592" t="s">
        <v>47</v>
      </c>
      <c r="I4592" t="s">
        <v>48</v>
      </c>
      <c r="J4592" t="s">
        <v>49</v>
      </c>
      <c r="K4592">
        <v>494.07</v>
      </c>
      <c r="L4592" t="s">
        <v>10813</v>
      </c>
      <c r="M4592">
        <f>VLOOKUP(H4592,'Stage Order'!$A$2:$B$8,2,FALSE)</f>
        <v>4</v>
      </c>
      <c r="N4592" t="str">
        <f t="shared" si="142"/>
        <v>2. 1-24 hours</v>
      </c>
      <c r="O4592" t="str">
        <f t="shared" si="143"/>
        <v>2026-02</v>
      </c>
    </row>
    <row r="4593" spans="1:15" x14ac:dyDescent="0.3">
      <c r="A4593" t="s">
        <v>10814</v>
      </c>
      <c r="B4593" t="s">
        <v>10815</v>
      </c>
      <c r="C4593" t="s">
        <v>58</v>
      </c>
      <c r="D4593" t="s">
        <v>77</v>
      </c>
      <c r="E4593" t="s">
        <v>39</v>
      </c>
      <c r="F4593" t="s">
        <v>40</v>
      </c>
      <c r="G4593">
        <v>2.68</v>
      </c>
      <c r="H4593" t="s">
        <v>47</v>
      </c>
      <c r="I4593" t="s">
        <v>48</v>
      </c>
      <c r="J4593" t="s">
        <v>742</v>
      </c>
      <c r="K4593">
        <v>841.84</v>
      </c>
      <c r="L4593" t="s">
        <v>10816</v>
      </c>
      <c r="M4593">
        <f>VLOOKUP(H4593,'Stage Order'!$A$2:$B$8,2,FALSE)</f>
        <v>4</v>
      </c>
      <c r="N4593" t="str">
        <f t="shared" si="142"/>
        <v>2. 1-24 hours</v>
      </c>
      <c r="O4593" t="str">
        <f t="shared" si="143"/>
        <v>2025-04</v>
      </c>
    </row>
    <row r="4594" spans="1:15" x14ac:dyDescent="0.3">
      <c r="A4594" t="s">
        <v>10817</v>
      </c>
      <c r="B4594" t="s">
        <v>10818</v>
      </c>
      <c r="C4594" t="s">
        <v>53</v>
      </c>
      <c r="D4594" t="s">
        <v>54</v>
      </c>
      <c r="E4594" t="s">
        <v>39</v>
      </c>
      <c r="F4594" t="s">
        <v>66</v>
      </c>
      <c r="G4594">
        <v>13.08</v>
      </c>
      <c r="H4594" t="s">
        <v>41</v>
      </c>
      <c r="I4594" t="s">
        <v>42</v>
      </c>
      <c r="M4594">
        <f>VLOOKUP(H4594,'Stage Order'!$A$2:$B$8,2,FALSE)</f>
        <v>2</v>
      </c>
      <c r="N4594" t="str">
        <f t="shared" si="142"/>
        <v>2. 1-24 hours</v>
      </c>
      <c r="O4594" t="str">
        <f t="shared" si="143"/>
        <v>2026-03</v>
      </c>
    </row>
    <row r="4595" spans="1:15" x14ac:dyDescent="0.3">
      <c r="A4595" t="s">
        <v>10819</v>
      </c>
      <c r="B4595" t="s">
        <v>10820</v>
      </c>
      <c r="C4595" t="s">
        <v>125</v>
      </c>
      <c r="D4595" t="s">
        <v>38</v>
      </c>
      <c r="E4595" t="s">
        <v>90</v>
      </c>
      <c r="F4595" t="s">
        <v>145</v>
      </c>
      <c r="G4595">
        <v>1.63</v>
      </c>
      <c r="H4595" t="s">
        <v>41</v>
      </c>
      <c r="I4595" t="s">
        <v>42</v>
      </c>
      <c r="M4595">
        <f>VLOOKUP(H4595,'Stage Order'!$A$2:$B$8,2,FALSE)</f>
        <v>2</v>
      </c>
      <c r="N4595" t="str">
        <f t="shared" si="142"/>
        <v>2. 1-24 hours</v>
      </c>
      <c r="O4595" t="str">
        <f t="shared" si="143"/>
        <v>2026-05</v>
      </c>
    </row>
    <row r="4596" spans="1:15" x14ac:dyDescent="0.3">
      <c r="A4596" t="s">
        <v>10821</v>
      </c>
      <c r="B4596" t="s">
        <v>10822</v>
      </c>
      <c r="C4596" t="s">
        <v>58</v>
      </c>
      <c r="D4596" t="s">
        <v>77</v>
      </c>
      <c r="E4596" t="s">
        <v>30</v>
      </c>
      <c r="F4596" t="s">
        <v>82</v>
      </c>
      <c r="G4596">
        <v>4.6500000000000004</v>
      </c>
      <c r="H4596" t="s">
        <v>41</v>
      </c>
      <c r="I4596" t="s">
        <v>42</v>
      </c>
      <c r="M4596">
        <f>VLOOKUP(H4596,'Stage Order'!$A$2:$B$8,2,FALSE)</f>
        <v>2</v>
      </c>
      <c r="N4596" t="str">
        <f t="shared" si="142"/>
        <v>2. 1-24 hours</v>
      </c>
      <c r="O4596" t="str">
        <f t="shared" si="143"/>
        <v>2025-04</v>
      </c>
    </row>
    <row r="4597" spans="1:15" x14ac:dyDescent="0.3">
      <c r="A4597" t="s">
        <v>10823</v>
      </c>
      <c r="B4597" t="s">
        <v>10824</v>
      </c>
      <c r="C4597" t="s">
        <v>28</v>
      </c>
      <c r="D4597" t="s">
        <v>97</v>
      </c>
      <c r="E4597" t="s">
        <v>59</v>
      </c>
      <c r="F4597" t="s">
        <v>60</v>
      </c>
      <c r="G4597">
        <v>10.74</v>
      </c>
      <c r="H4597" t="s">
        <v>61</v>
      </c>
      <c r="I4597" t="s">
        <v>42</v>
      </c>
      <c r="M4597">
        <f>VLOOKUP(H4597,'Stage Order'!$A$2:$B$8,2,FALSE)</f>
        <v>1</v>
      </c>
      <c r="N4597" t="str">
        <f t="shared" si="142"/>
        <v>2. 1-24 hours</v>
      </c>
      <c r="O4597" t="str">
        <f t="shared" si="143"/>
        <v>2025-02</v>
      </c>
    </row>
    <row r="4598" spans="1:15" x14ac:dyDescent="0.3">
      <c r="A4598" t="s">
        <v>10825</v>
      </c>
      <c r="B4598" t="s">
        <v>10826</v>
      </c>
      <c r="C4598" t="s">
        <v>125</v>
      </c>
      <c r="D4598" t="s">
        <v>29</v>
      </c>
      <c r="E4598" t="s">
        <v>90</v>
      </c>
      <c r="F4598" t="s">
        <v>91</v>
      </c>
      <c r="G4598">
        <v>2.33</v>
      </c>
      <c r="H4598" t="s">
        <v>41</v>
      </c>
      <c r="I4598" t="s">
        <v>42</v>
      </c>
      <c r="M4598">
        <f>VLOOKUP(H4598,'Stage Order'!$A$2:$B$8,2,FALSE)</f>
        <v>2</v>
      </c>
      <c r="N4598" t="str">
        <f t="shared" si="142"/>
        <v>2. 1-24 hours</v>
      </c>
      <c r="O4598" t="str">
        <f t="shared" si="143"/>
        <v>2026-06</v>
      </c>
    </row>
    <row r="4599" spans="1:15" x14ac:dyDescent="0.3">
      <c r="A4599" t="s">
        <v>10827</v>
      </c>
      <c r="B4599" t="s">
        <v>10828</v>
      </c>
      <c r="C4599" t="s">
        <v>58</v>
      </c>
      <c r="D4599" t="s">
        <v>77</v>
      </c>
      <c r="E4599" t="s">
        <v>90</v>
      </c>
      <c r="F4599" t="s">
        <v>112</v>
      </c>
      <c r="G4599">
        <v>2.1800000000000002</v>
      </c>
      <c r="H4599" t="s">
        <v>41</v>
      </c>
      <c r="I4599" t="s">
        <v>42</v>
      </c>
      <c r="M4599">
        <f>VLOOKUP(H4599,'Stage Order'!$A$2:$B$8,2,FALSE)</f>
        <v>2</v>
      </c>
      <c r="N4599" t="str">
        <f t="shared" si="142"/>
        <v>2. 1-24 hours</v>
      </c>
      <c r="O4599" t="str">
        <f t="shared" si="143"/>
        <v>2025-08</v>
      </c>
    </row>
    <row r="4600" spans="1:15" x14ac:dyDescent="0.3">
      <c r="A4600" t="s">
        <v>10829</v>
      </c>
      <c r="B4600" t="s">
        <v>10830</v>
      </c>
      <c r="C4600" t="s">
        <v>125</v>
      </c>
      <c r="D4600" t="s">
        <v>77</v>
      </c>
      <c r="E4600" t="s">
        <v>30</v>
      </c>
      <c r="F4600" t="s">
        <v>82</v>
      </c>
      <c r="G4600">
        <v>8.83</v>
      </c>
      <c r="H4600" t="s">
        <v>61</v>
      </c>
      <c r="I4600" t="s">
        <v>42</v>
      </c>
      <c r="M4600">
        <f>VLOOKUP(H4600,'Stage Order'!$A$2:$B$8,2,FALSE)</f>
        <v>1</v>
      </c>
      <c r="N4600" t="str">
        <f t="shared" si="142"/>
        <v>2. 1-24 hours</v>
      </c>
      <c r="O4600" t="str">
        <f t="shared" si="143"/>
        <v>2025-10</v>
      </c>
    </row>
    <row r="4601" spans="1:15" x14ac:dyDescent="0.3">
      <c r="A4601" t="s">
        <v>10831</v>
      </c>
      <c r="B4601" t="s">
        <v>10832</v>
      </c>
      <c r="C4601" t="s">
        <v>37</v>
      </c>
      <c r="D4601" t="s">
        <v>77</v>
      </c>
      <c r="E4601" t="s">
        <v>45</v>
      </c>
      <c r="F4601" t="s">
        <v>46</v>
      </c>
      <c r="G4601">
        <v>5.82</v>
      </c>
      <c r="H4601" t="s">
        <v>32</v>
      </c>
      <c r="I4601" t="s">
        <v>33</v>
      </c>
      <c r="K4601">
        <v>931.51</v>
      </c>
      <c r="L4601" t="s">
        <v>10833</v>
      </c>
      <c r="M4601">
        <f>VLOOKUP(H4601,'Stage Order'!$A$2:$B$8,2,FALSE)</f>
        <v>7</v>
      </c>
      <c r="N4601" t="str">
        <f t="shared" si="142"/>
        <v>2. 1-24 hours</v>
      </c>
      <c r="O4601" t="str">
        <f t="shared" si="143"/>
        <v>2025-12</v>
      </c>
    </row>
    <row r="4602" spans="1:15" x14ac:dyDescent="0.3">
      <c r="A4602" t="s">
        <v>10834</v>
      </c>
      <c r="B4602" t="s">
        <v>10835</v>
      </c>
      <c r="C4602" t="s">
        <v>37</v>
      </c>
      <c r="D4602" t="s">
        <v>54</v>
      </c>
      <c r="E4602" t="s">
        <v>45</v>
      </c>
      <c r="F4602" t="s">
        <v>46</v>
      </c>
      <c r="G4602">
        <v>5.28</v>
      </c>
      <c r="H4602" t="s">
        <v>41</v>
      </c>
      <c r="I4602" t="s">
        <v>42</v>
      </c>
      <c r="M4602">
        <f>VLOOKUP(H4602,'Stage Order'!$A$2:$B$8,2,FALSE)</f>
        <v>2</v>
      </c>
      <c r="N4602" t="str">
        <f t="shared" si="142"/>
        <v>2. 1-24 hours</v>
      </c>
      <c r="O4602" t="str">
        <f t="shared" si="143"/>
        <v>2026-03</v>
      </c>
    </row>
    <row r="4603" spans="1:15" x14ac:dyDescent="0.3">
      <c r="A4603" t="s">
        <v>10836</v>
      </c>
      <c r="B4603" t="s">
        <v>10837</v>
      </c>
      <c r="C4603" t="s">
        <v>125</v>
      </c>
      <c r="D4603" t="s">
        <v>54</v>
      </c>
      <c r="E4603" t="s">
        <v>30</v>
      </c>
      <c r="F4603" t="s">
        <v>31</v>
      </c>
      <c r="G4603">
        <v>3.16</v>
      </c>
      <c r="H4603" t="s">
        <v>41</v>
      </c>
      <c r="I4603" t="s">
        <v>42</v>
      </c>
      <c r="M4603">
        <f>VLOOKUP(H4603,'Stage Order'!$A$2:$B$8,2,FALSE)</f>
        <v>2</v>
      </c>
      <c r="N4603" t="str">
        <f t="shared" si="142"/>
        <v>2. 1-24 hours</v>
      </c>
      <c r="O4603" t="str">
        <f t="shared" si="143"/>
        <v>2025-10</v>
      </c>
    </row>
    <row r="4604" spans="1:15" x14ac:dyDescent="0.3">
      <c r="A4604" t="s">
        <v>10838</v>
      </c>
      <c r="B4604" t="s">
        <v>10839</v>
      </c>
      <c r="C4604" t="s">
        <v>37</v>
      </c>
      <c r="D4604" t="s">
        <v>77</v>
      </c>
      <c r="E4604" t="s">
        <v>45</v>
      </c>
      <c r="F4604" t="s">
        <v>55</v>
      </c>
      <c r="G4604">
        <v>0.15</v>
      </c>
      <c r="H4604" t="s">
        <v>138</v>
      </c>
      <c r="I4604" t="s">
        <v>48</v>
      </c>
      <c r="J4604" t="s">
        <v>113</v>
      </c>
      <c r="K4604">
        <v>1051.46</v>
      </c>
      <c r="L4604" t="s">
        <v>10840</v>
      </c>
      <c r="M4604">
        <f>VLOOKUP(H4604,'Stage Order'!$A$2:$B$8,2,FALSE)</f>
        <v>6</v>
      </c>
      <c r="N4604" t="str">
        <f t="shared" si="142"/>
        <v>1. Under 1 hour</v>
      </c>
      <c r="O4604" t="str">
        <f t="shared" si="143"/>
        <v>2026-05</v>
      </c>
    </row>
    <row r="4605" spans="1:15" x14ac:dyDescent="0.3">
      <c r="A4605" t="s">
        <v>10841</v>
      </c>
      <c r="B4605" t="s">
        <v>10842</v>
      </c>
      <c r="C4605" t="s">
        <v>58</v>
      </c>
      <c r="D4605" t="s">
        <v>77</v>
      </c>
      <c r="E4605" t="s">
        <v>45</v>
      </c>
      <c r="F4605" t="s">
        <v>94</v>
      </c>
      <c r="G4605">
        <v>0.98</v>
      </c>
      <c r="H4605" t="s">
        <v>41</v>
      </c>
      <c r="I4605" t="s">
        <v>42</v>
      </c>
      <c r="M4605">
        <f>VLOOKUP(H4605,'Stage Order'!$A$2:$B$8,2,FALSE)</f>
        <v>2</v>
      </c>
      <c r="N4605" t="str">
        <f t="shared" si="142"/>
        <v>1. Under 1 hour</v>
      </c>
      <c r="O4605" t="str">
        <f t="shared" si="143"/>
        <v>2026-05</v>
      </c>
    </row>
    <row r="4606" spans="1:15" x14ac:dyDescent="0.3">
      <c r="A4606" t="s">
        <v>10843</v>
      </c>
      <c r="B4606" t="s">
        <v>10844</v>
      </c>
      <c r="C4606" t="s">
        <v>53</v>
      </c>
      <c r="D4606" t="s">
        <v>54</v>
      </c>
      <c r="E4606" t="s">
        <v>59</v>
      </c>
      <c r="F4606" t="s">
        <v>137</v>
      </c>
      <c r="G4606">
        <v>4.67</v>
      </c>
      <c r="H4606" t="s">
        <v>41</v>
      </c>
      <c r="I4606" t="s">
        <v>42</v>
      </c>
      <c r="M4606">
        <f>VLOOKUP(H4606,'Stage Order'!$A$2:$B$8,2,FALSE)</f>
        <v>2</v>
      </c>
      <c r="N4606" t="str">
        <f t="shared" si="142"/>
        <v>2. 1-24 hours</v>
      </c>
      <c r="O4606" t="str">
        <f t="shared" si="143"/>
        <v>2026-03</v>
      </c>
    </row>
    <row r="4607" spans="1:15" x14ac:dyDescent="0.3">
      <c r="A4607" t="s">
        <v>10845</v>
      </c>
      <c r="B4607" t="s">
        <v>10846</v>
      </c>
      <c r="C4607" t="s">
        <v>76</v>
      </c>
      <c r="D4607" t="s">
        <v>38</v>
      </c>
      <c r="E4607" t="s">
        <v>59</v>
      </c>
      <c r="F4607" t="s">
        <v>60</v>
      </c>
      <c r="G4607">
        <v>4.6399999999999997</v>
      </c>
      <c r="H4607" t="s">
        <v>41</v>
      </c>
      <c r="I4607" t="s">
        <v>42</v>
      </c>
      <c r="M4607">
        <f>VLOOKUP(H4607,'Stage Order'!$A$2:$B$8,2,FALSE)</f>
        <v>2</v>
      </c>
      <c r="N4607" t="str">
        <f t="shared" si="142"/>
        <v>2. 1-24 hours</v>
      </c>
      <c r="O4607" t="str">
        <f t="shared" si="143"/>
        <v>2025-12</v>
      </c>
    </row>
    <row r="4608" spans="1:15" x14ac:dyDescent="0.3">
      <c r="A4608" t="s">
        <v>10847</v>
      </c>
      <c r="B4608" t="s">
        <v>10848</v>
      </c>
      <c r="C4608" t="s">
        <v>125</v>
      </c>
      <c r="D4608" t="s">
        <v>77</v>
      </c>
      <c r="E4608" t="s">
        <v>39</v>
      </c>
      <c r="F4608" t="s">
        <v>40</v>
      </c>
      <c r="G4608">
        <v>1.37</v>
      </c>
      <c r="H4608" t="s">
        <v>41</v>
      </c>
      <c r="I4608" t="s">
        <v>42</v>
      </c>
      <c r="M4608">
        <f>VLOOKUP(H4608,'Stage Order'!$A$2:$B$8,2,FALSE)</f>
        <v>2</v>
      </c>
      <c r="N4608" t="str">
        <f t="shared" si="142"/>
        <v>2. 1-24 hours</v>
      </c>
      <c r="O4608" t="str">
        <f t="shared" si="143"/>
        <v>2025-11</v>
      </c>
    </row>
    <row r="4609" spans="1:15" x14ac:dyDescent="0.3">
      <c r="A4609" t="s">
        <v>10849</v>
      </c>
      <c r="B4609" t="s">
        <v>10850</v>
      </c>
      <c r="C4609" t="s">
        <v>53</v>
      </c>
      <c r="D4609" t="s">
        <v>77</v>
      </c>
      <c r="E4609" t="s">
        <v>30</v>
      </c>
      <c r="F4609" t="s">
        <v>78</v>
      </c>
      <c r="G4609">
        <v>1.23</v>
      </c>
      <c r="H4609" t="s">
        <v>41</v>
      </c>
      <c r="I4609" t="s">
        <v>42</v>
      </c>
      <c r="M4609">
        <f>VLOOKUP(H4609,'Stage Order'!$A$2:$B$8,2,FALSE)</f>
        <v>2</v>
      </c>
      <c r="N4609" t="str">
        <f t="shared" si="142"/>
        <v>2. 1-24 hours</v>
      </c>
      <c r="O4609" t="str">
        <f t="shared" si="143"/>
        <v>2025-12</v>
      </c>
    </row>
    <row r="4610" spans="1:15" x14ac:dyDescent="0.3">
      <c r="A4610" t="s">
        <v>10851</v>
      </c>
      <c r="B4610" t="s">
        <v>10852</v>
      </c>
      <c r="C4610" t="s">
        <v>37</v>
      </c>
      <c r="D4610" t="s">
        <v>38</v>
      </c>
      <c r="E4610" t="s">
        <v>45</v>
      </c>
      <c r="F4610" t="s">
        <v>94</v>
      </c>
      <c r="G4610">
        <v>2.54</v>
      </c>
      <c r="H4610" t="s">
        <v>41</v>
      </c>
      <c r="I4610" t="s">
        <v>42</v>
      </c>
      <c r="M4610">
        <f>VLOOKUP(H4610,'Stage Order'!$A$2:$B$8,2,FALSE)</f>
        <v>2</v>
      </c>
      <c r="N4610" t="str">
        <f t="shared" ref="N4610:N4673" si="144">IF(G4610&lt;=1,"1. Under 1 hour",IF(G4610&lt;=24,"2. 1-24 hours",IF(G4610&lt;=72,"3. 1-3 days","4. Over 3 days")))</f>
        <v>2. 1-24 hours</v>
      </c>
      <c r="O4610" t="str">
        <f t="shared" ref="O4610:O4673" si="145">TEXT(B4610,"YYYY-MM")</f>
        <v>2025-02</v>
      </c>
    </row>
    <row r="4611" spans="1:15" x14ac:dyDescent="0.3">
      <c r="A4611" t="s">
        <v>10853</v>
      </c>
      <c r="B4611" t="s">
        <v>10854</v>
      </c>
      <c r="C4611" t="s">
        <v>125</v>
      </c>
      <c r="D4611" t="s">
        <v>29</v>
      </c>
      <c r="E4611" t="s">
        <v>39</v>
      </c>
      <c r="F4611" t="s">
        <v>40</v>
      </c>
      <c r="G4611">
        <v>0.94</v>
      </c>
      <c r="H4611" t="s">
        <v>47</v>
      </c>
      <c r="I4611" t="s">
        <v>48</v>
      </c>
      <c r="J4611" t="s">
        <v>49</v>
      </c>
      <c r="K4611">
        <v>550.89</v>
      </c>
      <c r="L4611" t="s">
        <v>10855</v>
      </c>
      <c r="M4611">
        <f>VLOOKUP(H4611,'Stage Order'!$A$2:$B$8,2,FALSE)</f>
        <v>4</v>
      </c>
      <c r="N4611" t="str">
        <f t="shared" si="144"/>
        <v>1. Under 1 hour</v>
      </c>
      <c r="O4611" t="str">
        <f t="shared" si="145"/>
        <v>2026-02</v>
      </c>
    </row>
    <row r="4612" spans="1:15" x14ac:dyDescent="0.3">
      <c r="A4612" t="s">
        <v>10856</v>
      </c>
      <c r="B4612" t="s">
        <v>10857</v>
      </c>
      <c r="C4612" t="s">
        <v>125</v>
      </c>
      <c r="D4612" t="s">
        <v>38</v>
      </c>
      <c r="E4612" t="s">
        <v>30</v>
      </c>
      <c r="F4612" t="s">
        <v>78</v>
      </c>
      <c r="G4612">
        <v>2.23</v>
      </c>
      <c r="H4612" t="s">
        <v>41</v>
      </c>
      <c r="I4612" t="s">
        <v>42</v>
      </c>
      <c r="M4612">
        <f>VLOOKUP(H4612,'Stage Order'!$A$2:$B$8,2,FALSE)</f>
        <v>2</v>
      </c>
      <c r="N4612" t="str">
        <f t="shared" si="144"/>
        <v>2. 1-24 hours</v>
      </c>
      <c r="O4612" t="str">
        <f t="shared" si="145"/>
        <v>2026-04</v>
      </c>
    </row>
    <row r="4613" spans="1:15" x14ac:dyDescent="0.3">
      <c r="A4613" t="s">
        <v>10858</v>
      </c>
      <c r="B4613" t="s">
        <v>10859</v>
      </c>
      <c r="C4613" t="s">
        <v>53</v>
      </c>
      <c r="D4613" t="s">
        <v>38</v>
      </c>
      <c r="E4613" t="s">
        <v>59</v>
      </c>
      <c r="F4613" t="s">
        <v>137</v>
      </c>
      <c r="G4613">
        <v>1.1100000000000001</v>
      </c>
      <c r="H4613" t="s">
        <v>41</v>
      </c>
      <c r="I4613" t="s">
        <v>42</v>
      </c>
      <c r="M4613">
        <f>VLOOKUP(H4613,'Stage Order'!$A$2:$B$8,2,FALSE)</f>
        <v>2</v>
      </c>
      <c r="N4613" t="str">
        <f t="shared" si="144"/>
        <v>2. 1-24 hours</v>
      </c>
      <c r="O4613" t="str">
        <f t="shared" si="145"/>
        <v>2025-05</v>
      </c>
    </row>
    <row r="4614" spans="1:15" x14ac:dyDescent="0.3">
      <c r="A4614" t="s">
        <v>10860</v>
      </c>
      <c r="B4614" t="s">
        <v>10861</v>
      </c>
      <c r="C4614" t="s">
        <v>125</v>
      </c>
      <c r="D4614" t="s">
        <v>54</v>
      </c>
      <c r="E4614" t="s">
        <v>90</v>
      </c>
      <c r="F4614" t="s">
        <v>145</v>
      </c>
      <c r="G4614">
        <v>3.41</v>
      </c>
      <c r="H4614" t="s">
        <v>61</v>
      </c>
      <c r="I4614" t="s">
        <v>42</v>
      </c>
      <c r="M4614">
        <f>VLOOKUP(H4614,'Stage Order'!$A$2:$B$8,2,FALSE)</f>
        <v>1</v>
      </c>
      <c r="N4614" t="str">
        <f t="shared" si="144"/>
        <v>2. 1-24 hours</v>
      </c>
      <c r="O4614" t="str">
        <f t="shared" si="145"/>
        <v>2026-02</v>
      </c>
    </row>
    <row r="4615" spans="1:15" x14ac:dyDescent="0.3">
      <c r="A4615" t="s">
        <v>10862</v>
      </c>
      <c r="B4615" t="s">
        <v>10863</v>
      </c>
      <c r="C4615" t="s">
        <v>28</v>
      </c>
      <c r="D4615" t="s">
        <v>77</v>
      </c>
      <c r="E4615" t="s">
        <v>45</v>
      </c>
      <c r="F4615" t="s">
        <v>94</v>
      </c>
      <c r="G4615">
        <v>12.82</v>
      </c>
      <c r="H4615" t="s">
        <v>41</v>
      </c>
      <c r="I4615" t="s">
        <v>42</v>
      </c>
      <c r="M4615">
        <f>VLOOKUP(H4615,'Stage Order'!$A$2:$B$8,2,FALSE)</f>
        <v>2</v>
      </c>
      <c r="N4615" t="str">
        <f t="shared" si="144"/>
        <v>2. 1-24 hours</v>
      </c>
      <c r="O4615" t="str">
        <f t="shared" si="145"/>
        <v>2025-11</v>
      </c>
    </row>
    <row r="4616" spans="1:15" x14ac:dyDescent="0.3">
      <c r="A4616" t="s">
        <v>10864</v>
      </c>
      <c r="B4616" t="s">
        <v>10865</v>
      </c>
      <c r="C4616" t="s">
        <v>37</v>
      </c>
      <c r="D4616" t="s">
        <v>54</v>
      </c>
      <c r="E4616" t="s">
        <v>30</v>
      </c>
      <c r="F4616" t="s">
        <v>82</v>
      </c>
      <c r="G4616">
        <v>8.4600000000000009</v>
      </c>
      <c r="H4616" t="s">
        <v>41</v>
      </c>
      <c r="I4616" t="s">
        <v>42</v>
      </c>
      <c r="M4616">
        <f>VLOOKUP(H4616,'Stage Order'!$A$2:$B$8,2,FALSE)</f>
        <v>2</v>
      </c>
      <c r="N4616" t="str">
        <f t="shared" si="144"/>
        <v>2. 1-24 hours</v>
      </c>
      <c r="O4616" t="str">
        <f t="shared" si="145"/>
        <v>2026-04</v>
      </c>
    </row>
    <row r="4617" spans="1:15" x14ac:dyDescent="0.3">
      <c r="A4617" t="s">
        <v>10866</v>
      </c>
      <c r="B4617" t="s">
        <v>10867</v>
      </c>
      <c r="C4617" t="s">
        <v>125</v>
      </c>
      <c r="D4617" t="s">
        <v>29</v>
      </c>
      <c r="E4617" t="s">
        <v>59</v>
      </c>
      <c r="F4617" t="s">
        <v>117</v>
      </c>
      <c r="G4617">
        <v>3.5</v>
      </c>
      <c r="H4617" t="s">
        <v>138</v>
      </c>
      <c r="I4617" t="s">
        <v>48</v>
      </c>
      <c r="J4617" t="s">
        <v>113</v>
      </c>
      <c r="K4617">
        <v>715.15</v>
      </c>
      <c r="L4617" t="s">
        <v>10868</v>
      </c>
      <c r="M4617">
        <f>VLOOKUP(H4617,'Stage Order'!$A$2:$B$8,2,FALSE)</f>
        <v>6</v>
      </c>
      <c r="N4617" t="str">
        <f t="shared" si="144"/>
        <v>2. 1-24 hours</v>
      </c>
      <c r="O4617" t="str">
        <f t="shared" si="145"/>
        <v>2025-10</v>
      </c>
    </row>
    <row r="4618" spans="1:15" x14ac:dyDescent="0.3">
      <c r="A4618" t="s">
        <v>10869</v>
      </c>
      <c r="B4618" t="s">
        <v>10870</v>
      </c>
      <c r="C4618" t="s">
        <v>37</v>
      </c>
      <c r="D4618" t="s">
        <v>38</v>
      </c>
      <c r="E4618" t="s">
        <v>30</v>
      </c>
      <c r="F4618" t="s">
        <v>78</v>
      </c>
      <c r="G4618">
        <v>3.24</v>
      </c>
      <c r="H4618" t="s">
        <v>61</v>
      </c>
      <c r="I4618" t="s">
        <v>42</v>
      </c>
      <c r="M4618">
        <f>VLOOKUP(H4618,'Stage Order'!$A$2:$B$8,2,FALSE)</f>
        <v>1</v>
      </c>
      <c r="N4618" t="str">
        <f t="shared" si="144"/>
        <v>2. 1-24 hours</v>
      </c>
      <c r="O4618" t="str">
        <f t="shared" si="145"/>
        <v>2025-11</v>
      </c>
    </row>
    <row r="4619" spans="1:15" x14ac:dyDescent="0.3">
      <c r="A4619" t="s">
        <v>10871</v>
      </c>
      <c r="B4619" t="s">
        <v>10872</v>
      </c>
      <c r="C4619" t="s">
        <v>81</v>
      </c>
      <c r="D4619" t="s">
        <v>29</v>
      </c>
      <c r="E4619" t="s">
        <v>45</v>
      </c>
      <c r="F4619" t="s">
        <v>55</v>
      </c>
      <c r="G4619">
        <v>1.1599999999999999</v>
      </c>
      <c r="H4619" t="s">
        <v>41</v>
      </c>
      <c r="I4619" t="s">
        <v>42</v>
      </c>
      <c r="M4619">
        <f>VLOOKUP(H4619,'Stage Order'!$A$2:$B$8,2,FALSE)</f>
        <v>2</v>
      </c>
      <c r="N4619" t="str">
        <f t="shared" si="144"/>
        <v>2. 1-24 hours</v>
      </c>
      <c r="O4619" t="str">
        <f t="shared" si="145"/>
        <v>2026-01</v>
      </c>
    </row>
    <row r="4620" spans="1:15" x14ac:dyDescent="0.3">
      <c r="A4620" t="s">
        <v>10873</v>
      </c>
      <c r="B4620" t="s">
        <v>10874</v>
      </c>
      <c r="C4620" t="s">
        <v>58</v>
      </c>
      <c r="D4620" t="s">
        <v>77</v>
      </c>
      <c r="E4620" t="s">
        <v>39</v>
      </c>
      <c r="F4620" t="s">
        <v>40</v>
      </c>
      <c r="G4620">
        <v>2.4500000000000002</v>
      </c>
      <c r="H4620" t="s">
        <v>47</v>
      </c>
      <c r="I4620" t="s">
        <v>48</v>
      </c>
      <c r="J4620" t="s">
        <v>49</v>
      </c>
      <c r="K4620">
        <v>874.91</v>
      </c>
      <c r="L4620" t="s">
        <v>10875</v>
      </c>
      <c r="M4620">
        <f>VLOOKUP(H4620,'Stage Order'!$A$2:$B$8,2,FALSE)</f>
        <v>4</v>
      </c>
      <c r="N4620" t="str">
        <f t="shared" si="144"/>
        <v>2. 1-24 hours</v>
      </c>
      <c r="O4620" t="str">
        <f t="shared" si="145"/>
        <v>2025-10</v>
      </c>
    </row>
    <row r="4621" spans="1:15" x14ac:dyDescent="0.3">
      <c r="A4621" t="s">
        <v>10876</v>
      </c>
      <c r="B4621" t="s">
        <v>10877</v>
      </c>
      <c r="C4621" t="s">
        <v>58</v>
      </c>
      <c r="D4621" t="s">
        <v>29</v>
      </c>
      <c r="E4621" t="s">
        <v>39</v>
      </c>
      <c r="F4621" t="s">
        <v>66</v>
      </c>
      <c r="G4621">
        <v>2.99</v>
      </c>
      <c r="H4621" t="s">
        <v>128</v>
      </c>
      <c r="I4621" t="s">
        <v>42</v>
      </c>
      <c r="M4621">
        <f>VLOOKUP(H4621,'Stage Order'!$A$2:$B$8,2,FALSE)</f>
        <v>3</v>
      </c>
      <c r="N4621" t="str">
        <f t="shared" si="144"/>
        <v>2. 1-24 hours</v>
      </c>
      <c r="O4621" t="str">
        <f t="shared" si="145"/>
        <v>2026-06</v>
      </c>
    </row>
    <row r="4622" spans="1:15" x14ac:dyDescent="0.3">
      <c r="A4622" t="s">
        <v>10878</v>
      </c>
      <c r="B4622" t="s">
        <v>10879</v>
      </c>
      <c r="C4622" t="s">
        <v>53</v>
      </c>
      <c r="D4622" t="s">
        <v>54</v>
      </c>
      <c r="E4622" t="s">
        <v>45</v>
      </c>
      <c r="F4622" t="s">
        <v>46</v>
      </c>
      <c r="G4622">
        <v>6.16</v>
      </c>
      <c r="H4622" t="s">
        <v>32</v>
      </c>
      <c r="I4622" t="s">
        <v>33</v>
      </c>
      <c r="K4622">
        <v>473.91</v>
      </c>
      <c r="L4622" t="s">
        <v>10880</v>
      </c>
      <c r="M4622">
        <f>VLOOKUP(H4622,'Stage Order'!$A$2:$B$8,2,FALSE)</f>
        <v>7</v>
      </c>
      <c r="N4622" t="str">
        <f t="shared" si="144"/>
        <v>2. 1-24 hours</v>
      </c>
      <c r="O4622" t="str">
        <f t="shared" si="145"/>
        <v>2025-02</v>
      </c>
    </row>
    <row r="4623" spans="1:15" x14ac:dyDescent="0.3">
      <c r="A4623" t="s">
        <v>10881</v>
      </c>
      <c r="B4623" t="s">
        <v>10882</v>
      </c>
      <c r="C4623" t="s">
        <v>58</v>
      </c>
      <c r="D4623" t="s">
        <v>29</v>
      </c>
      <c r="E4623" t="s">
        <v>45</v>
      </c>
      <c r="F4623" t="s">
        <v>46</v>
      </c>
      <c r="G4623">
        <v>3.82</v>
      </c>
      <c r="H4623" t="s">
        <v>61</v>
      </c>
      <c r="I4623" t="s">
        <v>42</v>
      </c>
      <c r="M4623">
        <f>VLOOKUP(H4623,'Stage Order'!$A$2:$B$8,2,FALSE)</f>
        <v>1</v>
      </c>
      <c r="N4623" t="str">
        <f t="shared" si="144"/>
        <v>2. 1-24 hours</v>
      </c>
      <c r="O4623" t="str">
        <f t="shared" si="145"/>
        <v>2025-03</v>
      </c>
    </row>
    <row r="4624" spans="1:15" x14ac:dyDescent="0.3">
      <c r="A4624" t="s">
        <v>10883</v>
      </c>
      <c r="B4624" t="s">
        <v>10884</v>
      </c>
      <c r="C4624" t="s">
        <v>28</v>
      </c>
      <c r="D4624" t="s">
        <v>38</v>
      </c>
      <c r="E4624" t="s">
        <v>90</v>
      </c>
      <c r="F4624" t="s">
        <v>145</v>
      </c>
      <c r="G4624">
        <v>6.38</v>
      </c>
      <c r="H4624" t="s">
        <v>41</v>
      </c>
      <c r="I4624" t="s">
        <v>42</v>
      </c>
      <c r="M4624">
        <f>VLOOKUP(H4624,'Stage Order'!$A$2:$B$8,2,FALSE)</f>
        <v>2</v>
      </c>
      <c r="N4624" t="str">
        <f t="shared" si="144"/>
        <v>2. 1-24 hours</v>
      </c>
      <c r="O4624" t="str">
        <f t="shared" si="145"/>
        <v>2025-10</v>
      </c>
    </row>
    <row r="4625" spans="1:15" x14ac:dyDescent="0.3">
      <c r="A4625" t="s">
        <v>10885</v>
      </c>
      <c r="B4625" t="s">
        <v>10886</v>
      </c>
      <c r="C4625" t="s">
        <v>37</v>
      </c>
      <c r="D4625" t="s">
        <v>54</v>
      </c>
      <c r="E4625" t="s">
        <v>59</v>
      </c>
      <c r="F4625" t="s">
        <v>137</v>
      </c>
      <c r="G4625">
        <v>4.84</v>
      </c>
      <c r="H4625" t="s">
        <v>41</v>
      </c>
      <c r="I4625" t="s">
        <v>42</v>
      </c>
      <c r="M4625">
        <f>VLOOKUP(H4625,'Stage Order'!$A$2:$B$8,2,FALSE)</f>
        <v>2</v>
      </c>
      <c r="N4625" t="str">
        <f t="shared" si="144"/>
        <v>2. 1-24 hours</v>
      </c>
      <c r="O4625" t="str">
        <f t="shared" si="145"/>
        <v>2025-11</v>
      </c>
    </row>
    <row r="4626" spans="1:15" x14ac:dyDescent="0.3">
      <c r="A4626" t="s">
        <v>10887</v>
      </c>
      <c r="B4626" t="s">
        <v>10888</v>
      </c>
      <c r="C4626" t="s">
        <v>53</v>
      </c>
      <c r="D4626" t="s">
        <v>97</v>
      </c>
      <c r="E4626" t="s">
        <v>59</v>
      </c>
      <c r="F4626" t="s">
        <v>117</v>
      </c>
      <c r="G4626">
        <v>1.4</v>
      </c>
      <c r="H4626" t="s">
        <v>138</v>
      </c>
      <c r="I4626" t="s">
        <v>48</v>
      </c>
      <c r="J4626" t="s">
        <v>139</v>
      </c>
      <c r="K4626">
        <v>1210.69</v>
      </c>
      <c r="L4626" t="s">
        <v>10889</v>
      </c>
      <c r="M4626">
        <f>VLOOKUP(H4626,'Stage Order'!$A$2:$B$8,2,FALSE)</f>
        <v>6</v>
      </c>
      <c r="N4626" t="str">
        <f t="shared" si="144"/>
        <v>2. 1-24 hours</v>
      </c>
      <c r="O4626" t="str">
        <f t="shared" si="145"/>
        <v>2025-06</v>
      </c>
    </row>
    <row r="4627" spans="1:15" x14ac:dyDescent="0.3">
      <c r="A4627" t="s">
        <v>10890</v>
      </c>
      <c r="B4627" t="s">
        <v>10891</v>
      </c>
      <c r="C4627" t="s">
        <v>37</v>
      </c>
      <c r="D4627" t="s">
        <v>77</v>
      </c>
      <c r="E4627" t="s">
        <v>90</v>
      </c>
      <c r="F4627" t="s">
        <v>91</v>
      </c>
      <c r="G4627">
        <v>13.93</v>
      </c>
      <c r="H4627" t="s">
        <v>61</v>
      </c>
      <c r="I4627" t="s">
        <v>42</v>
      </c>
      <c r="M4627">
        <f>VLOOKUP(H4627,'Stage Order'!$A$2:$B$8,2,FALSE)</f>
        <v>1</v>
      </c>
      <c r="N4627" t="str">
        <f t="shared" si="144"/>
        <v>2. 1-24 hours</v>
      </c>
      <c r="O4627" t="str">
        <f t="shared" si="145"/>
        <v>2026-01</v>
      </c>
    </row>
    <row r="4628" spans="1:15" x14ac:dyDescent="0.3">
      <c r="A4628" t="s">
        <v>10892</v>
      </c>
      <c r="B4628" t="s">
        <v>10893</v>
      </c>
      <c r="C4628" t="s">
        <v>37</v>
      </c>
      <c r="D4628" t="s">
        <v>77</v>
      </c>
      <c r="E4628" t="s">
        <v>59</v>
      </c>
      <c r="F4628" t="s">
        <v>137</v>
      </c>
      <c r="G4628">
        <v>2.86</v>
      </c>
      <c r="H4628" t="s">
        <v>41</v>
      </c>
      <c r="I4628" t="s">
        <v>42</v>
      </c>
      <c r="M4628">
        <f>VLOOKUP(H4628,'Stage Order'!$A$2:$B$8,2,FALSE)</f>
        <v>2</v>
      </c>
      <c r="N4628" t="str">
        <f t="shared" si="144"/>
        <v>2. 1-24 hours</v>
      </c>
      <c r="O4628" t="str">
        <f t="shared" si="145"/>
        <v>2026-01</v>
      </c>
    </row>
    <row r="4629" spans="1:15" x14ac:dyDescent="0.3">
      <c r="A4629" t="s">
        <v>10894</v>
      </c>
      <c r="B4629" t="s">
        <v>10895</v>
      </c>
      <c r="C4629" t="s">
        <v>58</v>
      </c>
      <c r="D4629" t="s">
        <v>29</v>
      </c>
      <c r="E4629" t="s">
        <v>39</v>
      </c>
      <c r="F4629" t="s">
        <v>66</v>
      </c>
      <c r="G4629">
        <v>19.510000000000002</v>
      </c>
      <c r="H4629" t="s">
        <v>61</v>
      </c>
      <c r="I4629" t="s">
        <v>42</v>
      </c>
      <c r="M4629">
        <f>VLOOKUP(H4629,'Stage Order'!$A$2:$B$8,2,FALSE)</f>
        <v>1</v>
      </c>
      <c r="N4629" t="str">
        <f t="shared" si="144"/>
        <v>2. 1-24 hours</v>
      </c>
      <c r="O4629" t="str">
        <f t="shared" si="145"/>
        <v>2025-08</v>
      </c>
    </row>
    <row r="4630" spans="1:15" x14ac:dyDescent="0.3">
      <c r="A4630" t="s">
        <v>10896</v>
      </c>
      <c r="B4630" t="s">
        <v>10897</v>
      </c>
      <c r="C4630" t="s">
        <v>28</v>
      </c>
      <c r="D4630" t="s">
        <v>97</v>
      </c>
      <c r="E4630" t="s">
        <v>90</v>
      </c>
      <c r="F4630" t="s">
        <v>91</v>
      </c>
      <c r="G4630">
        <v>21.16</v>
      </c>
      <c r="H4630" t="s">
        <v>41</v>
      </c>
      <c r="I4630" t="s">
        <v>42</v>
      </c>
      <c r="M4630">
        <f>VLOOKUP(H4630,'Stage Order'!$A$2:$B$8,2,FALSE)</f>
        <v>2</v>
      </c>
      <c r="N4630" t="str">
        <f t="shared" si="144"/>
        <v>2. 1-24 hours</v>
      </c>
      <c r="O4630" t="str">
        <f t="shared" si="145"/>
        <v>2026-05</v>
      </c>
    </row>
    <row r="4631" spans="1:15" x14ac:dyDescent="0.3">
      <c r="A4631" t="s">
        <v>10898</v>
      </c>
      <c r="B4631" t="s">
        <v>10899</v>
      </c>
      <c r="C4631" t="s">
        <v>125</v>
      </c>
      <c r="D4631" t="s">
        <v>54</v>
      </c>
      <c r="E4631" t="s">
        <v>90</v>
      </c>
      <c r="F4631" t="s">
        <v>145</v>
      </c>
      <c r="G4631">
        <v>11.75</v>
      </c>
      <c r="H4631" t="s">
        <v>41</v>
      </c>
      <c r="I4631" t="s">
        <v>42</v>
      </c>
      <c r="M4631">
        <f>VLOOKUP(H4631,'Stage Order'!$A$2:$B$8,2,FALSE)</f>
        <v>2</v>
      </c>
      <c r="N4631" t="str">
        <f t="shared" si="144"/>
        <v>2. 1-24 hours</v>
      </c>
      <c r="O4631" t="str">
        <f t="shared" si="145"/>
        <v>2026-03</v>
      </c>
    </row>
    <row r="4632" spans="1:15" x14ac:dyDescent="0.3">
      <c r="A4632" t="s">
        <v>10900</v>
      </c>
      <c r="B4632" t="s">
        <v>10901</v>
      </c>
      <c r="C4632" t="s">
        <v>53</v>
      </c>
      <c r="D4632" t="s">
        <v>77</v>
      </c>
      <c r="E4632" t="s">
        <v>30</v>
      </c>
      <c r="F4632" t="s">
        <v>78</v>
      </c>
      <c r="G4632">
        <v>5.1100000000000003</v>
      </c>
      <c r="H4632" t="s">
        <v>32</v>
      </c>
      <c r="I4632" t="s">
        <v>33</v>
      </c>
      <c r="K4632">
        <v>1105.73</v>
      </c>
      <c r="L4632" t="s">
        <v>10902</v>
      </c>
      <c r="M4632">
        <f>VLOOKUP(H4632,'Stage Order'!$A$2:$B$8,2,FALSE)</f>
        <v>7</v>
      </c>
      <c r="N4632" t="str">
        <f t="shared" si="144"/>
        <v>2. 1-24 hours</v>
      </c>
      <c r="O4632" t="str">
        <f t="shared" si="145"/>
        <v>2025-03</v>
      </c>
    </row>
    <row r="4633" spans="1:15" x14ac:dyDescent="0.3">
      <c r="A4633" t="s">
        <v>10903</v>
      </c>
      <c r="B4633" t="s">
        <v>10904</v>
      </c>
      <c r="C4633" t="s">
        <v>76</v>
      </c>
      <c r="D4633" t="s">
        <v>77</v>
      </c>
      <c r="E4633" t="s">
        <v>59</v>
      </c>
      <c r="F4633" t="s">
        <v>137</v>
      </c>
      <c r="G4633">
        <v>5.36</v>
      </c>
      <c r="H4633" t="s">
        <v>138</v>
      </c>
      <c r="I4633" t="s">
        <v>48</v>
      </c>
      <c r="J4633" t="s">
        <v>113</v>
      </c>
      <c r="K4633">
        <v>1040.33</v>
      </c>
      <c r="L4633" t="s">
        <v>10905</v>
      </c>
      <c r="M4633">
        <f>VLOOKUP(H4633,'Stage Order'!$A$2:$B$8,2,FALSE)</f>
        <v>6</v>
      </c>
      <c r="N4633" t="str">
        <f t="shared" si="144"/>
        <v>2. 1-24 hours</v>
      </c>
      <c r="O4633" t="str">
        <f t="shared" si="145"/>
        <v>2025-05</v>
      </c>
    </row>
    <row r="4634" spans="1:15" x14ac:dyDescent="0.3">
      <c r="A4634" t="s">
        <v>10906</v>
      </c>
      <c r="B4634" t="s">
        <v>10907</v>
      </c>
      <c r="C4634" t="s">
        <v>37</v>
      </c>
      <c r="D4634" t="s">
        <v>29</v>
      </c>
      <c r="E4634" t="s">
        <v>39</v>
      </c>
      <c r="F4634" t="s">
        <v>40</v>
      </c>
      <c r="G4634">
        <v>1.77</v>
      </c>
      <c r="H4634" t="s">
        <v>41</v>
      </c>
      <c r="I4634" t="s">
        <v>42</v>
      </c>
      <c r="M4634">
        <f>VLOOKUP(H4634,'Stage Order'!$A$2:$B$8,2,FALSE)</f>
        <v>2</v>
      </c>
      <c r="N4634" t="str">
        <f t="shared" si="144"/>
        <v>2. 1-24 hours</v>
      </c>
      <c r="O4634" t="str">
        <f t="shared" si="145"/>
        <v>2025-07</v>
      </c>
    </row>
    <row r="4635" spans="1:15" x14ac:dyDescent="0.3">
      <c r="A4635" t="s">
        <v>10908</v>
      </c>
      <c r="B4635" t="s">
        <v>10909</v>
      </c>
      <c r="C4635" t="s">
        <v>53</v>
      </c>
      <c r="D4635" t="s">
        <v>77</v>
      </c>
      <c r="E4635" t="s">
        <v>90</v>
      </c>
      <c r="F4635" t="s">
        <v>91</v>
      </c>
      <c r="G4635">
        <v>0.67</v>
      </c>
      <c r="H4635" t="s">
        <v>47</v>
      </c>
      <c r="I4635" t="s">
        <v>48</v>
      </c>
      <c r="J4635" t="s">
        <v>98</v>
      </c>
      <c r="K4635">
        <v>1031.3499999999999</v>
      </c>
      <c r="L4635" t="s">
        <v>10910</v>
      </c>
      <c r="M4635">
        <f>VLOOKUP(H4635,'Stage Order'!$A$2:$B$8,2,FALSE)</f>
        <v>4</v>
      </c>
      <c r="N4635" t="str">
        <f t="shared" si="144"/>
        <v>1. Under 1 hour</v>
      </c>
      <c r="O4635" t="str">
        <f t="shared" si="145"/>
        <v>2025-07</v>
      </c>
    </row>
    <row r="4636" spans="1:15" x14ac:dyDescent="0.3">
      <c r="A4636" t="s">
        <v>10911</v>
      </c>
      <c r="B4636" t="s">
        <v>10912</v>
      </c>
      <c r="C4636" t="s">
        <v>53</v>
      </c>
      <c r="D4636" t="s">
        <v>38</v>
      </c>
      <c r="E4636" t="s">
        <v>45</v>
      </c>
      <c r="F4636" t="s">
        <v>94</v>
      </c>
      <c r="G4636">
        <v>9.5500000000000007</v>
      </c>
      <c r="H4636" t="s">
        <v>32</v>
      </c>
      <c r="I4636" t="s">
        <v>33</v>
      </c>
      <c r="K4636">
        <v>338.69</v>
      </c>
      <c r="L4636" t="s">
        <v>10913</v>
      </c>
      <c r="M4636">
        <f>VLOOKUP(H4636,'Stage Order'!$A$2:$B$8,2,FALSE)</f>
        <v>7</v>
      </c>
      <c r="N4636" t="str">
        <f t="shared" si="144"/>
        <v>2. 1-24 hours</v>
      </c>
      <c r="O4636" t="str">
        <f t="shared" si="145"/>
        <v>2025-03</v>
      </c>
    </row>
    <row r="4637" spans="1:15" x14ac:dyDescent="0.3">
      <c r="A4637" t="s">
        <v>10914</v>
      </c>
      <c r="B4637" t="s">
        <v>10915</v>
      </c>
      <c r="C4637" t="s">
        <v>53</v>
      </c>
      <c r="D4637" t="s">
        <v>77</v>
      </c>
      <c r="E4637" t="s">
        <v>59</v>
      </c>
      <c r="F4637" t="s">
        <v>117</v>
      </c>
      <c r="G4637">
        <v>7.04</v>
      </c>
      <c r="H4637" t="s">
        <v>41</v>
      </c>
      <c r="I4637" t="s">
        <v>42</v>
      </c>
      <c r="M4637">
        <f>VLOOKUP(H4637,'Stage Order'!$A$2:$B$8,2,FALSE)</f>
        <v>2</v>
      </c>
      <c r="N4637" t="str">
        <f t="shared" si="144"/>
        <v>2. 1-24 hours</v>
      </c>
      <c r="O4637" t="str">
        <f t="shared" si="145"/>
        <v>2025-04</v>
      </c>
    </row>
    <row r="4638" spans="1:15" x14ac:dyDescent="0.3">
      <c r="A4638" t="s">
        <v>10916</v>
      </c>
      <c r="B4638" t="s">
        <v>10917</v>
      </c>
      <c r="C4638" t="s">
        <v>81</v>
      </c>
      <c r="D4638" t="s">
        <v>29</v>
      </c>
      <c r="E4638" t="s">
        <v>39</v>
      </c>
      <c r="F4638" t="s">
        <v>66</v>
      </c>
      <c r="G4638">
        <v>2.81</v>
      </c>
      <c r="H4638" t="s">
        <v>61</v>
      </c>
      <c r="I4638" t="s">
        <v>42</v>
      </c>
      <c r="M4638">
        <f>VLOOKUP(H4638,'Stage Order'!$A$2:$B$8,2,FALSE)</f>
        <v>1</v>
      </c>
      <c r="N4638" t="str">
        <f t="shared" si="144"/>
        <v>2. 1-24 hours</v>
      </c>
      <c r="O4638" t="str">
        <f t="shared" si="145"/>
        <v>2025-12</v>
      </c>
    </row>
    <row r="4639" spans="1:15" x14ac:dyDescent="0.3">
      <c r="A4639" t="s">
        <v>10918</v>
      </c>
      <c r="B4639" t="s">
        <v>10919</v>
      </c>
      <c r="C4639" t="s">
        <v>28</v>
      </c>
      <c r="D4639" t="s">
        <v>38</v>
      </c>
      <c r="E4639" t="s">
        <v>45</v>
      </c>
      <c r="F4639" t="s">
        <v>94</v>
      </c>
      <c r="G4639">
        <v>13.92</v>
      </c>
      <c r="H4639" t="s">
        <v>41</v>
      </c>
      <c r="I4639" t="s">
        <v>42</v>
      </c>
      <c r="M4639">
        <f>VLOOKUP(H4639,'Stage Order'!$A$2:$B$8,2,FALSE)</f>
        <v>2</v>
      </c>
      <c r="N4639" t="str">
        <f t="shared" si="144"/>
        <v>2. 1-24 hours</v>
      </c>
      <c r="O4639" t="str">
        <f t="shared" si="145"/>
        <v>2025-07</v>
      </c>
    </row>
    <row r="4640" spans="1:15" x14ac:dyDescent="0.3">
      <c r="A4640" t="s">
        <v>10920</v>
      </c>
      <c r="B4640" t="s">
        <v>10921</v>
      </c>
      <c r="C4640" t="s">
        <v>37</v>
      </c>
      <c r="D4640" t="s">
        <v>38</v>
      </c>
      <c r="E4640" t="s">
        <v>90</v>
      </c>
      <c r="F4640" t="s">
        <v>145</v>
      </c>
      <c r="G4640">
        <v>0.57999999999999996</v>
      </c>
      <c r="H4640" t="s">
        <v>41</v>
      </c>
      <c r="I4640" t="s">
        <v>42</v>
      </c>
      <c r="M4640">
        <f>VLOOKUP(H4640,'Stage Order'!$A$2:$B$8,2,FALSE)</f>
        <v>2</v>
      </c>
      <c r="N4640" t="str">
        <f t="shared" si="144"/>
        <v>1. Under 1 hour</v>
      </c>
      <c r="O4640" t="str">
        <f t="shared" si="145"/>
        <v>2026-01</v>
      </c>
    </row>
    <row r="4641" spans="1:15" x14ac:dyDescent="0.3">
      <c r="A4641" t="s">
        <v>10922</v>
      </c>
      <c r="B4641" t="s">
        <v>10923</v>
      </c>
      <c r="C4641" t="s">
        <v>125</v>
      </c>
      <c r="D4641" t="s">
        <v>38</v>
      </c>
      <c r="E4641" t="s">
        <v>59</v>
      </c>
      <c r="F4641" t="s">
        <v>60</v>
      </c>
      <c r="G4641">
        <v>0.67</v>
      </c>
      <c r="H4641" t="s">
        <v>138</v>
      </c>
      <c r="I4641" t="s">
        <v>48</v>
      </c>
      <c r="J4641" t="s">
        <v>742</v>
      </c>
      <c r="K4641">
        <v>353.26</v>
      </c>
      <c r="L4641" t="s">
        <v>10924</v>
      </c>
      <c r="M4641">
        <f>VLOOKUP(H4641,'Stage Order'!$A$2:$B$8,2,FALSE)</f>
        <v>6</v>
      </c>
      <c r="N4641" t="str">
        <f t="shared" si="144"/>
        <v>1. Under 1 hour</v>
      </c>
      <c r="O4641" t="str">
        <f t="shared" si="145"/>
        <v>2025-06</v>
      </c>
    </row>
    <row r="4642" spans="1:15" x14ac:dyDescent="0.3">
      <c r="A4642" t="s">
        <v>10925</v>
      </c>
      <c r="B4642" t="s">
        <v>10926</v>
      </c>
      <c r="C4642" t="s">
        <v>28</v>
      </c>
      <c r="D4642" t="s">
        <v>38</v>
      </c>
      <c r="E4642" t="s">
        <v>90</v>
      </c>
      <c r="F4642" t="s">
        <v>112</v>
      </c>
      <c r="G4642">
        <v>1.85</v>
      </c>
      <c r="H4642" t="s">
        <v>32</v>
      </c>
      <c r="I4642" t="s">
        <v>33</v>
      </c>
      <c r="K4642">
        <v>293.42</v>
      </c>
      <c r="L4642" t="s">
        <v>10927</v>
      </c>
      <c r="M4642">
        <f>VLOOKUP(H4642,'Stage Order'!$A$2:$B$8,2,FALSE)</f>
        <v>7</v>
      </c>
      <c r="N4642" t="str">
        <f t="shared" si="144"/>
        <v>2. 1-24 hours</v>
      </c>
      <c r="O4642" t="str">
        <f t="shared" si="145"/>
        <v>2025-11</v>
      </c>
    </row>
    <row r="4643" spans="1:15" x14ac:dyDescent="0.3">
      <c r="A4643" t="s">
        <v>10928</v>
      </c>
      <c r="B4643" t="s">
        <v>10929</v>
      </c>
      <c r="C4643" t="s">
        <v>53</v>
      </c>
      <c r="D4643" t="s">
        <v>77</v>
      </c>
      <c r="E4643" t="s">
        <v>39</v>
      </c>
      <c r="F4643" t="s">
        <v>66</v>
      </c>
      <c r="G4643">
        <v>14.16</v>
      </c>
      <c r="H4643" t="s">
        <v>41</v>
      </c>
      <c r="I4643" t="s">
        <v>42</v>
      </c>
      <c r="M4643">
        <f>VLOOKUP(H4643,'Stage Order'!$A$2:$B$8,2,FALSE)</f>
        <v>2</v>
      </c>
      <c r="N4643" t="str">
        <f t="shared" si="144"/>
        <v>2. 1-24 hours</v>
      </c>
      <c r="O4643" t="str">
        <f t="shared" si="145"/>
        <v>2026-04</v>
      </c>
    </row>
    <row r="4644" spans="1:15" x14ac:dyDescent="0.3">
      <c r="A4644" t="s">
        <v>10930</v>
      </c>
      <c r="B4644" t="s">
        <v>10931</v>
      </c>
      <c r="C4644" t="s">
        <v>125</v>
      </c>
      <c r="D4644" t="s">
        <v>54</v>
      </c>
      <c r="E4644" t="s">
        <v>45</v>
      </c>
      <c r="F4644" t="s">
        <v>55</v>
      </c>
      <c r="G4644">
        <v>1.88</v>
      </c>
      <c r="H4644" t="s">
        <v>61</v>
      </c>
      <c r="I4644" t="s">
        <v>42</v>
      </c>
      <c r="M4644">
        <f>VLOOKUP(H4644,'Stage Order'!$A$2:$B$8,2,FALSE)</f>
        <v>1</v>
      </c>
      <c r="N4644" t="str">
        <f t="shared" si="144"/>
        <v>2. 1-24 hours</v>
      </c>
      <c r="O4644" t="str">
        <f t="shared" si="145"/>
        <v>2025-08</v>
      </c>
    </row>
    <row r="4645" spans="1:15" x14ac:dyDescent="0.3">
      <c r="A4645" t="s">
        <v>10932</v>
      </c>
      <c r="B4645" t="s">
        <v>10933</v>
      </c>
      <c r="C4645" t="s">
        <v>81</v>
      </c>
      <c r="D4645" t="s">
        <v>29</v>
      </c>
      <c r="E4645" t="s">
        <v>30</v>
      </c>
      <c r="F4645" t="s">
        <v>31</v>
      </c>
      <c r="G4645">
        <v>5.23</v>
      </c>
      <c r="H4645" t="s">
        <v>61</v>
      </c>
      <c r="I4645" t="s">
        <v>42</v>
      </c>
      <c r="M4645">
        <f>VLOOKUP(H4645,'Stage Order'!$A$2:$B$8,2,FALSE)</f>
        <v>1</v>
      </c>
      <c r="N4645" t="str">
        <f t="shared" si="144"/>
        <v>2. 1-24 hours</v>
      </c>
      <c r="O4645" t="str">
        <f t="shared" si="145"/>
        <v>2026-06</v>
      </c>
    </row>
    <row r="4646" spans="1:15" x14ac:dyDescent="0.3">
      <c r="A4646" t="s">
        <v>10934</v>
      </c>
      <c r="B4646" t="s">
        <v>10935</v>
      </c>
      <c r="C4646" t="s">
        <v>58</v>
      </c>
      <c r="D4646" t="s">
        <v>29</v>
      </c>
      <c r="E4646" t="s">
        <v>45</v>
      </c>
      <c r="F4646" t="s">
        <v>55</v>
      </c>
      <c r="G4646">
        <v>1.77</v>
      </c>
      <c r="H4646" t="s">
        <v>61</v>
      </c>
      <c r="I4646" t="s">
        <v>42</v>
      </c>
      <c r="M4646">
        <f>VLOOKUP(H4646,'Stage Order'!$A$2:$B$8,2,FALSE)</f>
        <v>1</v>
      </c>
      <c r="N4646" t="str">
        <f t="shared" si="144"/>
        <v>2. 1-24 hours</v>
      </c>
      <c r="O4646" t="str">
        <f t="shared" si="145"/>
        <v>2026-03</v>
      </c>
    </row>
    <row r="4647" spans="1:15" x14ac:dyDescent="0.3">
      <c r="A4647" t="s">
        <v>10936</v>
      </c>
      <c r="B4647" t="s">
        <v>10937</v>
      </c>
      <c r="C4647" t="s">
        <v>37</v>
      </c>
      <c r="D4647" t="s">
        <v>38</v>
      </c>
      <c r="E4647" t="s">
        <v>45</v>
      </c>
      <c r="F4647" t="s">
        <v>94</v>
      </c>
      <c r="G4647">
        <v>5.63</v>
      </c>
      <c r="H4647" t="s">
        <v>41</v>
      </c>
      <c r="I4647" t="s">
        <v>42</v>
      </c>
      <c r="M4647">
        <f>VLOOKUP(H4647,'Stage Order'!$A$2:$B$8,2,FALSE)</f>
        <v>2</v>
      </c>
      <c r="N4647" t="str">
        <f t="shared" si="144"/>
        <v>2. 1-24 hours</v>
      </c>
      <c r="O4647" t="str">
        <f t="shared" si="145"/>
        <v>2025-08</v>
      </c>
    </row>
    <row r="4648" spans="1:15" x14ac:dyDescent="0.3">
      <c r="A4648" t="s">
        <v>10938</v>
      </c>
      <c r="B4648" t="s">
        <v>10939</v>
      </c>
      <c r="C4648" t="s">
        <v>37</v>
      </c>
      <c r="D4648" t="s">
        <v>29</v>
      </c>
      <c r="E4648" t="s">
        <v>90</v>
      </c>
      <c r="F4648" t="s">
        <v>112</v>
      </c>
      <c r="G4648">
        <v>3.54</v>
      </c>
      <c r="H4648" t="s">
        <v>61</v>
      </c>
      <c r="I4648" t="s">
        <v>42</v>
      </c>
      <c r="M4648">
        <f>VLOOKUP(H4648,'Stage Order'!$A$2:$B$8,2,FALSE)</f>
        <v>1</v>
      </c>
      <c r="N4648" t="str">
        <f t="shared" si="144"/>
        <v>2. 1-24 hours</v>
      </c>
      <c r="O4648" t="str">
        <f t="shared" si="145"/>
        <v>2025-09</v>
      </c>
    </row>
    <row r="4649" spans="1:15" x14ac:dyDescent="0.3">
      <c r="A4649" t="s">
        <v>10940</v>
      </c>
      <c r="B4649" t="s">
        <v>10941</v>
      </c>
      <c r="C4649" t="s">
        <v>76</v>
      </c>
      <c r="D4649" t="s">
        <v>29</v>
      </c>
      <c r="E4649" t="s">
        <v>90</v>
      </c>
      <c r="F4649" t="s">
        <v>112</v>
      </c>
      <c r="G4649">
        <v>3.44</v>
      </c>
      <c r="H4649" t="s">
        <v>47</v>
      </c>
      <c r="I4649" t="s">
        <v>48</v>
      </c>
      <c r="J4649" t="s">
        <v>113</v>
      </c>
      <c r="K4649">
        <v>696.36</v>
      </c>
      <c r="L4649" t="s">
        <v>10942</v>
      </c>
      <c r="M4649">
        <f>VLOOKUP(H4649,'Stage Order'!$A$2:$B$8,2,FALSE)</f>
        <v>4</v>
      </c>
      <c r="N4649" t="str">
        <f t="shared" si="144"/>
        <v>2. 1-24 hours</v>
      </c>
      <c r="O4649" t="str">
        <f t="shared" si="145"/>
        <v>2026-01</v>
      </c>
    </row>
    <row r="4650" spans="1:15" x14ac:dyDescent="0.3">
      <c r="A4650" t="s">
        <v>10943</v>
      </c>
      <c r="B4650" t="s">
        <v>10944</v>
      </c>
      <c r="C4650" t="s">
        <v>28</v>
      </c>
      <c r="D4650" t="s">
        <v>29</v>
      </c>
      <c r="E4650" t="s">
        <v>39</v>
      </c>
      <c r="F4650" t="s">
        <v>106</v>
      </c>
      <c r="G4650">
        <v>3.03</v>
      </c>
      <c r="H4650" t="s">
        <v>138</v>
      </c>
      <c r="I4650" t="s">
        <v>48</v>
      </c>
      <c r="J4650" t="s">
        <v>113</v>
      </c>
      <c r="K4650">
        <v>649.79999999999995</v>
      </c>
      <c r="L4650" t="s">
        <v>10945</v>
      </c>
      <c r="M4650">
        <f>VLOOKUP(H4650,'Stage Order'!$A$2:$B$8,2,FALSE)</f>
        <v>6</v>
      </c>
      <c r="N4650" t="str">
        <f t="shared" si="144"/>
        <v>2. 1-24 hours</v>
      </c>
      <c r="O4650" t="str">
        <f t="shared" si="145"/>
        <v>2025-09</v>
      </c>
    </row>
    <row r="4651" spans="1:15" x14ac:dyDescent="0.3">
      <c r="A4651" t="s">
        <v>10946</v>
      </c>
      <c r="B4651" t="s">
        <v>10947</v>
      </c>
      <c r="C4651" t="s">
        <v>28</v>
      </c>
      <c r="D4651" t="s">
        <v>38</v>
      </c>
      <c r="E4651" t="s">
        <v>59</v>
      </c>
      <c r="F4651" t="s">
        <v>137</v>
      </c>
      <c r="G4651">
        <v>2.56</v>
      </c>
      <c r="H4651" t="s">
        <v>32</v>
      </c>
      <c r="I4651" t="s">
        <v>33</v>
      </c>
      <c r="K4651">
        <v>306.8</v>
      </c>
      <c r="L4651" t="s">
        <v>10948</v>
      </c>
      <c r="M4651">
        <f>VLOOKUP(H4651,'Stage Order'!$A$2:$B$8,2,FALSE)</f>
        <v>7</v>
      </c>
      <c r="N4651" t="str">
        <f t="shared" si="144"/>
        <v>2. 1-24 hours</v>
      </c>
      <c r="O4651" t="str">
        <f t="shared" si="145"/>
        <v>2026-06</v>
      </c>
    </row>
    <row r="4652" spans="1:15" x14ac:dyDescent="0.3">
      <c r="A4652" t="s">
        <v>10949</v>
      </c>
      <c r="B4652" t="s">
        <v>10950</v>
      </c>
      <c r="C4652" t="s">
        <v>81</v>
      </c>
      <c r="D4652" t="s">
        <v>54</v>
      </c>
      <c r="E4652" t="s">
        <v>59</v>
      </c>
      <c r="F4652" t="s">
        <v>137</v>
      </c>
      <c r="G4652">
        <v>3.57</v>
      </c>
      <c r="H4652" t="s">
        <v>61</v>
      </c>
      <c r="I4652" t="s">
        <v>42</v>
      </c>
      <c r="M4652">
        <f>VLOOKUP(H4652,'Stage Order'!$A$2:$B$8,2,FALSE)</f>
        <v>1</v>
      </c>
      <c r="N4652" t="str">
        <f t="shared" si="144"/>
        <v>2. 1-24 hours</v>
      </c>
      <c r="O4652" t="str">
        <f t="shared" si="145"/>
        <v>2025-07</v>
      </c>
    </row>
    <row r="4653" spans="1:15" x14ac:dyDescent="0.3">
      <c r="A4653" t="s">
        <v>10951</v>
      </c>
      <c r="B4653" t="s">
        <v>10952</v>
      </c>
      <c r="C4653" t="s">
        <v>81</v>
      </c>
      <c r="D4653" t="s">
        <v>29</v>
      </c>
      <c r="E4653" t="s">
        <v>45</v>
      </c>
      <c r="F4653" t="s">
        <v>55</v>
      </c>
      <c r="G4653">
        <v>9.4700000000000006</v>
      </c>
      <c r="H4653" t="s">
        <v>61</v>
      </c>
      <c r="I4653" t="s">
        <v>42</v>
      </c>
      <c r="M4653">
        <f>VLOOKUP(H4653,'Stage Order'!$A$2:$B$8,2,FALSE)</f>
        <v>1</v>
      </c>
      <c r="N4653" t="str">
        <f t="shared" si="144"/>
        <v>2. 1-24 hours</v>
      </c>
      <c r="O4653" t="str">
        <f t="shared" si="145"/>
        <v>2026-05</v>
      </c>
    </row>
    <row r="4654" spans="1:15" x14ac:dyDescent="0.3">
      <c r="A4654" t="s">
        <v>10953</v>
      </c>
      <c r="B4654" t="s">
        <v>10954</v>
      </c>
      <c r="C4654" t="s">
        <v>58</v>
      </c>
      <c r="D4654" t="s">
        <v>77</v>
      </c>
      <c r="E4654" t="s">
        <v>30</v>
      </c>
      <c r="F4654" t="s">
        <v>31</v>
      </c>
      <c r="G4654">
        <v>1.86</v>
      </c>
      <c r="H4654" t="s">
        <v>61</v>
      </c>
      <c r="I4654" t="s">
        <v>42</v>
      </c>
      <c r="M4654">
        <f>VLOOKUP(H4654,'Stage Order'!$A$2:$B$8,2,FALSE)</f>
        <v>1</v>
      </c>
      <c r="N4654" t="str">
        <f t="shared" si="144"/>
        <v>2. 1-24 hours</v>
      </c>
      <c r="O4654" t="str">
        <f t="shared" si="145"/>
        <v>2025-05</v>
      </c>
    </row>
    <row r="4655" spans="1:15" x14ac:dyDescent="0.3">
      <c r="A4655" t="s">
        <v>10955</v>
      </c>
      <c r="B4655" t="s">
        <v>10956</v>
      </c>
      <c r="C4655" t="s">
        <v>37</v>
      </c>
      <c r="D4655" t="s">
        <v>54</v>
      </c>
      <c r="E4655" t="s">
        <v>59</v>
      </c>
      <c r="F4655" t="s">
        <v>60</v>
      </c>
      <c r="G4655">
        <v>5.15</v>
      </c>
      <c r="H4655" t="s">
        <v>61</v>
      </c>
      <c r="I4655" t="s">
        <v>42</v>
      </c>
      <c r="M4655">
        <f>VLOOKUP(H4655,'Stage Order'!$A$2:$B$8,2,FALSE)</f>
        <v>1</v>
      </c>
      <c r="N4655" t="str">
        <f t="shared" si="144"/>
        <v>2. 1-24 hours</v>
      </c>
      <c r="O4655" t="str">
        <f t="shared" si="145"/>
        <v>2026-05</v>
      </c>
    </row>
    <row r="4656" spans="1:15" x14ac:dyDescent="0.3">
      <c r="A4656" t="s">
        <v>10957</v>
      </c>
      <c r="B4656" t="s">
        <v>10958</v>
      </c>
      <c r="C4656" t="s">
        <v>81</v>
      </c>
      <c r="D4656" t="s">
        <v>54</v>
      </c>
      <c r="E4656" t="s">
        <v>39</v>
      </c>
      <c r="F4656" t="s">
        <v>66</v>
      </c>
      <c r="G4656">
        <v>0.67</v>
      </c>
      <c r="H4656" t="s">
        <v>61</v>
      </c>
      <c r="I4656" t="s">
        <v>42</v>
      </c>
      <c r="M4656">
        <f>VLOOKUP(H4656,'Stage Order'!$A$2:$B$8,2,FALSE)</f>
        <v>1</v>
      </c>
      <c r="N4656" t="str">
        <f t="shared" si="144"/>
        <v>1. Under 1 hour</v>
      </c>
      <c r="O4656" t="str">
        <f t="shared" si="145"/>
        <v>2025-01</v>
      </c>
    </row>
    <row r="4657" spans="1:15" x14ac:dyDescent="0.3">
      <c r="A4657" t="s">
        <v>10959</v>
      </c>
      <c r="B4657" t="s">
        <v>10960</v>
      </c>
      <c r="C4657" t="s">
        <v>37</v>
      </c>
      <c r="D4657" t="s">
        <v>54</v>
      </c>
      <c r="E4657" t="s">
        <v>45</v>
      </c>
      <c r="F4657" t="s">
        <v>55</v>
      </c>
      <c r="G4657">
        <v>2.2599999999999998</v>
      </c>
      <c r="H4657" t="s">
        <v>47</v>
      </c>
      <c r="I4657" t="s">
        <v>48</v>
      </c>
      <c r="J4657" t="s">
        <v>139</v>
      </c>
      <c r="K4657">
        <v>515.79</v>
      </c>
      <c r="L4657" t="s">
        <v>10961</v>
      </c>
      <c r="M4657">
        <f>VLOOKUP(H4657,'Stage Order'!$A$2:$B$8,2,FALSE)</f>
        <v>4</v>
      </c>
      <c r="N4657" t="str">
        <f t="shared" si="144"/>
        <v>2. 1-24 hours</v>
      </c>
      <c r="O4657" t="str">
        <f t="shared" si="145"/>
        <v>2026-03</v>
      </c>
    </row>
    <row r="4658" spans="1:15" x14ac:dyDescent="0.3">
      <c r="A4658" t="s">
        <v>10962</v>
      </c>
      <c r="B4658" t="s">
        <v>10963</v>
      </c>
      <c r="C4658" t="s">
        <v>28</v>
      </c>
      <c r="D4658" t="s">
        <v>54</v>
      </c>
      <c r="E4658" t="s">
        <v>39</v>
      </c>
      <c r="F4658" t="s">
        <v>40</v>
      </c>
      <c r="G4658">
        <v>4.08</v>
      </c>
      <c r="H4658" t="s">
        <v>41</v>
      </c>
      <c r="I4658" t="s">
        <v>42</v>
      </c>
      <c r="M4658">
        <f>VLOOKUP(H4658,'Stage Order'!$A$2:$B$8,2,FALSE)</f>
        <v>2</v>
      </c>
      <c r="N4658" t="str">
        <f t="shared" si="144"/>
        <v>2. 1-24 hours</v>
      </c>
      <c r="O4658" t="str">
        <f t="shared" si="145"/>
        <v>2025-10</v>
      </c>
    </row>
    <row r="4659" spans="1:15" x14ac:dyDescent="0.3">
      <c r="A4659" t="s">
        <v>10964</v>
      </c>
      <c r="B4659" t="s">
        <v>10965</v>
      </c>
      <c r="C4659" t="s">
        <v>28</v>
      </c>
      <c r="D4659" t="s">
        <v>38</v>
      </c>
      <c r="E4659" t="s">
        <v>39</v>
      </c>
      <c r="F4659" t="s">
        <v>66</v>
      </c>
      <c r="G4659">
        <v>1.8</v>
      </c>
      <c r="H4659" t="s">
        <v>41</v>
      </c>
      <c r="I4659" t="s">
        <v>42</v>
      </c>
      <c r="M4659">
        <f>VLOOKUP(H4659,'Stage Order'!$A$2:$B$8,2,FALSE)</f>
        <v>2</v>
      </c>
      <c r="N4659" t="str">
        <f t="shared" si="144"/>
        <v>2. 1-24 hours</v>
      </c>
      <c r="O4659" t="str">
        <f t="shared" si="145"/>
        <v>2026-06</v>
      </c>
    </row>
    <row r="4660" spans="1:15" x14ac:dyDescent="0.3">
      <c r="A4660" t="s">
        <v>10966</v>
      </c>
      <c r="B4660" t="s">
        <v>10967</v>
      </c>
      <c r="C4660" t="s">
        <v>125</v>
      </c>
      <c r="D4660" t="s">
        <v>77</v>
      </c>
      <c r="E4660" t="s">
        <v>39</v>
      </c>
      <c r="F4660" t="s">
        <v>66</v>
      </c>
      <c r="G4660">
        <v>1.54</v>
      </c>
      <c r="H4660" t="s">
        <v>41</v>
      </c>
      <c r="I4660" t="s">
        <v>42</v>
      </c>
      <c r="M4660">
        <f>VLOOKUP(H4660,'Stage Order'!$A$2:$B$8,2,FALSE)</f>
        <v>2</v>
      </c>
      <c r="N4660" t="str">
        <f t="shared" si="144"/>
        <v>2. 1-24 hours</v>
      </c>
      <c r="O4660" t="str">
        <f t="shared" si="145"/>
        <v>2025-12</v>
      </c>
    </row>
    <row r="4661" spans="1:15" x14ac:dyDescent="0.3">
      <c r="A4661" t="s">
        <v>10968</v>
      </c>
      <c r="B4661" t="s">
        <v>10969</v>
      </c>
      <c r="C4661" t="s">
        <v>76</v>
      </c>
      <c r="D4661" t="s">
        <v>29</v>
      </c>
      <c r="E4661" t="s">
        <v>39</v>
      </c>
      <c r="F4661" t="s">
        <v>40</v>
      </c>
      <c r="G4661">
        <v>5.81</v>
      </c>
      <c r="H4661" t="s">
        <v>32</v>
      </c>
      <c r="I4661" t="s">
        <v>33</v>
      </c>
      <c r="K4661">
        <v>739.9</v>
      </c>
      <c r="L4661" t="s">
        <v>10970</v>
      </c>
      <c r="M4661">
        <f>VLOOKUP(H4661,'Stage Order'!$A$2:$B$8,2,FALSE)</f>
        <v>7</v>
      </c>
      <c r="N4661" t="str">
        <f t="shared" si="144"/>
        <v>2. 1-24 hours</v>
      </c>
      <c r="O4661" t="str">
        <f t="shared" si="145"/>
        <v>2026-04</v>
      </c>
    </row>
    <row r="4662" spans="1:15" x14ac:dyDescent="0.3">
      <c r="A4662" t="s">
        <v>10971</v>
      </c>
      <c r="B4662" t="s">
        <v>10972</v>
      </c>
      <c r="C4662" t="s">
        <v>58</v>
      </c>
      <c r="D4662" t="s">
        <v>97</v>
      </c>
      <c r="E4662" t="s">
        <v>39</v>
      </c>
      <c r="F4662" t="s">
        <v>66</v>
      </c>
      <c r="G4662">
        <v>0.56000000000000005</v>
      </c>
      <c r="H4662" t="s">
        <v>41</v>
      </c>
      <c r="I4662" t="s">
        <v>42</v>
      </c>
      <c r="M4662">
        <f>VLOOKUP(H4662,'Stage Order'!$A$2:$B$8,2,FALSE)</f>
        <v>2</v>
      </c>
      <c r="N4662" t="str">
        <f t="shared" si="144"/>
        <v>1. Under 1 hour</v>
      </c>
      <c r="O4662" t="str">
        <f t="shared" si="145"/>
        <v>2025-01</v>
      </c>
    </row>
    <row r="4663" spans="1:15" x14ac:dyDescent="0.3">
      <c r="A4663" t="s">
        <v>10973</v>
      </c>
      <c r="B4663" t="s">
        <v>10974</v>
      </c>
      <c r="C4663" t="s">
        <v>125</v>
      </c>
      <c r="D4663" t="s">
        <v>54</v>
      </c>
      <c r="E4663" t="s">
        <v>45</v>
      </c>
      <c r="F4663" t="s">
        <v>55</v>
      </c>
      <c r="G4663">
        <v>1.57</v>
      </c>
      <c r="H4663" t="s">
        <v>61</v>
      </c>
      <c r="I4663" t="s">
        <v>42</v>
      </c>
      <c r="M4663">
        <f>VLOOKUP(H4663,'Stage Order'!$A$2:$B$8,2,FALSE)</f>
        <v>1</v>
      </c>
      <c r="N4663" t="str">
        <f t="shared" si="144"/>
        <v>2. 1-24 hours</v>
      </c>
      <c r="O4663" t="str">
        <f t="shared" si="145"/>
        <v>2025-12</v>
      </c>
    </row>
    <row r="4664" spans="1:15" x14ac:dyDescent="0.3">
      <c r="A4664" t="s">
        <v>10975</v>
      </c>
      <c r="B4664" t="s">
        <v>10976</v>
      </c>
      <c r="C4664" t="s">
        <v>81</v>
      </c>
      <c r="D4664" t="s">
        <v>29</v>
      </c>
      <c r="E4664" t="s">
        <v>45</v>
      </c>
      <c r="F4664" t="s">
        <v>46</v>
      </c>
      <c r="G4664">
        <v>10.39</v>
      </c>
      <c r="H4664" t="s">
        <v>47</v>
      </c>
      <c r="I4664" t="s">
        <v>48</v>
      </c>
      <c r="J4664" t="s">
        <v>98</v>
      </c>
      <c r="K4664">
        <v>669.92</v>
      </c>
      <c r="L4664" t="s">
        <v>10977</v>
      </c>
      <c r="M4664">
        <f>VLOOKUP(H4664,'Stage Order'!$A$2:$B$8,2,FALSE)</f>
        <v>4</v>
      </c>
      <c r="N4664" t="str">
        <f t="shared" si="144"/>
        <v>2. 1-24 hours</v>
      </c>
      <c r="O4664" t="str">
        <f t="shared" si="145"/>
        <v>2025-11</v>
      </c>
    </row>
    <row r="4665" spans="1:15" x14ac:dyDescent="0.3">
      <c r="A4665" t="s">
        <v>10978</v>
      </c>
      <c r="B4665" t="s">
        <v>10979</v>
      </c>
      <c r="C4665" t="s">
        <v>37</v>
      </c>
      <c r="D4665" t="s">
        <v>54</v>
      </c>
      <c r="E4665" t="s">
        <v>59</v>
      </c>
      <c r="F4665" t="s">
        <v>137</v>
      </c>
      <c r="G4665">
        <v>1.28</v>
      </c>
      <c r="H4665" t="s">
        <v>32</v>
      </c>
      <c r="I4665" t="s">
        <v>33</v>
      </c>
      <c r="K4665">
        <v>519.73</v>
      </c>
      <c r="L4665" t="s">
        <v>10980</v>
      </c>
      <c r="M4665">
        <f>VLOOKUP(H4665,'Stage Order'!$A$2:$B$8,2,FALSE)</f>
        <v>7</v>
      </c>
      <c r="N4665" t="str">
        <f t="shared" si="144"/>
        <v>2. 1-24 hours</v>
      </c>
      <c r="O4665" t="str">
        <f t="shared" si="145"/>
        <v>2025-09</v>
      </c>
    </row>
    <row r="4666" spans="1:15" x14ac:dyDescent="0.3">
      <c r="A4666" t="s">
        <v>10981</v>
      </c>
      <c r="B4666" t="s">
        <v>10982</v>
      </c>
      <c r="C4666" t="s">
        <v>53</v>
      </c>
      <c r="D4666" t="s">
        <v>29</v>
      </c>
      <c r="E4666" t="s">
        <v>59</v>
      </c>
      <c r="F4666" t="s">
        <v>137</v>
      </c>
      <c r="G4666">
        <v>2.1800000000000002</v>
      </c>
      <c r="H4666" t="s">
        <v>47</v>
      </c>
      <c r="I4666" t="s">
        <v>48</v>
      </c>
      <c r="J4666" t="s">
        <v>49</v>
      </c>
      <c r="K4666">
        <v>737.13</v>
      </c>
      <c r="L4666" t="s">
        <v>10983</v>
      </c>
      <c r="M4666">
        <f>VLOOKUP(H4666,'Stage Order'!$A$2:$B$8,2,FALSE)</f>
        <v>4</v>
      </c>
      <c r="N4666" t="str">
        <f t="shared" si="144"/>
        <v>2. 1-24 hours</v>
      </c>
      <c r="O4666" t="str">
        <f t="shared" si="145"/>
        <v>2026-05</v>
      </c>
    </row>
    <row r="4667" spans="1:15" x14ac:dyDescent="0.3">
      <c r="A4667" t="s">
        <v>10984</v>
      </c>
      <c r="B4667" t="s">
        <v>10985</v>
      </c>
      <c r="C4667" t="s">
        <v>81</v>
      </c>
      <c r="D4667" t="s">
        <v>38</v>
      </c>
      <c r="E4667" t="s">
        <v>45</v>
      </c>
      <c r="F4667" t="s">
        <v>94</v>
      </c>
      <c r="G4667">
        <v>1.08</v>
      </c>
      <c r="H4667" t="s">
        <v>61</v>
      </c>
      <c r="I4667" t="s">
        <v>42</v>
      </c>
      <c r="M4667">
        <f>VLOOKUP(H4667,'Stage Order'!$A$2:$B$8,2,FALSE)</f>
        <v>1</v>
      </c>
      <c r="N4667" t="str">
        <f t="shared" si="144"/>
        <v>2. 1-24 hours</v>
      </c>
      <c r="O4667" t="str">
        <f t="shared" si="145"/>
        <v>2025-09</v>
      </c>
    </row>
    <row r="4668" spans="1:15" x14ac:dyDescent="0.3">
      <c r="A4668" t="s">
        <v>10986</v>
      </c>
      <c r="B4668" t="s">
        <v>10987</v>
      </c>
      <c r="C4668" t="s">
        <v>37</v>
      </c>
      <c r="D4668" t="s">
        <v>54</v>
      </c>
      <c r="E4668" t="s">
        <v>39</v>
      </c>
      <c r="F4668" t="s">
        <v>40</v>
      </c>
      <c r="G4668">
        <v>0.43</v>
      </c>
      <c r="H4668" t="s">
        <v>41</v>
      </c>
      <c r="I4668" t="s">
        <v>42</v>
      </c>
      <c r="M4668">
        <f>VLOOKUP(H4668,'Stage Order'!$A$2:$B$8,2,FALSE)</f>
        <v>2</v>
      </c>
      <c r="N4668" t="str">
        <f t="shared" si="144"/>
        <v>1. Under 1 hour</v>
      </c>
      <c r="O4668" t="str">
        <f t="shared" si="145"/>
        <v>2026-03</v>
      </c>
    </row>
    <row r="4669" spans="1:15" x14ac:dyDescent="0.3">
      <c r="A4669" t="s">
        <v>10988</v>
      </c>
      <c r="B4669" t="s">
        <v>10989</v>
      </c>
      <c r="C4669" t="s">
        <v>58</v>
      </c>
      <c r="D4669" t="s">
        <v>54</v>
      </c>
      <c r="E4669" t="s">
        <v>30</v>
      </c>
      <c r="F4669" t="s">
        <v>82</v>
      </c>
      <c r="G4669">
        <v>1</v>
      </c>
      <c r="H4669" t="s">
        <v>41</v>
      </c>
      <c r="I4669" t="s">
        <v>42</v>
      </c>
      <c r="M4669">
        <f>VLOOKUP(H4669,'Stage Order'!$A$2:$B$8,2,FALSE)</f>
        <v>2</v>
      </c>
      <c r="N4669" t="str">
        <f t="shared" si="144"/>
        <v>1. Under 1 hour</v>
      </c>
      <c r="O4669" t="str">
        <f t="shared" si="145"/>
        <v>2025-07</v>
      </c>
    </row>
    <row r="4670" spans="1:15" x14ac:dyDescent="0.3">
      <c r="A4670" t="s">
        <v>10990</v>
      </c>
      <c r="B4670" t="s">
        <v>10991</v>
      </c>
      <c r="C4670" t="s">
        <v>125</v>
      </c>
      <c r="D4670" t="s">
        <v>54</v>
      </c>
      <c r="E4670" t="s">
        <v>59</v>
      </c>
      <c r="F4670" t="s">
        <v>137</v>
      </c>
      <c r="G4670">
        <v>1.54</v>
      </c>
      <c r="H4670" t="s">
        <v>61</v>
      </c>
      <c r="I4670" t="s">
        <v>42</v>
      </c>
      <c r="M4670">
        <f>VLOOKUP(H4670,'Stage Order'!$A$2:$B$8,2,FALSE)</f>
        <v>1</v>
      </c>
      <c r="N4670" t="str">
        <f t="shared" si="144"/>
        <v>2. 1-24 hours</v>
      </c>
      <c r="O4670" t="str">
        <f t="shared" si="145"/>
        <v>2026-05</v>
      </c>
    </row>
    <row r="4671" spans="1:15" x14ac:dyDescent="0.3">
      <c r="A4671" t="s">
        <v>10992</v>
      </c>
      <c r="B4671" t="s">
        <v>10993</v>
      </c>
      <c r="C4671" t="s">
        <v>37</v>
      </c>
      <c r="D4671" t="s">
        <v>77</v>
      </c>
      <c r="E4671" t="s">
        <v>90</v>
      </c>
      <c r="F4671" t="s">
        <v>145</v>
      </c>
      <c r="G4671">
        <v>5.21</v>
      </c>
      <c r="H4671" t="s">
        <v>47</v>
      </c>
      <c r="I4671" t="s">
        <v>48</v>
      </c>
      <c r="J4671" t="s">
        <v>49</v>
      </c>
      <c r="K4671">
        <v>1038.02</v>
      </c>
      <c r="L4671" t="s">
        <v>10994</v>
      </c>
      <c r="M4671">
        <f>VLOOKUP(H4671,'Stage Order'!$A$2:$B$8,2,FALSE)</f>
        <v>4</v>
      </c>
      <c r="N4671" t="str">
        <f t="shared" si="144"/>
        <v>2. 1-24 hours</v>
      </c>
      <c r="O4671" t="str">
        <f t="shared" si="145"/>
        <v>2025-01</v>
      </c>
    </row>
    <row r="4672" spans="1:15" x14ac:dyDescent="0.3">
      <c r="A4672" t="s">
        <v>10995</v>
      </c>
      <c r="B4672" t="s">
        <v>10996</v>
      </c>
      <c r="C4672" t="s">
        <v>53</v>
      </c>
      <c r="D4672" t="s">
        <v>97</v>
      </c>
      <c r="E4672" t="s">
        <v>59</v>
      </c>
      <c r="F4672" t="s">
        <v>137</v>
      </c>
      <c r="G4672">
        <v>0.56999999999999995</v>
      </c>
      <c r="H4672" t="s">
        <v>32</v>
      </c>
      <c r="I4672" t="s">
        <v>33</v>
      </c>
      <c r="K4672">
        <v>1396.65</v>
      </c>
      <c r="L4672" t="s">
        <v>10997</v>
      </c>
      <c r="M4672">
        <f>VLOOKUP(H4672,'Stage Order'!$A$2:$B$8,2,FALSE)</f>
        <v>7</v>
      </c>
      <c r="N4672" t="str">
        <f t="shared" si="144"/>
        <v>1. Under 1 hour</v>
      </c>
      <c r="O4672" t="str">
        <f t="shared" si="145"/>
        <v>2025-09</v>
      </c>
    </row>
    <row r="4673" spans="1:15" x14ac:dyDescent="0.3">
      <c r="A4673" t="s">
        <v>10998</v>
      </c>
      <c r="B4673" t="s">
        <v>10999</v>
      </c>
      <c r="C4673" t="s">
        <v>58</v>
      </c>
      <c r="D4673" t="s">
        <v>29</v>
      </c>
      <c r="E4673" t="s">
        <v>90</v>
      </c>
      <c r="F4673" t="s">
        <v>145</v>
      </c>
      <c r="G4673">
        <v>1.19</v>
      </c>
      <c r="H4673" t="s">
        <v>61</v>
      </c>
      <c r="I4673" t="s">
        <v>42</v>
      </c>
      <c r="M4673">
        <f>VLOOKUP(H4673,'Stage Order'!$A$2:$B$8,2,FALSE)</f>
        <v>1</v>
      </c>
      <c r="N4673" t="str">
        <f t="shared" si="144"/>
        <v>2. 1-24 hours</v>
      </c>
      <c r="O4673" t="str">
        <f t="shared" si="145"/>
        <v>2025-11</v>
      </c>
    </row>
    <row r="4674" spans="1:15" x14ac:dyDescent="0.3">
      <c r="A4674" t="s">
        <v>11000</v>
      </c>
      <c r="B4674" t="s">
        <v>11001</v>
      </c>
      <c r="C4674" t="s">
        <v>37</v>
      </c>
      <c r="D4674" t="s">
        <v>54</v>
      </c>
      <c r="E4674" t="s">
        <v>59</v>
      </c>
      <c r="F4674" t="s">
        <v>60</v>
      </c>
      <c r="G4674">
        <v>1.97</v>
      </c>
      <c r="H4674" t="s">
        <v>47</v>
      </c>
      <c r="I4674" t="s">
        <v>48</v>
      </c>
      <c r="J4674" t="s">
        <v>49</v>
      </c>
      <c r="K4674">
        <v>540.20000000000005</v>
      </c>
      <c r="L4674" t="s">
        <v>11002</v>
      </c>
      <c r="M4674">
        <f>VLOOKUP(H4674,'Stage Order'!$A$2:$B$8,2,FALSE)</f>
        <v>4</v>
      </c>
      <c r="N4674" t="str">
        <f t="shared" ref="N4674:N4737" si="146">IF(G4674&lt;=1,"1. Under 1 hour",IF(G4674&lt;=24,"2. 1-24 hours",IF(G4674&lt;=72,"3. 1-3 days","4. Over 3 days")))</f>
        <v>2. 1-24 hours</v>
      </c>
      <c r="O4674" t="str">
        <f t="shared" ref="O4674:O4737" si="147">TEXT(B4674,"YYYY-MM")</f>
        <v>2026-03</v>
      </c>
    </row>
    <row r="4675" spans="1:15" x14ac:dyDescent="0.3">
      <c r="A4675" t="s">
        <v>11003</v>
      </c>
      <c r="B4675" t="s">
        <v>11004</v>
      </c>
      <c r="C4675" t="s">
        <v>37</v>
      </c>
      <c r="D4675" t="s">
        <v>29</v>
      </c>
      <c r="E4675" t="s">
        <v>39</v>
      </c>
      <c r="F4675" t="s">
        <v>40</v>
      </c>
      <c r="G4675">
        <v>18.02</v>
      </c>
      <c r="H4675" t="s">
        <v>47</v>
      </c>
      <c r="I4675" t="s">
        <v>48</v>
      </c>
      <c r="J4675" t="s">
        <v>49</v>
      </c>
      <c r="K4675">
        <v>643.79</v>
      </c>
      <c r="L4675" t="s">
        <v>11005</v>
      </c>
      <c r="M4675">
        <f>VLOOKUP(H4675,'Stage Order'!$A$2:$B$8,2,FALSE)</f>
        <v>4</v>
      </c>
      <c r="N4675" t="str">
        <f t="shared" si="146"/>
        <v>2. 1-24 hours</v>
      </c>
      <c r="O4675" t="str">
        <f t="shared" si="147"/>
        <v>2025-07</v>
      </c>
    </row>
    <row r="4676" spans="1:15" x14ac:dyDescent="0.3">
      <c r="A4676" t="s">
        <v>11006</v>
      </c>
      <c r="B4676" t="s">
        <v>11007</v>
      </c>
      <c r="C4676" t="s">
        <v>125</v>
      </c>
      <c r="D4676" t="s">
        <v>38</v>
      </c>
      <c r="E4676" t="s">
        <v>30</v>
      </c>
      <c r="F4676" t="s">
        <v>78</v>
      </c>
      <c r="G4676">
        <v>0.82</v>
      </c>
      <c r="H4676" t="s">
        <v>41</v>
      </c>
      <c r="I4676" t="s">
        <v>42</v>
      </c>
      <c r="M4676">
        <f>VLOOKUP(H4676,'Stage Order'!$A$2:$B$8,2,FALSE)</f>
        <v>2</v>
      </c>
      <c r="N4676" t="str">
        <f t="shared" si="146"/>
        <v>1. Under 1 hour</v>
      </c>
      <c r="O4676" t="str">
        <f t="shared" si="147"/>
        <v>2026-01</v>
      </c>
    </row>
    <row r="4677" spans="1:15" x14ac:dyDescent="0.3">
      <c r="A4677" t="s">
        <v>11008</v>
      </c>
      <c r="B4677" t="s">
        <v>11009</v>
      </c>
      <c r="C4677" t="s">
        <v>37</v>
      </c>
      <c r="D4677" t="s">
        <v>97</v>
      </c>
      <c r="E4677" t="s">
        <v>45</v>
      </c>
      <c r="F4677" t="s">
        <v>94</v>
      </c>
      <c r="G4677">
        <v>8.42</v>
      </c>
      <c r="H4677" t="s">
        <v>146</v>
      </c>
      <c r="I4677" t="s">
        <v>48</v>
      </c>
      <c r="J4677" t="s">
        <v>139</v>
      </c>
      <c r="K4677">
        <v>1731.86</v>
      </c>
      <c r="L4677" t="s">
        <v>11010</v>
      </c>
      <c r="M4677">
        <f>VLOOKUP(H4677,'Stage Order'!$A$2:$B$8,2,FALSE)</f>
        <v>5</v>
      </c>
      <c r="N4677" t="str">
        <f t="shared" si="146"/>
        <v>2. 1-24 hours</v>
      </c>
      <c r="O4677" t="str">
        <f t="shared" si="147"/>
        <v>2025-10</v>
      </c>
    </row>
    <row r="4678" spans="1:15" x14ac:dyDescent="0.3">
      <c r="A4678" t="s">
        <v>11011</v>
      </c>
      <c r="B4678" t="s">
        <v>11012</v>
      </c>
      <c r="C4678" t="s">
        <v>58</v>
      </c>
      <c r="D4678" t="s">
        <v>54</v>
      </c>
      <c r="E4678" t="s">
        <v>90</v>
      </c>
      <c r="F4678" t="s">
        <v>112</v>
      </c>
      <c r="G4678">
        <v>0.39</v>
      </c>
      <c r="H4678" t="s">
        <v>41</v>
      </c>
      <c r="I4678" t="s">
        <v>42</v>
      </c>
      <c r="M4678">
        <f>VLOOKUP(H4678,'Stage Order'!$A$2:$B$8,2,FALSE)</f>
        <v>2</v>
      </c>
      <c r="N4678" t="str">
        <f t="shared" si="146"/>
        <v>1. Under 1 hour</v>
      </c>
      <c r="O4678" t="str">
        <f t="shared" si="147"/>
        <v>2026-05</v>
      </c>
    </row>
    <row r="4679" spans="1:15" x14ac:dyDescent="0.3">
      <c r="A4679" t="s">
        <v>11013</v>
      </c>
      <c r="B4679" t="s">
        <v>11014</v>
      </c>
      <c r="C4679" t="s">
        <v>28</v>
      </c>
      <c r="D4679" t="s">
        <v>77</v>
      </c>
      <c r="E4679" t="s">
        <v>90</v>
      </c>
      <c r="F4679" t="s">
        <v>91</v>
      </c>
      <c r="G4679">
        <v>3.15</v>
      </c>
      <c r="H4679" t="s">
        <v>41</v>
      </c>
      <c r="I4679" t="s">
        <v>42</v>
      </c>
      <c r="M4679">
        <f>VLOOKUP(H4679,'Stage Order'!$A$2:$B$8,2,FALSE)</f>
        <v>2</v>
      </c>
      <c r="N4679" t="str">
        <f t="shared" si="146"/>
        <v>2. 1-24 hours</v>
      </c>
      <c r="O4679" t="str">
        <f t="shared" si="147"/>
        <v>2026-04</v>
      </c>
    </row>
    <row r="4680" spans="1:15" x14ac:dyDescent="0.3">
      <c r="A4680" t="s">
        <v>11015</v>
      </c>
      <c r="B4680" t="s">
        <v>11016</v>
      </c>
      <c r="C4680" t="s">
        <v>125</v>
      </c>
      <c r="D4680" t="s">
        <v>38</v>
      </c>
      <c r="E4680" t="s">
        <v>45</v>
      </c>
      <c r="F4680" t="s">
        <v>55</v>
      </c>
      <c r="G4680">
        <v>3.73</v>
      </c>
      <c r="H4680" t="s">
        <v>146</v>
      </c>
      <c r="I4680" t="s">
        <v>48</v>
      </c>
      <c r="J4680" t="s">
        <v>742</v>
      </c>
      <c r="K4680">
        <v>348.84</v>
      </c>
      <c r="L4680" t="s">
        <v>11017</v>
      </c>
      <c r="M4680">
        <f>VLOOKUP(H4680,'Stage Order'!$A$2:$B$8,2,FALSE)</f>
        <v>5</v>
      </c>
      <c r="N4680" t="str">
        <f t="shared" si="146"/>
        <v>2. 1-24 hours</v>
      </c>
      <c r="O4680" t="str">
        <f t="shared" si="147"/>
        <v>2025-07</v>
      </c>
    </row>
    <row r="4681" spans="1:15" x14ac:dyDescent="0.3">
      <c r="A4681" t="s">
        <v>11018</v>
      </c>
      <c r="B4681" t="s">
        <v>11019</v>
      </c>
      <c r="C4681" t="s">
        <v>58</v>
      </c>
      <c r="D4681" t="s">
        <v>38</v>
      </c>
      <c r="E4681" t="s">
        <v>90</v>
      </c>
      <c r="F4681" t="s">
        <v>145</v>
      </c>
      <c r="G4681">
        <v>1.7</v>
      </c>
      <c r="H4681" t="s">
        <v>41</v>
      </c>
      <c r="I4681" t="s">
        <v>42</v>
      </c>
      <c r="M4681">
        <f>VLOOKUP(H4681,'Stage Order'!$A$2:$B$8,2,FALSE)</f>
        <v>2</v>
      </c>
      <c r="N4681" t="str">
        <f t="shared" si="146"/>
        <v>2. 1-24 hours</v>
      </c>
      <c r="O4681" t="str">
        <f t="shared" si="147"/>
        <v>2025-09</v>
      </c>
    </row>
    <row r="4682" spans="1:15" x14ac:dyDescent="0.3">
      <c r="A4682" t="s">
        <v>11020</v>
      </c>
      <c r="B4682" t="s">
        <v>11021</v>
      </c>
      <c r="C4682" t="s">
        <v>125</v>
      </c>
      <c r="D4682" t="s">
        <v>77</v>
      </c>
      <c r="E4682" t="s">
        <v>39</v>
      </c>
      <c r="F4682" t="s">
        <v>40</v>
      </c>
      <c r="G4682">
        <v>2.52</v>
      </c>
      <c r="H4682" t="s">
        <v>41</v>
      </c>
      <c r="I4682" t="s">
        <v>42</v>
      </c>
      <c r="M4682">
        <f>VLOOKUP(H4682,'Stage Order'!$A$2:$B$8,2,FALSE)</f>
        <v>2</v>
      </c>
      <c r="N4682" t="str">
        <f t="shared" si="146"/>
        <v>2. 1-24 hours</v>
      </c>
      <c r="O4682" t="str">
        <f t="shared" si="147"/>
        <v>2025-06</v>
      </c>
    </row>
    <row r="4683" spans="1:15" x14ac:dyDescent="0.3">
      <c r="A4683" t="s">
        <v>11022</v>
      </c>
      <c r="B4683" t="s">
        <v>11023</v>
      </c>
      <c r="C4683" t="s">
        <v>58</v>
      </c>
      <c r="D4683" t="s">
        <v>29</v>
      </c>
      <c r="E4683" t="s">
        <v>45</v>
      </c>
      <c r="F4683" t="s">
        <v>94</v>
      </c>
      <c r="G4683">
        <v>0.32</v>
      </c>
      <c r="H4683" t="s">
        <v>41</v>
      </c>
      <c r="I4683" t="s">
        <v>42</v>
      </c>
      <c r="M4683">
        <f>VLOOKUP(H4683,'Stage Order'!$A$2:$B$8,2,FALSE)</f>
        <v>2</v>
      </c>
      <c r="N4683" t="str">
        <f t="shared" si="146"/>
        <v>1. Under 1 hour</v>
      </c>
      <c r="O4683" t="str">
        <f t="shared" si="147"/>
        <v>2025-05</v>
      </c>
    </row>
    <row r="4684" spans="1:15" x14ac:dyDescent="0.3">
      <c r="A4684" t="s">
        <v>11024</v>
      </c>
      <c r="B4684" t="s">
        <v>11025</v>
      </c>
      <c r="C4684" t="s">
        <v>81</v>
      </c>
      <c r="D4684" t="s">
        <v>77</v>
      </c>
      <c r="E4684" t="s">
        <v>45</v>
      </c>
      <c r="F4684" t="s">
        <v>46</v>
      </c>
      <c r="G4684">
        <v>17.54</v>
      </c>
      <c r="H4684" t="s">
        <v>41</v>
      </c>
      <c r="I4684" t="s">
        <v>42</v>
      </c>
      <c r="M4684">
        <f>VLOOKUP(H4684,'Stage Order'!$A$2:$B$8,2,FALSE)</f>
        <v>2</v>
      </c>
      <c r="N4684" t="str">
        <f t="shared" si="146"/>
        <v>2. 1-24 hours</v>
      </c>
      <c r="O4684" t="str">
        <f t="shared" si="147"/>
        <v>2026-05</v>
      </c>
    </row>
    <row r="4685" spans="1:15" x14ac:dyDescent="0.3">
      <c r="A4685" t="s">
        <v>11026</v>
      </c>
      <c r="B4685" t="s">
        <v>11027</v>
      </c>
      <c r="C4685" t="s">
        <v>76</v>
      </c>
      <c r="D4685" t="s">
        <v>29</v>
      </c>
      <c r="E4685" t="s">
        <v>45</v>
      </c>
      <c r="F4685" t="s">
        <v>94</v>
      </c>
      <c r="G4685">
        <v>1.05</v>
      </c>
      <c r="H4685" t="s">
        <v>32</v>
      </c>
      <c r="I4685" t="s">
        <v>33</v>
      </c>
      <c r="K4685">
        <v>599.32000000000005</v>
      </c>
      <c r="L4685" t="s">
        <v>11028</v>
      </c>
      <c r="M4685">
        <f>VLOOKUP(H4685,'Stage Order'!$A$2:$B$8,2,FALSE)</f>
        <v>7</v>
      </c>
      <c r="N4685" t="str">
        <f t="shared" si="146"/>
        <v>2. 1-24 hours</v>
      </c>
      <c r="O4685" t="str">
        <f t="shared" si="147"/>
        <v>2026-06</v>
      </c>
    </row>
    <row r="4686" spans="1:15" x14ac:dyDescent="0.3">
      <c r="A4686" t="s">
        <v>11029</v>
      </c>
      <c r="B4686" t="s">
        <v>11030</v>
      </c>
      <c r="C4686" t="s">
        <v>53</v>
      </c>
      <c r="D4686" t="s">
        <v>54</v>
      </c>
      <c r="E4686" t="s">
        <v>39</v>
      </c>
      <c r="F4686" t="s">
        <v>66</v>
      </c>
      <c r="G4686">
        <v>4.9400000000000004</v>
      </c>
      <c r="H4686" t="s">
        <v>138</v>
      </c>
      <c r="I4686" t="s">
        <v>48</v>
      </c>
      <c r="J4686" t="s">
        <v>139</v>
      </c>
      <c r="K4686">
        <v>533.71</v>
      </c>
      <c r="L4686" t="s">
        <v>11031</v>
      </c>
      <c r="M4686">
        <f>VLOOKUP(H4686,'Stage Order'!$A$2:$B$8,2,FALSE)</f>
        <v>6</v>
      </c>
      <c r="N4686" t="str">
        <f t="shared" si="146"/>
        <v>2. 1-24 hours</v>
      </c>
      <c r="O4686" t="str">
        <f t="shared" si="147"/>
        <v>2025-08</v>
      </c>
    </row>
    <row r="4687" spans="1:15" x14ac:dyDescent="0.3">
      <c r="A4687" t="s">
        <v>11032</v>
      </c>
      <c r="B4687" t="s">
        <v>11033</v>
      </c>
      <c r="C4687" t="s">
        <v>28</v>
      </c>
      <c r="D4687" t="s">
        <v>97</v>
      </c>
      <c r="E4687" t="s">
        <v>39</v>
      </c>
      <c r="F4687" t="s">
        <v>66</v>
      </c>
      <c r="G4687">
        <v>4.26</v>
      </c>
      <c r="H4687" t="s">
        <v>41</v>
      </c>
      <c r="I4687" t="s">
        <v>42</v>
      </c>
      <c r="M4687">
        <f>VLOOKUP(H4687,'Stage Order'!$A$2:$B$8,2,FALSE)</f>
        <v>2</v>
      </c>
      <c r="N4687" t="str">
        <f t="shared" si="146"/>
        <v>2. 1-24 hours</v>
      </c>
      <c r="O4687" t="str">
        <f t="shared" si="147"/>
        <v>2025-01</v>
      </c>
    </row>
    <row r="4688" spans="1:15" x14ac:dyDescent="0.3">
      <c r="A4688" t="s">
        <v>11034</v>
      </c>
      <c r="B4688" t="s">
        <v>11035</v>
      </c>
      <c r="C4688" t="s">
        <v>81</v>
      </c>
      <c r="D4688" t="s">
        <v>38</v>
      </c>
      <c r="E4688" t="s">
        <v>90</v>
      </c>
      <c r="F4688" t="s">
        <v>91</v>
      </c>
      <c r="G4688">
        <v>12.15</v>
      </c>
      <c r="H4688" t="s">
        <v>61</v>
      </c>
      <c r="I4688" t="s">
        <v>42</v>
      </c>
      <c r="M4688">
        <f>VLOOKUP(H4688,'Stage Order'!$A$2:$B$8,2,FALSE)</f>
        <v>1</v>
      </c>
      <c r="N4688" t="str">
        <f t="shared" si="146"/>
        <v>2. 1-24 hours</v>
      </c>
      <c r="O4688" t="str">
        <f t="shared" si="147"/>
        <v>2026-06</v>
      </c>
    </row>
    <row r="4689" spans="1:15" x14ac:dyDescent="0.3">
      <c r="A4689" t="s">
        <v>11036</v>
      </c>
      <c r="B4689" t="s">
        <v>11037</v>
      </c>
      <c r="C4689" t="s">
        <v>37</v>
      </c>
      <c r="D4689" t="s">
        <v>29</v>
      </c>
      <c r="E4689" t="s">
        <v>59</v>
      </c>
      <c r="F4689" t="s">
        <v>137</v>
      </c>
      <c r="G4689">
        <v>4.17</v>
      </c>
      <c r="H4689" t="s">
        <v>41</v>
      </c>
      <c r="I4689" t="s">
        <v>42</v>
      </c>
      <c r="M4689">
        <f>VLOOKUP(H4689,'Stage Order'!$A$2:$B$8,2,FALSE)</f>
        <v>2</v>
      </c>
      <c r="N4689" t="str">
        <f t="shared" si="146"/>
        <v>2. 1-24 hours</v>
      </c>
      <c r="O4689" t="str">
        <f t="shared" si="147"/>
        <v>2025-07</v>
      </c>
    </row>
    <row r="4690" spans="1:15" x14ac:dyDescent="0.3">
      <c r="A4690" t="s">
        <v>11038</v>
      </c>
      <c r="B4690" t="s">
        <v>11039</v>
      </c>
      <c r="C4690" t="s">
        <v>37</v>
      </c>
      <c r="D4690" t="s">
        <v>77</v>
      </c>
      <c r="E4690" t="s">
        <v>90</v>
      </c>
      <c r="F4690" t="s">
        <v>112</v>
      </c>
      <c r="G4690">
        <v>0.95</v>
      </c>
      <c r="H4690" t="s">
        <v>41</v>
      </c>
      <c r="I4690" t="s">
        <v>42</v>
      </c>
      <c r="M4690">
        <f>VLOOKUP(H4690,'Stage Order'!$A$2:$B$8,2,FALSE)</f>
        <v>2</v>
      </c>
      <c r="N4690" t="str">
        <f t="shared" si="146"/>
        <v>1. Under 1 hour</v>
      </c>
      <c r="O4690" t="str">
        <f t="shared" si="147"/>
        <v>2026-06</v>
      </c>
    </row>
    <row r="4691" spans="1:15" x14ac:dyDescent="0.3">
      <c r="A4691" t="s">
        <v>11040</v>
      </c>
      <c r="B4691" t="s">
        <v>11041</v>
      </c>
      <c r="C4691" t="s">
        <v>37</v>
      </c>
      <c r="D4691" t="s">
        <v>29</v>
      </c>
      <c r="E4691" t="s">
        <v>90</v>
      </c>
      <c r="F4691" t="s">
        <v>112</v>
      </c>
      <c r="G4691">
        <v>5.7</v>
      </c>
      <c r="H4691" t="s">
        <v>41</v>
      </c>
      <c r="I4691" t="s">
        <v>42</v>
      </c>
      <c r="M4691">
        <f>VLOOKUP(H4691,'Stage Order'!$A$2:$B$8,2,FALSE)</f>
        <v>2</v>
      </c>
      <c r="N4691" t="str">
        <f t="shared" si="146"/>
        <v>2. 1-24 hours</v>
      </c>
      <c r="O4691" t="str">
        <f t="shared" si="147"/>
        <v>2025-06</v>
      </c>
    </row>
    <row r="4692" spans="1:15" x14ac:dyDescent="0.3">
      <c r="A4692" t="s">
        <v>11042</v>
      </c>
      <c r="B4692" t="s">
        <v>11043</v>
      </c>
      <c r="C4692" t="s">
        <v>37</v>
      </c>
      <c r="D4692" t="s">
        <v>97</v>
      </c>
      <c r="E4692" t="s">
        <v>30</v>
      </c>
      <c r="F4692" t="s">
        <v>78</v>
      </c>
      <c r="G4692">
        <v>0.28999999999999998</v>
      </c>
      <c r="H4692" t="s">
        <v>47</v>
      </c>
      <c r="I4692" t="s">
        <v>48</v>
      </c>
      <c r="J4692" t="s">
        <v>98</v>
      </c>
      <c r="K4692">
        <v>1306.9100000000001</v>
      </c>
      <c r="L4692" t="s">
        <v>11044</v>
      </c>
      <c r="M4692">
        <f>VLOOKUP(H4692,'Stage Order'!$A$2:$B$8,2,FALSE)</f>
        <v>4</v>
      </c>
      <c r="N4692" t="str">
        <f t="shared" si="146"/>
        <v>1. Under 1 hour</v>
      </c>
      <c r="O4692" t="str">
        <f t="shared" si="147"/>
        <v>2025-11</v>
      </c>
    </row>
    <row r="4693" spans="1:15" x14ac:dyDescent="0.3">
      <c r="A4693" t="s">
        <v>11045</v>
      </c>
      <c r="B4693" t="s">
        <v>11046</v>
      </c>
      <c r="C4693" t="s">
        <v>76</v>
      </c>
      <c r="D4693" t="s">
        <v>77</v>
      </c>
      <c r="E4693" t="s">
        <v>59</v>
      </c>
      <c r="F4693" t="s">
        <v>137</v>
      </c>
      <c r="G4693">
        <v>3.11</v>
      </c>
      <c r="H4693" t="s">
        <v>41</v>
      </c>
      <c r="I4693" t="s">
        <v>42</v>
      </c>
      <c r="M4693">
        <f>VLOOKUP(H4693,'Stage Order'!$A$2:$B$8,2,FALSE)</f>
        <v>2</v>
      </c>
      <c r="N4693" t="str">
        <f t="shared" si="146"/>
        <v>2. 1-24 hours</v>
      </c>
      <c r="O4693" t="str">
        <f t="shared" si="147"/>
        <v>2025-01</v>
      </c>
    </row>
    <row r="4694" spans="1:15" x14ac:dyDescent="0.3">
      <c r="A4694" t="s">
        <v>11047</v>
      </c>
      <c r="B4694" t="s">
        <v>11048</v>
      </c>
      <c r="C4694" t="s">
        <v>125</v>
      </c>
      <c r="D4694" t="s">
        <v>38</v>
      </c>
      <c r="E4694" t="s">
        <v>39</v>
      </c>
      <c r="F4694" t="s">
        <v>106</v>
      </c>
      <c r="G4694">
        <v>9.99</v>
      </c>
      <c r="H4694" t="s">
        <v>41</v>
      </c>
      <c r="I4694" t="s">
        <v>42</v>
      </c>
      <c r="M4694">
        <f>VLOOKUP(H4694,'Stage Order'!$A$2:$B$8,2,FALSE)</f>
        <v>2</v>
      </c>
      <c r="N4694" t="str">
        <f t="shared" si="146"/>
        <v>2. 1-24 hours</v>
      </c>
      <c r="O4694" t="str">
        <f t="shared" si="147"/>
        <v>2025-08</v>
      </c>
    </row>
    <row r="4695" spans="1:15" x14ac:dyDescent="0.3">
      <c r="A4695" t="s">
        <v>11049</v>
      </c>
      <c r="B4695" t="s">
        <v>11050</v>
      </c>
      <c r="C4695" t="s">
        <v>58</v>
      </c>
      <c r="D4695" t="s">
        <v>29</v>
      </c>
      <c r="E4695" t="s">
        <v>90</v>
      </c>
      <c r="F4695" t="s">
        <v>91</v>
      </c>
      <c r="G4695">
        <v>3.11</v>
      </c>
      <c r="H4695" t="s">
        <v>47</v>
      </c>
      <c r="I4695" t="s">
        <v>48</v>
      </c>
      <c r="J4695" t="s">
        <v>742</v>
      </c>
      <c r="K4695">
        <v>692.98</v>
      </c>
      <c r="L4695" t="s">
        <v>11051</v>
      </c>
      <c r="M4695">
        <f>VLOOKUP(H4695,'Stage Order'!$A$2:$B$8,2,FALSE)</f>
        <v>4</v>
      </c>
      <c r="N4695" t="str">
        <f t="shared" si="146"/>
        <v>2. 1-24 hours</v>
      </c>
      <c r="O4695" t="str">
        <f t="shared" si="147"/>
        <v>2025-12</v>
      </c>
    </row>
    <row r="4696" spans="1:15" x14ac:dyDescent="0.3">
      <c r="A4696" t="s">
        <v>11052</v>
      </c>
      <c r="B4696" t="s">
        <v>11053</v>
      </c>
      <c r="C4696" t="s">
        <v>125</v>
      </c>
      <c r="D4696" t="s">
        <v>77</v>
      </c>
      <c r="E4696" t="s">
        <v>39</v>
      </c>
      <c r="F4696" t="s">
        <v>40</v>
      </c>
      <c r="G4696">
        <v>3.63</v>
      </c>
      <c r="H4696" t="s">
        <v>61</v>
      </c>
      <c r="I4696" t="s">
        <v>42</v>
      </c>
      <c r="M4696">
        <f>VLOOKUP(H4696,'Stage Order'!$A$2:$B$8,2,FALSE)</f>
        <v>1</v>
      </c>
      <c r="N4696" t="str">
        <f t="shared" si="146"/>
        <v>2. 1-24 hours</v>
      </c>
      <c r="O4696" t="str">
        <f t="shared" si="147"/>
        <v>2025-11</v>
      </c>
    </row>
    <row r="4697" spans="1:15" x14ac:dyDescent="0.3">
      <c r="A4697" t="s">
        <v>11054</v>
      </c>
      <c r="B4697" t="s">
        <v>11055</v>
      </c>
      <c r="C4697" t="s">
        <v>28</v>
      </c>
      <c r="D4697" t="s">
        <v>29</v>
      </c>
      <c r="E4697" t="s">
        <v>45</v>
      </c>
      <c r="F4697" t="s">
        <v>55</v>
      </c>
      <c r="G4697">
        <v>2.89</v>
      </c>
      <c r="H4697" t="s">
        <v>41</v>
      </c>
      <c r="I4697" t="s">
        <v>42</v>
      </c>
      <c r="M4697">
        <f>VLOOKUP(H4697,'Stage Order'!$A$2:$B$8,2,FALSE)</f>
        <v>2</v>
      </c>
      <c r="N4697" t="str">
        <f t="shared" si="146"/>
        <v>2. 1-24 hours</v>
      </c>
      <c r="O4697" t="str">
        <f t="shared" si="147"/>
        <v>2025-12</v>
      </c>
    </row>
    <row r="4698" spans="1:15" x14ac:dyDescent="0.3">
      <c r="A4698" t="s">
        <v>11056</v>
      </c>
      <c r="B4698" t="s">
        <v>11057</v>
      </c>
      <c r="C4698" t="s">
        <v>58</v>
      </c>
      <c r="D4698" t="s">
        <v>38</v>
      </c>
      <c r="E4698" t="s">
        <v>30</v>
      </c>
      <c r="F4698" t="s">
        <v>31</v>
      </c>
      <c r="G4698">
        <v>2.34</v>
      </c>
      <c r="H4698" t="s">
        <v>138</v>
      </c>
      <c r="I4698" t="s">
        <v>48</v>
      </c>
      <c r="J4698" t="s">
        <v>49</v>
      </c>
      <c r="K4698">
        <v>309.13</v>
      </c>
      <c r="L4698" t="s">
        <v>11058</v>
      </c>
      <c r="M4698">
        <f>VLOOKUP(H4698,'Stage Order'!$A$2:$B$8,2,FALSE)</f>
        <v>6</v>
      </c>
      <c r="N4698" t="str">
        <f t="shared" si="146"/>
        <v>2. 1-24 hours</v>
      </c>
      <c r="O4698" t="str">
        <f t="shared" si="147"/>
        <v>2025-04</v>
      </c>
    </row>
    <row r="4699" spans="1:15" x14ac:dyDescent="0.3">
      <c r="A4699" t="s">
        <v>11059</v>
      </c>
      <c r="B4699" t="s">
        <v>11060</v>
      </c>
      <c r="C4699" t="s">
        <v>28</v>
      </c>
      <c r="D4699" t="s">
        <v>54</v>
      </c>
      <c r="E4699" t="s">
        <v>45</v>
      </c>
      <c r="F4699" t="s">
        <v>94</v>
      </c>
      <c r="G4699">
        <v>9.3800000000000008</v>
      </c>
      <c r="H4699" t="s">
        <v>32</v>
      </c>
      <c r="I4699" t="s">
        <v>33</v>
      </c>
      <c r="K4699">
        <v>514.55999999999995</v>
      </c>
      <c r="L4699" t="s">
        <v>11061</v>
      </c>
      <c r="M4699">
        <f>VLOOKUP(H4699,'Stage Order'!$A$2:$B$8,2,FALSE)</f>
        <v>7</v>
      </c>
      <c r="N4699" t="str">
        <f t="shared" si="146"/>
        <v>2. 1-24 hours</v>
      </c>
      <c r="O4699" t="str">
        <f t="shared" si="147"/>
        <v>2025-09</v>
      </c>
    </row>
    <row r="4700" spans="1:15" x14ac:dyDescent="0.3">
      <c r="A4700" t="s">
        <v>11062</v>
      </c>
      <c r="B4700" t="s">
        <v>11063</v>
      </c>
      <c r="C4700" t="s">
        <v>58</v>
      </c>
      <c r="D4700" t="s">
        <v>54</v>
      </c>
      <c r="E4700" t="s">
        <v>39</v>
      </c>
      <c r="F4700" t="s">
        <v>40</v>
      </c>
      <c r="G4700">
        <v>2.17</v>
      </c>
      <c r="H4700" t="s">
        <v>47</v>
      </c>
      <c r="I4700" t="s">
        <v>48</v>
      </c>
      <c r="J4700" t="s">
        <v>139</v>
      </c>
      <c r="K4700">
        <v>455.12</v>
      </c>
      <c r="L4700" t="s">
        <v>11064</v>
      </c>
      <c r="M4700">
        <f>VLOOKUP(H4700,'Stage Order'!$A$2:$B$8,2,FALSE)</f>
        <v>4</v>
      </c>
      <c r="N4700" t="str">
        <f t="shared" si="146"/>
        <v>2. 1-24 hours</v>
      </c>
      <c r="O4700" t="str">
        <f t="shared" si="147"/>
        <v>2026-05</v>
      </c>
    </row>
    <row r="4701" spans="1:15" x14ac:dyDescent="0.3">
      <c r="A4701" t="s">
        <v>11065</v>
      </c>
      <c r="B4701" t="s">
        <v>11066</v>
      </c>
      <c r="C4701" t="s">
        <v>76</v>
      </c>
      <c r="D4701" t="s">
        <v>38</v>
      </c>
      <c r="E4701" t="s">
        <v>59</v>
      </c>
      <c r="F4701" t="s">
        <v>137</v>
      </c>
      <c r="G4701">
        <v>1.89</v>
      </c>
      <c r="H4701" t="s">
        <v>41</v>
      </c>
      <c r="I4701" t="s">
        <v>42</v>
      </c>
      <c r="M4701">
        <f>VLOOKUP(H4701,'Stage Order'!$A$2:$B$8,2,FALSE)</f>
        <v>2</v>
      </c>
      <c r="N4701" t="str">
        <f t="shared" si="146"/>
        <v>2. 1-24 hours</v>
      </c>
      <c r="O4701" t="str">
        <f t="shared" si="147"/>
        <v>2025-07</v>
      </c>
    </row>
    <row r="4702" spans="1:15" x14ac:dyDescent="0.3">
      <c r="A4702" t="s">
        <v>11067</v>
      </c>
      <c r="B4702" t="s">
        <v>11068</v>
      </c>
      <c r="C4702" t="s">
        <v>58</v>
      </c>
      <c r="D4702" t="s">
        <v>38</v>
      </c>
      <c r="E4702" t="s">
        <v>45</v>
      </c>
      <c r="F4702" t="s">
        <v>46</v>
      </c>
      <c r="G4702">
        <v>2.82</v>
      </c>
      <c r="H4702" t="s">
        <v>138</v>
      </c>
      <c r="I4702" t="s">
        <v>48</v>
      </c>
      <c r="J4702" t="s">
        <v>98</v>
      </c>
      <c r="K4702">
        <v>420.55</v>
      </c>
      <c r="L4702" t="s">
        <v>11069</v>
      </c>
      <c r="M4702">
        <f>VLOOKUP(H4702,'Stage Order'!$A$2:$B$8,2,FALSE)</f>
        <v>6</v>
      </c>
      <c r="N4702" t="str">
        <f t="shared" si="146"/>
        <v>2. 1-24 hours</v>
      </c>
      <c r="O4702" t="str">
        <f t="shared" si="147"/>
        <v>2026-04</v>
      </c>
    </row>
    <row r="4703" spans="1:15" x14ac:dyDescent="0.3">
      <c r="A4703" t="s">
        <v>11070</v>
      </c>
      <c r="B4703" t="s">
        <v>11071</v>
      </c>
      <c r="C4703" t="s">
        <v>53</v>
      </c>
      <c r="D4703" t="s">
        <v>29</v>
      </c>
      <c r="E4703" t="s">
        <v>45</v>
      </c>
      <c r="F4703" t="s">
        <v>55</v>
      </c>
      <c r="G4703">
        <v>1.05</v>
      </c>
      <c r="H4703" t="s">
        <v>32</v>
      </c>
      <c r="I4703" t="s">
        <v>33</v>
      </c>
      <c r="K4703">
        <v>613.44000000000005</v>
      </c>
      <c r="L4703" t="s">
        <v>11072</v>
      </c>
      <c r="M4703">
        <f>VLOOKUP(H4703,'Stage Order'!$A$2:$B$8,2,FALSE)</f>
        <v>7</v>
      </c>
      <c r="N4703" t="str">
        <f t="shared" si="146"/>
        <v>2. 1-24 hours</v>
      </c>
      <c r="O4703" t="str">
        <f t="shared" si="147"/>
        <v>2026-03</v>
      </c>
    </row>
    <row r="4704" spans="1:15" x14ac:dyDescent="0.3">
      <c r="A4704" t="s">
        <v>11073</v>
      </c>
      <c r="B4704" t="s">
        <v>11074</v>
      </c>
      <c r="C4704" t="s">
        <v>58</v>
      </c>
      <c r="D4704" t="s">
        <v>54</v>
      </c>
      <c r="E4704" t="s">
        <v>45</v>
      </c>
      <c r="F4704" t="s">
        <v>94</v>
      </c>
      <c r="G4704">
        <v>3.53</v>
      </c>
      <c r="H4704" t="s">
        <v>47</v>
      </c>
      <c r="I4704" t="s">
        <v>48</v>
      </c>
      <c r="J4704" t="s">
        <v>113</v>
      </c>
      <c r="K4704">
        <v>469.86</v>
      </c>
      <c r="L4704" t="s">
        <v>11075</v>
      </c>
      <c r="M4704">
        <f>VLOOKUP(H4704,'Stage Order'!$A$2:$B$8,2,FALSE)</f>
        <v>4</v>
      </c>
      <c r="N4704" t="str">
        <f t="shared" si="146"/>
        <v>2. 1-24 hours</v>
      </c>
      <c r="O4704" t="str">
        <f t="shared" si="147"/>
        <v>2026-06</v>
      </c>
    </row>
    <row r="4705" spans="1:15" x14ac:dyDescent="0.3">
      <c r="A4705" t="s">
        <v>11076</v>
      </c>
      <c r="B4705" t="s">
        <v>11077</v>
      </c>
      <c r="C4705" t="s">
        <v>125</v>
      </c>
      <c r="D4705" t="s">
        <v>29</v>
      </c>
      <c r="E4705" t="s">
        <v>39</v>
      </c>
      <c r="F4705" t="s">
        <v>66</v>
      </c>
      <c r="G4705">
        <v>2.2999999999999998</v>
      </c>
      <c r="H4705" t="s">
        <v>61</v>
      </c>
      <c r="I4705" t="s">
        <v>42</v>
      </c>
      <c r="M4705">
        <f>VLOOKUP(H4705,'Stage Order'!$A$2:$B$8,2,FALSE)</f>
        <v>1</v>
      </c>
      <c r="N4705" t="str">
        <f t="shared" si="146"/>
        <v>2. 1-24 hours</v>
      </c>
      <c r="O4705" t="str">
        <f t="shared" si="147"/>
        <v>2026-05</v>
      </c>
    </row>
    <row r="4706" spans="1:15" x14ac:dyDescent="0.3">
      <c r="A4706" t="s">
        <v>11078</v>
      </c>
      <c r="B4706" t="s">
        <v>11079</v>
      </c>
      <c r="C4706" t="s">
        <v>37</v>
      </c>
      <c r="D4706" t="s">
        <v>54</v>
      </c>
      <c r="E4706" t="s">
        <v>90</v>
      </c>
      <c r="F4706" t="s">
        <v>91</v>
      </c>
      <c r="G4706">
        <v>2.37</v>
      </c>
      <c r="H4706" t="s">
        <v>41</v>
      </c>
      <c r="I4706" t="s">
        <v>42</v>
      </c>
      <c r="M4706">
        <f>VLOOKUP(H4706,'Stage Order'!$A$2:$B$8,2,FALSE)</f>
        <v>2</v>
      </c>
      <c r="N4706" t="str">
        <f t="shared" si="146"/>
        <v>2. 1-24 hours</v>
      </c>
      <c r="O4706" t="str">
        <f t="shared" si="147"/>
        <v>2025-12</v>
      </c>
    </row>
    <row r="4707" spans="1:15" x14ac:dyDescent="0.3">
      <c r="A4707" t="s">
        <v>11080</v>
      </c>
      <c r="B4707" t="s">
        <v>11081</v>
      </c>
      <c r="C4707" t="s">
        <v>37</v>
      </c>
      <c r="D4707" t="s">
        <v>97</v>
      </c>
      <c r="E4707" t="s">
        <v>90</v>
      </c>
      <c r="F4707" t="s">
        <v>145</v>
      </c>
      <c r="G4707">
        <v>3.84</v>
      </c>
      <c r="H4707" t="s">
        <v>128</v>
      </c>
      <c r="I4707" t="s">
        <v>42</v>
      </c>
      <c r="M4707">
        <f>VLOOKUP(H4707,'Stage Order'!$A$2:$B$8,2,FALSE)</f>
        <v>3</v>
      </c>
      <c r="N4707" t="str">
        <f t="shared" si="146"/>
        <v>2. 1-24 hours</v>
      </c>
      <c r="O4707" t="str">
        <f t="shared" si="147"/>
        <v>2025-08</v>
      </c>
    </row>
    <row r="4708" spans="1:15" x14ac:dyDescent="0.3">
      <c r="A4708" t="s">
        <v>11082</v>
      </c>
      <c r="B4708" t="s">
        <v>11083</v>
      </c>
      <c r="C4708" t="s">
        <v>37</v>
      </c>
      <c r="D4708" t="s">
        <v>38</v>
      </c>
      <c r="E4708" t="s">
        <v>39</v>
      </c>
      <c r="F4708" t="s">
        <v>40</v>
      </c>
      <c r="G4708">
        <v>2.65</v>
      </c>
      <c r="H4708" t="s">
        <v>61</v>
      </c>
      <c r="I4708" t="s">
        <v>42</v>
      </c>
      <c r="M4708">
        <f>VLOOKUP(H4708,'Stage Order'!$A$2:$B$8,2,FALSE)</f>
        <v>1</v>
      </c>
      <c r="N4708" t="str">
        <f t="shared" si="146"/>
        <v>2. 1-24 hours</v>
      </c>
      <c r="O4708" t="str">
        <f t="shared" si="147"/>
        <v>2025-03</v>
      </c>
    </row>
    <row r="4709" spans="1:15" x14ac:dyDescent="0.3">
      <c r="A4709" t="s">
        <v>11084</v>
      </c>
      <c r="B4709" t="s">
        <v>11085</v>
      </c>
      <c r="C4709" t="s">
        <v>53</v>
      </c>
      <c r="D4709" t="s">
        <v>38</v>
      </c>
      <c r="E4709" t="s">
        <v>59</v>
      </c>
      <c r="F4709" t="s">
        <v>60</v>
      </c>
      <c r="G4709">
        <v>3.6</v>
      </c>
      <c r="H4709" t="s">
        <v>32</v>
      </c>
      <c r="I4709" t="s">
        <v>33</v>
      </c>
      <c r="K4709">
        <v>313.11</v>
      </c>
      <c r="L4709" t="s">
        <v>11086</v>
      </c>
      <c r="M4709">
        <f>VLOOKUP(H4709,'Stage Order'!$A$2:$B$8,2,FALSE)</f>
        <v>7</v>
      </c>
      <c r="N4709" t="str">
        <f t="shared" si="146"/>
        <v>2. 1-24 hours</v>
      </c>
      <c r="O4709" t="str">
        <f t="shared" si="147"/>
        <v>2025-01</v>
      </c>
    </row>
    <row r="4710" spans="1:15" x14ac:dyDescent="0.3">
      <c r="A4710" t="s">
        <v>11087</v>
      </c>
      <c r="B4710" t="s">
        <v>11088</v>
      </c>
      <c r="C4710" t="s">
        <v>58</v>
      </c>
      <c r="D4710" t="s">
        <v>54</v>
      </c>
      <c r="E4710" t="s">
        <v>90</v>
      </c>
      <c r="F4710" t="s">
        <v>91</v>
      </c>
      <c r="G4710">
        <v>5.33</v>
      </c>
      <c r="H4710" t="s">
        <v>41</v>
      </c>
      <c r="I4710" t="s">
        <v>42</v>
      </c>
      <c r="M4710">
        <f>VLOOKUP(H4710,'Stage Order'!$A$2:$B$8,2,FALSE)</f>
        <v>2</v>
      </c>
      <c r="N4710" t="str">
        <f t="shared" si="146"/>
        <v>2. 1-24 hours</v>
      </c>
      <c r="O4710" t="str">
        <f t="shared" si="147"/>
        <v>2025-08</v>
      </c>
    </row>
    <row r="4711" spans="1:15" x14ac:dyDescent="0.3">
      <c r="A4711" t="s">
        <v>11089</v>
      </c>
      <c r="B4711" t="s">
        <v>11090</v>
      </c>
      <c r="C4711" t="s">
        <v>58</v>
      </c>
      <c r="D4711" t="s">
        <v>77</v>
      </c>
      <c r="E4711" t="s">
        <v>39</v>
      </c>
      <c r="F4711" t="s">
        <v>40</v>
      </c>
      <c r="G4711">
        <v>0.34</v>
      </c>
      <c r="H4711" t="s">
        <v>41</v>
      </c>
      <c r="I4711" t="s">
        <v>42</v>
      </c>
      <c r="M4711">
        <f>VLOOKUP(H4711,'Stage Order'!$A$2:$B$8,2,FALSE)</f>
        <v>2</v>
      </c>
      <c r="N4711" t="str">
        <f t="shared" si="146"/>
        <v>1. Under 1 hour</v>
      </c>
      <c r="O4711" t="str">
        <f t="shared" si="147"/>
        <v>2025-07</v>
      </c>
    </row>
    <row r="4712" spans="1:15" x14ac:dyDescent="0.3">
      <c r="A4712" t="s">
        <v>11091</v>
      </c>
      <c r="B4712" t="s">
        <v>11092</v>
      </c>
      <c r="C4712" t="s">
        <v>37</v>
      </c>
      <c r="D4712" t="s">
        <v>54</v>
      </c>
      <c r="E4712" t="s">
        <v>90</v>
      </c>
      <c r="F4712" t="s">
        <v>112</v>
      </c>
      <c r="G4712">
        <v>1.76</v>
      </c>
      <c r="H4712" t="s">
        <v>47</v>
      </c>
      <c r="I4712" t="s">
        <v>48</v>
      </c>
      <c r="J4712" t="s">
        <v>113</v>
      </c>
      <c r="K4712">
        <v>444.75</v>
      </c>
      <c r="L4712" t="s">
        <v>11093</v>
      </c>
      <c r="M4712">
        <f>VLOOKUP(H4712,'Stage Order'!$A$2:$B$8,2,FALSE)</f>
        <v>4</v>
      </c>
      <c r="N4712" t="str">
        <f t="shared" si="146"/>
        <v>2. 1-24 hours</v>
      </c>
      <c r="O4712" t="str">
        <f t="shared" si="147"/>
        <v>2026-04</v>
      </c>
    </row>
    <row r="4713" spans="1:15" x14ac:dyDescent="0.3">
      <c r="A4713" t="s">
        <v>11094</v>
      </c>
      <c r="B4713" t="s">
        <v>11095</v>
      </c>
      <c r="C4713" t="s">
        <v>58</v>
      </c>
      <c r="D4713" t="s">
        <v>97</v>
      </c>
      <c r="E4713" t="s">
        <v>39</v>
      </c>
      <c r="F4713" t="s">
        <v>66</v>
      </c>
      <c r="G4713">
        <v>7.45</v>
      </c>
      <c r="H4713" t="s">
        <v>61</v>
      </c>
      <c r="I4713" t="s">
        <v>42</v>
      </c>
      <c r="M4713">
        <f>VLOOKUP(H4713,'Stage Order'!$A$2:$B$8,2,FALSE)</f>
        <v>1</v>
      </c>
      <c r="N4713" t="str">
        <f t="shared" si="146"/>
        <v>2. 1-24 hours</v>
      </c>
      <c r="O4713" t="str">
        <f t="shared" si="147"/>
        <v>2026-02</v>
      </c>
    </row>
    <row r="4714" spans="1:15" x14ac:dyDescent="0.3">
      <c r="A4714" t="s">
        <v>11096</v>
      </c>
      <c r="B4714" t="s">
        <v>11097</v>
      </c>
      <c r="C4714" t="s">
        <v>58</v>
      </c>
      <c r="D4714" t="s">
        <v>54</v>
      </c>
      <c r="E4714" t="s">
        <v>39</v>
      </c>
      <c r="F4714" t="s">
        <v>40</v>
      </c>
      <c r="G4714">
        <v>4.99</v>
      </c>
      <c r="H4714" t="s">
        <v>41</v>
      </c>
      <c r="I4714" t="s">
        <v>42</v>
      </c>
      <c r="M4714">
        <f>VLOOKUP(H4714,'Stage Order'!$A$2:$B$8,2,FALSE)</f>
        <v>2</v>
      </c>
      <c r="N4714" t="str">
        <f t="shared" si="146"/>
        <v>2. 1-24 hours</v>
      </c>
      <c r="O4714" t="str">
        <f t="shared" si="147"/>
        <v>2025-05</v>
      </c>
    </row>
    <row r="4715" spans="1:15" x14ac:dyDescent="0.3">
      <c r="A4715" t="s">
        <v>11098</v>
      </c>
      <c r="B4715" t="s">
        <v>11099</v>
      </c>
      <c r="C4715" t="s">
        <v>37</v>
      </c>
      <c r="D4715" t="s">
        <v>54</v>
      </c>
      <c r="E4715" t="s">
        <v>30</v>
      </c>
      <c r="F4715" t="s">
        <v>78</v>
      </c>
      <c r="G4715">
        <v>0.65</v>
      </c>
      <c r="H4715" t="s">
        <v>138</v>
      </c>
      <c r="I4715" t="s">
        <v>48</v>
      </c>
      <c r="J4715" t="s">
        <v>49</v>
      </c>
      <c r="K4715">
        <v>482.15</v>
      </c>
      <c r="L4715" t="s">
        <v>11100</v>
      </c>
      <c r="M4715">
        <f>VLOOKUP(H4715,'Stage Order'!$A$2:$B$8,2,FALSE)</f>
        <v>6</v>
      </c>
      <c r="N4715" t="str">
        <f t="shared" si="146"/>
        <v>1. Under 1 hour</v>
      </c>
      <c r="O4715" t="str">
        <f t="shared" si="147"/>
        <v>2025-04</v>
      </c>
    </row>
    <row r="4716" spans="1:15" x14ac:dyDescent="0.3">
      <c r="A4716" t="s">
        <v>11101</v>
      </c>
      <c r="B4716" t="s">
        <v>11102</v>
      </c>
      <c r="C4716" t="s">
        <v>58</v>
      </c>
      <c r="D4716" t="s">
        <v>77</v>
      </c>
      <c r="E4716" t="s">
        <v>45</v>
      </c>
      <c r="F4716" t="s">
        <v>46</v>
      </c>
      <c r="G4716">
        <v>2.37</v>
      </c>
      <c r="H4716" t="s">
        <v>146</v>
      </c>
      <c r="I4716" t="s">
        <v>48</v>
      </c>
      <c r="J4716" t="s">
        <v>139</v>
      </c>
      <c r="K4716">
        <v>1064.1199999999999</v>
      </c>
      <c r="L4716" t="s">
        <v>11103</v>
      </c>
      <c r="M4716">
        <f>VLOOKUP(H4716,'Stage Order'!$A$2:$B$8,2,FALSE)</f>
        <v>5</v>
      </c>
      <c r="N4716" t="str">
        <f t="shared" si="146"/>
        <v>2. 1-24 hours</v>
      </c>
      <c r="O4716" t="str">
        <f t="shared" si="147"/>
        <v>2025-01</v>
      </c>
    </row>
    <row r="4717" spans="1:15" x14ac:dyDescent="0.3">
      <c r="A4717" t="s">
        <v>11104</v>
      </c>
      <c r="B4717" t="s">
        <v>11105</v>
      </c>
      <c r="C4717" t="s">
        <v>28</v>
      </c>
      <c r="D4717" t="s">
        <v>97</v>
      </c>
      <c r="E4717" t="s">
        <v>39</v>
      </c>
      <c r="F4717" t="s">
        <v>106</v>
      </c>
      <c r="G4717">
        <v>5.18</v>
      </c>
      <c r="H4717" t="s">
        <v>41</v>
      </c>
      <c r="I4717" t="s">
        <v>42</v>
      </c>
      <c r="M4717">
        <f>VLOOKUP(H4717,'Stage Order'!$A$2:$B$8,2,FALSE)</f>
        <v>2</v>
      </c>
      <c r="N4717" t="str">
        <f t="shared" si="146"/>
        <v>2. 1-24 hours</v>
      </c>
      <c r="O4717" t="str">
        <f t="shared" si="147"/>
        <v>2025-10</v>
      </c>
    </row>
    <row r="4718" spans="1:15" x14ac:dyDescent="0.3">
      <c r="A4718" t="s">
        <v>11106</v>
      </c>
      <c r="B4718" t="s">
        <v>11107</v>
      </c>
      <c r="C4718" t="s">
        <v>81</v>
      </c>
      <c r="D4718" t="s">
        <v>77</v>
      </c>
      <c r="E4718" t="s">
        <v>45</v>
      </c>
      <c r="F4718" t="s">
        <v>94</v>
      </c>
      <c r="G4718">
        <v>5.78</v>
      </c>
      <c r="H4718" t="s">
        <v>41</v>
      </c>
      <c r="I4718" t="s">
        <v>42</v>
      </c>
      <c r="M4718">
        <f>VLOOKUP(H4718,'Stage Order'!$A$2:$B$8,2,FALSE)</f>
        <v>2</v>
      </c>
      <c r="N4718" t="str">
        <f t="shared" si="146"/>
        <v>2. 1-24 hours</v>
      </c>
      <c r="O4718" t="str">
        <f t="shared" si="147"/>
        <v>2025-07</v>
      </c>
    </row>
    <row r="4719" spans="1:15" x14ac:dyDescent="0.3">
      <c r="A4719" t="s">
        <v>11108</v>
      </c>
      <c r="B4719" t="s">
        <v>11109</v>
      </c>
      <c r="C4719" t="s">
        <v>125</v>
      </c>
      <c r="D4719" t="s">
        <v>77</v>
      </c>
      <c r="E4719" t="s">
        <v>45</v>
      </c>
      <c r="F4719" t="s">
        <v>94</v>
      </c>
      <c r="G4719">
        <v>2.37</v>
      </c>
      <c r="H4719" t="s">
        <v>41</v>
      </c>
      <c r="I4719" t="s">
        <v>42</v>
      </c>
      <c r="M4719">
        <f>VLOOKUP(H4719,'Stage Order'!$A$2:$B$8,2,FALSE)</f>
        <v>2</v>
      </c>
      <c r="N4719" t="str">
        <f t="shared" si="146"/>
        <v>2. 1-24 hours</v>
      </c>
      <c r="O4719" t="str">
        <f t="shared" si="147"/>
        <v>2025-12</v>
      </c>
    </row>
    <row r="4720" spans="1:15" x14ac:dyDescent="0.3">
      <c r="A4720" t="s">
        <v>11110</v>
      </c>
      <c r="B4720" t="s">
        <v>11111</v>
      </c>
      <c r="C4720" t="s">
        <v>37</v>
      </c>
      <c r="D4720" t="s">
        <v>54</v>
      </c>
      <c r="E4720" t="s">
        <v>45</v>
      </c>
      <c r="F4720" t="s">
        <v>46</v>
      </c>
      <c r="G4720">
        <v>6.96</v>
      </c>
      <c r="H4720" t="s">
        <v>61</v>
      </c>
      <c r="I4720" t="s">
        <v>42</v>
      </c>
      <c r="M4720">
        <f>VLOOKUP(H4720,'Stage Order'!$A$2:$B$8,2,FALSE)</f>
        <v>1</v>
      </c>
      <c r="N4720" t="str">
        <f t="shared" si="146"/>
        <v>2. 1-24 hours</v>
      </c>
      <c r="O4720" t="str">
        <f t="shared" si="147"/>
        <v>2025-08</v>
      </c>
    </row>
    <row r="4721" spans="1:15" x14ac:dyDescent="0.3">
      <c r="A4721" t="s">
        <v>11112</v>
      </c>
      <c r="B4721" t="s">
        <v>11113</v>
      </c>
      <c r="C4721" t="s">
        <v>37</v>
      </c>
      <c r="D4721" t="s">
        <v>54</v>
      </c>
      <c r="E4721" t="s">
        <v>45</v>
      </c>
      <c r="F4721" t="s">
        <v>94</v>
      </c>
      <c r="G4721">
        <v>5.53</v>
      </c>
      <c r="H4721" t="s">
        <v>146</v>
      </c>
      <c r="I4721" t="s">
        <v>48</v>
      </c>
      <c r="J4721" t="s">
        <v>139</v>
      </c>
      <c r="K4721">
        <v>490.49</v>
      </c>
      <c r="L4721" t="s">
        <v>11114</v>
      </c>
      <c r="M4721">
        <f>VLOOKUP(H4721,'Stage Order'!$A$2:$B$8,2,FALSE)</f>
        <v>5</v>
      </c>
      <c r="N4721" t="str">
        <f t="shared" si="146"/>
        <v>2. 1-24 hours</v>
      </c>
      <c r="O4721" t="str">
        <f t="shared" si="147"/>
        <v>2025-07</v>
      </c>
    </row>
    <row r="4722" spans="1:15" x14ac:dyDescent="0.3">
      <c r="A4722" t="s">
        <v>11115</v>
      </c>
      <c r="B4722" t="s">
        <v>11116</v>
      </c>
      <c r="C4722" t="s">
        <v>81</v>
      </c>
      <c r="D4722" t="s">
        <v>54</v>
      </c>
      <c r="E4722" t="s">
        <v>45</v>
      </c>
      <c r="F4722" t="s">
        <v>55</v>
      </c>
      <c r="G4722">
        <v>4.5</v>
      </c>
      <c r="H4722" t="s">
        <v>61</v>
      </c>
      <c r="I4722" t="s">
        <v>42</v>
      </c>
      <c r="M4722">
        <f>VLOOKUP(H4722,'Stage Order'!$A$2:$B$8,2,FALSE)</f>
        <v>1</v>
      </c>
      <c r="N4722" t="str">
        <f t="shared" si="146"/>
        <v>2. 1-24 hours</v>
      </c>
      <c r="O4722" t="str">
        <f t="shared" si="147"/>
        <v>2025-07</v>
      </c>
    </row>
    <row r="4723" spans="1:15" x14ac:dyDescent="0.3">
      <c r="A4723" t="s">
        <v>11117</v>
      </c>
      <c r="B4723" t="s">
        <v>11118</v>
      </c>
      <c r="C4723" t="s">
        <v>58</v>
      </c>
      <c r="D4723" t="s">
        <v>77</v>
      </c>
      <c r="E4723" t="s">
        <v>90</v>
      </c>
      <c r="F4723" t="s">
        <v>91</v>
      </c>
      <c r="G4723">
        <v>5.91</v>
      </c>
      <c r="H4723" t="s">
        <v>61</v>
      </c>
      <c r="I4723" t="s">
        <v>42</v>
      </c>
      <c r="M4723">
        <f>VLOOKUP(H4723,'Stage Order'!$A$2:$B$8,2,FALSE)</f>
        <v>1</v>
      </c>
      <c r="N4723" t="str">
        <f t="shared" si="146"/>
        <v>2. 1-24 hours</v>
      </c>
      <c r="O4723" t="str">
        <f t="shared" si="147"/>
        <v>2025-08</v>
      </c>
    </row>
    <row r="4724" spans="1:15" x14ac:dyDescent="0.3">
      <c r="A4724" t="s">
        <v>11119</v>
      </c>
      <c r="B4724" t="s">
        <v>11120</v>
      </c>
      <c r="C4724" t="s">
        <v>53</v>
      </c>
      <c r="D4724" t="s">
        <v>29</v>
      </c>
      <c r="E4724" t="s">
        <v>45</v>
      </c>
      <c r="F4724" t="s">
        <v>94</v>
      </c>
      <c r="G4724">
        <v>0.84</v>
      </c>
      <c r="H4724" t="s">
        <v>41</v>
      </c>
      <c r="I4724" t="s">
        <v>42</v>
      </c>
      <c r="M4724">
        <f>VLOOKUP(H4724,'Stage Order'!$A$2:$B$8,2,FALSE)</f>
        <v>2</v>
      </c>
      <c r="N4724" t="str">
        <f t="shared" si="146"/>
        <v>1. Under 1 hour</v>
      </c>
      <c r="O4724" t="str">
        <f t="shared" si="147"/>
        <v>2025-02</v>
      </c>
    </row>
    <row r="4725" spans="1:15" x14ac:dyDescent="0.3">
      <c r="A4725" t="s">
        <v>11121</v>
      </c>
      <c r="B4725" t="s">
        <v>11122</v>
      </c>
      <c r="C4725" t="s">
        <v>58</v>
      </c>
      <c r="D4725" t="s">
        <v>97</v>
      </c>
      <c r="E4725" t="s">
        <v>39</v>
      </c>
      <c r="F4725" t="s">
        <v>40</v>
      </c>
      <c r="G4725">
        <v>6.99</v>
      </c>
      <c r="H4725" t="s">
        <v>41</v>
      </c>
      <c r="I4725" t="s">
        <v>42</v>
      </c>
      <c r="M4725">
        <f>VLOOKUP(H4725,'Stage Order'!$A$2:$B$8,2,FALSE)</f>
        <v>2</v>
      </c>
      <c r="N4725" t="str">
        <f t="shared" si="146"/>
        <v>2. 1-24 hours</v>
      </c>
      <c r="O4725" t="str">
        <f t="shared" si="147"/>
        <v>2025-04</v>
      </c>
    </row>
    <row r="4726" spans="1:15" x14ac:dyDescent="0.3">
      <c r="A4726" t="s">
        <v>11123</v>
      </c>
      <c r="B4726" t="s">
        <v>11124</v>
      </c>
      <c r="C4726" t="s">
        <v>28</v>
      </c>
      <c r="D4726" t="s">
        <v>54</v>
      </c>
      <c r="E4726" t="s">
        <v>45</v>
      </c>
      <c r="F4726" t="s">
        <v>55</v>
      </c>
      <c r="G4726">
        <v>38.090000000000003</v>
      </c>
      <c r="H4726" t="s">
        <v>41</v>
      </c>
      <c r="I4726" t="s">
        <v>42</v>
      </c>
      <c r="M4726">
        <f>VLOOKUP(H4726,'Stage Order'!$A$2:$B$8,2,FALSE)</f>
        <v>2</v>
      </c>
      <c r="N4726" t="str">
        <f t="shared" si="146"/>
        <v>3. 1-3 days</v>
      </c>
      <c r="O4726" t="str">
        <f t="shared" si="147"/>
        <v>2026-05</v>
      </c>
    </row>
    <row r="4727" spans="1:15" x14ac:dyDescent="0.3">
      <c r="A4727" t="s">
        <v>11125</v>
      </c>
      <c r="B4727" t="s">
        <v>11126</v>
      </c>
      <c r="C4727" t="s">
        <v>37</v>
      </c>
      <c r="D4727" t="s">
        <v>29</v>
      </c>
      <c r="E4727" t="s">
        <v>45</v>
      </c>
      <c r="F4727" t="s">
        <v>55</v>
      </c>
      <c r="G4727">
        <v>1.94</v>
      </c>
      <c r="H4727" t="s">
        <v>41</v>
      </c>
      <c r="I4727" t="s">
        <v>42</v>
      </c>
      <c r="M4727">
        <f>VLOOKUP(H4727,'Stage Order'!$A$2:$B$8,2,FALSE)</f>
        <v>2</v>
      </c>
      <c r="N4727" t="str">
        <f t="shared" si="146"/>
        <v>2. 1-24 hours</v>
      </c>
      <c r="O4727" t="str">
        <f t="shared" si="147"/>
        <v>2025-07</v>
      </c>
    </row>
    <row r="4728" spans="1:15" x14ac:dyDescent="0.3">
      <c r="A4728" t="s">
        <v>11127</v>
      </c>
      <c r="B4728" t="s">
        <v>11128</v>
      </c>
      <c r="C4728" t="s">
        <v>53</v>
      </c>
      <c r="D4728" t="s">
        <v>77</v>
      </c>
      <c r="E4728" t="s">
        <v>30</v>
      </c>
      <c r="F4728" t="s">
        <v>78</v>
      </c>
      <c r="G4728">
        <v>10.55</v>
      </c>
      <c r="H4728" t="s">
        <v>32</v>
      </c>
      <c r="I4728" t="s">
        <v>33</v>
      </c>
      <c r="K4728">
        <v>993.81</v>
      </c>
      <c r="L4728" t="s">
        <v>11129</v>
      </c>
      <c r="M4728">
        <f>VLOOKUP(H4728,'Stage Order'!$A$2:$B$8,2,FALSE)</f>
        <v>7</v>
      </c>
      <c r="N4728" t="str">
        <f t="shared" si="146"/>
        <v>2. 1-24 hours</v>
      </c>
      <c r="O4728" t="str">
        <f t="shared" si="147"/>
        <v>2025-04</v>
      </c>
    </row>
    <row r="4729" spans="1:15" x14ac:dyDescent="0.3">
      <c r="A4729" t="s">
        <v>11130</v>
      </c>
      <c r="B4729" t="s">
        <v>11131</v>
      </c>
      <c r="C4729" t="s">
        <v>76</v>
      </c>
      <c r="D4729" t="s">
        <v>77</v>
      </c>
      <c r="E4729" t="s">
        <v>39</v>
      </c>
      <c r="F4729" t="s">
        <v>106</v>
      </c>
      <c r="G4729">
        <v>3.46</v>
      </c>
      <c r="H4729" t="s">
        <v>61</v>
      </c>
      <c r="I4729" t="s">
        <v>42</v>
      </c>
      <c r="M4729">
        <f>VLOOKUP(H4729,'Stage Order'!$A$2:$B$8,2,FALSE)</f>
        <v>1</v>
      </c>
      <c r="N4729" t="str">
        <f t="shared" si="146"/>
        <v>2. 1-24 hours</v>
      </c>
      <c r="O4729" t="str">
        <f t="shared" si="147"/>
        <v>2026-03</v>
      </c>
    </row>
    <row r="4730" spans="1:15" x14ac:dyDescent="0.3">
      <c r="A4730" t="s">
        <v>11132</v>
      </c>
      <c r="B4730" t="s">
        <v>11133</v>
      </c>
      <c r="C4730" t="s">
        <v>58</v>
      </c>
      <c r="D4730" t="s">
        <v>38</v>
      </c>
      <c r="E4730" t="s">
        <v>39</v>
      </c>
      <c r="F4730" t="s">
        <v>40</v>
      </c>
      <c r="G4730">
        <v>0.42</v>
      </c>
      <c r="H4730" t="s">
        <v>41</v>
      </c>
      <c r="I4730" t="s">
        <v>42</v>
      </c>
      <c r="M4730">
        <f>VLOOKUP(H4730,'Stage Order'!$A$2:$B$8,2,FALSE)</f>
        <v>2</v>
      </c>
      <c r="N4730" t="str">
        <f t="shared" si="146"/>
        <v>1. Under 1 hour</v>
      </c>
      <c r="O4730" t="str">
        <f t="shared" si="147"/>
        <v>2026-01</v>
      </c>
    </row>
    <row r="4731" spans="1:15" x14ac:dyDescent="0.3">
      <c r="A4731" t="s">
        <v>11134</v>
      </c>
      <c r="B4731" t="s">
        <v>11135</v>
      </c>
      <c r="C4731" t="s">
        <v>53</v>
      </c>
      <c r="D4731" t="s">
        <v>77</v>
      </c>
      <c r="E4731" t="s">
        <v>59</v>
      </c>
      <c r="F4731" t="s">
        <v>60</v>
      </c>
      <c r="G4731">
        <v>0.89</v>
      </c>
      <c r="H4731" t="s">
        <v>32</v>
      </c>
      <c r="I4731" t="s">
        <v>33</v>
      </c>
      <c r="K4731">
        <v>1043.44</v>
      </c>
      <c r="L4731" t="s">
        <v>11136</v>
      </c>
      <c r="M4731">
        <f>VLOOKUP(H4731,'Stage Order'!$A$2:$B$8,2,FALSE)</f>
        <v>7</v>
      </c>
      <c r="N4731" t="str">
        <f t="shared" si="146"/>
        <v>1. Under 1 hour</v>
      </c>
      <c r="O4731" t="str">
        <f t="shared" si="147"/>
        <v>2025-02</v>
      </c>
    </row>
    <row r="4732" spans="1:15" x14ac:dyDescent="0.3">
      <c r="A4732" t="s">
        <v>11137</v>
      </c>
      <c r="B4732" t="s">
        <v>11138</v>
      </c>
      <c r="C4732" t="s">
        <v>37</v>
      </c>
      <c r="D4732" t="s">
        <v>38</v>
      </c>
      <c r="E4732" t="s">
        <v>39</v>
      </c>
      <c r="F4732" t="s">
        <v>66</v>
      </c>
      <c r="G4732">
        <v>1.29</v>
      </c>
      <c r="H4732" t="s">
        <v>32</v>
      </c>
      <c r="I4732" t="s">
        <v>33</v>
      </c>
      <c r="K4732">
        <v>345.73</v>
      </c>
      <c r="L4732" t="s">
        <v>11139</v>
      </c>
      <c r="M4732">
        <f>VLOOKUP(H4732,'Stage Order'!$A$2:$B$8,2,FALSE)</f>
        <v>7</v>
      </c>
      <c r="N4732" t="str">
        <f t="shared" si="146"/>
        <v>2. 1-24 hours</v>
      </c>
      <c r="O4732" t="str">
        <f t="shared" si="147"/>
        <v>2025-10</v>
      </c>
    </row>
    <row r="4733" spans="1:15" x14ac:dyDescent="0.3">
      <c r="A4733" t="s">
        <v>11140</v>
      </c>
      <c r="B4733" t="s">
        <v>11141</v>
      </c>
      <c r="C4733" t="s">
        <v>58</v>
      </c>
      <c r="D4733" t="s">
        <v>97</v>
      </c>
      <c r="E4733" t="s">
        <v>59</v>
      </c>
      <c r="F4733" t="s">
        <v>137</v>
      </c>
      <c r="G4733">
        <v>4.5199999999999996</v>
      </c>
      <c r="H4733" t="s">
        <v>47</v>
      </c>
      <c r="I4733" t="s">
        <v>48</v>
      </c>
      <c r="J4733" t="s">
        <v>139</v>
      </c>
      <c r="K4733">
        <v>1200.5</v>
      </c>
      <c r="L4733" t="s">
        <v>11142</v>
      </c>
      <c r="M4733">
        <f>VLOOKUP(H4733,'Stage Order'!$A$2:$B$8,2,FALSE)</f>
        <v>4</v>
      </c>
      <c r="N4733" t="str">
        <f t="shared" si="146"/>
        <v>2. 1-24 hours</v>
      </c>
      <c r="O4733" t="str">
        <f t="shared" si="147"/>
        <v>2025-10</v>
      </c>
    </row>
    <row r="4734" spans="1:15" x14ac:dyDescent="0.3">
      <c r="A4734" t="s">
        <v>11143</v>
      </c>
      <c r="B4734" t="s">
        <v>11144</v>
      </c>
      <c r="C4734" t="s">
        <v>125</v>
      </c>
      <c r="D4734" t="s">
        <v>77</v>
      </c>
      <c r="E4734" t="s">
        <v>59</v>
      </c>
      <c r="F4734" t="s">
        <v>117</v>
      </c>
      <c r="G4734">
        <v>5.42</v>
      </c>
      <c r="H4734" t="s">
        <v>138</v>
      </c>
      <c r="I4734" t="s">
        <v>48</v>
      </c>
      <c r="J4734" t="s">
        <v>98</v>
      </c>
      <c r="K4734">
        <v>1126.27</v>
      </c>
      <c r="L4734" t="s">
        <v>11145</v>
      </c>
      <c r="M4734">
        <f>VLOOKUP(H4734,'Stage Order'!$A$2:$B$8,2,FALSE)</f>
        <v>6</v>
      </c>
      <c r="N4734" t="str">
        <f t="shared" si="146"/>
        <v>2. 1-24 hours</v>
      </c>
      <c r="O4734" t="str">
        <f t="shared" si="147"/>
        <v>2026-02</v>
      </c>
    </row>
    <row r="4735" spans="1:15" x14ac:dyDescent="0.3">
      <c r="A4735" t="s">
        <v>11146</v>
      </c>
      <c r="B4735" t="s">
        <v>11147</v>
      </c>
      <c r="C4735" t="s">
        <v>125</v>
      </c>
      <c r="D4735" t="s">
        <v>97</v>
      </c>
      <c r="E4735" t="s">
        <v>45</v>
      </c>
      <c r="F4735" t="s">
        <v>94</v>
      </c>
      <c r="G4735">
        <v>3.24</v>
      </c>
      <c r="H4735" t="s">
        <v>61</v>
      </c>
      <c r="I4735" t="s">
        <v>42</v>
      </c>
      <c r="M4735">
        <f>VLOOKUP(H4735,'Stage Order'!$A$2:$B$8,2,FALSE)</f>
        <v>1</v>
      </c>
      <c r="N4735" t="str">
        <f t="shared" si="146"/>
        <v>2. 1-24 hours</v>
      </c>
      <c r="O4735" t="str">
        <f t="shared" si="147"/>
        <v>2025-04</v>
      </c>
    </row>
    <row r="4736" spans="1:15" x14ac:dyDescent="0.3">
      <c r="A4736" t="s">
        <v>11148</v>
      </c>
      <c r="B4736" t="s">
        <v>11149</v>
      </c>
      <c r="C4736" t="s">
        <v>37</v>
      </c>
      <c r="D4736" t="s">
        <v>97</v>
      </c>
      <c r="E4736" t="s">
        <v>45</v>
      </c>
      <c r="F4736" t="s">
        <v>94</v>
      </c>
      <c r="G4736">
        <v>0.81</v>
      </c>
      <c r="H4736" t="s">
        <v>41</v>
      </c>
      <c r="I4736" t="s">
        <v>42</v>
      </c>
      <c r="M4736">
        <f>VLOOKUP(H4736,'Stage Order'!$A$2:$B$8,2,FALSE)</f>
        <v>2</v>
      </c>
      <c r="N4736" t="str">
        <f t="shared" si="146"/>
        <v>1. Under 1 hour</v>
      </c>
      <c r="O4736" t="str">
        <f t="shared" si="147"/>
        <v>2026-03</v>
      </c>
    </row>
    <row r="4737" spans="1:15" x14ac:dyDescent="0.3">
      <c r="A4737" t="s">
        <v>11150</v>
      </c>
      <c r="B4737" t="s">
        <v>11151</v>
      </c>
      <c r="C4737" t="s">
        <v>37</v>
      </c>
      <c r="D4737" t="s">
        <v>54</v>
      </c>
      <c r="E4737" t="s">
        <v>39</v>
      </c>
      <c r="F4737" t="s">
        <v>40</v>
      </c>
      <c r="G4737">
        <v>3.39</v>
      </c>
      <c r="H4737" t="s">
        <v>146</v>
      </c>
      <c r="I4737" t="s">
        <v>48</v>
      </c>
      <c r="J4737" t="s">
        <v>139</v>
      </c>
      <c r="K4737">
        <v>511.13</v>
      </c>
      <c r="L4737" t="s">
        <v>11152</v>
      </c>
      <c r="M4737">
        <f>VLOOKUP(H4737,'Stage Order'!$A$2:$B$8,2,FALSE)</f>
        <v>5</v>
      </c>
      <c r="N4737" t="str">
        <f t="shared" si="146"/>
        <v>2. 1-24 hours</v>
      </c>
      <c r="O4737" t="str">
        <f t="shared" si="147"/>
        <v>2025-08</v>
      </c>
    </row>
    <row r="4738" spans="1:15" x14ac:dyDescent="0.3">
      <c r="A4738" t="s">
        <v>11153</v>
      </c>
      <c r="B4738" t="s">
        <v>11154</v>
      </c>
      <c r="C4738" t="s">
        <v>53</v>
      </c>
      <c r="D4738" t="s">
        <v>54</v>
      </c>
      <c r="E4738" t="s">
        <v>59</v>
      </c>
      <c r="F4738" t="s">
        <v>117</v>
      </c>
      <c r="G4738">
        <v>3.36</v>
      </c>
      <c r="H4738" t="s">
        <v>32</v>
      </c>
      <c r="I4738" t="s">
        <v>33</v>
      </c>
      <c r="K4738">
        <v>587.27</v>
      </c>
      <c r="L4738" t="s">
        <v>11155</v>
      </c>
      <c r="M4738">
        <f>VLOOKUP(H4738,'Stage Order'!$A$2:$B$8,2,FALSE)</f>
        <v>7</v>
      </c>
      <c r="N4738" t="str">
        <f t="shared" ref="N4738:N4801" si="148">IF(G4738&lt;=1,"1. Under 1 hour",IF(G4738&lt;=24,"2. 1-24 hours",IF(G4738&lt;=72,"3. 1-3 days","4. Over 3 days")))</f>
        <v>2. 1-24 hours</v>
      </c>
      <c r="O4738" t="str">
        <f t="shared" ref="O4738:O4801" si="149">TEXT(B4738,"YYYY-MM")</f>
        <v>2025-08</v>
      </c>
    </row>
    <row r="4739" spans="1:15" x14ac:dyDescent="0.3">
      <c r="A4739" t="s">
        <v>11156</v>
      </c>
      <c r="B4739" t="s">
        <v>11157</v>
      </c>
      <c r="C4739" t="s">
        <v>58</v>
      </c>
      <c r="D4739" t="s">
        <v>38</v>
      </c>
      <c r="E4739" t="s">
        <v>45</v>
      </c>
      <c r="F4739" t="s">
        <v>55</v>
      </c>
      <c r="G4739">
        <v>0.41</v>
      </c>
      <c r="H4739" t="s">
        <v>61</v>
      </c>
      <c r="I4739" t="s">
        <v>42</v>
      </c>
      <c r="M4739">
        <f>VLOOKUP(H4739,'Stage Order'!$A$2:$B$8,2,FALSE)</f>
        <v>1</v>
      </c>
      <c r="N4739" t="str">
        <f t="shared" si="148"/>
        <v>1. Under 1 hour</v>
      </c>
      <c r="O4739" t="str">
        <f t="shared" si="149"/>
        <v>2025-08</v>
      </c>
    </row>
    <row r="4740" spans="1:15" x14ac:dyDescent="0.3">
      <c r="A4740" t="s">
        <v>11158</v>
      </c>
      <c r="B4740" t="s">
        <v>11159</v>
      </c>
      <c r="C4740" t="s">
        <v>58</v>
      </c>
      <c r="D4740" t="s">
        <v>54</v>
      </c>
      <c r="E4740" t="s">
        <v>39</v>
      </c>
      <c r="F4740" t="s">
        <v>66</v>
      </c>
      <c r="G4740">
        <v>20.7</v>
      </c>
      <c r="H4740" t="s">
        <v>61</v>
      </c>
      <c r="I4740" t="s">
        <v>42</v>
      </c>
      <c r="M4740">
        <f>VLOOKUP(H4740,'Stage Order'!$A$2:$B$8,2,FALSE)</f>
        <v>1</v>
      </c>
      <c r="N4740" t="str">
        <f t="shared" si="148"/>
        <v>2. 1-24 hours</v>
      </c>
      <c r="O4740" t="str">
        <f t="shared" si="149"/>
        <v>2026-01</v>
      </c>
    </row>
    <row r="4741" spans="1:15" x14ac:dyDescent="0.3">
      <c r="A4741" t="s">
        <v>11160</v>
      </c>
      <c r="B4741" t="s">
        <v>11161</v>
      </c>
      <c r="C4741" t="s">
        <v>58</v>
      </c>
      <c r="D4741" t="s">
        <v>97</v>
      </c>
      <c r="E4741" t="s">
        <v>45</v>
      </c>
      <c r="F4741" t="s">
        <v>94</v>
      </c>
      <c r="G4741">
        <v>5.56</v>
      </c>
      <c r="H4741" t="s">
        <v>32</v>
      </c>
      <c r="I4741" t="s">
        <v>33</v>
      </c>
      <c r="K4741">
        <v>1738.08</v>
      </c>
      <c r="L4741" t="s">
        <v>11162</v>
      </c>
      <c r="M4741">
        <f>VLOOKUP(H4741,'Stage Order'!$A$2:$B$8,2,FALSE)</f>
        <v>7</v>
      </c>
      <c r="N4741" t="str">
        <f t="shared" si="148"/>
        <v>2. 1-24 hours</v>
      </c>
      <c r="O4741" t="str">
        <f t="shared" si="149"/>
        <v>2025-10</v>
      </c>
    </row>
    <row r="4742" spans="1:15" x14ac:dyDescent="0.3">
      <c r="A4742" t="s">
        <v>11163</v>
      </c>
      <c r="B4742" t="s">
        <v>11164</v>
      </c>
      <c r="C4742" t="s">
        <v>28</v>
      </c>
      <c r="D4742" t="s">
        <v>77</v>
      </c>
      <c r="E4742" t="s">
        <v>59</v>
      </c>
      <c r="F4742" t="s">
        <v>60</v>
      </c>
      <c r="G4742">
        <v>11.89</v>
      </c>
      <c r="H4742" t="s">
        <v>47</v>
      </c>
      <c r="I4742" t="s">
        <v>48</v>
      </c>
      <c r="J4742" t="s">
        <v>98</v>
      </c>
      <c r="K4742">
        <v>868</v>
      </c>
      <c r="L4742" t="s">
        <v>11165</v>
      </c>
      <c r="M4742">
        <f>VLOOKUP(H4742,'Stage Order'!$A$2:$B$8,2,FALSE)</f>
        <v>4</v>
      </c>
      <c r="N4742" t="str">
        <f t="shared" si="148"/>
        <v>2. 1-24 hours</v>
      </c>
      <c r="O4742" t="str">
        <f t="shared" si="149"/>
        <v>2025-05</v>
      </c>
    </row>
    <row r="4743" spans="1:15" x14ac:dyDescent="0.3">
      <c r="A4743" t="s">
        <v>11166</v>
      </c>
      <c r="B4743" t="s">
        <v>11167</v>
      </c>
      <c r="C4743" t="s">
        <v>125</v>
      </c>
      <c r="D4743" t="s">
        <v>54</v>
      </c>
      <c r="E4743" t="s">
        <v>45</v>
      </c>
      <c r="F4743" t="s">
        <v>46</v>
      </c>
      <c r="G4743">
        <v>2.0699999999999998</v>
      </c>
      <c r="H4743" t="s">
        <v>61</v>
      </c>
      <c r="I4743" t="s">
        <v>42</v>
      </c>
      <c r="M4743">
        <f>VLOOKUP(H4743,'Stage Order'!$A$2:$B$8,2,FALSE)</f>
        <v>1</v>
      </c>
      <c r="N4743" t="str">
        <f t="shared" si="148"/>
        <v>2. 1-24 hours</v>
      </c>
      <c r="O4743" t="str">
        <f t="shared" si="149"/>
        <v>2025-08</v>
      </c>
    </row>
    <row r="4744" spans="1:15" x14ac:dyDescent="0.3">
      <c r="A4744" t="s">
        <v>11168</v>
      </c>
      <c r="B4744" t="s">
        <v>11169</v>
      </c>
      <c r="C4744" t="s">
        <v>37</v>
      </c>
      <c r="D4744" t="s">
        <v>54</v>
      </c>
      <c r="E4744" t="s">
        <v>39</v>
      </c>
      <c r="F4744" t="s">
        <v>40</v>
      </c>
      <c r="G4744">
        <v>13.58</v>
      </c>
      <c r="H4744" t="s">
        <v>41</v>
      </c>
      <c r="I4744" t="s">
        <v>42</v>
      </c>
      <c r="M4744">
        <f>VLOOKUP(H4744,'Stage Order'!$A$2:$B$8,2,FALSE)</f>
        <v>2</v>
      </c>
      <c r="N4744" t="str">
        <f t="shared" si="148"/>
        <v>2. 1-24 hours</v>
      </c>
      <c r="O4744" t="str">
        <f t="shared" si="149"/>
        <v>2025-02</v>
      </c>
    </row>
    <row r="4745" spans="1:15" x14ac:dyDescent="0.3">
      <c r="A4745" t="s">
        <v>11170</v>
      </c>
      <c r="B4745" t="s">
        <v>11171</v>
      </c>
      <c r="C4745" t="s">
        <v>37</v>
      </c>
      <c r="D4745" t="s">
        <v>77</v>
      </c>
      <c r="E4745" t="s">
        <v>39</v>
      </c>
      <c r="F4745" t="s">
        <v>106</v>
      </c>
      <c r="G4745">
        <v>1.53</v>
      </c>
      <c r="H4745" t="s">
        <v>32</v>
      </c>
      <c r="I4745" t="s">
        <v>33</v>
      </c>
      <c r="K4745">
        <v>1062.5899999999999</v>
      </c>
      <c r="L4745" t="s">
        <v>11172</v>
      </c>
      <c r="M4745">
        <f>VLOOKUP(H4745,'Stage Order'!$A$2:$B$8,2,FALSE)</f>
        <v>7</v>
      </c>
      <c r="N4745" t="str">
        <f t="shared" si="148"/>
        <v>2. 1-24 hours</v>
      </c>
      <c r="O4745" t="str">
        <f t="shared" si="149"/>
        <v>2026-01</v>
      </c>
    </row>
    <row r="4746" spans="1:15" x14ac:dyDescent="0.3">
      <c r="A4746" t="s">
        <v>11173</v>
      </c>
      <c r="B4746" t="s">
        <v>11174</v>
      </c>
      <c r="C4746" t="s">
        <v>53</v>
      </c>
      <c r="D4746" t="s">
        <v>97</v>
      </c>
      <c r="E4746" t="s">
        <v>39</v>
      </c>
      <c r="F4746" t="s">
        <v>106</v>
      </c>
      <c r="G4746">
        <v>2.11</v>
      </c>
      <c r="H4746" t="s">
        <v>41</v>
      </c>
      <c r="I4746" t="s">
        <v>42</v>
      </c>
      <c r="M4746">
        <f>VLOOKUP(H4746,'Stage Order'!$A$2:$B$8,2,FALSE)</f>
        <v>2</v>
      </c>
      <c r="N4746" t="str">
        <f t="shared" si="148"/>
        <v>2. 1-24 hours</v>
      </c>
      <c r="O4746" t="str">
        <f t="shared" si="149"/>
        <v>2025-07</v>
      </c>
    </row>
    <row r="4747" spans="1:15" x14ac:dyDescent="0.3">
      <c r="A4747" t="s">
        <v>11175</v>
      </c>
      <c r="B4747" t="s">
        <v>11176</v>
      </c>
      <c r="C4747" t="s">
        <v>37</v>
      </c>
      <c r="D4747" t="s">
        <v>77</v>
      </c>
      <c r="E4747" t="s">
        <v>59</v>
      </c>
      <c r="F4747" t="s">
        <v>60</v>
      </c>
      <c r="G4747">
        <v>1.43</v>
      </c>
      <c r="H4747" t="s">
        <v>146</v>
      </c>
      <c r="I4747" t="s">
        <v>48</v>
      </c>
      <c r="J4747" t="s">
        <v>742</v>
      </c>
      <c r="K4747">
        <v>886.26</v>
      </c>
      <c r="L4747" t="s">
        <v>11177</v>
      </c>
      <c r="M4747">
        <f>VLOOKUP(H4747,'Stage Order'!$A$2:$B$8,2,FALSE)</f>
        <v>5</v>
      </c>
      <c r="N4747" t="str">
        <f t="shared" si="148"/>
        <v>2. 1-24 hours</v>
      </c>
      <c r="O4747" t="str">
        <f t="shared" si="149"/>
        <v>2026-05</v>
      </c>
    </row>
    <row r="4748" spans="1:15" x14ac:dyDescent="0.3">
      <c r="A4748" t="s">
        <v>11178</v>
      </c>
      <c r="B4748" t="s">
        <v>11179</v>
      </c>
      <c r="C4748" t="s">
        <v>81</v>
      </c>
      <c r="D4748" t="s">
        <v>77</v>
      </c>
      <c r="E4748" t="s">
        <v>39</v>
      </c>
      <c r="F4748" t="s">
        <v>40</v>
      </c>
      <c r="G4748">
        <v>2.92</v>
      </c>
      <c r="H4748" t="s">
        <v>47</v>
      </c>
      <c r="I4748" t="s">
        <v>48</v>
      </c>
      <c r="J4748" t="s">
        <v>139</v>
      </c>
      <c r="K4748">
        <v>1075.57</v>
      </c>
      <c r="L4748" t="s">
        <v>11180</v>
      </c>
      <c r="M4748">
        <f>VLOOKUP(H4748,'Stage Order'!$A$2:$B$8,2,FALSE)</f>
        <v>4</v>
      </c>
      <c r="N4748" t="str">
        <f t="shared" si="148"/>
        <v>2. 1-24 hours</v>
      </c>
      <c r="O4748" t="str">
        <f t="shared" si="149"/>
        <v>2025-08</v>
      </c>
    </row>
    <row r="4749" spans="1:15" x14ac:dyDescent="0.3">
      <c r="A4749" t="s">
        <v>11181</v>
      </c>
      <c r="B4749" t="s">
        <v>11182</v>
      </c>
      <c r="C4749" t="s">
        <v>53</v>
      </c>
      <c r="D4749" t="s">
        <v>38</v>
      </c>
      <c r="E4749" t="s">
        <v>59</v>
      </c>
      <c r="F4749" t="s">
        <v>137</v>
      </c>
      <c r="G4749">
        <v>0.9</v>
      </c>
      <c r="H4749" t="s">
        <v>138</v>
      </c>
      <c r="I4749" t="s">
        <v>48</v>
      </c>
      <c r="J4749" t="s">
        <v>139</v>
      </c>
      <c r="K4749">
        <v>375.04</v>
      </c>
      <c r="L4749" t="s">
        <v>11183</v>
      </c>
      <c r="M4749">
        <f>VLOOKUP(H4749,'Stage Order'!$A$2:$B$8,2,FALSE)</f>
        <v>6</v>
      </c>
      <c r="N4749" t="str">
        <f t="shared" si="148"/>
        <v>1. Under 1 hour</v>
      </c>
      <c r="O4749" t="str">
        <f t="shared" si="149"/>
        <v>2026-04</v>
      </c>
    </row>
    <row r="4750" spans="1:15" x14ac:dyDescent="0.3">
      <c r="A4750" t="s">
        <v>11184</v>
      </c>
      <c r="B4750" t="s">
        <v>11185</v>
      </c>
      <c r="C4750" t="s">
        <v>53</v>
      </c>
      <c r="D4750" t="s">
        <v>77</v>
      </c>
      <c r="E4750" t="s">
        <v>30</v>
      </c>
      <c r="F4750" t="s">
        <v>82</v>
      </c>
      <c r="G4750">
        <v>6.58</v>
      </c>
      <c r="H4750" t="s">
        <v>32</v>
      </c>
      <c r="I4750" t="s">
        <v>33</v>
      </c>
      <c r="K4750">
        <v>1057.6500000000001</v>
      </c>
      <c r="L4750" t="s">
        <v>11186</v>
      </c>
      <c r="M4750">
        <f>VLOOKUP(H4750,'Stage Order'!$A$2:$B$8,2,FALSE)</f>
        <v>7</v>
      </c>
      <c r="N4750" t="str">
        <f t="shared" si="148"/>
        <v>2. 1-24 hours</v>
      </c>
      <c r="O4750" t="str">
        <f t="shared" si="149"/>
        <v>2026-03</v>
      </c>
    </row>
    <row r="4751" spans="1:15" x14ac:dyDescent="0.3">
      <c r="A4751" t="s">
        <v>11187</v>
      </c>
      <c r="B4751" t="s">
        <v>11188</v>
      </c>
      <c r="C4751" t="s">
        <v>37</v>
      </c>
      <c r="D4751" t="s">
        <v>54</v>
      </c>
      <c r="E4751" t="s">
        <v>90</v>
      </c>
      <c r="F4751" t="s">
        <v>91</v>
      </c>
      <c r="G4751">
        <v>2.89</v>
      </c>
      <c r="H4751" t="s">
        <v>41</v>
      </c>
      <c r="I4751" t="s">
        <v>42</v>
      </c>
      <c r="M4751">
        <f>VLOOKUP(H4751,'Stage Order'!$A$2:$B$8,2,FALSE)</f>
        <v>2</v>
      </c>
      <c r="N4751" t="str">
        <f t="shared" si="148"/>
        <v>2. 1-24 hours</v>
      </c>
      <c r="O4751" t="str">
        <f t="shared" si="149"/>
        <v>2025-05</v>
      </c>
    </row>
    <row r="4752" spans="1:15" x14ac:dyDescent="0.3">
      <c r="A4752" t="s">
        <v>11189</v>
      </c>
      <c r="B4752" t="s">
        <v>11190</v>
      </c>
      <c r="C4752" t="s">
        <v>53</v>
      </c>
      <c r="D4752" t="s">
        <v>29</v>
      </c>
      <c r="E4752" t="s">
        <v>45</v>
      </c>
      <c r="F4752" t="s">
        <v>94</v>
      </c>
      <c r="G4752">
        <v>7.97</v>
      </c>
      <c r="H4752" t="s">
        <v>41</v>
      </c>
      <c r="I4752" t="s">
        <v>42</v>
      </c>
      <c r="M4752">
        <f>VLOOKUP(H4752,'Stage Order'!$A$2:$B$8,2,FALSE)</f>
        <v>2</v>
      </c>
      <c r="N4752" t="str">
        <f t="shared" si="148"/>
        <v>2. 1-24 hours</v>
      </c>
      <c r="O4752" t="str">
        <f t="shared" si="149"/>
        <v>2026-04</v>
      </c>
    </row>
    <row r="4753" spans="1:15" x14ac:dyDescent="0.3">
      <c r="A4753" t="s">
        <v>11191</v>
      </c>
      <c r="B4753" t="s">
        <v>11192</v>
      </c>
      <c r="C4753" t="s">
        <v>125</v>
      </c>
      <c r="D4753" t="s">
        <v>54</v>
      </c>
      <c r="E4753" t="s">
        <v>59</v>
      </c>
      <c r="F4753" t="s">
        <v>117</v>
      </c>
      <c r="G4753">
        <v>0.78</v>
      </c>
      <c r="H4753" t="s">
        <v>41</v>
      </c>
      <c r="I4753" t="s">
        <v>42</v>
      </c>
      <c r="M4753">
        <f>VLOOKUP(H4753,'Stage Order'!$A$2:$B$8,2,FALSE)</f>
        <v>2</v>
      </c>
      <c r="N4753" t="str">
        <f t="shared" si="148"/>
        <v>1. Under 1 hour</v>
      </c>
      <c r="O4753" t="str">
        <f t="shared" si="149"/>
        <v>2026-02</v>
      </c>
    </row>
    <row r="4754" spans="1:15" x14ac:dyDescent="0.3">
      <c r="A4754" t="s">
        <v>11193</v>
      </c>
      <c r="B4754" t="s">
        <v>11194</v>
      </c>
      <c r="C4754" t="s">
        <v>28</v>
      </c>
      <c r="D4754" t="s">
        <v>77</v>
      </c>
      <c r="E4754" t="s">
        <v>90</v>
      </c>
      <c r="F4754" t="s">
        <v>91</v>
      </c>
      <c r="G4754">
        <v>0.87</v>
      </c>
      <c r="H4754" t="s">
        <v>61</v>
      </c>
      <c r="I4754" t="s">
        <v>42</v>
      </c>
      <c r="M4754">
        <f>VLOOKUP(H4754,'Stage Order'!$A$2:$B$8,2,FALSE)</f>
        <v>1</v>
      </c>
      <c r="N4754" t="str">
        <f t="shared" si="148"/>
        <v>1. Under 1 hour</v>
      </c>
      <c r="O4754" t="str">
        <f t="shared" si="149"/>
        <v>2025-01</v>
      </c>
    </row>
    <row r="4755" spans="1:15" x14ac:dyDescent="0.3">
      <c r="A4755" t="s">
        <v>11195</v>
      </c>
      <c r="B4755" t="s">
        <v>11196</v>
      </c>
      <c r="C4755" t="s">
        <v>58</v>
      </c>
      <c r="D4755" t="s">
        <v>54</v>
      </c>
      <c r="E4755" t="s">
        <v>45</v>
      </c>
      <c r="F4755" t="s">
        <v>55</v>
      </c>
      <c r="G4755">
        <v>2.2799999999999998</v>
      </c>
      <c r="H4755" t="s">
        <v>47</v>
      </c>
      <c r="I4755" t="s">
        <v>48</v>
      </c>
      <c r="J4755" t="s">
        <v>49</v>
      </c>
      <c r="K4755">
        <v>488.07</v>
      </c>
      <c r="L4755" t="s">
        <v>11197</v>
      </c>
      <c r="M4755">
        <f>VLOOKUP(H4755,'Stage Order'!$A$2:$B$8,2,FALSE)</f>
        <v>4</v>
      </c>
      <c r="N4755" t="str">
        <f t="shared" si="148"/>
        <v>2. 1-24 hours</v>
      </c>
      <c r="O4755" t="str">
        <f t="shared" si="149"/>
        <v>2026-06</v>
      </c>
    </row>
    <row r="4756" spans="1:15" x14ac:dyDescent="0.3">
      <c r="A4756" t="s">
        <v>11198</v>
      </c>
      <c r="B4756" t="s">
        <v>11199</v>
      </c>
      <c r="C4756" t="s">
        <v>58</v>
      </c>
      <c r="D4756" t="s">
        <v>54</v>
      </c>
      <c r="E4756" t="s">
        <v>39</v>
      </c>
      <c r="F4756" t="s">
        <v>66</v>
      </c>
      <c r="G4756">
        <v>4.75</v>
      </c>
      <c r="H4756" t="s">
        <v>61</v>
      </c>
      <c r="I4756" t="s">
        <v>42</v>
      </c>
      <c r="M4756">
        <f>VLOOKUP(H4756,'Stage Order'!$A$2:$B$8,2,FALSE)</f>
        <v>1</v>
      </c>
      <c r="N4756" t="str">
        <f t="shared" si="148"/>
        <v>2. 1-24 hours</v>
      </c>
      <c r="O4756" t="str">
        <f t="shared" si="149"/>
        <v>2026-05</v>
      </c>
    </row>
    <row r="4757" spans="1:15" x14ac:dyDescent="0.3">
      <c r="A4757" t="s">
        <v>11200</v>
      </c>
      <c r="B4757" t="s">
        <v>11201</v>
      </c>
      <c r="C4757" t="s">
        <v>58</v>
      </c>
      <c r="D4757" t="s">
        <v>29</v>
      </c>
      <c r="E4757" t="s">
        <v>30</v>
      </c>
      <c r="F4757" t="s">
        <v>78</v>
      </c>
      <c r="G4757">
        <v>10.119999999999999</v>
      </c>
      <c r="H4757" t="s">
        <v>41</v>
      </c>
      <c r="I4757" t="s">
        <v>42</v>
      </c>
      <c r="M4757">
        <f>VLOOKUP(H4757,'Stage Order'!$A$2:$B$8,2,FALSE)</f>
        <v>2</v>
      </c>
      <c r="N4757" t="str">
        <f t="shared" si="148"/>
        <v>2. 1-24 hours</v>
      </c>
      <c r="O4757" t="str">
        <f t="shared" si="149"/>
        <v>2025-05</v>
      </c>
    </row>
    <row r="4758" spans="1:15" x14ac:dyDescent="0.3">
      <c r="A4758" t="s">
        <v>11202</v>
      </c>
      <c r="B4758" t="s">
        <v>11203</v>
      </c>
      <c r="C4758" t="s">
        <v>37</v>
      </c>
      <c r="D4758" t="s">
        <v>54</v>
      </c>
      <c r="E4758" t="s">
        <v>45</v>
      </c>
      <c r="F4758" t="s">
        <v>55</v>
      </c>
      <c r="G4758">
        <v>7.04</v>
      </c>
      <c r="H4758" t="s">
        <v>41</v>
      </c>
      <c r="I4758" t="s">
        <v>42</v>
      </c>
      <c r="M4758">
        <f>VLOOKUP(H4758,'Stage Order'!$A$2:$B$8,2,FALSE)</f>
        <v>2</v>
      </c>
      <c r="N4758" t="str">
        <f t="shared" si="148"/>
        <v>2. 1-24 hours</v>
      </c>
      <c r="O4758" t="str">
        <f t="shared" si="149"/>
        <v>2026-06</v>
      </c>
    </row>
    <row r="4759" spans="1:15" x14ac:dyDescent="0.3">
      <c r="A4759" t="s">
        <v>11204</v>
      </c>
      <c r="B4759" t="s">
        <v>11205</v>
      </c>
      <c r="C4759" t="s">
        <v>28</v>
      </c>
      <c r="D4759" t="s">
        <v>77</v>
      </c>
      <c r="E4759" t="s">
        <v>45</v>
      </c>
      <c r="F4759" t="s">
        <v>94</v>
      </c>
      <c r="G4759">
        <v>0.87</v>
      </c>
      <c r="H4759" t="s">
        <v>32</v>
      </c>
      <c r="I4759" t="s">
        <v>33</v>
      </c>
      <c r="K4759">
        <v>1116.19</v>
      </c>
      <c r="L4759" t="s">
        <v>11206</v>
      </c>
      <c r="M4759">
        <f>VLOOKUP(H4759,'Stage Order'!$A$2:$B$8,2,FALSE)</f>
        <v>7</v>
      </c>
      <c r="N4759" t="str">
        <f t="shared" si="148"/>
        <v>1. Under 1 hour</v>
      </c>
      <c r="O4759" t="str">
        <f t="shared" si="149"/>
        <v>2025-07</v>
      </c>
    </row>
    <row r="4760" spans="1:15" x14ac:dyDescent="0.3">
      <c r="A4760" t="s">
        <v>11207</v>
      </c>
      <c r="B4760" t="s">
        <v>11208</v>
      </c>
      <c r="C4760" t="s">
        <v>76</v>
      </c>
      <c r="D4760" t="s">
        <v>54</v>
      </c>
      <c r="E4760" t="s">
        <v>30</v>
      </c>
      <c r="F4760" t="s">
        <v>78</v>
      </c>
      <c r="G4760">
        <v>2.17</v>
      </c>
      <c r="H4760" t="s">
        <v>32</v>
      </c>
      <c r="I4760" t="s">
        <v>33</v>
      </c>
      <c r="K4760">
        <v>482.26</v>
      </c>
      <c r="L4760" t="s">
        <v>11209</v>
      </c>
      <c r="M4760">
        <f>VLOOKUP(H4760,'Stage Order'!$A$2:$B$8,2,FALSE)</f>
        <v>7</v>
      </c>
      <c r="N4760" t="str">
        <f t="shared" si="148"/>
        <v>2. 1-24 hours</v>
      </c>
      <c r="O4760" t="str">
        <f t="shared" si="149"/>
        <v>2026-01</v>
      </c>
    </row>
    <row r="4761" spans="1:15" x14ac:dyDescent="0.3">
      <c r="A4761" t="s">
        <v>11210</v>
      </c>
      <c r="B4761" t="s">
        <v>11211</v>
      </c>
      <c r="C4761" t="s">
        <v>76</v>
      </c>
      <c r="D4761" t="s">
        <v>77</v>
      </c>
      <c r="E4761" t="s">
        <v>90</v>
      </c>
      <c r="F4761" t="s">
        <v>91</v>
      </c>
      <c r="G4761">
        <v>3.88</v>
      </c>
      <c r="H4761" t="s">
        <v>146</v>
      </c>
      <c r="I4761" t="s">
        <v>48</v>
      </c>
      <c r="J4761" t="s">
        <v>98</v>
      </c>
      <c r="K4761">
        <v>889.29</v>
      </c>
      <c r="L4761" t="s">
        <v>11212</v>
      </c>
      <c r="M4761">
        <f>VLOOKUP(H4761,'Stage Order'!$A$2:$B$8,2,FALSE)</f>
        <v>5</v>
      </c>
      <c r="N4761" t="str">
        <f t="shared" si="148"/>
        <v>2. 1-24 hours</v>
      </c>
      <c r="O4761" t="str">
        <f t="shared" si="149"/>
        <v>2025-08</v>
      </c>
    </row>
    <row r="4762" spans="1:15" x14ac:dyDescent="0.3">
      <c r="A4762" t="s">
        <v>11213</v>
      </c>
      <c r="B4762" t="s">
        <v>11214</v>
      </c>
      <c r="C4762" t="s">
        <v>58</v>
      </c>
      <c r="D4762" t="s">
        <v>54</v>
      </c>
      <c r="E4762" t="s">
        <v>39</v>
      </c>
      <c r="F4762" t="s">
        <v>66</v>
      </c>
      <c r="G4762">
        <v>4.0199999999999996</v>
      </c>
      <c r="H4762" t="s">
        <v>61</v>
      </c>
      <c r="I4762" t="s">
        <v>42</v>
      </c>
      <c r="M4762">
        <f>VLOOKUP(H4762,'Stage Order'!$A$2:$B$8,2,FALSE)</f>
        <v>1</v>
      </c>
      <c r="N4762" t="str">
        <f t="shared" si="148"/>
        <v>2. 1-24 hours</v>
      </c>
      <c r="O4762" t="str">
        <f t="shared" si="149"/>
        <v>2025-05</v>
      </c>
    </row>
    <row r="4763" spans="1:15" x14ac:dyDescent="0.3">
      <c r="A4763" t="s">
        <v>11215</v>
      </c>
      <c r="B4763" t="s">
        <v>11216</v>
      </c>
      <c r="C4763" t="s">
        <v>37</v>
      </c>
      <c r="D4763" t="s">
        <v>77</v>
      </c>
      <c r="E4763" t="s">
        <v>45</v>
      </c>
      <c r="F4763" t="s">
        <v>94</v>
      </c>
      <c r="G4763">
        <v>4.17</v>
      </c>
      <c r="H4763" t="s">
        <v>41</v>
      </c>
      <c r="I4763" t="s">
        <v>42</v>
      </c>
      <c r="M4763">
        <f>VLOOKUP(H4763,'Stage Order'!$A$2:$B$8,2,FALSE)</f>
        <v>2</v>
      </c>
      <c r="N4763" t="str">
        <f t="shared" si="148"/>
        <v>2. 1-24 hours</v>
      </c>
      <c r="O4763" t="str">
        <f t="shared" si="149"/>
        <v>2025-05</v>
      </c>
    </row>
    <row r="4764" spans="1:15" x14ac:dyDescent="0.3">
      <c r="A4764" t="s">
        <v>11217</v>
      </c>
      <c r="B4764" t="s">
        <v>11218</v>
      </c>
      <c r="C4764" t="s">
        <v>125</v>
      </c>
      <c r="D4764" t="s">
        <v>54</v>
      </c>
      <c r="E4764" t="s">
        <v>39</v>
      </c>
      <c r="F4764" t="s">
        <v>66</v>
      </c>
      <c r="G4764">
        <v>2.71</v>
      </c>
      <c r="H4764" t="s">
        <v>61</v>
      </c>
      <c r="I4764" t="s">
        <v>42</v>
      </c>
      <c r="M4764">
        <f>VLOOKUP(H4764,'Stage Order'!$A$2:$B$8,2,FALSE)</f>
        <v>1</v>
      </c>
      <c r="N4764" t="str">
        <f t="shared" si="148"/>
        <v>2. 1-24 hours</v>
      </c>
      <c r="O4764" t="str">
        <f t="shared" si="149"/>
        <v>2025-10</v>
      </c>
    </row>
    <row r="4765" spans="1:15" x14ac:dyDescent="0.3">
      <c r="A4765" t="s">
        <v>11219</v>
      </c>
      <c r="B4765" t="s">
        <v>11220</v>
      </c>
      <c r="C4765" t="s">
        <v>53</v>
      </c>
      <c r="D4765" t="s">
        <v>77</v>
      </c>
      <c r="E4765" t="s">
        <v>45</v>
      </c>
      <c r="F4765" t="s">
        <v>46</v>
      </c>
      <c r="G4765">
        <v>2.16</v>
      </c>
      <c r="H4765" t="s">
        <v>32</v>
      </c>
      <c r="I4765" t="s">
        <v>33</v>
      </c>
      <c r="K4765">
        <v>1059.78</v>
      </c>
      <c r="L4765" t="s">
        <v>11221</v>
      </c>
      <c r="M4765">
        <f>VLOOKUP(H4765,'Stage Order'!$A$2:$B$8,2,FALSE)</f>
        <v>7</v>
      </c>
      <c r="N4765" t="str">
        <f t="shared" si="148"/>
        <v>2. 1-24 hours</v>
      </c>
      <c r="O4765" t="str">
        <f t="shared" si="149"/>
        <v>2026-03</v>
      </c>
    </row>
    <row r="4766" spans="1:15" x14ac:dyDescent="0.3">
      <c r="A4766" t="s">
        <v>11222</v>
      </c>
      <c r="B4766" t="s">
        <v>11223</v>
      </c>
      <c r="C4766" t="s">
        <v>125</v>
      </c>
      <c r="D4766" t="s">
        <v>54</v>
      </c>
      <c r="E4766" t="s">
        <v>59</v>
      </c>
      <c r="F4766" t="s">
        <v>117</v>
      </c>
      <c r="G4766">
        <v>4.29</v>
      </c>
      <c r="H4766" t="s">
        <v>32</v>
      </c>
      <c r="I4766" t="s">
        <v>33</v>
      </c>
      <c r="K4766">
        <v>532.32000000000005</v>
      </c>
      <c r="L4766" t="s">
        <v>11224</v>
      </c>
      <c r="M4766">
        <f>VLOOKUP(H4766,'Stage Order'!$A$2:$B$8,2,FALSE)</f>
        <v>7</v>
      </c>
      <c r="N4766" t="str">
        <f t="shared" si="148"/>
        <v>2. 1-24 hours</v>
      </c>
      <c r="O4766" t="str">
        <f t="shared" si="149"/>
        <v>2025-12</v>
      </c>
    </row>
    <row r="4767" spans="1:15" x14ac:dyDescent="0.3">
      <c r="A4767" t="s">
        <v>11225</v>
      </c>
      <c r="B4767" t="s">
        <v>11226</v>
      </c>
      <c r="C4767" t="s">
        <v>125</v>
      </c>
      <c r="D4767" t="s">
        <v>29</v>
      </c>
      <c r="E4767" t="s">
        <v>30</v>
      </c>
      <c r="F4767" t="s">
        <v>82</v>
      </c>
      <c r="G4767">
        <v>1.32</v>
      </c>
      <c r="H4767" t="s">
        <v>61</v>
      </c>
      <c r="I4767" t="s">
        <v>42</v>
      </c>
      <c r="M4767">
        <f>VLOOKUP(H4767,'Stage Order'!$A$2:$B$8,2,FALSE)</f>
        <v>1</v>
      </c>
      <c r="N4767" t="str">
        <f t="shared" si="148"/>
        <v>2. 1-24 hours</v>
      </c>
      <c r="O4767" t="str">
        <f t="shared" si="149"/>
        <v>2025-09</v>
      </c>
    </row>
    <row r="4768" spans="1:15" x14ac:dyDescent="0.3">
      <c r="A4768" t="s">
        <v>11227</v>
      </c>
      <c r="B4768" t="s">
        <v>11228</v>
      </c>
      <c r="C4768" t="s">
        <v>58</v>
      </c>
      <c r="D4768" t="s">
        <v>29</v>
      </c>
      <c r="E4768" t="s">
        <v>30</v>
      </c>
      <c r="F4768" t="s">
        <v>31</v>
      </c>
      <c r="G4768">
        <v>2.33</v>
      </c>
      <c r="H4768" t="s">
        <v>138</v>
      </c>
      <c r="I4768" t="s">
        <v>48</v>
      </c>
      <c r="J4768" t="s">
        <v>139</v>
      </c>
      <c r="K4768">
        <v>747.71</v>
      </c>
      <c r="L4768" t="s">
        <v>11229</v>
      </c>
      <c r="M4768">
        <f>VLOOKUP(H4768,'Stage Order'!$A$2:$B$8,2,FALSE)</f>
        <v>6</v>
      </c>
      <c r="N4768" t="str">
        <f t="shared" si="148"/>
        <v>2. 1-24 hours</v>
      </c>
      <c r="O4768" t="str">
        <f t="shared" si="149"/>
        <v>2025-07</v>
      </c>
    </row>
    <row r="4769" spans="1:15" x14ac:dyDescent="0.3">
      <c r="A4769" t="s">
        <v>11230</v>
      </c>
      <c r="B4769" t="s">
        <v>11231</v>
      </c>
      <c r="C4769" t="s">
        <v>28</v>
      </c>
      <c r="D4769" t="s">
        <v>54</v>
      </c>
      <c r="E4769" t="s">
        <v>59</v>
      </c>
      <c r="F4769" t="s">
        <v>137</v>
      </c>
      <c r="G4769">
        <v>2.4300000000000002</v>
      </c>
      <c r="H4769" t="s">
        <v>41</v>
      </c>
      <c r="I4769" t="s">
        <v>42</v>
      </c>
      <c r="M4769">
        <f>VLOOKUP(H4769,'Stage Order'!$A$2:$B$8,2,FALSE)</f>
        <v>2</v>
      </c>
      <c r="N4769" t="str">
        <f t="shared" si="148"/>
        <v>2. 1-24 hours</v>
      </c>
      <c r="O4769" t="str">
        <f t="shared" si="149"/>
        <v>2025-09</v>
      </c>
    </row>
    <row r="4770" spans="1:15" x14ac:dyDescent="0.3">
      <c r="A4770" t="s">
        <v>11232</v>
      </c>
      <c r="B4770" t="s">
        <v>11233</v>
      </c>
      <c r="C4770" t="s">
        <v>53</v>
      </c>
      <c r="D4770" t="s">
        <v>29</v>
      </c>
      <c r="E4770" t="s">
        <v>59</v>
      </c>
      <c r="F4770" t="s">
        <v>117</v>
      </c>
      <c r="G4770">
        <v>5.65</v>
      </c>
      <c r="H4770" t="s">
        <v>47</v>
      </c>
      <c r="I4770" t="s">
        <v>48</v>
      </c>
      <c r="J4770" t="s">
        <v>98</v>
      </c>
      <c r="K4770">
        <v>579.92999999999995</v>
      </c>
      <c r="L4770" t="s">
        <v>11234</v>
      </c>
      <c r="M4770">
        <f>VLOOKUP(H4770,'Stage Order'!$A$2:$B$8,2,FALSE)</f>
        <v>4</v>
      </c>
      <c r="N4770" t="str">
        <f t="shared" si="148"/>
        <v>2. 1-24 hours</v>
      </c>
      <c r="O4770" t="str">
        <f t="shared" si="149"/>
        <v>2025-08</v>
      </c>
    </row>
    <row r="4771" spans="1:15" x14ac:dyDescent="0.3">
      <c r="A4771" t="s">
        <v>11235</v>
      </c>
      <c r="B4771" t="s">
        <v>11236</v>
      </c>
      <c r="C4771" t="s">
        <v>76</v>
      </c>
      <c r="D4771" t="s">
        <v>97</v>
      </c>
      <c r="E4771" t="s">
        <v>59</v>
      </c>
      <c r="F4771" t="s">
        <v>137</v>
      </c>
      <c r="G4771">
        <v>3.18</v>
      </c>
      <c r="H4771" t="s">
        <v>146</v>
      </c>
      <c r="I4771" t="s">
        <v>48</v>
      </c>
      <c r="J4771" t="s">
        <v>139</v>
      </c>
      <c r="K4771">
        <v>1501.29</v>
      </c>
      <c r="L4771" t="s">
        <v>11237</v>
      </c>
      <c r="M4771">
        <f>VLOOKUP(H4771,'Stage Order'!$A$2:$B$8,2,FALSE)</f>
        <v>5</v>
      </c>
      <c r="N4771" t="str">
        <f t="shared" si="148"/>
        <v>2. 1-24 hours</v>
      </c>
      <c r="O4771" t="str">
        <f t="shared" si="149"/>
        <v>2025-02</v>
      </c>
    </row>
    <row r="4772" spans="1:15" x14ac:dyDescent="0.3">
      <c r="A4772" t="s">
        <v>11238</v>
      </c>
      <c r="B4772" t="s">
        <v>11239</v>
      </c>
      <c r="C4772" t="s">
        <v>58</v>
      </c>
      <c r="D4772" t="s">
        <v>77</v>
      </c>
      <c r="E4772" t="s">
        <v>59</v>
      </c>
      <c r="F4772" t="s">
        <v>60</v>
      </c>
      <c r="G4772">
        <v>5.98</v>
      </c>
      <c r="H4772" t="s">
        <v>61</v>
      </c>
      <c r="I4772" t="s">
        <v>42</v>
      </c>
      <c r="M4772">
        <f>VLOOKUP(H4772,'Stage Order'!$A$2:$B$8,2,FALSE)</f>
        <v>1</v>
      </c>
      <c r="N4772" t="str">
        <f t="shared" si="148"/>
        <v>2. 1-24 hours</v>
      </c>
      <c r="O4772" t="str">
        <f t="shared" si="149"/>
        <v>2025-01</v>
      </c>
    </row>
    <row r="4773" spans="1:15" x14ac:dyDescent="0.3">
      <c r="A4773" t="s">
        <v>11240</v>
      </c>
      <c r="B4773" t="s">
        <v>11241</v>
      </c>
      <c r="C4773" t="s">
        <v>125</v>
      </c>
      <c r="D4773" t="s">
        <v>54</v>
      </c>
      <c r="E4773" t="s">
        <v>39</v>
      </c>
      <c r="F4773" t="s">
        <v>66</v>
      </c>
      <c r="G4773">
        <v>4.62</v>
      </c>
      <c r="H4773" t="s">
        <v>61</v>
      </c>
      <c r="I4773" t="s">
        <v>42</v>
      </c>
      <c r="M4773">
        <f>VLOOKUP(H4773,'Stage Order'!$A$2:$B$8,2,FALSE)</f>
        <v>1</v>
      </c>
      <c r="N4773" t="str">
        <f t="shared" si="148"/>
        <v>2. 1-24 hours</v>
      </c>
      <c r="O4773" t="str">
        <f t="shared" si="149"/>
        <v>2025-06</v>
      </c>
    </row>
    <row r="4774" spans="1:15" x14ac:dyDescent="0.3">
      <c r="A4774" t="s">
        <v>11242</v>
      </c>
      <c r="B4774" t="s">
        <v>11243</v>
      </c>
      <c r="C4774" t="s">
        <v>37</v>
      </c>
      <c r="D4774" t="s">
        <v>97</v>
      </c>
      <c r="E4774" t="s">
        <v>90</v>
      </c>
      <c r="F4774" t="s">
        <v>91</v>
      </c>
      <c r="G4774">
        <v>0.9</v>
      </c>
      <c r="H4774" t="s">
        <v>61</v>
      </c>
      <c r="I4774" t="s">
        <v>42</v>
      </c>
      <c r="M4774">
        <f>VLOOKUP(H4774,'Stage Order'!$A$2:$B$8,2,FALSE)</f>
        <v>1</v>
      </c>
      <c r="N4774" t="str">
        <f t="shared" si="148"/>
        <v>1. Under 1 hour</v>
      </c>
      <c r="O4774" t="str">
        <f t="shared" si="149"/>
        <v>2025-07</v>
      </c>
    </row>
    <row r="4775" spans="1:15" x14ac:dyDescent="0.3">
      <c r="A4775" t="s">
        <v>11244</v>
      </c>
      <c r="B4775" t="s">
        <v>11245</v>
      </c>
      <c r="C4775" t="s">
        <v>81</v>
      </c>
      <c r="D4775" t="s">
        <v>29</v>
      </c>
      <c r="E4775" t="s">
        <v>59</v>
      </c>
      <c r="F4775" t="s">
        <v>117</v>
      </c>
      <c r="G4775">
        <v>0.88</v>
      </c>
      <c r="H4775" t="s">
        <v>41</v>
      </c>
      <c r="I4775" t="s">
        <v>42</v>
      </c>
      <c r="M4775">
        <f>VLOOKUP(H4775,'Stage Order'!$A$2:$B$8,2,FALSE)</f>
        <v>2</v>
      </c>
      <c r="N4775" t="str">
        <f t="shared" si="148"/>
        <v>1. Under 1 hour</v>
      </c>
      <c r="O4775" t="str">
        <f t="shared" si="149"/>
        <v>2026-01</v>
      </c>
    </row>
    <row r="4776" spans="1:15" x14ac:dyDescent="0.3">
      <c r="A4776" t="s">
        <v>11246</v>
      </c>
      <c r="B4776" t="s">
        <v>11247</v>
      </c>
      <c r="C4776" t="s">
        <v>76</v>
      </c>
      <c r="D4776" t="s">
        <v>29</v>
      </c>
      <c r="E4776" t="s">
        <v>45</v>
      </c>
      <c r="F4776" t="s">
        <v>94</v>
      </c>
      <c r="G4776">
        <v>5.19</v>
      </c>
      <c r="H4776" t="s">
        <v>41</v>
      </c>
      <c r="I4776" t="s">
        <v>42</v>
      </c>
      <c r="M4776">
        <f>VLOOKUP(H4776,'Stage Order'!$A$2:$B$8,2,FALSE)</f>
        <v>2</v>
      </c>
      <c r="N4776" t="str">
        <f t="shared" si="148"/>
        <v>2. 1-24 hours</v>
      </c>
      <c r="O4776" t="str">
        <f t="shared" si="149"/>
        <v>2025-08</v>
      </c>
    </row>
    <row r="4777" spans="1:15" x14ac:dyDescent="0.3">
      <c r="A4777" t="s">
        <v>11248</v>
      </c>
      <c r="B4777" t="s">
        <v>11249</v>
      </c>
      <c r="C4777" t="s">
        <v>37</v>
      </c>
      <c r="D4777" t="s">
        <v>77</v>
      </c>
      <c r="E4777" t="s">
        <v>59</v>
      </c>
      <c r="F4777" t="s">
        <v>117</v>
      </c>
      <c r="G4777">
        <v>28.64</v>
      </c>
      <c r="H4777" t="s">
        <v>41</v>
      </c>
      <c r="I4777" t="s">
        <v>42</v>
      </c>
      <c r="M4777">
        <f>VLOOKUP(H4777,'Stage Order'!$A$2:$B$8,2,FALSE)</f>
        <v>2</v>
      </c>
      <c r="N4777" t="str">
        <f t="shared" si="148"/>
        <v>3. 1-3 days</v>
      </c>
      <c r="O4777" t="str">
        <f t="shared" si="149"/>
        <v>2025-01</v>
      </c>
    </row>
    <row r="4778" spans="1:15" x14ac:dyDescent="0.3">
      <c r="A4778" t="s">
        <v>11250</v>
      </c>
      <c r="B4778" t="s">
        <v>11251</v>
      </c>
      <c r="C4778" t="s">
        <v>37</v>
      </c>
      <c r="D4778" t="s">
        <v>38</v>
      </c>
      <c r="E4778" t="s">
        <v>59</v>
      </c>
      <c r="F4778" t="s">
        <v>60</v>
      </c>
      <c r="G4778">
        <v>2.0499999999999998</v>
      </c>
      <c r="H4778" t="s">
        <v>146</v>
      </c>
      <c r="I4778" t="s">
        <v>48</v>
      </c>
      <c r="J4778" t="s">
        <v>113</v>
      </c>
      <c r="K4778">
        <v>354.89</v>
      </c>
      <c r="L4778" t="s">
        <v>11252</v>
      </c>
      <c r="M4778">
        <f>VLOOKUP(H4778,'Stage Order'!$A$2:$B$8,2,FALSE)</f>
        <v>5</v>
      </c>
      <c r="N4778" t="str">
        <f t="shared" si="148"/>
        <v>2. 1-24 hours</v>
      </c>
      <c r="O4778" t="str">
        <f t="shared" si="149"/>
        <v>2026-05</v>
      </c>
    </row>
    <row r="4779" spans="1:15" x14ac:dyDescent="0.3">
      <c r="A4779" t="s">
        <v>11253</v>
      </c>
      <c r="B4779" t="s">
        <v>11254</v>
      </c>
      <c r="C4779" t="s">
        <v>53</v>
      </c>
      <c r="D4779" t="s">
        <v>38</v>
      </c>
      <c r="E4779" t="s">
        <v>39</v>
      </c>
      <c r="F4779" t="s">
        <v>66</v>
      </c>
      <c r="G4779">
        <v>3.16</v>
      </c>
      <c r="H4779" t="s">
        <v>41</v>
      </c>
      <c r="I4779" t="s">
        <v>42</v>
      </c>
      <c r="M4779">
        <f>VLOOKUP(H4779,'Stage Order'!$A$2:$B$8,2,FALSE)</f>
        <v>2</v>
      </c>
      <c r="N4779" t="str">
        <f t="shared" si="148"/>
        <v>2. 1-24 hours</v>
      </c>
      <c r="O4779" t="str">
        <f t="shared" si="149"/>
        <v>2026-04</v>
      </c>
    </row>
    <row r="4780" spans="1:15" x14ac:dyDescent="0.3">
      <c r="A4780" t="s">
        <v>11255</v>
      </c>
      <c r="B4780" t="s">
        <v>11256</v>
      </c>
      <c r="C4780" t="s">
        <v>125</v>
      </c>
      <c r="D4780" t="s">
        <v>54</v>
      </c>
      <c r="E4780" t="s">
        <v>90</v>
      </c>
      <c r="F4780" t="s">
        <v>145</v>
      </c>
      <c r="G4780">
        <v>8.58</v>
      </c>
      <c r="H4780" t="s">
        <v>41</v>
      </c>
      <c r="I4780" t="s">
        <v>42</v>
      </c>
      <c r="M4780">
        <f>VLOOKUP(H4780,'Stage Order'!$A$2:$B$8,2,FALSE)</f>
        <v>2</v>
      </c>
      <c r="N4780" t="str">
        <f t="shared" si="148"/>
        <v>2. 1-24 hours</v>
      </c>
      <c r="O4780" t="str">
        <f t="shared" si="149"/>
        <v>2025-12</v>
      </c>
    </row>
    <row r="4781" spans="1:15" x14ac:dyDescent="0.3">
      <c r="A4781" t="s">
        <v>11257</v>
      </c>
      <c r="B4781" t="s">
        <v>11258</v>
      </c>
      <c r="C4781" t="s">
        <v>37</v>
      </c>
      <c r="D4781" t="s">
        <v>77</v>
      </c>
      <c r="E4781" t="s">
        <v>45</v>
      </c>
      <c r="F4781" t="s">
        <v>55</v>
      </c>
      <c r="G4781">
        <v>6.29</v>
      </c>
      <c r="H4781" t="s">
        <v>61</v>
      </c>
      <c r="I4781" t="s">
        <v>42</v>
      </c>
      <c r="M4781">
        <f>VLOOKUP(H4781,'Stage Order'!$A$2:$B$8,2,FALSE)</f>
        <v>1</v>
      </c>
      <c r="N4781" t="str">
        <f t="shared" si="148"/>
        <v>2. 1-24 hours</v>
      </c>
      <c r="O4781" t="str">
        <f t="shared" si="149"/>
        <v>2025-12</v>
      </c>
    </row>
    <row r="4782" spans="1:15" x14ac:dyDescent="0.3">
      <c r="A4782" t="s">
        <v>11259</v>
      </c>
      <c r="B4782" t="s">
        <v>11260</v>
      </c>
      <c r="C4782" t="s">
        <v>58</v>
      </c>
      <c r="D4782" t="s">
        <v>54</v>
      </c>
      <c r="E4782" t="s">
        <v>45</v>
      </c>
      <c r="F4782" t="s">
        <v>94</v>
      </c>
      <c r="G4782">
        <v>0.61</v>
      </c>
      <c r="H4782" t="s">
        <v>146</v>
      </c>
      <c r="I4782" t="s">
        <v>48</v>
      </c>
      <c r="J4782" t="s">
        <v>98</v>
      </c>
      <c r="K4782">
        <v>582.41</v>
      </c>
      <c r="L4782" t="s">
        <v>11261</v>
      </c>
      <c r="M4782">
        <f>VLOOKUP(H4782,'Stage Order'!$A$2:$B$8,2,FALSE)</f>
        <v>5</v>
      </c>
      <c r="N4782" t="str">
        <f t="shared" si="148"/>
        <v>1. Under 1 hour</v>
      </c>
      <c r="O4782" t="str">
        <f t="shared" si="149"/>
        <v>2025-10</v>
      </c>
    </row>
    <row r="4783" spans="1:15" x14ac:dyDescent="0.3">
      <c r="A4783" t="s">
        <v>11262</v>
      </c>
      <c r="B4783" t="s">
        <v>11263</v>
      </c>
      <c r="C4783" t="s">
        <v>58</v>
      </c>
      <c r="D4783" t="s">
        <v>54</v>
      </c>
      <c r="E4783" t="s">
        <v>90</v>
      </c>
      <c r="F4783" t="s">
        <v>145</v>
      </c>
      <c r="G4783">
        <v>2.6</v>
      </c>
      <c r="H4783" t="s">
        <v>41</v>
      </c>
      <c r="I4783" t="s">
        <v>42</v>
      </c>
      <c r="M4783">
        <f>VLOOKUP(H4783,'Stage Order'!$A$2:$B$8,2,FALSE)</f>
        <v>2</v>
      </c>
      <c r="N4783" t="str">
        <f t="shared" si="148"/>
        <v>2. 1-24 hours</v>
      </c>
      <c r="O4783" t="str">
        <f t="shared" si="149"/>
        <v>2025-10</v>
      </c>
    </row>
    <row r="4784" spans="1:15" x14ac:dyDescent="0.3">
      <c r="A4784" t="s">
        <v>11264</v>
      </c>
      <c r="B4784" t="s">
        <v>11265</v>
      </c>
      <c r="C4784" t="s">
        <v>37</v>
      </c>
      <c r="D4784" t="s">
        <v>77</v>
      </c>
      <c r="E4784" t="s">
        <v>45</v>
      </c>
      <c r="F4784" t="s">
        <v>46</v>
      </c>
      <c r="G4784">
        <v>3.29</v>
      </c>
      <c r="H4784" t="s">
        <v>138</v>
      </c>
      <c r="I4784" t="s">
        <v>48</v>
      </c>
      <c r="J4784" t="s">
        <v>139</v>
      </c>
      <c r="K4784">
        <v>822.56</v>
      </c>
      <c r="L4784" t="s">
        <v>11266</v>
      </c>
      <c r="M4784">
        <f>VLOOKUP(H4784,'Stage Order'!$A$2:$B$8,2,FALSE)</f>
        <v>6</v>
      </c>
      <c r="N4784" t="str">
        <f t="shared" si="148"/>
        <v>2. 1-24 hours</v>
      </c>
      <c r="O4784" t="str">
        <f t="shared" si="149"/>
        <v>2025-05</v>
      </c>
    </row>
    <row r="4785" spans="1:15" x14ac:dyDescent="0.3">
      <c r="A4785" t="s">
        <v>11267</v>
      </c>
      <c r="B4785" t="s">
        <v>11268</v>
      </c>
      <c r="C4785" t="s">
        <v>37</v>
      </c>
      <c r="D4785" t="s">
        <v>54</v>
      </c>
      <c r="E4785" t="s">
        <v>45</v>
      </c>
      <c r="F4785" t="s">
        <v>55</v>
      </c>
      <c r="G4785">
        <v>9.75</v>
      </c>
      <c r="H4785" t="s">
        <v>146</v>
      </c>
      <c r="I4785" t="s">
        <v>48</v>
      </c>
      <c r="J4785" t="s">
        <v>113</v>
      </c>
      <c r="K4785">
        <v>457.32</v>
      </c>
      <c r="L4785" t="s">
        <v>11269</v>
      </c>
      <c r="M4785">
        <f>VLOOKUP(H4785,'Stage Order'!$A$2:$B$8,2,FALSE)</f>
        <v>5</v>
      </c>
      <c r="N4785" t="str">
        <f t="shared" si="148"/>
        <v>2. 1-24 hours</v>
      </c>
      <c r="O4785" t="str">
        <f t="shared" si="149"/>
        <v>2025-12</v>
      </c>
    </row>
    <row r="4786" spans="1:15" x14ac:dyDescent="0.3">
      <c r="A4786" t="s">
        <v>11270</v>
      </c>
      <c r="B4786" t="s">
        <v>11271</v>
      </c>
      <c r="C4786" t="s">
        <v>125</v>
      </c>
      <c r="D4786" t="s">
        <v>29</v>
      </c>
      <c r="E4786" t="s">
        <v>39</v>
      </c>
      <c r="F4786" t="s">
        <v>106</v>
      </c>
      <c r="G4786">
        <v>3.02</v>
      </c>
      <c r="H4786" t="s">
        <v>41</v>
      </c>
      <c r="I4786" t="s">
        <v>42</v>
      </c>
      <c r="M4786">
        <f>VLOOKUP(H4786,'Stage Order'!$A$2:$B$8,2,FALSE)</f>
        <v>2</v>
      </c>
      <c r="N4786" t="str">
        <f t="shared" si="148"/>
        <v>2. 1-24 hours</v>
      </c>
      <c r="O4786" t="str">
        <f t="shared" si="149"/>
        <v>2025-06</v>
      </c>
    </row>
    <row r="4787" spans="1:15" x14ac:dyDescent="0.3">
      <c r="A4787" t="s">
        <v>11272</v>
      </c>
      <c r="B4787" t="s">
        <v>11273</v>
      </c>
      <c r="C4787" t="s">
        <v>37</v>
      </c>
      <c r="D4787" t="s">
        <v>29</v>
      </c>
      <c r="E4787" t="s">
        <v>39</v>
      </c>
      <c r="F4787" t="s">
        <v>106</v>
      </c>
      <c r="G4787">
        <v>0.27</v>
      </c>
      <c r="H4787" t="s">
        <v>32</v>
      </c>
      <c r="I4787" t="s">
        <v>33</v>
      </c>
      <c r="K4787">
        <v>680.01</v>
      </c>
      <c r="L4787" t="s">
        <v>11274</v>
      </c>
      <c r="M4787">
        <f>VLOOKUP(H4787,'Stage Order'!$A$2:$B$8,2,FALSE)</f>
        <v>7</v>
      </c>
      <c r="N4787" t="str">
        <f t="shared" si="148"/>
        <v>1. Under 1 hour</v>
      </c>
      <c r="O4787" t="str">
        <f t="shared" si="149"/>
        <v>2025-04</v>
      </c>
    </row>
    <row r="4788" spans="1:15" x14ac:dyDescent="0.3">
      <c r="A4788" t="s">
        <v>11275</v>
      </c>
      <c r="B4788" t="s">
        <v>11276</v>
      </c>
      <c r="C4788" t="s">
        <v>125</v>
      </c>
      <c r="D4788" t="s">
        <v>97</v>
      </c>
      <c r="E4788" t="s">
        <v>30</v>
      </c>
      <c r="F4788" t="s">
        <v>31</v>
      </c>
      <c r="G4788">
        <v>3.44</v>
      </c>
      <c r="H4788" t="s">
        <v>47</v>
      </c>
      <c r="I4788" t="s">
        <v>48</v>
      </c>
      <c r="J4788" t="s">
        <v>113</v>
      </c>
      <c r="K4788">
        <v>1283.31</v>
      </c>
      <c r="L4788" t="s">
        <v>11277</v>
      </c>
      <c r="M4788">
        <f>VLOOKUP(H4788,'Stage Order'!$A$2:$B$8,2,FALSE)</f>
        <v>4</v>
      </c>
      <c r="N4788" t="str">
        <f t="shared" si="148"/>
        <v>2. 1-24 hours</v>
      </c>
      <c r="O4788" t="str">
        <f t="shared" si="149"/>
        <v>2025-11</v>
      </c>
    </row>
    <row r="4789" spans="1:15" x14ac:dyDescent="0.3">
      <c r="A4789" t="s">
        <v>11278</v>
      </c>
      <c r="B4789" t="s">
        <v>11279</v>
      </c>
      <c r="C4789" t="s">
        <v>125</v>
      </c>
      <c r="D4789" t="s">
        <v>97</v>
      </c>
      <c r="E4789" t="s">
        <v>45</v>
      </c>
      <c r="F4789" t="s">
        <v>94</v>
      </c>
      <c r="G4789">
        <v>4.33</v>
      </c>
      <c r="H4789" t="s">
        <v>41</v>
      </c>
      <c r="I4789" t="s">
        <v>42</v>
      </c>
      <c r="M4789">
        <f>VLOOKUP(H4789,'Stage Order'!$A$2:$B$8,2,FALSE)</f>
        <v>2</v>
      </c>
      <c r="N4789" t="str">
        <f t="shared" si="148"/>
        <v>2. 1-24 hours</v>
      </c>
      <c r="O4789" t="str">
        <f t="shared" si="149"/>
        <v>2026-05</v>
      </c>
    </row>
    <row r="4790" spans="1:15" x14ac:dyDescent="0.3">
      <c r="A4790" t="s">
        <v>11280</v>
      </c>
      <c r="B4790" t="s">
        <v>11281</v>
      </c>
      <c r="C4790" t="s">
        <v>125</v>
      </c>
      <c r="D4790" t="s">
        <v>54</v>
      </c>
      <c r="E4790" t="s">
        <v>39</v>
      </c>
      <c r="F4790" t="s">
        <v>40</v>
      </c>
      <c r="G4790">
        <v>13.85</v>
      </c>
      <c r="H4790" t="s">
        <v>47</v>
      </c>
      <c r="I4790" t="s">
        <v>48</v>
      </c>
      <c r="J4790" t="s">
        <v>139</v>
      </c>
      <c r="K4790">
        <v>529.67999999999995</v>
      </c>
      <c r="L4790" t="s">
        <v>11282</v>
      </c>
      <c r="M4790">
        <f>VLOOKUP(H4790,'Stage Order'!$A$2:$B$8,2,FALSE)</f>
        <v>4</v>
      </c>
      <c r="N4790" t="str">
        <f t="shared" si="148"/>
        <v>2. 1-24 hours</v>
      </c>
      <c r="O4790" t="str">
        <f t="shared" si="149"/>
        <v>2025-07</v>
      </c>
    </row>
    <row r="4791" spans="1:15" x14ac:dyDescent="0.3">
      <c r="A4791" t="s">
        <v>11283</v>
      </c>
      <c r="B4791" t="s">
        <v>11284</v>
      </c>
      <c r="C4791" t="s">
        <v>58</v>
      </c>
      <c r="D4791" t="s">
        <v>38</v>
      </c>
      <c r="E4791" t="s">
        <v>45</v>
      </c>
      <c r="F4791" t="s">
        <v>46</v>
      </c>
      <c r="G4791">
        <v>5.12</v>
      </c>
      <c r="H4791" t="s">
        <v>32</v>
      </c>
      <c r="I4791" t="s">
        <v>33</v>
      </c>
      <c r="K4791">
        <v>375.18</v>
      </c>
      <c r="L4791" t="s">
        <v>11285</v>
      </c>
      <c r="M4791">
        <f>VLOOKUP(H4791,'Stage Order'!$A$2:$B$8,2,FALSE)</f>
        <v>7</v>
      </c>
      <c r="N4791" t="str">
        <f t="shared" si="148"/>
        <v>2. 1-24 hours</v>
      </c>
      <c r="O4791" t="str">
        <f t="shared" si="149"/>
        <v>2025-10</v>
      </c>
    </row>
    <row r="4792" spans="1:15" x14ac:dyDescent="0.3">
      <c r="A4792" t="s">
        <v>11286</v>
      </c>
      <c r="B4792" t="s">
        <v>11287</v>
      </c>
      <c r="C4792" t="s">
        <v>58</v>
      </c>
      <c r="D4792" t="s">
        <v>38</v>
      </c>
      <c r="E4792" t="s">
        <v>45</v>
      </c>
      <c r="F4792" t="s">
        <v>94</v>
      </c>
      <c r="G4792">
        <v>4.4400000000000004</v>
      </c>
      <c r="H4792" t="s">
        <v>41</v>
      </c>
      <c r="I4792" t="s">
        <v>42</v>
      </c>
      <c r="M4792">
        <f>VLOOKUP(H4792,'Stage Order'!$A$2:$B$8,2,FALSE)</f>
        <v>2</v>
      </c>
      <c r="N4792" t="str">
        <f t="shared" si="148"/>
        <v>2. 1-24 hours</v>
      </c>
      <c r="O4792" t="str">
        <f t="shared" si="149"/>
        <v>2026-03</v>
      </c>
    </row>
    <row r="4793" spans="1:15" x14ac:dyDescent="0.3">
      <c r="A4793" t="s">
        <v>11288</v>
      </c>
      <c r="B4793" t="s">
        <v>11289</v>
      </c>
      <c r="C4793" t="s">
        <v>58</v>
      </c>
      <c r="D4793" t="s">
        <v>97</v>
      </c>
      <c r="E4793" t="s">
        <v>30</v>
      </c>
      <c r="F4793" t="s">
        <v>82</v>
      </c>
      <c r="G4793">
        <v>3.98</v>
      </c>
      <c r="H4793" t="s">
        <v>146</v>
      </c>
      <c r="I4793" t="s">
        <v>48</v>
      </c>
      <c r="J4793" t="s">
        <v>49</v>
      </c>
      <c r="K4793">
        <v>1264.7</v>
      </c>
      <c r="L4793" t="s">
        <v>11290</v>
      </c>
      <c r="M4793">
        <f>VLOOKUP(H4793,'Stage Order'!$A$2:$B$8,2,FALSE)</f>
        <v>5</v>
      </c>
      <c r="N4793" t="str">
        <f t="shared" si="148"/>
        <v>2. 1-24 hours</v>
      </c>
      <c r="O4793" t="str">
        <f t="shared" si="149"/>
        <v>2026-04</v>
      </c>
    </row>
    <row r="4794" spans="1:15" x14ac:dyDescent="0.3">
      <c r="A4794" t="s">
        <v>11291</v>
      </c>
      <c r="B4794" t="s">
        <v>11292</v>
      </c>
      <c r="C4794" t="s">
        <v>76</v>
      </c>
      <c r="D4794" t="s">
        <v>29</v>
      </c>
      <c r="E4794" t="s">
        <v>59</v>
      </c>
      <c r="F4794" t="s">
        <v>117</v>
      </c>
      <c r="G4794">
        <v>0.57999999999999996</v>
      </c>
      <c r="H4794" t="s">
        <v>32</v>
      </c>
      <c r="I4794" t="s">
        <v>33</v>
      </c>
      <c r="K4794">
        <v>717.39</v>
      </c>
      <c r="L4794" t="s">
        <v>11293</v>
      </c>
      <c r="M4794">
        <f>VLOOKUP(H4794,'Stage Order'!$A$2:$B$8,2,FALSE)</f>
        <v>7</v>
      </c>
      <c r="N4794" t="str">
        <f t="shared" si="148"/>
        <v>1. Under 1 hour</v>
      </c>
      <c r="O4794" t="str">
        <f t="shared" si="149"/>
        <v>2025-07</v>
      </c>
    </row>
    <row r="4795" spans="1:15" x14ac:dyDescent="0.3">
      <c r="A4795" t="s">
        <v>11294</v>
      </c>
      <c r="B4795" t="s">
        <v>11295</v>
      </c>
      <c r="C4795" t="s">
        <v>37</v>
      </c>
      <c r="D4795" t="s">
        <v>38</v>
      </c>
      <c r="E4795" t="s">
        <v>39</v>
      </c>
      <c r="F4795" t="s">
        <v>106</v>
      </c>
      <c r="G4795">
        <v>19.36</v>
      </c>
      <c r="H4795" t="s">
        <v>41</v>
      </c>
      <c r="I4795" t="s">
        <v>42</v>
      </c>
      <c r="M4795">
        <f>VLOOKUP(H4795,'Stage Order'!$A$2:$B$8,2,FALSE)</f>
        <v>2</v>
      </c>
      <c r="N4795" t="str">
        <f t="shared" si="148"/>
        <v>2. 1-24 hours</v>
      </c>
      <c r="O4795" t="str">
        <f t="shared" si="149"/>
        <v>2025-04</v>
      </c>
    </row>
    <row r="4796" spans="1:15" x14ac:dyDescent="0.3">
      <c r="A4796" t="s">
        <v>11296</v>
      </c>
      <c r="B4796" t="s">
        <v>11297</v>
      </c>
      <c r="C4796" t="s">
        <v>76</v>
      </c>
      <c r="D4796" t="s">
        <v>29</v>
      </c>
      <c r="E4796" t="s">
        <v>39</v>
      </c>
      <c r="F4796" t="s">
        <v>40</v>
      </c>
      <c r="G4796">
        <v>2.2799999999999998</v>
      </c>
      <c r="H4796" t="s">
        <v>61</v>
      </c>
      <c r="I4796" t="s">
        <v>42</v>
      </c>
      <c r="M4796">
        <f>VLOOKUP(H4796,'Stage Order'!$A$2:$B$8,2,FALSE)</f>
        <v>1</v>
      </c>
      <c r="N4796" t="str">
        <f t="shared" si="148"/>
        <v>2. 1-24 hours</v>
      </c>
      <c r="O4796" t="str">
        <f t="shared" si="149"/>
        <v>2025-12</v>
      </c>
    </row>
    <row r="4797" spans="1:15" x14ac:dyDescent="0.3">
      <c r="A4797" t="s">
        <v>11298</v>
      </c>
      <c r="B4797" t="s">
        <v>11299</v>
      </c>
      <c r="C4797" t="s">
        <v>58</v>
      </c>
      <c r="D4797" t="s">
        <v>38</v>
      </c>
      <c r="E4797" t="s">
        <v>45</v>
      </c>
      <c r="F4797" t="s">
        <v>55</v>
      </c>
      <c r="G4797">
        <v>10.45</v>
      </c>
      <c r="H4797" t="s">
        <v>128</v>
      </c>
      <c r="I4797" t="s">
        <v>42</v>
      </c>
      <c r="M4797">
        <f>VLOOKUP(H4797,'Stage Order'!$A$2:$B$8,2,FALSE)</f>
        <v>3</v>
      </c>
      <c r="N4797" t="str">
        <f t="shared" si="148"/>
        <v>2. 1-24 hours</v>
      </c>
      <c r="O4797" t="str">
        <f t="shared" si="149"/>
        <v>2025-02</v>
      </c>
    </row>
    <row r="4798" spans="1:15" x14ac:dyDescent="0.3">
      <c r="A4798" t="s">
        <v>11300</v>
      </c>
      <c r="B4798" t="s">
        <v>11301</v>
      </c>
      <c r="C4798" t="s">
        <v>81</v>
      </c>
      <c r="D4798" t="s">
        <v>29</v>
      </c>
      <c r="E4798" t="s">
        <v>39</v>
      </c>
      <c r="F4798" t="s">
        <v>40</v>
      </c>
      <c r="G4798">
        <v>9.52</v>
      </c>
      <c r="H4798" t="s">
        <v>61</v>
      </c>
      <c r="I4798" t="s">
        <v>42</v>
      </c>
      <c r="M4798">
        <f>VLOOKUP(H4798,'Stage Order'!$A$2:$B$8,2,FALSE)</f>
        <v>1</v>
      </c>
      <c r="N4798" t="str">
        <f t="shared" si="148"/>
        <v>2. 1-24 hours</v>
      </c>
      <c r="O4798" t="str">
        <f t="shared" si="149"/>
        <v>2026-01</v>
      </c>
    </row>
    <row r="4799" spans="1:15" x14ac:dyDescent="0.3">
      <c r="A4799" t="s">
        <v>11302</v>
      </c>
      <c r="B4799" t="s">
        <v>11303</v>
      </c>
      <c r="C4799" t="s">
        <v>58</v>
      </c>
      <c r="D4799" t="s">
        <v>77</v>
      </c>
      <c r="E4799" t="s">
        <v>90</v>
      </c>
      <c r="F4799" t="s">
        <v>145</v>
      </c>
      <c r="G4799">
        <v>5.0199999999999996</v>
      </c>
      <c r="H4799" t="s">
        <v>41</v>
      </c>
      <c r="I4799" t="s">
        <v>42</v>
      </c>
      <c r="M4799">
        <f>VLOOKUP(H4799,'Stage Order'!$A$2:$B$8,2,FALSE)</f>
        <v>2</v>
      </c>
      <c r="N4799" t="str">
        <f t="shared" si="148"/>
        <v>2. 1-24 hours</v>
      </c>
      <c r="O4799" t="str">
        <f t="shared" si="149"/>
        <v>2025-10</v>
      </c>
    </row>
    <row r="4800" spans="1:15" x14ac:dyDescent="0.3">
      <c r="A4800" t="s">
        <v>11304</v>
      </c>
      <c r="B4800" t="s">
        <v>11305</v>
      </c>
      <c r="C4800" t="s">
        <v>37</v>
      </c>
      <c r="D4800" t="s">
        <v>38</v>
      </c>
      <c r="E4800" t="s">
        <v>59</v>
      </c>
      <c r="F4800" t="s">
        <v>60</v>
      </c>
      <c r="G4800">
        <v>2.4</v>
      </c>
      <c r="H4800" t="s">
        <v>41</v>
      </c>
      <c r="I4800" t="s">
        <v>42</v>
      </c>
      <c r="M4800">
        <f>VLOOKUP(H4800,'Stage Order'!$A$2:$B$8,2,FALSE)</f>
        <v>2</v>
      </c>
      <c r="N4800" t="str">
        <f t="shared" si="148"/>
        <v>2. 1-24 hours</v>
      </c>
      <c r="O4800" t="str">
        <f t="shared" si="149"/>
        <v>2026-01</v>
      </c>
    </row>
    <row r="4801" spans="1:15" x14ac:dyDescent="0.3">
      <c r="A4801" t="s">
        <v>11306</v>
      </c>
      <c r="B4801" t="s">
        <v>11307</v>
      </c>
      <c r="C4801" t="s">
        <v>76</v>
      </c>
      <c r="D4801" t="s">
        <v>38</v>
      </c>
      <c r="E4801" t="s">
        <v>90</v>
      </c>
      <c r="F4801" t="s">
        <v>112</v>
      </c>
      <c r="G4801">
        <v>0.77</v>
      </c>
      <c r="H4801" t="s">
        <v>32</v>
      </c>
      <c r="I4801" t="s">
        <v>33</v>
      </c>
      <c r="K4801">
        <v>364.67</v>
      </c>
      <c r="L4801" t="s">
        <v>11308</v>
      </c>
      <c r="M4801">
        <f>VLOOKUP(H4801,'Stage Order'!$A$2:$B$8,2,FALSE)</f>
        <v>7</v>
      </c>
      <c r="N4801" t="str">
        <f t="shared" si="148"/>
        <v>1. Under 1 hour</v>
      </c>
      <c r="O4801" t="str">
        <f t="shared" si="149"/>
        <v>2026-05</v>
      </c>
    </row>
    <row r="4802" spans="1:15" x14ac:dyDescent="0.3">
      <c r="A4802" t="s">
        <v>11309</v>
      </c>
      <c r="B4802" t="s">
        <v>11310</v>
      </c>
      <c r="C4802" t="s">
        <v>53</v>
      </c>
      <c r="D4802" t="s">
        <v>54</v>
      </c>
      <c r="E4802" t="s">
        <v>30</v>
      </c>
      <c r="F4802" t="s">
        <v>82</v>
      </c>
      <c r="G4802">
        <v>5.51</v>
      </c>
      <c r="H4802" t="s">
        <v>41</v>
      </c>
      <c r="I4802" t="s">
        <v>42</v>
      </c>
      <c r="M4802">
        <f>VLOOKUP(H4802,'Stage Order'!$A$2:$B$8,2,FALSE)</f>
        <v>2</v>
      </c>
      <c r="N4802" t="str">
        <f t="shared" ref="N4802:N4865" si="150">IF(G4802&lt;=1,"1. Under 1 hour",IF(G4802&lt;=24,"2. 1-24 hours",IF(G4802&lt;=72,"3. 1-3 days","4. Over 3 days")))</f>
        <v>2. 1-24 hours</v>
      </c>
      <c r="O4802" t="str">
        <f t="shared" ref="O4802:O4865" si="151">TEXT(B4802,"YYYY-MM")</f>
        <v>2025-06</v>
      </c>
    </row>
    <row r="4803" spans="1:15" x14ac:dyDescent="0.3">
      <c r="A4803" t="s">
        <v>11311</v>
      </c>
      <c r="B4803" t="s">
        <v>11312</v>
      </c>
      <c r="C4803" t="s">
        <v>125</v>
      </c>
      <c r="D4803" t="s">
        <v>29</v>
      </c>
      <c r="E4803" t="s">
        <v>45</v>
      </c>
      <c r="F4803" t="s">
        <v>94</v>
      </c>
      <c r="G4803">
        <v>7.15</v>
      </c>
      <c r="H4803" t="s">
        <v>41</v>
      </c>
      <c r="I4803" t="s">
        <v>42</v>
      </c>
      <c r="M4803">
        <f>VLOOKUP(H4803,'Stage Order'!$A$2:$B$8,2,FALSE)</f>
        <v>2</v>
      </c>
      <c r="N4803" t="str">
        <f t="shared" si="150"/>
        <v>2. 1-24 hours</v>
      </c>
      <c r="O4803" t="str">
        <f t="shared" si="151"/>
        <v>2025-09</v>
      </c>
    </row>
    <row r="4804" spans="1:15" x14ac:dyDescent="0.3">
      <c r="A4804" t="s">
        <v>11313</v>
      </c>
      <c r="B4804" t="s">
        <v>11314</v>
      </c>
      <c r="C4804" t="s">
        <v>37</v>
      </c>
      <c r="D4804" t="s">
        <v>38</v>
      </c>
      <c r="E4804" t="s">
        <v>30</v>
      </c>
      <c r="F4804" t="s">
        <v>78</v>
      </c>
      <c r="G4804">
        <v>2.1800000000000002</v>
      </c>
      <c r="H4804" t="s">
        <v>128</v>
      </c>
      <c r="I4804" t="s">
        <v>42</v>
      </c>
      <c r="M4804">
        <f>VLOOKUP(H4804,'Stage Order'!$A$2:$B$8,2,FALSE)</f>
        <v>3</v>
      </c>
      <c r="N4804" t="str">
        <f t="shared" si="150"/>
        <v>2. 1-24 hours</v>
      </c>
      <c r="O4804" t="str">
        <f t="shared" si="151"/>
        <v>2026-02</v>
      </c>
    </row>
    <row r="4805" spans="1:15" x14ac:dyDescent="0.3">
      <c r="A4805" t="s">
        <v>11315</v>
      </c>
      <c r="B4805" t="s">
        <v>11316</v>
      </c>
      <c r="C4805" t="s">
        <v>125</v>
      </c>
      <c r="D4805" t="s">
        <v>54</v>
      </c>
      <c r="E4805" t="s">
        <v>45</v>
      </c>
      <c r="F4805" t="s">
        <v>55</v>
      </c>
      <c r="G4805">
        <v>2.81</v>
      </c>
      <c r="H4805" t="s">
        <v>41</v>
      </c>
      <c r="I4805" t="s">
        <v>42</v>
      </c>
      <c r="M4805">
        <f>VLOOKUP(H4805,'Stage Order'!$A$2:$B$8,2,FALSE)</f>
        <v>2</v>
      </c>
      <c r="N4805" t="str">
        <f t="shared" si="150"/>
        <v>2. 1-24 hours</v>
      </c>
      <c r="O4805" t="str">
        <f t="shared" si="151"/>
        <v>2026-01</v>
      </c>
    </row>
    <row r="4806" spans="1:15" x14ac:dyDescent="0.3">
      <c r="A4806" t="s">
        <v>11317</v>
      </c>
      <c r="B4806" t="s">
        <v>11318</v>
      </c>
      <c r="C4806" t="s">
        <v>28</v>
      </c>
      <c r="D4806" t="s">
        <v>38</v>
      </c>
      <c r="E4806" t="s">
        <v>39</v>
      </c>
      <c r="F4806" t="s">
        <v>40</v>
      </c>
      <c r="G4806">
        <v>3.81</v>
      </c>
      <c r="H4806" t="s">
        <v>138</v>
      </c>
      <c r="I4806" t="s">
        <v>48</v>
      </c>
      <c r="J4806" t="s">
        <v>139</v>
      </c>
      <c r="K4806">
        <v>328.45</v>
      </c>
      <c r="L4806" t="s">
        <v>11319</v>
      </c>
      <c r="M4806">
        <f>VLOOKUP(H4806,'Stage Order'!$A$2:$B$8,2,FALSE)</f>
        <v>6</v>
      </c>
      <c r="N4806" t="str">
        <f t="shared" si="150"/>
        <v>2. 1-24 hours</v>
      </c>
      <c r="O4806" t="str">
        <f t="shared" si="151"/>
        <v>2025-10</v>
      </c>
    </row>
    <row r="4807" spans="1:15" x14ac:dyDescent="0.3">
      <c r="A4807" t="s">
        <v>11320</v>
      </c>
      <c r="B4807" t="s">
        <v>11321</v>
      </c>
      <c r="C4807" t="s">
        <v>81</v>
      </c>
      <c r="D4807" t="s">
        <v>54</v>
      </c>
      <c r="E4807" t="s">
        <v>39</v>
      </c>
      <c r="F4807" t="s">
        <v>40</v>
      </c>
      <c r="G4807">
        <v>8.3000000000000007</v>
      </c>
      <c r="H4807" t="s">
        <v>41</v>
      </c>
      <c r="I4807" t="s">
        <v>42</v>
      </c>
      <c r="M4807">
        <f>VLOOKUP(H4807,'Stage Order'!$A$2:$B$8,2,FALSE)</f>
        <v>2</v>
      </c>
      <c r="N4807" t="str">
        <f t="shared" si="150"/>
        <v>2. 1-24 hours</v>
      </c>
      <c r="O4807" t="str">
        <f t="shared" si="151"/>
        <v>2026-04</v>
      </c>
    </row>
    <row r="4808" spans="1:15" x14ac:dyDescent="0.3">
      <c r="A4808" t="s">
        <v>11322</v>
      </c>
      <c r="B4808" t="s">
        <v>11323</v>
      </c>
      <c r="C4808" t="s">
        <v>37</v>
      </c>
      <c r="D4808" t="s">
        <v>54</v>
      </c>
      <c r="E4808" t="s">
        <v>59</v>
      </c>
      <c r="F4808" t="s">
        <v>137</v>
      </c>
      <c r="G4808">
        <v>1.24</v>
      </c>
      <c r="H4808" t="s">
        <v>41</v>
      </c>
      <c r="I4808" t="s">
        <v>42</v>
      </c>
      <c r="M4808">
        <f>VLOOKUP(H4808,'Stage Order'!$A$2:$B$8,2,FALSE)</f>
        <v>2</v>
      </c>
      <c r="N4808" t="str">
        <f t="shared" si="150"/>
        <v>2. 1-24 hours</v>
      </c>
      <c r="O4808" t="str">
        <f t="shared" si="151"/>
        <v>2025-09</v>
      </c>
    </row>
    <row r="4809" spans="1:15" x14ac:dyDescent="0.3">
      <c r="A4809" t="s">
        <v>11324</v>
      </c>
      <c r="B4809" t="s">
        <v>11325</v>
      </c>
      <c r="C4809" t="s">
        <v>58</v>
      </c>
      <c r="D4809" t="s">
        <v>38</v>
      </c>
      <c r="E4809" t="s">
        <v>59</v>
      </c>
      <c r="F4809" t="s">
        <v>117</v>
      </c>
      <c r="G4809">
        <v>4.3899999999999997</v>
      </c>
      <c r="H4809" t="s">
        <v>32</v>
      </c>
      <c r="I4809" t="s">
        <v>33</v>
      </c>
      <c r="K4809">
        <v>371.82</v>
      </c>
      <c r="L4809" t="s">
        <v>11326</v>
      </c>
      <c r="M4809">
        <f>VLOOKUP(H4809,'Stage Order'!$A$2:$B$8,2,FALSE)</f>
        <v>7</v>
      </c>
      <c r="N4809" t="str">
        <f t="shared" si="150"/>
        <v>2. 1-24 hours</v>
      </c>
      <c r="O4809" t="str">
        <f t="shared" si="151"/>
        <v>2026-04</v>
      </c>
    </row>
    <row r="4810" spans="1:15" x14ac:dyDescent="0.3">
      <c r="A4810" t="s">
        <v>11327</v>
      </c>
      <c r="B4810" t="s">
        <v>11328</v>
      </c>
      <c r="C4810" t="s">
        <v>28</v>
      </c>
      <c r="D4810" t="s">
        <v>38</v>
      </c>
      <c r="E4810" t="s">
        <v>45</v>
      </c>
      <c r="F4810" t="s">
        <v>55</v>
      </c>
      <c r="G4810">
        <v>0.99</v>
      </c>
      <c r="H4810" t="s">
        <v>32</v>
      </c>
      <c r="I4810" t="s">
        <v>33</v>
      </c>
      <c r="K4810">
        <v>291.79000000000002</v>
      </c>
      <c r="L4810" t="s">
        <v>11329</v>
      </c>
      <c r="M4810">
        <f>VLOOKUP(H4810,'Stage Order'!$A$2:$B$8,2,FALSE)</f>
        <v>7</v>
      </c>
      <c r="N4810" t="str">
        <f t="shared" si="150"/>
        <v>1. Under 1 hour</v>
      </c>
      <c r="O4810" t="str">
        <f t="shared" si="151"/>
        <v>2025-05</v>
      </c>
    </row>
    <row r="4811" spans="1:15" x14ac:dyDescent="0.3">
      <c r="A4811" t="s">
        <v>11330</v>
      </c>
      <c r="B4811" t="s">
        <v>11331</v>
      </c>
      <c r="C4811" t="s">
        <v>53</v>
      </c>
      <c r="D4811" t="s">
        <v>77</v>
      </c>
      <c r="E4811" t="s">
        <v>59</v>
      </c>
      <c r="F4811" t="s">
        <v>117</v>
      </c>
      <c r="G4811">
        <v>11.33</v>
      </c>
      <c r="H4811" t="s">
        <v>128</v>
      </c>
      <c r="I4811" t="s">
        <v>42</v>
      </c>
      <c r="M4811">
        <f>VLOOKUP(H4811,'Stage Order'!$A$2:$B$8,2,FALSE)</f>
        <v>3</v>
      </c>
      <c r="N4811" t="str">
        <f t="shared" si="150"/>
        <v>2. 1-24 hours</v>
      </c>
      <c r="O4811" t="str">
        <f t="shared" si="151"/>
        <v>2025-02</v>
      </c>
    </row>
    <row r="4812" spans="1:15" x14ac:dyDescent="0.3">
      <c r="A4812" t="s">
        <v>11332</v>
      </c>
      <c r="B4812" t="s">
        <v>11333</v>
      </c>
      <c r="C4812" t="s">
        <v>125</v>
      </c>
      <c r="D4812" t="s">
        <v>77</v>
      </c>
      <c r="E4812" t="s">
        <v>39</v>
      </c>
      <c r="F4812" t="s">
        <v>40</v>
      </c>
      <c r="G4812">
        <v>2.44</v>
      </c>
      <c r="H4812" t="s">
        <v>61</v>
      </c>
      <c r="I4812" t="s">
        <v>42</v>
      </c>
      <c r="M4812">
        <f>VLOOKUP(H4812,'Stage Order'!$A$2:$B$8,2,FALSE)</f>
        <v>1</v>
      </c>
      <c r="N4812" t="str">
        <f t="shared" si="150"/>
        <v>2. 1-24 hours</v>
      </c>
      <c r="O4812" t="str">
        <f t="shared" si="151"/>
        <v>2026-04</v>
      </c>
    </row>
    <row r="4813" spans="1:15" x14ac:dyDescent="0.3">
      <c r="A4813" t="s">
        <v>11334</v>
      </c>
      <c r="B4813" t="s">
        <v>11335</v>
      </c>
      <c r="C4813" t="s">
        <v>125</v>
      </c>
      <c r="D4813" t="s">
        <v>29</v>
      </c>
      <c r="E4813" t="s">
        <v>90</v>
      </c>
      <c r="F4813" t="s">
        <v>112</v>
      </c>
      <c r="G4813">
        <v>6.88</v>
      </c>
      <c r="H4813" t="s">
        <v>128</v>
      </c>
      <c r="I4813" t="s">
        <v>42</v>
      </c>
      <c r="M4813">
        <f>VLOOKUP(H4813,'Stage Order'!$A$2:$B$8,2,FALSE)</f>
        <v>3</v>
      </c>
      <c r="N4813" t="str">
        <f t="shared" si="150"/>
        <v>2. 1-24 hours</v>
      </c>
      <c r="O4813" t="str">
        <f t="shared" si="151"/>
        <v>2026-06</v>
      </c>
    </row>
    <row r="4814" spans="1:15" x14ac:dyDescent="0.3">
      <c r="A4814" t="s">
        <v>11336</v>
      </c>
      <c r="B4814" t="s">
        <v>11337</v>
      </c>
      <c r="C4814" t="s">
        <v>58</v>
      </c>
      <c r="D4814" t="s">
        <v>29</v>
      </c>
      <c r="E4814" t="s">
        <v>45</v>
      </c>
      <c r="F4814" t="s">
        <v>46</v>
      </c>
      <c r="G4814">
        <v>3.42</v>
      </c>
      <c r="H4814" t="s">
        <v>41</v>
      </c>
      <c r="I4814" t="s">
        <v>42</v>
      </c>
      <c r="M4814">
        <f>VLOOKUP(H4814,'Stage Order'!$A$2:$B$8,2,FALSE)</f>
        <v>2</v>
      </c>
      <c r="N4814" t="str">
        <f t="shared" si="150"/>
        <v>2. 1-24 hours</v>
      </c>
      <c r="O4814" t="str">
        <f t="shared" si="151"/>
        <v>2025-05</v>
      </c>
    </row>
    <row r="4815" spans="1:15" x14ac:dyDescent="0.3">
      <c r="A4815" t="s">
        <v>11338</v>
      </c>
      <c r="B4815" t="s">
        <v>11339</v>
      </c>
      <c r="C4815" t="s">
        <v>53</v>
      </c>
      <c r="D4815" t="s">
        <v>54</v>
      </c>
      <c r="E4815" t="s">
        <v>45</v>
      </c>
      <c r="F4815" t="s">
        <v>55</v>
      </c>
      <c r="G4815">
        <v>12</v>
      </c>
      <c r="H4815" t="s">
        <v>138</v>
      </c>
      <c r="I4815" t="s">
        <v>48</v>
      </c>
      <c r="J4815" t="s">
        <v>49</v>
      </c>
      <c r="K4815">
        <v>489.04</v>
      </c>
      <c r="L4815" t="s">
        <v>11340</v>
      </c>
      <c r="M4815">
        <f>VLOOKUP(H4815,'Stage Order'!$A$2:$B$8,2,FALSE)</f>
        <v>6</v>
      </c>
      <c r="N4815" t="str">
        <f t="shared" si="150"/>
        <v>2. 1-24 hours</v>
      </c>
      <c r="O4815" t="str">
        <f t="shared" si="151"/>
        <v>2025-02</v>
      </c>
    </row>
    <row r="4816" spans="1:15" x14ac:dyDescent="0.3">
      <c r="A4816" t="s">
        <v>11341</v>
      </c>
      <c r="B4816" t="s">
        <v>11342</v>
      </c>
      <c r="C4816" t="s">
        <v>58</v>
      </c>
      <c r="D4816" t="s">
        <v>29</v>
      </c>
      <c r="E4816" t="s">
        <v>30</v>
      </c>
      <c r="F4816" t="s">
        <v>31</v>
      </c>
      <c r="G4816">
        <v>10.5</v>
      </c>
      <c r="H4816" t="s">
        <v>61</v>
      </c>
      <c r="I4816" t="s">
        <v>42</v>
      </c>
      <c r="M4816">
        <f>VLOOKUP(H4816,'Stage Order'!$A$2:$B$8,2,FALSE)</f>
        <v>1</v>
      </c>
      <c r="N4816" t="str">
        <f t="shared" si="150"/>
        <v>2. 1-24 hours</v>
      </c>
      <c r="O4816" t="str">
        <f t="shared" si="151"/>
        <v>2025-01</v>
      </c>
    </row>
    <row r="4817" spans="1:15" x14ac:dyDescent="0.3">
      <c r="A4817" t="s">
        <v>11343</v>
      </c>
      <c r="B4817" t="s">
        <v>11344</v>
      </c>
      <c r="C4817" t="s">
        <v>53</v>
      </c>
      <c r="D4817" t="s">
        <v>29</v>
      </c>
      <c r="E4817" t="s">
        <v>45</v>
      </c>
      <c r="F4817" t="s">
        <v>46</v>
      </c>
      <c r="G4817">
        <v>2.65</v>
      </c>
      <c r="H4817" t="s">
        <v>41</v>
      </c>
      <c r="I4817" t="s">
        <v>42</v>
      </c>
      <c r="M4817">
        <f>VLOOKUP(H4817,'Stage Order'!$A$2:$B$8,2,FALSE)</f>
        <v>2</v>
      </c>
      <c r="N4817" t="str">
        <f t="shared" si="150"/>
        <v>2. 1-24 hours</v>
      </c>
      <c r="O4817" t="str">
        <f t="shared" si="151"/>
        <v>2026-04</v>
      </c>
    </row>
    <row r="4818" spans="1:15" x14ac:dyDescent="0.3">
      <c r="A4818" t="s">
        <v>11345</v>
      </c>
      <c r="B4818" t="s">
        <v>11346</v>
      </c>
      <c r="C4818" t="s">
        <v>81</v>
      </c>
      <c r="D4818" t="s">
        <v>29</v>
      </c>
      <c r="E4818" t="s">
        <v>90</v>
      </c>
      <c r="F4818" t="s">
        <v>145</v>
      </c>
      <c r="G4818">
        <v>8.0500000000000007</v>
      </c>
      <c r="H4818" t="s">
        <v>41</v>
      </c>
      <c r="I4818" t="s">
        <v>42</v>
      </c>
      <c r="M4818">
        <f>VLOOKUP(H4818,'Stage Order'!$A$2:$B$8,2,FALSE)</f>
        <v>2</v>
      </c>
      <c r="N4818" t="str">
        <f t="shared" si="150"/>
        <v>2. 1-24 hours</v>
      </c>
      <c r="O4818" t="str">
        <f t="shared" si="151"/>
        <v>2026-01</v>
      </c>
    </row>
    <row r="4819" spans="1:15" x14ac:dyDescent="0.3">
      <c r="A4819" t="s">
        <v>11347</v>
      </c>
      <c r="B4819" t="s">
        <v>11348</v>
      </c>
      <c r="C4819" t="s">
        <v>76</v>
      </c>
      <c r="D4819" t="s">
        <v>77</v>
      </c>
      <c r="E4819" t="s">
        <v>39</v>
      </c>
      <c r="F4819" t="s">
        <v>40</v>
      </c>
      <c r="G4819">
        <v>2.86</v>
      </c>
      <c r="H4819" t="s">
        <v>41</v>
      </c>
      <c r="I4819" t="s">
        <v>42</v>
      </c>
      <c r="M4819">
        <f>VLOOKUP(H4819,'Stage Order'!$A$2:$B$8,2,FALSE)</f>
        <v>2</v>
      </c>
      <c r="N4819" t="str">
        <f t="shared" si="150"/>
        <v>2. 1-24 hours</v>
      </c>
      <c r="O4819" t="str">
        <f t="shared" si="151"/>
        <v>2025-11</v>
      </c>
    </row>
    <row r="4820" spans="1:15" x14ac:dyDescent="0.3">
      <c r="A4820" t="s">
        <v>11349</v>
      </c>
      <c r="B4820" t="s">
        <v>11350</v>
      </c>
      <c r="C4820" t="s">
        <v>37</v>
      </c>
      <c r="D4820" t="s">
        <v>29</v>
      </c>
      <c r="E4820" t="s">
        <v>90</v>
      </c>
      <c r="F4820" t="s">
        <v>112</v>
      </c>
      <c r="G4820">
        <v>3.05</v>
      </c>
      <c r="H4820" t="s">
        <v>128</v>
      </c>
      <c r="I4820" t="s">
        <v>42</v>
      </c>
      <c r="M4820">
        <f>VLOOKUP(H4820,'Stage Order'!$A$2:$B$8,2,FALSE)</f>
        <v>3</v>
      </c>
      <c r="N4820" t="str">
        <f t="shared" si="150"/>
        <v>2. 1-24 hours</v>
      </c>
      <c r="O4820" t="str">
        <f t="shared" si="151"/>
        <v>2026-02</v>
      </c>
    </row>
    <row r="4821" spans="1:15" x14ac:dyDescent="0.3">
      <c r="A4821" t="s">
        <v>11351</v>
      </c>
      <c r="B4821" t="s">
        <v>11352</v>
      </c>
      <c r="C4821" t="s">
        <v>58</v>
      </c>
      <c r="D4821" t="s">
        <v>97</v>
      </c>
      <c r="E4821" t="s">
        <v>45</v>
      </c>
      <c r="F4821" t="s">
        <v>94</v>
      </c>
      <c r="G4821">
        <v>2.74</v>
      </c>
      <c r="H4821" t="s">
        <v>47</v>
      </c>
      <c r="I4821" t="s">
        <v>48</v>
      </c>
      <c r="J4821" t="s">
        <v>98</v>
      </c>
      <c r="K4821">
        <v>1549.85</v>
      </c>
      <c r="L4821" t="s">
        <v>11353</v>
      </c>
      <c r="M4821">
        <f>VLOOKUP(H4821,'Stage Order'!$A$2:$B$8,2,FALSE)</f>
        <v>4</v>
      </c>
      <c r="N4821" t="str">
        <f t="shared" si="150"/>
        <v>2. 1-24 hours</v>
      </c>
      <c r="O4821" t="str">
        <f t="shared" si="151"/>
        <v>2025-09</v>
      </c>
    </row>
    <row r="4822" spans="1:15" x14ac:dyDescent="0.3">
      <c r="A4822" t="s">
        <v>11354</v>
      </c>
      <c r="B4822" t="s">
        <v>11355</v>
      </c>
      <c r="C4822" t="s">
        <v>125</v>
      </c>
      <c r="D4822" t="s">
        <v>38</v>
      </c>
      <c r="E4822" t="s">
        <v>39</v>
      </c>
      <c r="F4822" t="s">
        <v>40</v>
      </c>
      <c r="G4822">
        <v>13.5</v>
      </c>
      <c r="H4822" t="s">
        <v>41</v>
      </c>
      <c r="I4822" t="s">
        <v>42</v>
      </c>
      <c r="M4822">
        <f>VLOOKUP(H4822,'Stage Order'!$A$2:$B$8,2,FALSE)</f>
        <v>2</v>
      </c>
      <c r="N4822" t="str">
        <f t="shared" si="150"/>
        <v>2. 1-24 hours</v>
      </c>
      <c r="O4822" t="str">
        <f t="shared" si="151"/>
        <v>2025-06</v>
      </c>
    </row>
    <row r="4823" spans="1:15" x14ac:dyDescent="0.3">
      <c r="A4823" t="s">
        <v>11356</v>
      </c>
      <c r="B4823" t="s">
        <v>11357</v>
      </c>
      <c r="C4823" t="s">
        <v>125</v>
      </c>
      <c r="D4823" t="s">
        <v>29</v>
      </c>
      <c r="E4823" t="s">
        <v>39</v>
      </c>
      <c r="F4823" t="s">
        <v>66</v>
      </c>
      <c r="G4823">
        <v>3.61</v>
      </c>
      <c r="H4823" t="s">
        <v>41</v>
      </c>
      <c r="I4823" t="s">
        <v>42</v>
      </c>
      <c r="M4823">
        <f>VLOOKUP(H4823,'Stage Order'!$A$2:$B$8,2,FALSE)</f>
        <v>2</v>
      </c>
      <c r="N4823" t="str">
        <f t="shared" si="150"/>
        <v>2. 1-24 hours</v>
      </c>
      <c r="O4823" t="str">
        <f t="shared" si="151"/>
        <v>2026-03</v>
      </c>
    </row>
    <row r="4824" spans="1:15" x14ac:dyDescent="0.3">
      <c r="A4824" t="s">
        <v>11358</v>
      </c>
      <c r="B4824" t="s">
        <v>11359</v>
      </c>
      <c r="C4824" t="s">
        <v>37</v>
      </c>
      <c r="D4824" t="s">
        <v>97</v>
      </c>
      <c r="E4824" t="s">
        <v>45</v>
      </c>
      <c r="F4824" t="s">
        <v>94</v>
      </c>
      <c r="G4824">
        <v>1.89</v>
      </c>
      <c r="H4824" t="s">
        <v>146</v>
      </c>
      <c r="I4824" t="s">
        <v>48</v>
      </c>
      <c r="J4824" t="s">
        <v>49</v>
      </c>
      <c r="K4824">
        <v>1642.22</v>
      </c>
      <c r="L4824" t="s">
        <v>11360</v>
      </c>
      <c r="M4824">
        <f>VLOOKUP(H4824,'Stage Order'!$A$2:$B$8,2,FALSE)</f>
        <v>5</v>
      </c>
      <c r="N4824" t="str">
        <f t="shared" si="150"/>
        <v>2. 1-24 hours</v>
      </c>
      <c r="O4824" t="str">
        <f t="shared" si="151"/>
        <v>2025-06</v>
      </c>
    </row>
    <row r="4825" spans="1:15" x14ac:dyDescent="0.3">
      <c r="A4825" t="s">
        <v>11361</v>
      </c>
      <c r="B4825" t="s">
        <v>11362</v>
      </c>
      <c r="C4825" t="s">
        <v>125</v>
      </c>
      <c r="D4825" t="s">
        <v>29</v>
      </c>
      <c r="E4825" t="s">
        <v>39</v>
      </c>
      <c r="F4825" t="s">
        <v>106</v>
      </c>
      <c r="G4825">
        <v>5.14</v>
      </c>
      <c r="H4825" t="s">
        <v>61</v>
      </c>
      <c r="I4825" t="s">
        <v>42</v>
      </c>
      <c r="M4825">
        <f>VLOOKUP(H4825,'Stage Order'!$A$2:$B$8,2,FALSE)</f>
        <v>1</v>
      </c>
      <c r="N4825" t="str">
        <f t="shared" si="150"/>
        <v>2. 1-24 hours</v>
      </c>
      <c r="O4825" t="str">
        <f t="shared" si="151"/>
        <v>2025-08</v>
      </c>
    </row>
    <row r="4826" spans="1:15" x14ac:dyDescent="0.3">
      <c r="A4826" t="s">
        <v>11363</v>
      </c>
      <c r="B4826" t="s">
        <v>11364</v>
      </c>
      <c r="C4826" t="s">
        <v>28</v>
      </c>
      <c r="D4826" t="s">
        <v>77</v>
      </c>
      <c r="E4826" t="s">
        <v>30</v>
      </c>
      <c r="F4826" t="s">
        <v>31</v>
      </c>
      <c r="G4826">
        <v>4.3099999999999996</v>
      </c>
      <c r="H4826" t="s">
        <v>41</v>
      </c>
      <c r="I4826" t="s">
        <v>42</v>
      </c>
      <c r="M4826">
        <f>VLOOKUP(H4826,'Stage Order'!$A$2:$B$8,2,FALSE)</f>
        <v>2</v>
      </c>
      <c r="N4826" t="str">
        <f t="shared" si="150"/>
        <v>2. 1-24 hours</v>
      </c>
      <c r="O4826" t="str">
        <f t="shared" si="151"/>
        <v>2025-01</v>
      </c>
    </row>
    <row r="4827" spans="1:15" x14ac:dyDescent="0.3">
      <c r="A4827" t="s">
        <v>11365</v>
      </c>
      <c r="B4827" t="s">
        <v>11366</v>
      </c>
      <c r="C4827" t="s">
        <v>53</v>
      </c>
      <c r="D4827" t="s">
        <v>29</v>
      </c>
      <c r="E4827" t="s">
        <v>45</v>
      </c>
      <c r="F4827" t="s">
        <v>46</v>
      </c>
      <c r="G4827">
        <v>4.28</v>
      </c>
      <c r="H4827" t="s">
        <v>41</v>
      </c>
      <c r="I4827" t="s">
        <v>42</v>
      </c>
      <c r="M4827">
        <f>VLOOKUP(H4827,'Stage Order'!$A$2:$B$8,2,FALSE)</f>
        <v>2</v>
      </c>
      <c r="N4827" t="str">
        <f t="shared" si="150"/>
        <v>2. 1-24 hours</v>
      </c>
      <c r="O4827" t="str">
        <f t="shared" si="151"/>
        <v>2025-07</v>
      </c>
    </row>
    <row r="4828" spans="1:15" x14ac:dyDescent="0.3">
      <c r="A4828" t="s">
        <v>11367</v>
      </c>
      <c r="B4828" t="s">
        <v>11368</v>
      </c>
      <c r="C4828" t="s">
        <v>81</v>
      </c>
      <c r="D4828" t="s">
        <v>38</v>
      </c>
      <c r="E4828" t="s">
        <v>39</v>
      </c>
      <c r="F4828" t="s">
        <v>66</v>
      </c>
      <c r="G4828">
        <v>3.3</v>
      </c>
      <c r="H4828" t="s">
        <v>61</v>
      </c>
      <c r="I4828" t="s">
        <v>42</v>
      </c>
      <c r="M4828">
        <f>VLOOKUP(H4828,'Stage Order'!$A$2:$B$8,2,FALSE)</f>
        <v>1</v>
      </c>
      <c r="N4828" t="str">
        <f t="shared" si="150"/>
        <v>2. 1-24 hours</v>
      </c>
      <c r="O4828" t="str">
        <f t="shared" si="151"/>
        <v>2026-06</v>
      </c>
    </row>
    <row r="4829" spans="1:15" x14ac:dyDescent="0.3">
      <c r="A4829" t="s">
        <v>11369</v>
      </c>
      <c r="B4829" t="s">
        <v>11370</v>
      </c>
      <c r="C4829" t="s">
        <v>28</v>
      </c>
      <c r="D4829" t="s">
        <v>29</v>
      </c>
      <c r="E4829" t="s">
        <v>90</v>
      </c>
      <c r="F4829" t="s">
        <v>91</v>
      </c>
      <c r="G4829">
        <v>7.6</v>
      </c>
      <c r="H4829" t="s">
        <v>61</v>
      </c>
      <c r="I4829" t="s">
        <v>42</v>
      </c>
      <c r="M4829">
        <f>VLOOKUP(H4829,'Stage Order'!$A$2:$B$8,2,FALSE)</f>
        <v>1</v>
      </c>
      <c r="N4829" t="str">
        <f t="shared" si="150"/>
        <v>2. 1-24 hours</v>
      </c>
      <c r="O4829" t="str">
        <f t="shared" si="151"/>
        <v>2025-12</v>
      </c>
    </row>
    <row r="4830" spans="1:15" x14ac:dyDescent="0.3">
      <c r="A4830" t="s">
        <v>11371</v>
      </c>
      <c r="B4830" t="s">
        <v>11372</v>
      </c>
      <c r="C4830" t="s">
        <v>58</v>
      </c>
      <c r="D4830" t="s">
        <v>54</v>
      </c>
      <c r="E4830" t="s">
        <v>90</v>
      </c>
      <c r="F4830" t="s">
        <v>112</v>
      </c>
      <c r="G4830">
        <v>2.58</v>
      </c>
      <c r="H4830" t="s">
        <v>47</v>
      </c>
      <c r="I4830" t="s">
        <v>48</v>
      </c>
      <c r="J4830" t="s">
        <v>98</v>
      </c>
      <c r="K4830">
        <v>528.62</v>
      </c>
      <c r="L4830" t="s">
        <v>11373</v>
      </c>
      <c r="M4830">
        <f>VLOOKUP(H4830,'Stage Order'!$A$2:$B$8,2,FALSE)</f>
        <v>4</v>
      </c>
      <c r="N4830" t="str">
        <f t="shared" si="150"/>
        <v>2. 1-24 hours</v>
      </c>
      <c r="O4830" t="str">
        <f t="shared" si="151"/>
        <v>2026-01</v>
      </c>
    </row>
    <row r="4831" spans="1:15" x14ac:dyDescent="0.3">
      <c r="A4831" t="s">
        <v>11374</v>
      </c>
      <c r="B4831" t="s">
        <v>11375</v>
      </c>
      <c r="C4831" t="s">
        <v>125</v>
      </c>
      <c r="D4831" t="s">
        <v>38</v>
      </c>
      <c r="E4831" t="s">
        <v>39</v>
      </c>
      <c r="F4831" t="s">
        <v>66</v>
      </c>
      <c r="G4831">
        <v>4.9800000000000004</v>
      </c>
      <c r="H4831" t="s">
        <v>41</v>
      </c>
      <c r="I4831" t="s">
        <v>42</v>
      </c>
      <c r="M4831">
        <f>VLOOKUP(H4831,'Stage Order'!$A$2:$B$8,2,FALSE)</f>
        <v>2</v>
      </c>
      <c r="N4831" t="str">
        <f t="shared" si="150"/>
        <v>2. 1-24 hours</v>
      </c>
      <c r="O4831" t="str">
        <f t="shared" si="151"/>
        <v>2025-04</v>
      </c>
    </row>
    <row r="4832" spans="1:15" x14ac:dyDescent="0.3">
      <c r="A4832" t="s">
        <v>11376</v>
      </c>
      <c r="B4832" t="s">
        <v>11377</v>
      </c>
      <c r="C4832" t="s">
        <v>76</v>
      </c>
      <c r="D4832" t="s">
        <v>29</v>
      </c>
      <c r="E4832" t="s">
        <v>59</v>
      </c>
      <c r="F4832" t="s">
        <v>117</v>
      </c>
      <c r="G4832">
        <v>0.72</v>
      </c>
      <c r="H4832" t="s">
        <v>138</v>
      </c>
      <c r="I4832" t="s">
        <v>48</v>
      </c>
      <c r="J4832" t="s">
        <v>98</v>
      </c>
      <c r="K4832">
        <v>665.38</v>
      </c>
      <c r="L4832" t="s">
        <v>11378</v>
      </c>
      <c r="M4832">
        <f>VLOOKUP(H4832,'Stage Order'!$A$2:$B$8,2,FALSE)</f>
        <v>6</v>
      </c>
      <c r="N4832" t="str">
        <f t="shared" si="150"/>
        <v>1. Under 1 hour</v>
      </c>
      <c r="O4832" t="str">
        <f t="shared" si="151"/>
        <v>2025-08</v>
      </c>
    </row>
    <row r="4833" spans="1:15" x14ac:dyDescent="0.3">
      <c r="A4833" t="s">
        <v>11379</v>
      </c>
      <c r="B4833" t="s">
        <v>11380</v>
      </c>
      <c r="C4833" t="s">
        <v>125</v>
      </c>
      <c r="D4833" t="s">
        <v>38</v>
      </c>
      <c r="E4833" t="s">
        <v>45</v>
      </c>
      <c r="F4833" t="s">
        <v>46</v>
      </c>
      <c r="G4833">
        <v>5.54</v>
      </c>
      <c r="H4833" t="s">
        <v>32</v>
      </c>
      <c r="I4833" t="s">
        <v>33</v>
      </c>
      <c r="K4833">
        <v>337.11</v>
      </c>
      <c r="L4833" t="s">
        <v>11381</v>
      </c>
      <c r="M4833">
        <f>VLOOKUP(H4833,'Stage Order'!$A$2:$B$8,2,FALSE)</f>
        <v>7</v>
      </c>
      <c r="N4833" t="str">
        <f t="shared" si="150"/>
        <v>2. 1-24 hours</v>
      </c>
      <c r="O4833" t="str">
        <f t="shared" si="151"/>
        <v>2026-06</v>
      </c>
    </row>
    <row r="4834" spans="1:15" x14ac:dyDescent="0.3">
      <c r="A4834" t="s">
        <v>11382</v>
      </c>
      <c r="B4834" t="s">
        <v>11383</v>
      </c>
      <c r="C4834" t="s">
        <v>28</v>
      </c>
      <c r="D4834" t="s">
        <v>38</v>
      </c>
      <c r="E4834" t="s">
        <v>90</v>
      </c>
      <c r="F4834" t="s">
        <v>91</v>
      </c>
      <c r="G4834">
        <v>6.64</v>
      </c>
      <c r="H4834" t="s">
        <v>146</v>
      </c>
      <c r="I4834" t="s">
        <v>48</v>
      </c>
      <c r="J4834" t="s">
        <v>139</v>
      </c>
      <c r="K4834">
        <v>324.5</v>
      </c>
      <c r="L4834" t="s">
        <v>11384</v>
      </c>
      <c r="M4834">
        <f>VLOOKUP(H4834,'Stage Order'!$A$2:$B$8,2,FALSE)</f>
        <v>5</v>
      </c>
      <c r="N4834" t="str">
        <f t="shared" si="150"/>
        <v>2. 1-24 hours</v>
      </c>
      <c r="O4834" t="str">
        <f t="shared" si="151"/>
        <v>2026-06</v>
      </c>
    </row>
    <row r="4835" spans="1:15" x14ac:dyDescent="0.3">
      <c r="A4835" t="s">
        <v>11385</v>
      </c>
      <c r="B4835" t="s">
        <v>11386</v>
      </c>
      <c r="C4835" t="s">
        <v>37</v>
      </c>
      <c r="D4835" t="s">
        <v>29</v>
      </c>
      <c r="E4835" t="s">
        <v>59</v>
      </c>
      <c r="F4835" t="s">
        <v>137</v>
      </c>
      <c r="G4835">
        <v>1.99</v>
      </c>
      <c r="H4835" t="s">
        <v>32</v>
      </c>
      <c r="I4835" t="s">
        <v>33</v>
      </c>
      <c r="K4835">
        <v>631.4</v>
      </c>
      <c r="L4835" t="s">
        <v>11387</v>
      </c>
      <c r="M4835">
        <f>VLOOKUP(H4835,'Stage Order'!$A$2:$B$8,2,FALSE)</f>
        <v>7</v>
      </c>
      <c r="N4835" t="str">
        <f t="shared" si="150"/>
        <v>2. 1-24 hours</v>
      </c>
      <c r="O4835" t="str">
        <f t="shared" si="151"/>
        <v>2025-09</v>
      </c>
    </row>
    <row r="4836" spans="1:15" x14ac:dyDescent="0.3">
      <c r="A4836" t="s">
        <v>11388</v>
      </c>
      <c r="B4836" t="s">
        <v>11389</v>
      </c>
      <c r="C4836" t="s">
        <v>58</v>
      </c>
      <c r="D4836" t="s">
        <v>38</v>
      </c>
      <c r="E4836" t="s">
        <v>45</v>
      </c>
      <c r="F4836" t="s">
        <v>55</v>
      </c>
      <c r="G4836">
        <v>1.51</v>
      </c>
      <c r="H4836" t="s">
        <v>41</v>
      </c>
      <c r="I4836" t="s">
        <v>42</v>
      </c>
      <c r="M4836">
        <f>VLOOKUP(H4836,'Stage Order'!$A$2:$B$8,2,FALSE)</f>
        <v>2</v>
      </c>
      <c r="N4836" t="str">
        <f t="shared" si="150"/>
        <v>2. 1-24 hours</v>
      </c>
      <c r="O4836" t="str">
        <f t="shared" si="151"/>
        <v>2025-05</v>
      </c>
    </row>
    <row r="4837" spans="1:15" x14ac:dyDescent="0.3">
      <c r="A4837" t="s">
        <v>11390</v>
      </c>
      <c r="B4837" t="s">
        <v>11391</v>
      </c>
      <c r="C4837" t="s">
        <v>53</v>
      </c>
      <c r="D4837" t="s">
        <v>54</v>
      </c>
      <c r="E4837" t="s">
        <v>90</v>
      </c>
      <c r="F4837" t="s">
        <v>91</v>
      </c>
      <c r="G4837">
        <v>4.45</v>
      </c>
      <c r="H4837" t="s">
        <v>146</v>
      </c>
      <c r="I4837" t="s">
        <v>48</v>
      </c>
      <c r="J4837" t="s">
        <v>139</v>
      </c>
      <c r="K4837">
        <v>422.38</v>
      </c>
      <c r="L4837" t="s">
        <v>11392</v>
      </c>
      <c r="M4837">
        <f>VLOOKUP(H4837,'Stage Order'!$A$2:$B$8,2,FALSE)</f>
        <v>5</v>
      </c>
      <c r="N4837" t="str">
        <f t="shared" si="150"/>
        <v>2. 1-24 hours</v>
      </c>
      <c r="O4837" t="str">
        <f t="shared" si="151"/>
        <v>2025-05</v>
      </c>
    </row>
    <row r="4838" spans="1:15" x14ac:dyDescent="0.3">
      <c r="A4838" t="s">
        <v>11393</v>
      </c>
      <c r="B4838" t="s">
        <v>11394</v>
      </c>
      <c r="C4838" t="s">
        <v>76</v>
      </c>
      <c r="D4838" t="s">
        <v>97</v>
      </c>
      <c r="E4838" t="s">
        <v>39</v>
      </c>
      <c r="F4838" t="s">
        <v>40</v>
      </c>
      <c r="G4838">
        <v>6.52</v>
      </c>
      <c r="H4838" t="s">
        <v>146</v>
      </c>
      <c r="I4838" t="s">
        <v>48</v>
      </c>
      <c r="J4838" t="s">
        <v>139</v>
      </c>
      <c r="K4838">
        <v>1197.8900000000001</v>
      </c>
      <c r="L4838" t="s">
        <v>11395</v>
      </c>
      <c r="M4838">
        <f>VLOOKUP(H4838,'Stage Order'!$A$2:$B$8,2,FALSE)</f>
        <v>5</v>
      </c>
      <c r="N4838" t="str">
        <f t="shared" si="150"/>
        <v>2. 1-24 hours</v>
      </c>
      <c r="O4838" t="str">
        <f t="shared" si="151"/>
        <v>2025-10</v>
      </c>
    </row>
    <row r="4839" spans="1:15" x14ac:dyDescent="0.3">
      <c r="A4839" t="s">
        <v>11396</v>
      </c>
      <c r="B4839" t="s">
        <v>11397</v>
      </c>
      <c r="C4839" t="s">
        <v>53</v>
      </c>
      <c r="D4839" t="s">
        <v>77</v>
      </c>
      <c r="E4839" t="s">
        <v>30</v>
      </c>
      <c r="F4839" t="s">
        <v>31</v>
      </c>
      <c r="G4839">
        <v>0.56999999999999995</v>
      </c>
      <c r="H4839" t="s">
        <v>32</v>
      </c>
      <c r="I4839" t="s">
        <v>33</v>
      </c>
      <c r="K4839">
        <v>1164.79</v>
      </c>
      <c r="L4839" t="s">
        <v>11398</v>
      </c>
      <c r="M4839">
        <f>VLOOKUP(H4839,'Stage Order'!$A$2:$B$8,2,FALSE)</f>
        <v>7</v>
      </c>
      <c r="N4839" t="str">
        <f t="shared" si="150"/>
        <v>1. Under 1 hour</v>
      </c>
      <c r="O4839" t="str">
        <f t="shared" si="151"/>
        <v>2025-06</v>
      </c>
    </row>
    <row r="4840" spans="1:15" x14ac:dyDescent="0.3">
      <c r="A4840" t="s">
        <v>11399</v>
      </c>
      <c r="B4840" t="s">
        <v>11400</v>
      </c>
      <c r="C4840" t="s">
        <v>125</v>
      </c>
      <c r="D4840" t="s">
        <v>38</v>
      </c>
      <c r="E4840" t="s">
        <v>90</v>
      </c>
      <c r="F4840" t="s">
        <v>91</v>
      </c>
      <c r="G4840">
        <v>26.81</v>
      </c>
      <c r="H4840" t="s">
        <v>61</v>
      </c>
      <c r="I4840" t="s">
        <v>42</v>
      </c>
      <c r="M4840">
        <f>VLOOKUP(H4840,'Stage Order'!$A$2:$B$8,2,FALSE)</f>
        <v>1</v>
      </c>
      <c r="N4840" t="str">
        <f t="shared" si="150"/>
        <v>3. 1-3 days</v>
      </c>
      <c r="O4840" t="str">
        <f t="shared" si="151"/>
        <v>2025-08</v>
      </c>
    </row>
    <row r="4841" spans="1:15" x14ac:dyDescent="0.3">
      <c r="A4841" t="s">
        <v>11401</v>
      </c>
      <c r="B4841" t="s">
        <v>11402</v>
      </c>
      <c r="C4841" t="s">
        <v>81</v>
      </c>
      <c r="D4841" t="s">
        <v>77</v>
      </c>
      <c r="E4841" t="s">
        <v>45</v>
      </c>
      <c r="F4841" t="s">
        <v>55</v>
      </c>
      <c r="G4841">
        <v>6.14</v>
      </c>
      <c r="H4841" t="s">
        <v>41</v>
      </c>
      <c r="I4841" t="s">
        <v>42</v>
      </c>
      <c r="M4841">
        <f>VLOOKUP(H4841,'Stage Order'!$A$2:$B$8,2,FALSE)</f>
        <v>2</v>
      </c>
      <c r="N4841" t="str">
        <f t="shared" si="150"/>
        <v>2. 1-24 hours</v>
      </c>
      <c r="O4841" t="str">
        <f t="shared" si="151"/>
        <v>2025-06</v>
      </c>
    </row>
    <row r="4842" spans="1:15" x14ac:dyDescent="0.3">
      <c r="A4842" t="s">
        <v>11403</v>
      </c>
      <c r="B4842" t="s">
        <v>11404</v>
      </c>
      <c r="C4842" t="s">
        <v>76</v>
      </c>
      <c r="D4842" t="s">
        <v>38</v>
      </c>
      <c r="E4842" t="s">
        <v>45</v>
      </c>
      <c r="F4842" t="s">
        <v>55</v>
      </c>
      <c r="G4842">
        <v>3.86</v>
      </c>
      <c r="H4842" t="s">
        <v>41</v>
      </c>
      <c r="I4842" t="s">
        <v>42</v>
      </c>
      <c r="M4842">
        <f>VLOOKUP(H4842,'Stage Order'!$A$2:$B$8,2,FALSE)</f>
        <v>2</v>
      </c>
      <c r="N4842" t="str">
        <f t="shared" si="150"/>
        <v>2. 1-24 hours</v>
      </c>
      <c r="O4842" t="str">
        <f t="shared" si="151"/>
        <v>2026-03</v>
      </c>
    </row>
    <row r="4843" spans="1:15" x14ac:dyDescent="0.3">
      <c r="A4843" t="s">
        <v>11405</v>
      </c>
      <c r="B4843" t="s">
        <v>11406</v>
      </c>
      <c r="C4843" t="s">
        <v>125</v>
      </c>
      <c r="D4843" t="s">
        <v>29</v>
      </c>
      <c r="E4843" t="s">
        <v>59</v>
      </c>
      <c r="F4843" t="s">
        <v>117</v>
      </c>
      <c r="G4843">
        <v>6.72</v>
      </c>
      <c r="H4843" t="s">
        <v>41</v>
      </c>
      <c r="I4843" t="s">
        <v>42</v>
      </c>
      <c r="M4843">
        <f>VLOOKUP(H4843,'Stage Order'!$A$2:$B$8,2,FALSE)</f>
        <v>2</v>
      </c>
      <c r="N4843" t="str">
        <f t="shared" si="150"/>
        <v>2. 1-24 hours</v>
      </c>
      <c r="O4843" t="str">
        <f t="shared" si="151"/>
        <v>2025-08</v>
      </c>
    </row>
    <row r="4844" spans="1:15" x14ac:dyDescent="0.3">
      <c r="A4844" t="s">
        <v>11407</v>
      </c>
      <c r="B4844" t="s">
        <v>11408</v>
      </c>
      <c r="C4844" t="s">
        <v>125</v>
      </c>
      <c r="D4844" t="s">
        <v>97</v>
      </c>
      <c r="E4844" t="s">
        <v>59</v>
      </c>
      <c r="F4844" t="s">
        <v>60</v>
      </c>
      <c r="G4844">
        <v>4.8</v>
      </c>
      <c r="H4844" t="s">
        <v>146</v>
      </c>
      <c r="I4844" t="s">
        <v>48</v>
      </c>
      <c r="J4844" t="s">
        <v>742</v>
      </c>
      <c r="K4844">
        <v>1741.75</v>
      </c>
      <c r="L4844" t="s">
        <v>11409</v>
      </c>
      <c r="M4844">
        <f>VLOOKUP(H4844,'Stage Order'!$A$2:$B$8,2,FALSE)</f>
        <v>5</v>
      </c>
      <c r="N4844" t="str">
        <f t="shared" si="150"/>
        <v>2. 1-24 hours</v>
      </c>
      <c r="O4844" t="str">
        <f t="shared" si="151"/>
        <v>2025-03</v>
      </c>
    </row>
    <row r="4845" spans="1:15" x14ac:dyDescent="0.3">
      <c r="A4845" t="s">
        <v>11410</v>
      </c>
      <c r="B4845" t="s">
        <v>11411</v>
      </c>
      <c r="C4845" t="s">
        <v>37</v>
      </c>
      <c r="D4845" t="s">
        <v>29</v>
      </c>
      <c r="E4845" t="s">
        <v>59</v>
      </c>
      <c r="F4845" t="s">
        <v>137</v>
      </c>
      <c r="G4845">
        <v>3.68</v>
      </c>
      <c r="H4845" t="s">
        <v>41</v>
      </c>
      <c r="I4845" t="s">
        <v>42</v>
      </c>
      <c r="M4845">
        <f>VLOOKUP(H4845,'Stage Order'!$A$2:$B$8,2,FALSE)</f>
        <v>2</v>
      </c>
      <c r="N4845" t="str">
        <f t="shared" si="150"/>
        <v>2. 1-24 hours</v>
      </c>
      <c r="O4845" t="str">
        <f t="shared" si="151"/>
        <v>2026-06</v>
      </c>
    </row>
    <row r="4846" spans="1:15" x14ac:dyDescent="0.3">
      <c r="A4846" t="s">
        <v>11412</v>
      </c>
      <c r="B4846" t="s">
        <v>11413</v>
      </c>
      <c r="C4846" t="s">
        <v>28</v>
      </c>
      <c r="D4846" t="s">
        <v>77</v>
      </c>
      <c r="E4846" t="s">
        <v>39</v>
      </c>
      <c r="F4846" t="s">
        <v>106</v>
      </c>
      <c r="G4846">
        <v>2.74</v>
      </c>
      <c r="H4846" t="s">
        <v>41</v>
      </c>
      <c r="I4846" t="s">
        <v>42</v>
      </c>
      <c r="M4846">
        <f>VLOOKUP(H4846,'Stage Order'!$A$2:$B$8,2,FALSE)</f>
        <v>2</v>
      </c>
      <c r="N4846" t="str">
        <f t="shared" si="150"/>
        <v>2. 1-24 hours</v>
      </c>
      <c r="O4846" t="str">
        <f t="shared" si="151"/>
        <v>2025-06</v>
      </c>
    </row>
    <row r="4847" spans="1:15" x14ac:dyDescent="0.3">
      <c r="A4847" t="s">
        <v>11414</v>
      </c>
      <c r="B4847" t="s">
        <v>11415</v>
      </c>
      <c r="C4847" t="s">
        <v>125</v>
      </c>
      <c r="D4847" t="s">
        <v>29</v>
      </c>
      <c r="E4847" t="s">
        <v>90</v>
      </c>
      <c r="F4847" t="s">
        <v>145</v>
      </c>
      <c r="G4847">
        <v>36.67</v>
      </c>
      <c r="H4847" t="s">
        <v>41</v>
      </c>
      <c r="I4847" t="s">
        <v>42</v>
      </c>
      <c r="M4847">
        <f>VLOOKUP(H4847,'Stage Order'!$A$2:$B$8,2,FALSE)</f>
        <v>2</v>
      </c>
      <c r="N4847" t="str">
        <f t="shared" si="150"/>
        <v>3. 1-3 days</v>
      </c>
      <c r="O4847" t="str">
        <f t="shared" si="151"/>
        <v>2026-04</v>
      </c>
    </row>
    <row r="4848" spans="1:15" x14ac:dyDescent="0.3">
      <c r="A4848" t="s">
        <v>11416</v>
      </c>
      <c r="B4848" t="s">
        <v>11417</v>
      </c>
      <c r="C4848" t="s">
        <v>53</v>
      </c>
      <c r="D4848" t="s">
        <v>97</v>
      </c>
      <c r="E4848" t="s">
        <v>45</v>
      </c>
      <c r="F4848" t="s">
        <v>46</v>
      </c>
      <c r="G4848">
        <v>4.07</v>
      </c>
      <c r="H4848" t="s">
        <v>32</v>
      </c>
      <c r="I4848" t="s">
        <v>33</v>
      </c>
      <c r="K4848">
        <v>1445.45</v>
      </c>
      <c r="L4848" t="s">
        <v>11418</v>
      </c>
      <c r="M4848">
        <f>VLOOKUP(H4848,'Stage Order'!$A$2:$B$8,2,FALSE)</f>
        <v>7</v>
      </c>
      <c r="N4848" t="str">
        <f t="shared" si="150"/>
        <v>2. 1-24 hours</v>
      </c>
      <c r="O4848" t="str">
        <f t="shared" si="151"/>
        <v>2026-02</v>
      </c>
    </row>
    <row r="4849" spans="1:15" x14ac:dyDescent="0.3">
      <c r="A4849" t="s">
        <v>11419</v>
      </c>
      <c r="B4849" t="s">
        <v>11420</v>
      </c>
      <c r="C4849" t="s">
        <v>76</v>
      </c>
      <c r="D4849" t="s">
        <v>97</v>
      </c>
      <c r="E4849" t="s">
        <v>30</v>
      </c>
      <c r="F4849" t="s">
        <v>31</v>
      </c>
      <c r="G4849">
        <v>28.73</v>
      </c>
      <c r="H4849" t="s">
        <v>61</v>
      </c>
      <c r="I4849" t="s">
        <v>42</v>
      </c>
      <c r="M4849">
        <f>VLOOKUP(H4849,'Stage Order'!$A$2:$B$8,2,FALSE)</f>
        <v>1</v>
      </c>
      <c r="N4849" t="str">
        <f t="shared" si="150"/>
        <v>3. 1-3 days</v>
      </c>
      <c r="O4849" t="str">
        <f t="shared" si="151"/>
        <v>2025-10</v>
      </c>
    </row>
    <row r="4850" spans="1:15" x14ac:dyDescent="0.3">
      <c r="A4850" t="s">
        <v>11421</v>
      </c>
      <c r="B4850" t="s">
        <v>11422</v>
      </c>
      <c r="C4850" t="s">
        <v>28</v>
      </c>
      <c r="D4850" t="s">
        <v>77</v>
      </c>
      <c r="E4850" t="s">
        <v>90</v>
      </c>
      <c r="F4850" t="s">
        <v>91</v>
      </c>
      <c r="G4850">
        <v>3.97</v>
      </c>
      <c r="H4850" t="s">
        <v>61</v>
      </c>
      <c r="I4850" t="s">
        <v>42</v>
      </c>
      <c r="M4850">
        <f>VLOOKUP(H4850,'Stage Order'!$A$2:$B$8,2,FALSE)</f>
        <v>1</v>
      </c>
      <c r="N4850" t="str">
        <f t="shared" si="150"/>
        <v>2. 1-24 hours</v>
      </c>
      <c r="O4850" t="str">
        <f t="shared" si="151"/>
        <v>2025-10</v>
      </c>
    </row>
    <row r="4851" spans="1:15" x14ac:dyDescent="0.3">
      <c r="A4851" t="s">
        <v>11423</v>
      </c>
      <c r="B4851" t="s">
        <v>11424</v>
      </c>
      <c r="C4851" t="s">
        <v>37</v>
      </c>
      <c r="D4851" t="s">
        <v>54</v>
      </c>
      <c r="E4851" t="s">
        <v>39</v>
      </c>
      <c r="F4851" t="s">
        <v>66</v>
      </c>
      <c r="G4851">
        <v>0.57999999999999996</v>
      </c>
      <c r="H4851" t="s">
        <v>41</v>
      </c>
      <c r="I4851" t="s">
        <v>42</v>
      </c>
      <c r="M4851">
        <f>VLOOKUP(H4851,'Stage Order'!$A$2:$B$8,2,FALSE)</f>
        <v>2</v>
      </c>
      <c r="N4851" t="str">
        <f t="shared" si="150"/>
        <v>1. Under 1 hour</v>
      </c>
      <c r="O4851" t="str">
        <f t="shared" si="151"/>
        <v>2026-04</v>
      </c>
    </row>
    <row r="4852" spans="1:15" x14ac:dyDescent="0.3">
      <c r="A4852" t="s">
        <v>11425</v>
      </c>
      <c r="B4852" t="s">
        <v>11426</v>
      </c>
      <c r="C4852" t="s">
        <v>125</v>
      </c>
      <c r="D4852" t="s">
        <v>54</v>
      </c>
      <c r="E4852" t="s">
        <v>90</v>
      </c>
      <c r="F4852" t="s">
        <v>145</v>
      </c>
      <c r="G4852">
        <v>1.97</v>
      </c>
      <c r="H4852" t="s">
        <v>41</v>
      </c>
      <c r="I4852" t="s">
        <v>42</v>
      </c>
      <c r="M4852">
        <f>VLOOKUP(H4852,'Stage Order'!$A$2:$B$8,2,FALSE)</f>
        <v>2</v>
      </c>
      <c r="N4852" t="str">
        <f t="shared" si="150"/>
        <v>2. 1-24 hours</v>
      </c>
      <c r="O4852" t="str">
        <f t="shared" si="151"/>
        <v>2025-09</v>
      </c>
    </row>
    <row r="4853" spans="1:15" x14ac:dyDescent="0.3">
      <c r="A4853" t="s">
        <v>11427</v>
      </c>
      <c r="B4853" t="s">
        <v>11428</v>
      </c>
      <c r="C4853" t="s">
        <v>37</v>
      </c>
      <c r="D4853" t="s">
        <v>54</v>
      </c>
      <c r="E4853" t="s">
        <v>90</v>
      </c>
      <c r="F4853" t="s">
        <v>91</v>
      </c>
      <c r="G4853">
        <v>2.5299999999999998</v>
      </c>
      <c r="H4853" t="s">
        <v>146</v>
      </c>
      <c r="I4853" t="s">
        <v>48</v>
      </c>
      <c r="J4853" t="s">
        <v>113</v>
      </c>
      <c r="K4853">
        <v>460.42</v>
      </c>
      <c r="L4853" t="s">
        <v>11429</v>
      </c>
      <c r="M4853">
        <f>VLOOKUP(H4853,'Stage Order'!$A$2:$B$8,2,FALSE)</f>
        <v>5</v>
      </c>
      <c r="N4853" t="str">
        <f t="shared" si="150"/>
        <v>2. 1-24 hours</v>
      </c>
      <c r="O4853" t="str">
        <f t="shared" si="151"/>
        <v>2025-07</v>
      </c>
    </row>
    <row r="4854" spans="1:15" x14ac:dyDescent="0.3">
      <c r="A4854" t="s">
        <v>11430</v>
      </c>
      <c r="B4854" t="s">
        <v>11431</v>
      </c>
      <c r="C4854" t="s">
        <v>76</v>
      </c>
      <c r="D4854" t="s">
        <v>38</v>
      </c>
      <c r="E4854" t="s">
        <v>45</v>
      </c>
      <c r="F4854" t="s">
        <v>55</v>
      </c>
      <c r="G4854">
        <v>3.51</v>
      </c>
      <c r="H4854" t="s">
        <v>138</v>
      </c>
      <c r="I4854" t="s">
        <v>48</v>
      </c>
      <c r="J4854" t="s">
        <v>139</v>
      </c>
      <c r="K4854">
        <v>341.54</v>
      </c>
      <c r="L4854" t="s">
        <v>11432</v>
      </c>
      <c r="M4854">
        <f>VLOOKUP(H4854,'Stage Order'!$A$2:$B$8,2,FALSE)</f>
        <v>6</v>
      </c>
      <c r="N4854" t="str">
        <f t="shared" si="150"/>
        <v>2. 1-24 hours</v>
      </c>
      <c r="O4854" t="str">
        <f t="shared" si="151"/>
        <v>2025-03</v>
      </c>
    </row>
    <row r="4855" spans="1:15" x14ac:dyDescent="0.3">
      <c r="A4855" t="s">
        <v>11433</v>
      </c>
      <c r="B4855" t="s">
        <v>11434</v>
      </c>
      <c r="C4855" t="s">
        <v>76</v>
      </c>
      <c r="D4855" t="s">
        <v>29</v>
      </c>
      <c r="E4855" t="s">
        <v>45</v>
      </c>
      <c r="F4855" t="s">
        <v>46</v>
      </c>
      <c r="G4855">
        <v>1.48</v>
      </c>
      <c r="H4855" t="s">
        <v>41</v>
      </c>
      <c r="I4855" t="s">
        <v>42</v>
      </c>
      <c r="M4855">
        <f>VLOOKUP(H4855,'Stage Order'!$A$2:$B$8,2,FALSE)</f>
        <v>2</v>
      </c>
      <c r="N4855" t="str">
        <f t="shared" si="150"/>
        <v>2. 1-24 hours</v>
      </c>
      <c r="O4855" t="str">
        <f t="shared" si="151"/>
        <v>2025-01</v>
      </c>
    </row>
    <row r="4856" spans="1:15" x14ac:dyDescent="0.3">
      <c r="A4856" t="s">
        <v>11435</v>
      </c>
      <c r="B4856" t="s">
        <v>11436</v>
      </c>
      <c r="C4856" t="s">
        <v>53</v>
      </c>
      <c r="D4856" t="s">
        <v>97</v>
      </c>
      <c r="E4856" t="s">
        <v>90</v>
      </c>
      <c r="F4856" t="s">
        <v>91</v>
      </c>
      <c r="G4856">
        <v>1.31</v>
      </c>
      <c r="H4856" t="s">
        <v>138</v>
      </c>
      <c r="I4856" t="s">
        <v>48</v>
      </c>
      <c r="J4856" t="s">
        <v>49</v>
      </c>
      <c r="K4856">
        <v>1479.88</v>
      </c>
      <c r="L4856" t="s">
        <v>11437</v>
      </c>
      <c r="M4856">
        <f>VLOOKUP(H4856,'Stage Order'!$A$2:$B$8,2,FALSE)</f>
        <v>6</v>
      </c>
      <c r="N4856" t="str">
        <f t="shared" si="150"/>
        <v>2. 1-24 hours</v>
      </c>
      <c r="O4856" t="str">
        <f t="shared" si="151"/>
        <v>2026-06</v>
      </c>
    </row>
    <row r="4857" spans="1:15" x14ac:dyDescent="0.3">
      <c r="A4857" t="s">
        <v>11438</v>
      </c>
      <c r="B4857" t="s">
        <v>11439</v>
      </c>
      <c r="C4857" t="s">
        <v>37</v>
      </c>
      <c r="D4857" t="s">
        <v>54</v>
      </c>
      <c r="E4857" t="s">
        <v>39</v>
      </c>
      <c r="F4857" t="s">
        <v>40</v>
      </c>
      <c r="G4857">
        <v>2.64</v>
      </c>
      <c r="H4857" t="s">
        <v>41</v>
      </c>
      <c r="I4857" t="s">
        <v>42</v>
      </c>
      <c r="M4857">
        <f>VLOOKUP(H4857,'Stage Order'!$A$2:$B$8,2,FALSE)</f>
        <v>2</v>
      </c>
      <c r="N4857" t="str">
        <f t="shared" si="150"/>
        <v>2. 1-24 hours</v>
      </c>
      <c r="O4857" t="str">
        <f t="shared" si="151"/>
        <v>2025-07</v>
      </c>
    </row>
    <row r="4858" spans="1:15" x14ac:dyDescent="0.3">
      <c r="A4858" t="s">
        <v>11440</v>
      </c>
      <c r="B4858" t="s">
        <v>11441</v>
      </c>
      <c r="C4858" t="s">
        <v>81</v>
      </c>
      <c r="D4858" t="s">
        <v>38</v>
      </c>
      <c r="E4858" t="s">
        <v>45</v>
      </c>
      <c r="F4858" t="s">
        <v>94</v>
      </c>
      <c r="G4858">
        <v>2.1800000000000002</v>
      </c>
      <c r="H4858" t="s">
        <v>61</v>
      </c>
      <c r="I4858" t="s">
        <v>42</v>
      </c>
      <c r="M4858">
        <f>VLOOKUP(H4858,'Stage Order'!$A$2:$B$8,2,FALSE)</f>
        <v>1</v>
      </c>
      <c r="N4858" t="str">
        <f t="shared" si="150"/>
        <v>2. 1-24 hours</v>
      </c>
      <c r="O4858" t="str">
        <f t="shared" si="151"/>
        <v>2025-12</v>
      </c>
    </row>
    <row r="4859" spans="1:15" x14ac:dyDescent="0.3">
      <c r="A4859" t="s">
        <v>11442</v>
      </c>
      <c r="B4859" t="s">
        <v>11443</v>
      </c>
      <c r="C4859" t="s">
        <v>81</v>
      </c>
      <c r="D4859" t="s">
        <v>29</v>
      </c>
      <c r="E4859" t="s">
        <v>59</v>
      </c>
      <c r="F4859" t="s">
        <v>60</v>
      </c>
      <c r="G4859">
        <v>1.93</v>
      </c>
      <c r="H4859" t="s">
        <v>61</v>
      </c>
      <c r="I4859" t="s">
        <v>42</v>
      </c>
      <c r="M4859">
        <f>VLOOKUP(H4859,'Stage Order'!$A$2:$B$8,2,FALSE)</f>
        <v>1</v>
      </c>
      <c r="N4859" t="str">
        <f t="shared" si="150"/>
        <v>2. 1-24 hours</v>
      </c>
      <c r="O4859" t="str">
        <f t="shared" si="151"/>
        <v>2025-08</v>
      </c>
    </row>
    <row r="4860" spans="1:15" x14ac:dyDescent="0.3">
      <c r="A4860" t="s">
        <v>11444</v>
      </c>
      <c r="B4860" t="s">
        <v>11445</v>
      </c>
      <c r="C4860" t="s">
        <v>58</v>
      </c>
      <c r="D4860" t="s">
        <v>54</v>
      </c>
      <c r="E4860" t="s">
        <v>59</v>
      </c>
      <c r="F4860" t="s">
        <v>137</v>
      </c>
      <c r="G4860">
        <v>1.66</v>
      </c>
      <c r="H4860" t="s">
        <v>41</v>
      </c>
      <c r="I4860" t="s">
        <v>42</v>
      </c>
      <c r="M4860">
        <f>VLOOKUP(H4860,'Stage Order'!$A$2:$B$8,2,FALSE)</f>
        <v>2</v>
      </c>
      <c r="N4860" t="str">
        <f t="shared" si="150"/>
        <v>2. 1-24 hours</v>
      </c>
      <c r="O4860" t="str">
        <f t="shared" si="151"/>
        <v>2026-05</v>
      </c>
    </row>
    <row r="4861" spans="1:15" x14ac:dyDescent="0.3">
      <c r="A4861" t="s">
        <v>11446</v>
      </c>
      <c r="B4861" t="s">
        <v>11447</v>
      </c>
      <c r="C4861" t="s">
        <v>125</v>
      </c>
      <c r="D4861" t="s">
        <v>29</v>
      </c>
      <c r="E4861" t="s">
        <v>39</v>
      </c>
      <c r="F4861" t="s">
        <v>40</v>
      </c>
      <c r="G4861">
        <v>3.91</v>
      </c>
      <c r="H4861" t="s">
        <v>47</v>
      </c>
      <c r="I4861" t="s">
        <v>48</v>
      </c>
      <c r="J4861" t="s">
        <v>113</v>
      </c>
      <c r="K4861">
        <v>633.99</v>
      </c>
      <c r="L4861" t="s">
        <v>11448</v>
      </c>
      <c r="M4861">
        <f>VLOOKUP(H4861,'Stage Order'!$A$2:$B$8,2,FALSE)</f>
        <v>4</v>
      </c>
      <c r="N4861" t="str">
        <f t="shared" si="150"/>
        <v>2. 1-24 hours</v>
      </c>
      <c r="O4861" t="str">
        <f t="shared" si="151"/>
        <v>2025-03</v>
      </c>
    </row>
    <row r="4862" spans="1:15" x14ac:dyDescent="0.3">
      <c r="A4862" t="s">
        <v>11449</v>
      </c>
      <c r="B4862" t="s">
        <v>11450</v>
      </c>
      <c r="C4862" t="s">
        <v>125</v>
      </c>
      <c r="D4862" t="s">
        <v>38</v>
      </c>
      <c r="E4862" t="s">
        <v>45</v>
      </c>
      <c r="F4862" t="s">
        <v>46</v>
      </c>
      <c r="G4862">
        <v>5.74</v>
      </c>
      <c r="H4862" t="s">
        <v>61</v>
      </c>
      <c r="I4862" t="s">
        <v>42</v>
      </c>
      <c r="M4862">
        <f>VLOOKUP(H4862,'Stage Order'!$A$2:$B$8,2,FALSE)</f>
        <v>1</v>
      </c>
      <c r="N4862" t="str">
        <f t="shared" si="150"/>
        <v>2. 1-24 hours</v>
      </c>
      <c r="O4862" t="str">
        <f t="shared" si="151"/>
        <v>2025-10</v>
      </c>
    </row>
    <row r="4863" spans="1:15" x14ac:dyDescent="0.3">
      <c r="A4863" t="s">
        <v>11451</v>
      </c>
      <c r="B4863" t="s">
        <v>11452</v>
      </c>
      <c r="C4863" t="s">
        <v>125</v>
      </c>
      <c r="D4863" t="s">
        <v>38</v>
      </c>
      <c r="E4863" t="s">
        <v>90</v>
      </c>
      <c r="F4863" t="s">
        <v>91</v>
      </c>
      <c r="G4863">
        <v>4</v>
      </c>
      <c r="H4863" t="s">
        <v>61</v>
      </c>
      <c r="I4863" t="s">
        <v>42</v>
      </c>
      <c r="M4863">
        <f>VLOOKUP(H4863,'Stage Order'!$A$2:$B$8,2,FALSE)</f>
        <v>1</v>
      </c>
      <c r="N4863" t="str">
        <f t="shared" si="150"/>
        <v>2. 1-24 hours</v>
      </c>
      <c r="O4863" t="str">
        <f t="shared" si="151"/>
        <v>2025-04</v>
      </c>
    </row>
    <row r="4864" spans="1:15" x14ac:dyDescent="0.3">
      <c r="A4864" t="s">
        <v>11453</v>
      </c>
      <c r="B4864" t="s">
        <v>11454</v>
      </c>
      <c r="C4864" t="s">
        <v>37</v>
      </c>
      <c r="D4864" t="s">
        <v>97</v>
      </c>
      <c r="E4864" t="s">
        <v>90</v>
      </c>
      <c r="F4864" t="s">
        <v>145</v>
      </c>
      <c r="G4864">
        <v>10.34</v>
      </c>
      <c r="H4864" t="s">
        <v>61</v>
      </c>
      <c r="I4864" t="s">
        <v>42</v>
      </c>
      <c r="M4864">
        <f>VLOOKUP(H4864,'Stage Order'!$A$2:$B$8,2,FALSE)</f>
        <v>1</v>
      </c>
      <c r="N4864" t="str">
        <f t="shared" si="150"/>
        <v>2. 1-24 hours</v>
      </c>
      <c r="O4864" t="str">
        <f t="shared" si="151"/>
        <v>2026-02</v>
      </c>
    </row>
    <row r="4865" spans="1:15" x14ac:dyDescent="0.3">
      <c r="A4865" t="s">
        <v>11455</v>
      </c>
      <c r="B4865" t="s">
        <v>11456</v>
      </c>
      <c r="C4865" t="s">
        <v>58</v>
      </c>
      <c r="D4865" t="s">
        <v>29</v>
      </c>
      <c r="E4865" t="s">
        <v>39</v>
      </c>
      <c r="F4865" t="s">
        <v>106</v>
      </c>
      <c r="G4865">
        <v>3.03</v>
      </c>
      <c r="H4865" t="s">
        <v>138</v>
      </c>
      <c r="I4865" t="s">
        <v>48</v>
      </c>
      <c r="J4865" t="s">
        <v>98</v>
      </c>
      <c r="K4865">
        <v>705.19</v>
      </c>
      <c r="L4865" t="s">
        <v>11457</v>
      </c>
      <c r="M4865">
        <f>VLOOKUP(H4865,'Stage Order'!$A$2:$B$8,2,FALSE)</f>
        <v>6</v>
      </c>
      <c r="N4865" t="str">
        <f t="shared" si="150"/>
        <v>2. 1-24 hours</v>
      </c>
      <c r="O4865" t="str">
        <f t="shared" si="151"/>
        <v>2025-03</v>
      </c>
    </row>
    <row r="4866" spans="1:15" x14ac:dyDescent="0.3">
      <c r="A4866" t="s">
        <v>11458</v>
      </c>
      <c r="B4866" t="s">
        <v>11459</v>
      </c>
      <c r="C4866" t="s">
        <v>37</v>
      </c>
      <c r="D4866" t="s">
        <v>97</v>
      </c>
      <c r="E4866" t="s">
        <v>45</v>
      </c>
      <c r="F4866" t="s">
        <v>55</v>
      </c>
      <c r="G4866">
        <v>0.97</v>
      </c>
      <c r="H4866" t="s">
        <v>32</v>
      </c>
      <c r="I4866" t="s">
        <v>33</v>
      </c>
      <c r="K4866">
        <v>1727.66</v>
      </c>
      <c r="L4866" t="s">
        <v>11460</v>
      </c>
      <c r="M4866">
        <f>VLOOKUP(H4866,'Stage Order'!$A$2:$B$8,2,FALSE)</f>
        <v>7</v>
      </c>
      <c r="N4866" t="str">
        <f t="shared" ref="N4866:N4929" si="152">IF(G4866&lt;=1,"1. Under 1 hour",IF(G4866&lt;=24,"2. 1-24 hours",IF(G4866&lt;=72,"3. 1-3 days","4. Over 3 days")))</f>
        <v>1. Under 1 hour</v>
      </c>
      <c r="O4866" t="str">
        <f t="shared" ref="O4866:O4929" si="153">TEXT(B4866,"YYYY-MM")</f>
        <v>2025-12</v>
      </c>
    </row>
    <row r="4867" spans="1:15" x14ac:dyDescent="0.3">
      <c r="A4867" t="s">
        <v>11461</v>
      </c>
      <c r="B4867" t="s">
        <v>11462</v>
      </c>
      <c r="C4867" t="s">
        <v>125</v>
      </c>
      <c r="D4867" t="s">
        <v>97</v>
      </c>
      <c r="E4867" t="s">
        <v>39</v>
      </c>
      <c r="F4867" t="s">
        <v>106</v>
      </c>
      <c r="G4867">
        <v>4.99</v>
      </c>
      <c r="H4867" t="s">
        <v>32</v>
      </c>
      <c r="I4867" t="s">
        <v>33</v>
      </c>
      <c r="K4867">
        <v>1345.42</v>
      </c>
      <c r="L4867" t="s">
        <v>11463</v>
      </c>
      <c r="M4867">
        <f>VLOOKUP(H4867,'Stage Order'!$A$2:$B$8,2,FALSE)</f>
        <v>7</v>
      </c>
      <c r="N4867" t="str">
        <f t="shared" si="152"/>
        <v>2. 1-24 hours</v>
      </c>
      <c r="O4867" t="str">
        <f t="shared" si="153"/>
        <v>2026-02</v>
      </c>
    </row>
    <row r="4868" spans="1:15" x14ac:dyDescent="0.3">
      <c r="A4868" t="s">
        <v>11464</v>
      </c>
      <c r="B4868" t="s">
        <v>11465</v>
      </c>
      <c r="C4868" t="s">
        <v>58</v>
      </c>
      <c r="D4868" t="s">
        <v>97</v>
      </c>
      <c r="E4868" t="s">
        <v>39</v>
      </c>
      <c r="F4868" t="s">
        <v>40</v>
      </c>
      <c r="G4868">
        <v>4.3099999999999996</v>
      </c>
      <c r="H4868" t="s">
        <v>41</v>
      </c>
      <c r="I4868" t="s">
        <v>42</v>
      </c>
      <c r="M4868">
        <f>VLOOKUP(H4868,'Stage Order'!$A$2:$B$8,2,FALSE)</f>
        <v>2</v>
      </c>
      <c r="N4868" t="str">
        <f t="shared" si="152"/>
        <v>2. 1-24 hours</v>
      </c>
      <c r="O4868" t="str">
        <f t="shared" si="153"/>
        <v>2025-09</v>
      </c>
    </row>
    <row r="4869" spans="1:15" x14ac:dyDescent="0.3">
      <c r="A4869" t="s">
        <v>11466</v>
      </c>
      <c r="B4869" t="s">
        <v>11467</v>
      </c>
      <c r="C4869" t="s">
        <v>37</v>
      </c>
      <c r="D4869" t="s">
        <v>29</v>
      </c>
      <c r="E4869" t="s">
        <v>39</v>
      </c>
      <c r="F4869" t="s">
        <v>106</v>
      </c>
      <c r="G4869">
        <v>1.76</v>
      </c>
      <c r="H4869" t="s">
        <v>41</v>
      </c>
      <c r="I4869" t="s">
        <v>42</v>
      </c>
      <c r="M4869">
        <f>VLOOKUP(H4869,'Stage Order'!$A$2:$B$8,2,FALSE)</f>
        <v>2</v>
      </c>
      <c r="N4869" t="str">
        <f t="shared" si="152"/>
        <v>2. 1-24 hours</v>
      </c>
      <c r="O4869" t="str">
        <f t="shared" si="153"/>
        <v>2025-05</v>
      </c>
    </row>
    <row r="4870" spans="1:15" x14ac:dyDescent="0.3">
      <c r="A4870" t="s">
        <v>11468</v>
      </c>
      <c r="B4870" t="s">
        <v>11469</v>
      </c>
      <c r="C4870" t="s">
        <v>81</v>
      </c>
      <c r="D4870" t="s">
        <v>29</v>
      </c>
      <c r="E4870" t="s">
        <v>90</v>
      </c>
      <c r="F4870" t="s">
        <v>145</v>
      </c>
      <c r="G4870">
        <v>10.79</v>
      </c>
      <c r="H4870" t="s">
        <v>61</v>
      </c>
      <c r="I4870" t="s">
        <v>42</v>
      </c>
      <c r="M4870">
        <f>VLOOKUP(H4870,'Stage Order'!$A$2:$B$8,2,FALSE)</f>
        <v>1</v>
      </c>
      <c r="N4870" t="str">
        <f t="shared" si="152"/>
        <v>2. 1-24 hours</v>
      </c>
      <c r="O4870" t="str">
        <f t="shared" si="153"/>
        <v>2025-08</v>
      </c>
    </row>
    <row r="4871" spans="1:15" x14ac:dyDescent="0.3">
      <c r="A4871" t="s">
        <v>11470</v>
      </c>
      <c r="B4871" t="s">
        <v>11471</v>
      </c>
      <c r="C4871" t="s">
        <v>53</v>
      </c>
      <c r="D4871" t="s">
        <v>97</v>
      </c>
      <c r="E4871" t="s">
        <v>90</v>
      </c>
      <c r="F4871" t="s">
        <v>91</v>
      </c>
      <c r="G4871">
        <v>3.17</v>
      </c>
      <c r="H4871" t="s">
        <v>41</v>
      </c>
      <c r="I4871" t="s">
        <v>42</v>
      </c>
      <c r="M4871">
        <f>VLOOKUP(H4871,'Stage Order'!$A$2:$B$8,2,FALSE)</f>
        <v>2</v>
      </c>
      <c r="N4871" t="str">
        <f t="shared" si="152"/>
        <v>2. 1-24 hours</v>
      </c>
      <c r="O4871" t="str">
        <f t="shared" si="153"/>
        <v>2026-02</v>
      </c>
    </row>
    <row r="4872" spans="1:15" x14ac:dyDescent="0.3">
      <c r="A4872" t="s">
        <v>11472</v>
      </c>
      <c r="B4872" t="s">
        <v>11473</v>
      </c>
      <c r="C4872" t="s">
        <v>125</v>
      </c>
      <c r="D4872" t="s">
        <v>29</v>
      </c>
      <c r="E4872" t="s">
        <v>59</v>
      </c>
      <c r="F4872" t="s">
        <v>117</v>
      </c>
      <c r="G4872">
        <v>6.03</v>
      </c>
      <c r="H4872" t="s">
        <v>41</v>
      </c>
      <c r="I4872" t="s">
        <v>42</v>
      </c>
      <c r="M4872">
        <f>VLOOKUP(H4872,'Stage Order'!$A$2:$B$8,2,FALSE)</f>
        <v>2</v>
      </c>
      <c r="N4872" t="str">
        <f t="shared" si="152"/>
        <v>2. 1-24 hours</v>
      </c>
      <c r="O4872" t="str">
        <f t="shared" si="153"/>
        <v>2025-08</v>
      </c>
    </row>
    <row r="4873" spans="1:15" x14ac:dyDescent="0.3">
      <c r="A4873" t="s">
        <v>11474</v>
      </c>
      <c r="B4873" t="s">
        <v>11475</v>
      </c>
      <c r="C4873" t="s">
        <v>37</v>
      </c>
      <c r="D4873" t="s">
        <v>54</v>
      </c>
      <c r="E4873" t="s">
        <v>90</v>
      </c>
      <c r="F4873" t="s">
        <v>112</v>
      </c>
      <c r="G4873">
        <v>3.14</v>
      </c>
      <c r="H4873" t="s">
        <v>32</v>
      </c>
      <c r="I4873" t="s">
        <v>33</v>
      </c>
      <c r="K4873">
        <v>587.49</v>
      </c>
      <c r="L4873" t="s">
        <v>11476</v>
      </c>
      <c r="M4873">
        <f>VLOOKUP(H4873,'Stage Order'!$A$2:$B$8,2,FALSE)</f>
        <v>7</v>
      </c>
      <c r="N4873" t="str">
        <f t="shared" si="152"/>
        <v>2. 1-24 hours</v>
      </c>
      <c r="O4873" t="str">
        <f t="shared" si="153"/>
        <v>2026-03</v>
      </c>
    </row>
    <row r="4874" spans="1:15" x14ac:dyDescent="0.3">
      <c r="A4874" t="s">
        <v>11477</v>
      </c>
      <c r="B4874" t="s">
        <v>11478</v>
      </c>
      <c r="C4874" t="s">
        <v>58</v>
      </c>
      <c r="D4874" t="s">
        <v>54</v>
      </c>
      <c r="E4874" t="s">
        <v>39</v>
      </c>
      <c r="F4874" t="s">
        <v>66</v>
      </c>
      <c r="G4874">
        <v>2.64</v>
      </c>
      <c r="H4874" t="s">
        <v>41</v>
      </c>
      <c r="I4874" t="s">
        <v>42</v>
      </c>
      <c r="M4874">
        <f>VLOOKUP(H4874,'Stage Order'!$A$2:$B$8,2,FALSE)</f>
        <v>2</v>
      </c>
      <c r="N4874" t="str">
        <f t="shared" si="152"/>
        <v>2. 1-24 hours</v>
      </c>
      <c r="O4874" t="str">
        <f t="shared" si="153"/>
        <v>2025-04</v>
      </c>
    </row>
    <row r="4875" spans="1:15" x14ac:dyDescent="0.3">
      <c r="A4875" t="s">
        <v>11479</v>
      </c>
      <c r="B4875" t="s">
        <v>11480</v>
      </c>
      <c r="C4875" t="s">
        <v>76</v>
      </c>
      <c r="D4875" t="s">
        <v>54</v>
      </c>
      <c r="E4875" t="s">
        <v>59</v>
      </c>
      <c r="F4875" t="s">
        <v>117</v>
      </c>
      <c r="G4875">
        <v>1.25</v>
      </c>
      <c r="H4875" t="s">
        <v>47</v>
      </c>
      <c r="I4875" t="s">
        <v>48</v>
      </c>
      <c r="J4875" t="s">
        <v>139</v>
      </c>
      <c r="K4875">
        <v>416.9</v>
      </c>
      <c r="L4875" t="s">
        <v>11481</v>
      </c>
      <c r="M4875">
        <f>VLOOKUP(H4875,'Stage Order'!$A$2:$B$8,2,FALSE)</f>
        <v>4</v>
      </c>
      <c r="N4875" t="str">
        <f t="shared" si="152"/>
        <v>2. 1-24 hours</v>
      </c>
      <c r="O4875" t="str">
        <f t="shared" si="153"/>
        <v>2025-02</v>
      </c>
    </row>
    <row r="4876" spans="1:15" x14ac:dyDescent="0.3">
      <c r="A4876" t="s">
        <v>11482</v>
      </c>
      <c r="B4876" t="s">
        <v>11483</v>
      </c>
      <c r="C4876" t="s">
        <v>37</v>
      </c>
      <c r="D4876" t="s">
        <v>29</v>
      </c>
      <c r="E4876" t="s">
        <v>59</v>
      </c>
      <c r="F4876" t="s">
        <v>137</v>
      </c>
      <c r="G4876">
        <v>6.67</v>
      </c>
      <c r="H4876" t="s">
        <v>61</v>
      </c>
      <c r="I4876" t="s">
        <v>42</v>
      </c>
      <c r="M4876">
        <f>VLOOKUP(H4876,'Stage Order'!$A$2:$B$8,2,FALSE)</f>
        <v>1</v>
      </c>
      <c r="N4876" t="str">
        <f t="shared" si="152"/>
        <v>2. 1-24 hours</v>
      </c>
      <c r="O4876" t="str">
        <f t="shared" si="153"/>
        <v>2025-06</v>
      </c>
    </row>
    <row r="4877" spans="1:15" x14ac:dyDescent="0.3">
      <c r="A4877" t="s">
        <v>11484</v>
      </c>
      <c r="B4877" t="s">
        <v>11485</v>
      </c>
      <c r="C4877" t="s">
        <v>53</v>
      </c>
      <c r="D4877" t="s">
        <v>54</v>
      </c>
      <c r="E4877" t="s">
        <v>59</v>
      </c>
      <c r="F4877" t="s">
        <v>137</v>
      </c>
      <c r="G4877">
        <v>9.52</v>
      </c>
      <c r="H4877" t="s">
        <v>41</v>
      </c>
      <c r="I4877" t="s">
        <v>42</v>
      </c>
      <c r="M4877">
        <f>VLOOKUP(H4877,'Stage Order'!$A$2:$B$8,2,FALSE)</f>
        <v>2</v>
      </c>
      <c r="N4877" t="str">
        <f t="shared" si="152"/>
        <v>2. 1-24 hours</v>
      </c>
      <c r="O4877" t="str">
        <f t="shared" si="153"/>
        <v>2025-05</v>
      </c>
    </row>
    <row r="4878" spans="1:15" x14ac:dyDescent="0.3">
      <c r="A4878" t="s">
        <v>11486</v>
      </c>
      <c r="B4878" t="s">
        <v>11487</v>
      </c>
      <c r="C4878" t="s">
        <v>53</v>
      </c>
      <c r="D4878" t="s">
        <v>97</v>
      </c>
      <c r="E4878" t="s">
        <v>90</v>
      </c>
      <c r="F4878" t="s">
        <v>91</v>
      </c>
      <c r="G4878">
        <v>1.64</v>
      </c>
      <c r="H4878" t="s">
        <v>41</v>
      </c>
      <c r="I4878" t="s">
        <v>42</v>
      </c>
      <c r="M4878">
        <f>VLOOKUP(H4878,'Stage Order'!$A$2:$B$8,2,FALSE)</f>
        <v>2</v>
      </c>
      <c r="N4878" t="str">
        <f t="shared" si="152"/>
        <v>2. 1-24 hours</v>
      </c>
      <c r="O4878" t="str">
        <f t="shared" si="153"/>
        <v>2025-07</v>
      </c>
    </row>
    <row r="4879" spans="1:15" x14ac:dyDescent="0.3">
      <c r="A4879" t="s">
        <v>11488</v>
      </c>
      <c r="B4879" t="s">
        <v>11489</v>
      </c>
      <c r="C4879" t="s">
        <v>53</v>
      </c>
      <c r="D4879" t="s">
        <v>54</v>
      </c>
      <c r="E4879" t="s">
        <v>30</v>
      </c>
      <c r="F4879" t="s">
        <v>82</v>
      </c>
      <c r="G4879">
        <v>2.06</v>
      </c>
      <c r="H4879" t="s">
        <v>128</v>
      </c>
      <c r="I4879" t="s">
        <v>42</v>
      </c>
      <c r="M4879">
        <f>VLOOKUP(H4879,'Stage Order'!$A$2:$B$8,2,FALSE)</f>
        <v>3</v>
      </c>
      <c r="N4879" t="str">
        <f t="shared" si="152"/>
        <v>2. 1-24 hours</v>
      </c>
      <c r="O4879" t="str">
        <f t="shared" si="153"/>
        <v>2025-12</v>
      </c>
    </row>
    <row r="4880" spans="1:15" x14ac:dyDescent="0.3">
      <c r="A4880" t="s">
        <v>11490</v>
      </c>
      <c r="B4880" t="s">
        <v>11491</v>
      </c>
      <c r="C4880" t="s">
        <v>76</v>
      </c>
      <c r="D4880" t="s">
        <v>29</v>
      </c>
      <c r="E4880" t="s">
        <v>39</v>
      </c>
      <c r="F4880" t="s">
        <v>40</v>
      </c>
      <c r="G4880">
        <v>0.28000000000000003</v>
      </c>
      <c r="H4880" t="s">
        <v>32</v>
      </c>
      <c r="I4880" t="s">
        <v>33</v>
      </c>
      <c r="K4880">
        <v>667.92</v>
      </c>
      <c r="L4880" t="s">
        <v>11492</v>
      </c>
      <c r="M4880">
        <f>VLOOKUP(H4880,'Stage Order'!$A$2:$B$8,2,FALSE)</f>
        <v>7</v>
      </c>
      <c r="N4880" t="str">
        <f t="shared" si="152"/>
        <v>1. Under 1 hour</v>
      </c>
      <c r="O4880" t="str">
        <f t="shared" si="153"/>
        <v>2025-08</v>
      </c>
    </row>
    <row r="4881" spans="1:15" x14ac:dyDescent="0.3">
      <c r="A4881" t="s">
        <v>11493</v>
      </c>
      <c r="B4881" t="s">
        <v>11494</v>
      </c>
      <c r="C4881" t="s">
        <v>53</v>
      </c>
      <c r="D4881" t="s">
        <v>29</v>
      </c>
      <c r="E4881" t="s">
        <v>90</v>
      </c>
      <c r="F4881" t="s">
        <v>145</v>
      </c>
      <c r="G4881">
        <v>4.82</v>
      </c>
      <c r="H4881" t="s">
        <v>138</v>
      </c>
      <c r="I4881" t="s">
        <v>48</v>
      </c>
      <c r="J4881" t="s">
        <v>49</v>
      </c>
      <c r="K4881">
        <v>552.91</v>
      </c>
      <c r="L4881" t="s">
        <v>11495</v>
      </c>
      <c r="M4881">
        <f>VLOOKUP(H4881,'Stage Order'!$A$2:$B$8,2,FALSE)</f>
        <v>6</v>
      </c>
      <c r="N4881" t="str">
        <f t="shared" si="152"/>
        <v>2. 1-24 hours</v>
      </c>
      <c r="O4881" t="str">
        <f t="shared" si="153"/>
        <v>2026-04</v>
      </c>
    </row>
    <row r="4882" spans="1:15" x14ac:dyDescent="0.3">
      <c r="A4882" t="s">
        <v>11496</v>
      </c>
      <c r="B4882" t="s">
        <v>11497</v>
      </c>
      <c r="C4882" t="s">
        <v>125</v>
      </c>
      <c r="D4882" t="s">
        <v>38</v>
      </c>
      <c r="E4882" t="s">
        <v>30</v>
      </c>
      <c r="F4882" t="s">
        <v>31</v>
      </c>
      <c r="G4882">
        <v>3.86</v>
      </c>
      <c r="H4882" t="s">
        <v>41</v>
      </c>
      <c r="I4882" t="s">
        <v>42</v>
      </c>
      <c r="M4882">
        <f>VLOOKUP(H4882,'Stage Order'!$A$2:$B$8,2,FALSE)</f>
        <v>2</v>
      </c>
      <c r="N4882" t="str">
        <f t="shared" si="152"/>
        <v>2. 1-24 hours</v>
      </c>
      <c r="O4882" t="str">
        <f t="shared" si="153"/>
        <v>2026-01</v>
      </c>
    </row>
    <row r="4883" spans="1:15" x14ac:dyDescent="0.3">
      <c r="A4883" t="s">
        <v>11498</v>
      </c>
      <c r="B4883" t="s">
        <v>11499</v>
      </c>
      <c r="C4883" t="s">
        <v>37</v>
      </c>
      <c r="D4883" t="s">
        <v>77</v>
      </c>
      <c r="E4883" t="s">
        <v>45</v>
      </c>
      <c r="F4883" t="s">
        <v>46</v>
      </c>
      <c r="G4883">
        <v>2.09</v>
      </c>
      <c r="H4883" t="s">
        <v>32</v>
      </c>
      <c r="I4883" t="s">
        <v>33</v>
      </c>
      <c r="K4883">
        <v>810.1</v>
      </c>
      <c r="L4883" t="s">
        <v>11500</v>
      </c>
      <c r="M4883">
        <f>VLOOKUP(H4883,'Stage Order'!$A$2:$B$8,2,FALSE)</f>
        <v>7</v>
      </c>
      <c r="N4883" t="str">
        <f t="shared" si="152"/>
        <v>2. 1-24 hours</v>
      </c>
      <c r="O4883" t="str">
        <f t="shared" si="153"/>
        <v>2025-08</v>
      </c>
    </row>
    <row r="4884" spans="1:15" x14ac:dyDescent="0.3">
      <c r="A4884" t="s">
        <v>11501</v>
      </c>
      <c r="B4884" t="s">
        <v>11502</v>
      </c>
      <c r="C4884" t="s">
        <v>76</v>
      </c>
      <c r="D4884" t="s">
        <v>38</v>
      </c>
      <c r="E4884" t="s">
        <v>39</v>
      </c>
      <c r="F4884" t="s">
        <v>40</v>
      </c>
      <c r="G4884">
        <v>10.62</v>
      </c>
      <c r="H4884" t="s">
        <v>41</v>
      </c>
      <c r="I4884" t="s">
        <v>42</v>
      </c>
      <c r="M4884">
        <f>VLOOKUP(H4884,'Stage Order'!$A$2:$B$8,2,FALSE)</f>
        <v>2</v>
      </c>
      <c r="N4884" t="str">
        <f t="shared" si="152"/>
        <v>2. 1-24 hours</v>
      </c>
      <c r="O4884" t="str">
        <f t="shared" si="153"/>
        <v>2025-08</v>
      </c>
    </row>
    <row r="4885" spans="1:15" x14ac:dyDescent="0.3">
      <c r="A4885" t="s">
        <v>11503</v>
      </c>
      <c r="B4885" t="s">
        <v>11504</v>
      </c>
      <c r="C4885" t="s">
        <v>58</v>
      </c>
      <c r="D4885" t="s">
        <v>38</v>
      </c>
      <c r="E4885" t="s">
        <v>45</v>
      </c>
      <c r="F4885" t="s">
        <v>55</v>
      </c>
      <c r="G4885">
        <v>2.61</v>
      </c>
      <c r="H4885" t="s">
        <v>61</v>
      </c>
      <c r="I4885" t="s">
        <v>42</v>
      </c>
      <c r="M4885">
        <f>VLOOKUP(H4885,'Stage Order'!$A$2:$B$8,2,FALSE)</f>
        <v>1</v>
      </c>
      <c r="N4885" t="str">
        <f t="shared" si="152"/>
        <v>2. 1-24 hours</v>
      </c>
      <c r="O4885" t="str">
        <f t="shared" si="153"/>
        <v>2025-08</v>
      </c>
    </row>
    <row r="4886" spans="1:15" x14ac:dyDescent="0.3">
      <c r="A4886" t="s">
        <v>11505</v>
      </c>
      <c r="B4886" t="s">
        <v>11506</v>
      </c>
      <c r="C4886" t="s">
        <v>37</v>
      </c>
      <c r="D4886" t="s">
        <v>54</v>
      </c>
      <c r="E4886" t="s">
        <v>30</v>
      </c>
      <c r="F4886" t="s">
        <v>82</v>
      </c>
      <c r="G4886">
        <v>2.95</v>
      </c>
      <c r="H4886" t="s">
        <v>41</v>
      </c>
      <c r="I4886" t="s">
        <v>42</v>
      </c>
      <c r="M4886">
        <f>VLOOKUP(H4886,'Stage Order'!$A$2:$B$8,2,FALSE)</f>
        <v>2</v>
      </c>
      <c r="N4886" t="str">
        <f t="shared" si="152"/>
        <v>2. 1-24 hours</v>
      </c>
      <c r="O4886" t="str">
        <f t="shared" si="153"/>
        <v>2026-03</v>
      </c>
    </row>
    <row r="4887" spans="1:15" x14ac:dyDescent="0.3">
      <c r="A4887" t="s">
        <v>11507</v>
      </c>
      <c r="B4887" t="s">
        <v>11508</v>
      </c>
      <c r="C4887" t="s">
        <v>58</v>
      </c>
      <c r="D4887" t="s">
        <v>97</v>
      </c>
      <c r="E4887" t="s">
        <v>39</v>
      </c>
      <c r="F4887" t="s">
        <v>40</v>
      </c>
      <c r="G4887">
        <v>5.15</v>
      </c>
      <c r="H4887" t="s">
        <v>41</v>
      </c>
      <c r="I4887" t="s">
        <v>42</v>
      </c>
      <c r="M4887">
        <f>VLOOKUP(H4887,'Stage Order'!$A$2:$B$8,2,FALSE)</f>
        <v>2</v>
      </c>
      <c r="N4887" t="str">
        <f t="shared" si="152"/>
        <v>2. 1-24 hours</v>
      </c>
      <c r="O4887" t="str">
        <f t="shared" si="153"/>
        <v>2025-07</v>
      </c>
    </row>
    <row r="4888" spans="1:15" x14ac:dyDescent="0.3">
      <c r="A4888" t="s">
        <v>11509</v>
      </c>
      <c r="B4888" t="s">
        <v>11510</v>
      </c>
      <c r="C4888" t="s">
        <v>76</v>
      </c>
      <c r="D4888" t="s">
        <v>29</v>
      </c>
      <c r="E4888" t="s">
        <v>90</v>
      </c>
      <c r="F4888" t="s">
        <v>145</v>
      </c>
      <c r="G4888">
        <v>6.3</v>
      </c>
      <c r="H4888" t="s">
        <v>32</v>
      </c>
      <c r="I4888" t="s">
        <v>33</v>
      </c>
      <c r="K4888">
        <v>638.69000000000005</v>
      </c>
      <c r="L4888" t="s">
        <v>11511</v>
      </c>
      <c r="M4888">
        <f>VLOOKUP(H4888,'Stage Order'!$A$2:$B$8,2,FALSE)</f>
        <v>7</v>
      </c>
      <c r="N4888" t="str">
        <f t="shared" si="152"/>
        <v>2. 1-24 hours</v>
      </c>
      <c r="O4888" t="str">
        <f t="shared" si="153"/>
        <v>2025-05</v>
      </c>
    </row>
    <row r="4889" spans="1:15" x14ac:dyDescent="0.3">
      <c r="A4889" t="s">
        <v>11512</v>
      </c>
      <c r="B4889" t="s">
        <v>11513</v>
      </c>
      <c r="C4889" t="s">
        <v>37</v>
      </c>
      <c r="D4889" t="s">
        <v>54</v>
      </c>
      <c r="E4889" t="s">
        <v>90</v>
      </c>
      <c r="F4889" t="s">
        <v>112</v>
      </c>
      <c r="G4889">
        <v>0.47</v>
      </c>
      <c r="H4889" t="s">
        <v>32</v>
      </c>
      <c r="I4889" t="s">
        <v>33</v>
      </c>
      <c r="K4889">
        <v>586.82000000000005</v>
      </c>
      <c r="L4889" t="s">
        <v>11514</v>
      </c>
      <c r="M4889">
        <f>VLOOKUP(H4889,'Stage Order'!$A$2:$B$8,2,FALSE)</f>
        <v>7</v>
      </c>
      <c r="N4889" t="str">
        <f t="shared" si="152"/>
        <v>1. Under 1 hour</v>
      </c>
      <c r="O4889" t="str">
        <f t="shared" si="153"/>
        <v>2025-07</v>
      </c>
    </row>
    <row r="4890" spans="1:15" x14ac:dyDescent="0.3">
      <c r="A4890" t="s">
        <v>11515</v>
      </c>
      <c r="B4890" t="s">
        <v>11516</v>
      </c>
      <c r="C4890" t="s">
        <v>53</v>
      </c>
      <c r="D4890" t="s">
        <v>77</v>
      </c>
      <c r="E4890" t="s">
        <v>45</v>
      </c>
      <c r="F4890" t="s">
        <v>55</v>
      </c>
      <c r="G4890">
        <v>1.9</v>
      </c>
      <c r="H4890" t="s">
        <v>138</v>
      </c>
      <c r="I4890" t="s">
        <v>48</v>
      </c>
      <c r="J4890" t="s">
        <v>742</v>
      </c>
      <c r="K4890">
        <v>1130.22</v>
      </c>
      <c r="L4890" t="s">
        <v>11517</v>
      </c>
      <c r="M4890">
        <f>VLOOKUP(H4890,'Stage Order'!$A$2:$B$8,2,FALSE)</f>
        <v>6</v>
      </c>
      <c r="N4890" t="str">
        <f t="shared" si="152"/>
        <v>2. 1-24 hours</v>
      </c>
      <c r="O4890" t="str">
        <f t="shared" si="153"/>
        <v>2025-05</v>
      </c>
    </row>
    <row r="4891" spans="1:15" x14ac:dyDescent="0.3">
      <c r="A4891" t="s">
        <v>11518</v>
      </c>
      <c r="B4891" t="s">
        <v>11519</v>
      </c>
      <c r="C4891" t="s">
        <v>81</v>
      </c>
      <c r="D4891" t="s">
        <v>38</v>
      </c>
      <c r="E4891" t="s">
        <v>39</v>
      </c>
      <c r="F4891" t="s">
        <v>40</v>
      </c>
      <c r="G4891">
        <v>1.28</v>
      </c>
      <c r="H4891" t="s">
        <v>61</v>
      </c>
      <c r="I4891" t="s">
        <v>42</v>
      </c>
      <c r="M4891">
        <f>VLOOKUP(H4891,'Stage Order'!$A$2:$B$8,2,FALSE)</f>
        <v>1</v>
      </c>
      <c r="N4891" t="str">
        <f t="shared" si="152"/>
        <v>2. 1-24 hours</v>
      </c>
      <c r="O4891" t="str">
        <f t="shared" si="153"/>
        <v>2025-07</v>
      </c>
    </row>
    <row r="4892" spans="1:15" x14ac:dyDescent="0.3">
      <c r="A4892" t="s">
        <v>11520</v>
      </c>
      <c r="B4892" t="s">
        <v>11521</v>
      </c>
      <c r="C4892" t="s">
        <v>37</v>
      </c>
      <c r="D4892" t="s">
        <v>29</v>
      </c>
      <c r="E4892" t="s">
        <v>30</v>
      </c>
      <c r="F4892" t="s">
        <v>31</v>
      </c>
      <c r="G4892">
        <v>2.1800000000000002</v>
      </c>
      <c r="H4892" t="s">
        <v>32</v>
      </c>
      <c r="I4892" t="s">
        <v>33</v>
      </c>
      <c r="K4892">
        <v>649.04999999999995</v>
      </c>
      <c r="L4892" t="s">
        <v>11522</v>
      </c>
      <c r="M4892">
        <f>VLOOKUP(H4892,'Stage Order'!$A$2:$B$8,2,FALSE)</f>
        <v>7</v>
      </c>
      <c r="N4892" t="str">
        <f t="shared" si="152"/>
        <v>2. 1-24 hours</v>
      </c>
      <c r="O4892" t="str">
        <f t="shared" si="153"/>
        <v>2025-07</v>
      </c>
    </row>
    <row r="4893" spans="1:15" x14ac:dyDescent="0.3">
      <c r="A4893" t="s">
        <v>11523</v>
      </c>
      <c r="B4893" t="s">
        <v>11524</v>
      </c>
      <c r="C4893" t="s">
        <v>58</v>
      </c>
      <c r="D4893" t="s">
        <v>97</v>
      </c>
      <c r="E4893" t="s">
        <v>59</v>
      </c>
      <c r="F4893" t="s">
        <v>60</v>
      </c>
      <c r="G4893">
        <v>0.56999999999999995</v>
      </c>
      <c r="H4893" t="s">
        <v>138</v>
      </c>
      <c r="I4893" t="s">
        <v>48</v>
      </c>
      <c r="J4893" t="s">
        <v>113</v>
      </c>
      <c r="K4893">
        <v>1615.53</v>
      </c>
      <c r="L4893" t="s">
        <v>11525</v>
      </c>
      <c r="M4893">
        <f>VLOOKUP(H4893,'Stage Order'!$A$2:$B$8,2,FALSE)</f>
        <v>6</v>
      </c>
      <c r="N4893" t="str">
        <f t="shared" si="152"/>
        <v>1. Under 1 hour</v>
      </c>
      <c r="O4893" t="str">
        <f t="shared" si="153"/>
        <v>2026-05</v>
      </c>
    </row>
    <row r="4894" spans="1:15" x14ac:dyDescent="0.3">
      <c r="A4894" t="s">
        <v>11526</v>
      </c>
      <c r="B4894" t="s">
        <v>11527</v>
      </c>
      <c r="C4894" t="s">
        <v>125</v>
      </c>
      <c r="D4894" t="s">
        <v>29</v>
      </c>
      <c r="E4894" t="s">
        <v>45</v>
      </c>
      <c r="F4894" t="s">
        <v>55</v>
      </c>
      <c r="G4894">
        <v>0.81</v>
      </c>
      <c r="H4894" t="s">
        <v>41</v>
      </c>
      <c r="I4894" t="s">
        <v>42</v>
      </c>
      <c r="M4894">
        <f>VLOOKUP(H4894,'Stage Order'!$A$2:$B$8,2,FALSE)</f>
        <v>2</v>
      </c>
      <c r="N4894" t="str">
        <f t="shared" si="152"/>
        <v>1. Under 1 hour</v>
      </c>
      <c r="O4894" t="str">
        <f t="shared" si="153"/>
        <v>2025-12</v>
      </c>
    </row>
    <row r="4895" spans="1:15" x14ac:dyDescent="0.3">
      <c r="A4895" t="s">
        <v>11528</v>
      </c>
      <c r="B4895" t="s">
        <v>11529</v>
      </c>
      <c r="C4895" t="s">
        <v>58</v>
      </c>
      <c r="D4895" t="s">
        <v>54</v>
      </c>
      <c r="E4895" t="s">
        <v>90</v>
      </c>
      <c r="F4895" t="s">
        <v>112</v>
      </c>
      <c r="G4895">
        <v>0.45</v>
      </c>
      <c r="H4895" t="s">
        <v>61</v>
      </c>
      <c r="I4895" t="s">
        <v>42</v>
      </c>
      <c r="M4895">
        <f>VLOOKUP(H4895,'Stage Order'!$A$2:$B$8,2,FALSE)</f>
        <v>1</v>
      </c>
      <c r="N4895" t="str">
        <f t="shared" si="152"/>
        <v>1. Under 1 hour</v>
      </c>
      <c r="O4895" t="str">
        <f t="shared" si="153"/>
        <v>2025-01</v>
      </c>
    </row>
    <row r="4896" spans="1:15" x14ac:dyDescent="0.3">
      <c r="A4896" t="s">
        <v>11530</v>
      </c>
      <c r="B4896" t="s">
        <v>11531</v>
      </c>
      <c r="C4896" t="s">
        <v>28</v>
      </c>
      <c r="D4896" t="s">
        <v>97</v>
      </c>
      <c r="E4896" t="s">
        <v>45</v>
      </c>
      <c r="F4896" t="s">
        <v>46</v>
      </c>
      <c r="G4896">
        <v>13.67</v>
      </c>
      <c r="H4896" t="s">
        <v>138</v>
      </c>
      <c r="I4896" t="s">
        <v>48</v>
      </c>
      <c r="J4896" t="s">
        <v>742</v>
      </c>
      <c r="K4896">
        <v>1356.18</v>
      </c>
      <c r="L4896" t="s">
        <v>11532</v>
      </c>
      <c r="M4896">
        <f>VLOOKUP(H4896,'Stage Order'!$A$2:$B$8,2,FALSE)</f>
        <v>6</v>
      </c>
      <c r="N4896" t="str">
        <f t="shared" si="152"/>
        <v>2. 1-24 hours</v>
      </c>
      <c r="O4896" t="str">
        <f t="shared" si="153"/>
        <v>2026-04</v>
      </c>
    </row>
    <row r="4897" spans="1:15" x14ac:dyDescent="0.3">
      <c r="A4897" t="s">
        <v>11533</v>
      </c>
      <c r="B4897" t="s">
        <v>11534</v>
      </c>
      <c r="C4897" t="s">
        <v>37</v>
      </c>
      <c r="D4897" t="s">
        <v>38</v>
      </c>
      <c r="E4897" t="s">
        <v>45</v>
      </c>
      <c r="F4897" t="s">
        <v>55</v>
      </c>
      <c r="G4897">
        <v>2.2200000000000002</v>
      </c>
      <c r="H4897" t="s">
        <v>41</v>
      </c>
      <c r="I4897" t="s">
        <v>42</v>
      </c>
      <c r="M4897">
        <f>VLOOKUP(H4897,'Stage Order'!$A$2:$B$8,2,FALSE)</f>
        <v>2</v>
      </c>
      <c r="N4897" t="str">
        <f t="shared" si="152"/>
        <v>2. 1-24 hours</v>
      </c>
      <c r="O4897" t="str">
        <f t="shared" si="153"/>
        <v>2025-07</v>
      </c>
    </row>
    <row r="4898" spans="1:15" x14ac:dyDescent="0.3">
      <c r="A4898" t="s">
        <v>11535</v>
      </c>
      <c r="B4898" t="s">
        <v>11536</v>
      </c>
      <c r="C4898" t="s">
        <v>53</v>
      </c>
      <c r="D4898" t="s">
        <v>38</v>
      </c>
      <c r="E4898" t="s">
        <v>45</v>
      </c>
      <c r="F4898" t="s">
        <v>55</v>
      </c>
      <c r="G4898">
        <v>7.05</v>
      </c>
      <c r="H4898" t="s">
        <v>138</v>
      </c>
      <c r="I4898" t="s">
        <v>48</v>
      </c>
      <c r="J4898" t="s">
        <v>98</v>
      </c>
      <c r="K4898">
        <v>313.19</v>
      </c>
      <c r="L4898" t="s">
        <v>11537</v>
      </c>
      <c r="M4898">
        <f>VLOOKUP(H4898,'Stage Order'!$A$2:$B$8,2,FALSE)</f>
        <v>6</v>
      </c>
      <c r="N4898" t="str">
        <f t="shared" si="152"/>
        <v>2. 1-24 hours</v>
      </c>
      <c r="O4898" t="str">
        <f t="shared" si="153"/>
        <v>2025-12</v>
      </c>
    </row>
    <row r="4899" spans="1:15" x14ac:dyDescent="0.3">
      <c r="A4899" t="s">
        <v>11538</v>
      </c>
      <c r="B4899" t="s">
        <v>11539</v>
      </c>
      <c r="C4899" t="s">
        <v>81</v>
      </c>
      <c r="D4899" t="s">
        <v>54</v>
      </c>
      <c r="E4899" t="s">
        <v>30</v>
      </c>
      <c r="F4899" t="s">
        <v>78</v>
      </c>
      <c r="G4899">
        <v>0.49</v>
      </c>
      <c r="H4899" t="s">
        <v>41</v>
      </c>
      <c r="I4899" t="s">
        <v>42</v>
      </c>
      <c r="M4899">
        <f>VLOOKUP(H4899,'Stage Order'!$A$2:$B$8,2,FALSE)</f>
        <v>2</v>
      </c>
      <c r="N4899" t="str">
        <f t="shared" si="152"/>
        <v>1. Under 1 hour</v>
      </c>
      <c r="O4899" t="str">
        <f t="shared" si="153"/>
        <v>2026-06</v>
      </c>
    </row>
    <row r="4900" spans="1:15" x14ac:dyDescent="0.3">
      <c r="A4900" t="s">
        <v>11540</v>
      </c>
      <c r="B4900" t="s">
        <v>11541</v>
      </c>
      <c r="C4900" t="s">
        <v>53</v>
      </c>
      <c r="D4900" t="s">
        <v>54</v>
      </c>
      <c r="E4900" t="s">
        <v>45</v>
      </c>
      <c r="F4900" t="s">
        <v>55</v>
      </c>
      <c r="G4900">
        <v>2.5</v>
      </c>
      <c r="H4900" t="s">
        <v>32</v>
      </c>
      <c r="I4900" t="s">
        <v>33</v>
      </c>
      <c r="K4900">
        <v>461.16</v>
      </c>
      <c r="L4900" t="s">
        <v>11542</v>
      </c>
      <c r="M4900">
        <f>VLOOKUP(H4900,'Stage Order'!$A$2:$B$8,2,FALSE)</f>
        <v>7</v>
      </c>
      <c r="N4900" t="str">
        <f t="shared" si="152"/>
        <v>2. 1-24 hours</v>
      </c>
      <c r="O4900" t="str">
        <f t="shared" si="153"/>
        <v>2025-07</v>
      </c>
    </row>
    <row r="4901" spans="1:15" x14ac:dyDescent="0.3">
      <c r="A4901" t="s">
        <v>11543</v>
      </c>
      <c r="B4901" t="s">
        <v>11544</v>
      </c>
      <c r="C4901" t="s">
        <v>37</v>
      </c>
      <c r="D4901" t="s">
        <v>38</v>
      </c>
      <c r="E4901" t="s">
        <v>45</v>
      </c>
      <c r="F4901" t="s">
        <v>46</v>
      </c>
      <c r="G4901">
        <v>0.86</v>
      </c>
      <c r="H4901" t="s">
        <v>41</v>
      </c>
      <c r="I4901" t="s">
        <v>42</v>
      </c>
      <c r="M4901">
        <f>VLOOKUP(H4901,'Stage Order'!$A$2:$B$8,2,FALSE)</f>
        <v>2</v>
      </c>
      <c r="N4901" t="str">
        <f t="shared" si="152"/>
        <v>1. Under 1 hour</v>
      </c>
      <c r="O4901" t="str">
        <f t="shared" si="153"/>
        <v>2025-06</v>
      </c>
    </row>
    <row r="4902" spans="1:15" x14ac:dyDescent="0.3">
      <c r="A4902" t="s">
        <v>11545</v>
      </c>
      <c r="B4902" t="s">
        <v>11546</v>
      </c>
      <c r="C4902" t="s">
        <v>28</v>
      </c>
      <c r="D4902" t="s">
        <v>38</v>
      </c>
      <c r="E4902" t="s">
        <v>39</v>
      </c>
      <c r="F4902" t="s">
        <v>40</v>
      </c>
      <c r="G4902">
        <v>7.04</v>
      </c>
      <c r="H4902" t="s">
        <v>32</v>
      </c>
      <c r="I4902" t="s">
        <v>33</v>
      </c>
      <c r="K4902">
        <v>407.65</v>
      </c>
      <c r="L4902" t="s">
        <v>11547</v>
      </c>
      <c r="M4902">
        <f>VLOOKUP(H4902,'Stage Order'!$A$2:$B$8,2,FALSE)</f>
        <v>7</v>
      </c>
      <c r="N4902" t="str">
        <f t="shared" si="152"/>
        <v>2. 1-24 hours</v>
      </c>
      <c r="O4902" t="str">
        <f t="shared" si="153"/>
        <v>2025-12</v>
      </c>
    </row>
    <row r="4903" spans="1:15" x14ac:dyDescent="0.3">
      <c r="A4903" t="s">
        <v>11548</v>
      </c>
      <c r="B4903" t="s">
        <v>11549</v>
      </c>
      <c r="C4903" t="s">
        <v>37</v>
      </c>
      <c r="D4903" t="s">
        <v>77</v>
      </c>
      <c r="E4903" t="s">
        <v>45</v>
      </c>
      <c r="F4903" t="s">
        <v>55</v>
      </c>
      <c r="G4903">
        <v>5.09</v>
      </c>
      <c r="H4903" t="s">
        <v>146</v>
      </c>
      <c r="I4903" t="s">
        <v>48</v>
      </c>
      <c r="J4903" t="s">
        <v>139</v>
      </c>
      <c r="K4903">
        <v>910.38</v>
      </c>
      <c r="L4903" t="s">
        <v>11550</v>
      </c>
      <c r="M4903">
        <f>VLOOKUP(H4903,'Stage Order'!$A$2:$B$8,2,FALSE)</f>
        <v>5</v>
      </c>
      <c r="N4903" t="str">
        <f t="shared" si="152"/>
        <v>2. 1-24 hours</v>
      </c>
      <c r="O4903" t="str">
        <f t="shared" si="153"/>
        <v>2025-01</v>
      </c>
    </row>
    <row r="4904" spans="1:15" x14ac:dyDescent="0.3">
      <c r="A4904" t="s">
        <v>11551</v>
      </c>
      <c r="B4904" t="s">
        <v>11552</v>
      </c>
      <c r="C4904" t="s">
        <v>81</v>
      </c>
      <c r="D4904" t="s">
        <v>29</v>
      </c>
      <c r="E4904" t="s">
        <v>45</v>
      </c>
      <c r="F4904" t="s">
        <v>55</v>
      </c>
      <c r="G4904">
        <v>6.03</v>
      </c>
      <c r="H4904" t="s">
        <v>41</v>
      </c>
      <c r="I4904" t="s">
        <v>42</v>
      </c>
      <c r="M4904">
        <f>VLOOKUP(H4904,'Stage Order'!$A$2:$B$8,2,FALSE)</f>
        <v>2</v>
      </c>
      <c r="N4904" t="str">
        <f t="shared" si="152"/>
        <v>2. 1-24 hours</v>
      </c>
      <c r="O4904" t="str">
        <f t="shared" si="153"/>
        <v>2025-04</v>
      </c>
    </row>
    <row r="4905" spans="1:15" x14ac:dyDescent="0.3">
      <c r="A4905" t="s">
        <v>11553</v>
      </c>
      <c r="B4905" t="s">
        <v>11554</v>
      </c>
      <c r="C4905" t="s">
        <v>28</v>
      </c>
      <c r="D4905" t="s">
        <v>29</v>
      </c>
      <c r="E4905" t="s">
        <v>45</v>
      </c>
      <c r="F4905" t="s">
        <v>94</v>
      </c>
      <c r="G4905">
        <v>1.02</v>
      </c>
      <c r="H4905" t="s">
        <v>32</v>
      </c>
      <c r="I4905" t="s">
        <v>33</v>
      </c>
      <c r="K4905">
        <v>664.73</v>
      </c>
      <c r="L4905" t="s">
        <v>11555</v>
      </c>
      <c r="M4905">
        <f>VLOOKUP(H4905,'Stage Order'!$A$2:$B$8,2,FALSE)</f>
        <v>7</v>
      </c>
      <c r="N4905" t="str">
        <f t="shared" si="152"/>
        <v>2. 1-24 hours</v>
      </c>
      <c r="O4905" t="str">
        <f t="shared" si="153"/>
        <v>2025-06</v>
      </c>
    </row>
    <row r="4906" spans="1:15" x14ac:dyDescent="0.3">
      <c r="A4906" t="s">
        <v>11556</v>
      </c>
      <c r="B4906" t="s">
        <v>11557</v>
      </c>
      <c r="C4906" t="s">
        <v>37</v>
      </c>
      <c r="D4906" t="s">
        <v>54</v>
      </c>
      <c r="E4906" t="s">
        <v>45</v>
      </c>
      <c r="F4906" t="s">
        <v>46</v>
      </c>
      <c r="G4906">
        <v>2.68</v>
      </c>
      <c r="H4906" t="s">
        <v>32</v>
      </c>
      <c r="I4906" t="s">
        <v>33</v>
      </c>
      <c r="K4906">
        <v>576.33000000000004</v>
      </c>
      <c r="L4906" t="s">
        <v>11558</v>
      </c>
      <c r="M4906">
        <f>VLOOKUP(H4906,'Stage Order'!$A$2:$B$8,2,FALSE)</f>
        <v>7</v>
      </c>
      <c r="N4906" t="str">
        <f t="shared" si="152"/>
        <v>2. 1-24 hours</v>
      </c>
      <c r="O4906" t="str">
        <f t="shared" si="153"/>
        <v>2025-11</v>
      </c>
    </row>
    <row r="4907" spans="1:15" x14ac:dyDescent="0.3">
      <c r="A4907" t="s">
        <v>11559</v>
      </c>
      <c r="B4907" t="s">
        <v>11560</v>
      </c>
      <c r="C4907" t="s">
        <v>53</v>
      </c>
      <c r="D4907" t="s">
        <v>29</v>
      </c>
      <c r="E4907" t="s">
        <v>45</v>
      </c>
      <c r="F4907" t="s">
        <v>55</v>
      </c>
      <c r="G4907">
        <v>0.54</v>
      </c>
      <c r="H4907" t="s">
        <v>32</v>
      </c>
      <c r="I4907" t="s">
        <v>33</v>
      </c>
      <c r="K4907">
        <v>546.02</v>
      </c>
      <c r="L4907" t="s">
        <v>11561</v>
      </c>
      <c r="M4907">
        <f>VLOOKUP(H4907,'Stage Order'!$A$2:$B$8,2,FALSE)</f>
        <v>7</v>
      </c>
      <c r="N4907" t="str">
        <f t="shared" si="152"/>
        <v>1. Under 1 hour</v>
      </c>
      <c r="O4907" t="str">
        <f t="shared" si="153"/>
        <v>2025-08</v>
      </c>
    </row>
    <row r="4908" spans="1:15" x14ac:dyDescent="0.3">
      <c r="A4908" t="s">
        <v>11562</v>
      </c>
      <c r="B4908" t="s">
        <v>11563</v>
      </c>
      <c r="C4908" t="s">
        <v>37</v>
      </c>
      <c r="D4908" t="s">
        <v>38</v>
      </c>
      <c r="E4908" t="s">
        <v>39</v>
      </c>
      <c r="F4908" t="s">
        <v>106</v>
      </c>
      <c r="G4908">
        <v>5.56</v>
      </c>
      <c r="H4908" t="s">
        <v>61</v>
      </c>
      <c r="I4908" t="s">
        <v>42</v>
      </c>
      <c r="M4908">
        <f>VLOOKUP(H4908,'Stage Order'!$A$2:$B$8,2,FALSE)</f>
        <v>1</v>
      </c>
      <c r="N4908" t="str">
        <f t="shared" si="152"/>
        <v>2. 1-24 hours</v>
      </c>
      <c r="O4908" t="str">
        <f t="shared" si="153"/>
        <v>2025-10</v>
      </c>
    </row>
    <row r="4909" spans="1:15" x14ac:dyDescent="0.3">
      <c r="A4909" t="s">
        <v>11564</v>
      </c>
      <c r="B4909" t="s">
        <v>11565</v>
      </c>
      <c r="C4909" t="s">
        <v>81</v>
      </c>
      <c r="D4909" t="s">
        <v>29</v>
      </c>
      <c r="E4909" t="s">
        <v>39</v>
      </c>
      <c r="F4909" t="s">
        <v>66</v>
      </c>
      <c r="G4909">
        <v>2.27</v>
      </c>
      <c r="H4909" t="s">
        <v>41</v>
      </c>
      <c r="I4909" t="s">
        <v>42</v>
      </c>
      <c r="M4909">
        <f>VLOOKUP(H4909,'Stage Order'!$A$2:$B$8,2,FALSE)</f>
        <v>2</v>
      </c>
      <c r="N4909" t="str">
        <f t="shared" si="152"/>
        <v>2. 1-24 hours</v>
      </c>
      <c r="O4909" t="str">
        <f t="shared" si="153"/>
        <v>2025-06</v>
      </c>
    </row>
    <row r="4910" spans="1:15" x14ac:dyDescent="0.3">
      <c r="A4910" t="s">
        <v>11566</v>
      </c>
      <c r="B4910" t="s">
        <v>11567</v>
      </c>
      <c r="C4910" t="s">
        <v>81</v>
      </c>
      <c r="D4910" t="s">
        <v>54</v>
      </c>
      <c r="E4910" t="s">
        <v>90</v>
      </c>
      <c r="F4910" t="s">
        <v>145</v>
      </c>
      <c r="G4910">
        <v>6.16</v>
      </c>
      <c r="H4910" t="s">
        <v>61</v>
      </c>
      <c r="I4910" t="s">
        <v>42</v>
      </c>
      <c r="M4910">
        <f>VLOOKUP(H4910,'Stage Order'!$A$2:$B$8,2,FALSE)</f>
        <v>1</v>
      </c>
      <c r="N4910" t="str">
        <f t="shared" si="152"/>
        <v>2. 1-24 hours</v>
      </c>
      <c r="O4910" t="str">
        <f t="shared" si="153"/>
        <v>2025-03</v>
      </c>
    </row>
    <row r="4911" spans="1:15" x14ac:dyDescent="0.3">
      <c r="A4911" t="s">
        <v>11568</v>
      </c>
      <c r="B4911" t="s">
        <v>11569</v>
      </c>
      <c r="C4911" t="s">
        <v>58</v>
      </c>
      <c r="D4911" t="s">
        <v>77</v>
      </c>
      <c r="E4911" t="s">
        <v>30</v>
      </c>
      <c r="F4911" t="s">
        <v>82</v>
      </c>
      <c r="G4911">
        <v>3</v>
      </c>
      <c r="H4911" t="s">
        <v>41</v>
      </c>
      <c r="I4911" t="s">
        <v>42</v>
      </c>
      <c r="M4911">
        <f>VLOOKUP(H4911,'Stage Order'!$A$2:$B$8,2,FALSE)</f>
        <v>2</v>
      </c>
      <c r="N4911" t="str">
        <f t="shared" si="152"/>
        <v>2. 1-24 hours</v>
      </c>
      <c r="O4911" t="str">
        <f t="shared" si="153"/>
        <v>2025-09</v>
      </c>
    </row>
    <row r="4912" spans="1:15" x14ac:dyDescent="0.3">
      <c r="A4912" t="s">
        <v>11570</v>
      </c>
      <c r="B4912" t="s">
        <v>11571</v>
      </c>
      <c r="C4912" t="s">
        <v>81</v>
      </c>
      <c r="D4912" t="s">
        <v>38</v>
      </c>
      <c r="E4912" t="s">
        <v>45</v>
      </c>
      <c r="F4912" t="s">
        <v>55</v>
      </c>
      <c r="G4912">
        <v>6.89</v>
      </c>
      <c r="H4912" t="s">
        <v>61</v>
      </c>
      <c r="I4912" t="s">
        <v>42</v>
      </c>
      <c r="M4912">
        <f>VLOOKUP(H4912,'Stage Order'!$A$2:$B$8,2,FALSE)</f>
        <v>1</v>
      </c>
      <c r="N4912" t="str">
        <f t="shared" si="152"/>
        <v>2. 1-24 hours</v>
      </c>
      <c r="O4912" t="str">
        <f t="shared" si="153"/>
        <v>2026-03</v>
      </c>
    </row>
    <row r="4913" spans="1:15" x14ac:dyDescent="0.3">
      <c r="A4913" t="s">
        <v>11572</v>
      </c>
      <c r="B4913" t="s">
        <v>11573</v>
      </c>
      <c r="C4913" t="s">
        <v>37</v>
      </c>
      <c r="D4913" t="s">
        <v>77</v>
      </c>
      <c r="E4913" t="s">
        <v>90</v>
      </c>
      <c r="F4913" t="s">
        <v>145</v>
      </c>
      <c r="G4913">
        <v>7.64</v>
      </c>
      <c r="H4913" t="s">
        <v>41</v>
      </c>
      <c r="I4913" t="s">
        <v>42</v>
      </c>
      <c r="M4913">
        <f>VLOOKUP(H4913,'Stage Order'!$A$2:$B$8,2,FALSE)</f>
        <v>2</v>
      </c>
      <c r="N4913" t="str">
        <f t="shared" si="152"/>
        <v>2. 1-24 hours</v>
      </c>
      <c r="O4913" t="str">
        <f t="shared" si="153"/>
        <v>2025-09</v>
      </c>
    </row>
    <row r="4914" spans="1:15" x14ac:dyDescent="0.3">
      <c r="A4914" t="s">
        <v>11574</v>
      </c>
      <c r="B4914" t="s">
        <v>11575</v>
      </c>
      <c r="C4914" t="s">
        <v>37</v>
      </c>
      <c r="D4914" t="s">
        <v>38</v>
      </c>
      <c r="E4914" t="s">
        <v>30</v>
      </c>
      <c r="F4914" t="s">
        <v>31</v>
      </c>
      <c r="G4914">
        <v>2.97</v>
      </c>
      <c r="H4914" t="s">
        <v>41</v>
      </c>
      <c r="I4914" t="s">
        <v>42</v>
      </c>
      <c r="M4914">
        <f>VLOOKUP(H4914,'Stage Order'!$A$2:$B$8,2,FALSE)</f>
        <v>2</v>
      </c>
      <c r="N4914" t="str">
        <f t="shared" si="152"/>
        <v>2. 1-24 hours</v>
      </c>
      <c r="O4914" t="str">
        <f t="shared" si="153"/>
        <v>2025-06</v>
      </c>
    </row>
    <row r="4915" spans="1:15" x14ac:dyDescent="0.3">
      <c r="A4915" t="s">
        <v>11576</v>
      </c>
      <c r="B4915" t="s">
        <v>11577</v>
      </c>
      <c r="C4915" t="s">
        <v>76</v>
      </c>
      <c r="D4915" t="s">
        <v>54</v>
      </c>
      <c r="E4915" t="s">
        <v>59</v>
      </c>
      <c r="F4915" t="s">
        <v>137</v>
      </c>
      <c r="G4915">
        <v>3.35</v>
      </c>
      <c r="H4915" t="s">
        <v>41</v>
      </c>
      <c r="I4915" t="s">
        <v>42</v>
      </c>
      <c r="M4915">
        <f>VLOOKUP(H4915,'Stage Order'!$A$2:$B$8,2,FALSE)</f>
        <v>2</v>
      </c>
      <c r="N4915" t="str">
        <f t="shared" si="152"/>
        <v>2. 1-24 hours</v>
      </c>
      <c r="O4915" t="str">
        <f t="shared" si="153"/>
        <v>2025-04</v>
      </c>
    </row>
    <row r="4916" spans="1:15" x14ac:dyDescent="0.3">
      <c r="A4916" t="s">
        <v>11578</v>
      </c>
      <c r="B4916" t="s">
        <v>11579</v>
      </c>
      <c r="C4916" t="s">
        <v>53</v>
      </c>
      <c r="D4916" t="s">
        <v>29</v>
      </c>
      <c r="E4916" t="s">
        <v>45</v>
      </c>
      <c r="F4916" t="s">
        <v>46</v>
      </c>
      <c r="G4916">
        <v>7.83</v>
      </c>
      <c r="H4916" t="s">
        <v>138</v>
      </c>
      <c r="I4916" t="s">
        <v>48</v>
      </c>
      <c r="J4916" t="s">
        <v>98</v>
      </c>
      <c r="K4916">
        <v>756.85</v>
      </c>
      <c r="L4916" t="s">
        <v>11580</v>
      </c>
      <c r="M4916">
        <f>VLOOKUP(H4916,'Stage Order'!$A$2:$B$8,2,FALSE)</f>
        <v>6</v>
      </c>
      <c r="N4916" t="str">
        <f t="shared" si="152"/>
        <v>2. 1-24 hours</v>
      </c>
      <c r="O4916" t="str">
        <f t="shared" si="153"/>
        <v>2025-03</v>
      </c>
    </row>
    <row r="4917" spans="1:15" x14ac:dyDescent="0.3">
      <c r="A4917" t="s">
        <v>11581</v>
      </c>
      <c r="B4917" t="s">
        <v>11582</v>
      </c>
      <c r="C4917" t="s">
        <v>28</v>
      </c>
      <c r="D4917" t="s">
        <v>54</v>
      </c>
      <c r="E4917" t="s">
        <v>45</v>
      </c>
      <c r="F4917" t="s">
        <v>55</v>
      </c>
      <c r="G4917">
        <v>0.55000000000000004</v>
      </c>
      <c r="H4917" t="s">
        <v>138</v>
      </c>
      <c r="I4917" t="s">
        <v>48</v>
      </c>
      <c r="J4917" t="s">
        <v>139</v>
      </c>
      <c r="K4917">
        <v>475.99</v>
      </c>
      <c r="L4917" t="s">
        <v>11583</v>
      </c>
      <c r="M4917">
        <f>VLOOKUP(H4917,'Stage Order'!$A$2:$B$8,2,FALSE)</f>
        <v>6</v>
      </c>
      <c r="N4917" t="str">
        <f t="shared" si="152"/>
        <v>1. Under 1 hour</v>
      </c>
      <c r="O4917" t="str">
        <f t="shared" si="153"/>
        <v>2026-03</v>
      </c>
    </row>
    <row r="4918" spans="1:15" x14ac:dyDescent="0.3">
      <c r="A4918" t="s">
        <v>11584</v>
      </c>
      <c r="B4918" t="s">
        <v>11585</v>
      </c>
      <c r="C4918" t="s">
        <v>37</v>
      </c>
      <c r="D4918" t="s">
        <v>77</v>
      </c>
      <c r="E4918" t="s">
        <v>39</v>
      </c>
      <c r="F4918" t="s">
        <v>66</v>
      </c>
      <c r="G4918">
        <v>1.0900000000000001</v>
      </c>
      <c r="H4918" t="s">
        <v>61</v>
      </c>
      <c r="I4918" t="s">
        <v>42</v>
      </c>
      <c r="M4918">
        <f>VLOOKUP(H4918,'Stage Order'!$A$2:$B$8,2,FALSE)</f>
        <v>1</v>
      </c>
      <c r="N4918" t="str">
        <f t="shared" si="152"/>
        <v>2. 1-24 hours</v>
      </c>
      <c r="O4918" t="str">
        <f t="shared" si="153"/>
        <v>2025-05</v>
      </c>
    </row>
    <row r="4919" spans="1:15" x14ac:dyDescent="0.3">
      <c r="A4919" t="s">
        <v>11586</v>
      </c>
      <c r="B4919" t="s">
        <v>11587</v>
      </c>
      <c r="C4919" t="s">
        <v>125</v>
      </c>
      <c r="D4919" t="s">
        <v>54</v>
      </c>
      <c r="E4919" t="s">
        <v>39</v>
      </c>
      <c r="F4919" t="s">
        <v>66</v>
      </c>
      <c r="G4919">
        <v>4.95</v>
      </c>
      <c r="H4919" t="s">
        <v>61</v>
      </c>
      <c r="I4919" t="s">
        <v>42</v>
      </c>
      <c r="M4919">
        <f>VLOOKUP(H4919,'Stage Order'!$A$2:$B$8,2,FALSE)</f>
        <v>1</v>
      </c>
      <c r="N4919" t="str">
        <f t="shared" si="152"/>
        <v>2. 1-24 hours</v>
      </c>
      <c r="O4919" t="str">
        <f t="shared" si="153"/>
        <v>2025-09</v>
      </c>
    </row>
    <row r="4920" spans="1:15" x14ac:dyDescent="0.3">
      <c r="A4920" t="s">
        <v>11588</v>
      </c>
      <c r="B4920" t="s">
        <v>11589</v>
      </c>
      <c r="C4920" t="s">
        <v>58</v>
      </c>
      <c r="D4920" t="s">
        <v>29</v>
      </c>
      <c r="E4920" t="s">
        <v>90</v>
      </c>
      <c r="F4920" t="s">
        <v>145</v>
      </c>
      <c r="G4920">
        <v>2.69</v>
      </c>
      <c r="H4920" t="s">
        <v>47</v>
      </c>
      <c r="I4920" t="s">
        <v>48</v>
      </c>
      <c r="J4920" t="s">
        <v>139</v>
      </c>
      <c r="K4920">
        <v>635.72</v>
      </c>
      <c r="L4920" t="s">
        <v>11590</v>
      </c>
      <c r="M4920">
        <f>VLOOKUP(H4920,'Stage Order'!$A$2:$B$8,2,FALSE)</f>
        <v>4</v>
      </c>
      <c r="N4920" t="str">
        <f t="shared" si="152"/>
        <v>2. 1-24 hours</v>
      </c>
      <c r="O4920" t="str">
        <f t="shared" si="153"/>
        <v>2025-05</v>
      </c>
    </row>
    <row r="4921" spans="1:15" x14ac:dyDescent="0.3">
      <c r="A4921" t="s">
        <v>11591</v>
      </c>
      <c r="B4921" t="s">
        <v>11592</v>
      </c>
      <c r="C4921" t="s">
        <v>125</v>
      </c>
      <c r="D4921" t="s">
        <v>54</v>
      </c>
      <c r="E4921" t="s">
        <v>45</v>
      </c>
      <c r="F4921" t="s">
        <v>94</v>
      </c>
      <c r="G4921">
        <v>1.4</v>
      </c>
      <c r="H4921" t="s">
        <v>41</v>
      </c>
      <c r="I4921" t="s">
        <v>42</v>
      </c>
      <c r="M4921">
        <f>VLOOKUP(H4921,'Stage Order'!$A$2:$B$8,2,FALSE)</f>
        <v>2</v>
      </c>
      <c r="N4921" t="str">
        <f t="shared" si="152"/>
        <v>2. 1-24 hours</v>
      </c>
      <c r="O4921" t="str">
        <f t="shared" si="153"/>
        <v>2026-06</v>
      </c>
    </row>
    <row r="4922" spans="1:15" x14ac:dyDescent="0.3">
      <c r="A4922" t="s">
        <v>11593</v>
      </c>
      <c r="B4922" t="s">
        <v>11594</v>
      </c>
      <c r="C4922" t="s">
        <v>28</v>
      </c>
      <c r="D4922" t="s">
        <v>54</v>
      </c>
      <c r="E4922" t="s">
        <v>39</v>
      </c>
      <c r="F4922" t="s">
        <v>40</v>
      </c>
      <c r="G4922">
        <v>2.2599999999999998</v>
      </c>
      <c r="H4922" t="s">
        <v>41</v>
      </c>
      <c r="I4922" t="s">
        <v>42</v>
      </c>
      <c r="M4922">
        <f>VLOOKUP(H4922,'Stage Order'!$A$2:$B$8,2,FALSE)</f>
        <v>2</v>
      </c>
      <c r="N4922" t="str">
        <f t="shared" si="152"/>
        <v>2. 1-24 hours</v>
      </c>
      <c r="O4922" t="str">
        <f t="shared" si="153"/>
        <v>2026-03</v>
      </c>
    </row>
    <row r="4923" spans="1:15" x14ac:dyDescent="0.3">
      <c r="A4923" t="s">
        <v>11595</v>
      </c>
      <c r="B4923" t="s">
        <v>11596</v>
      </c>
      <c r="C4923" t="s">
        <v>81</v>
      </c>
      <c r="D4923" t="s">
        <v>97</v>
      </c>
      <c r="E4923" t="s">
        <v>59</v>
      </c>
      <c r="F4923" t="s">
        <v>60</v>
      </c>
      <c r="G4923">
        <v>1.52</v>
      </c>
      <c r="H4923" t="s">
        <v>61</v>
      </c>
      <c r="I4923" t="s">
        <v>42</v>
      </c>
      <c r="M4923">
        <f>VLOOKUP(H4923,'Stage Order'!$A$2:$B$8,2,FALSE)</f>
        <v>1</v>
      </c>
      <c r="N4923" t="str">
        <f t="shared" si="152"/>
        <v>2. 1-24 hours</v>
      </c>
      <c r="O4923" t="str">
        <f t="shared" si="153"/>
        <v>2025-04</v>
      </c>
    </row>
    <row r="4924" spans="1:15" x14ac:dyDescent="0.3">
      <c r="A4924" t="s">
        <v>11597</v>
      </c>
      <c r="B4924" t="s">
        <v>11598</v>
      </c>
      <c r="C4924" t="s">
        <v>53</v>
      </c>
      <c r="D4924" t="s">
        <v>77</v>
      </c>
      <c r="E4924" t="s">
        <v>90</v>
      </c>
      <c r="F4924" t="s">
        <v>145</v>
      </c>
      <c r="G4924">
        <v>1.0900000000000001</v>
      </c>
      <c r="H4924" t="s">
        <v>32</v>
      </c>
      <c r="I4924" t="s">
        <v>33</v>
      </c>
      <c r="K4924">
        <v>829.58</v>
      </c>
      <c r="L4924" t="s">
        <v>11599</v>
      </c>
      <c r="M4924">
        <f>VLOOKUP(H4924,'Stage Order'!$A$2:$B$8,2,FALSE)</f>
        <v>7</v>
      </c>
      <c r="N4924" t="str">
        <f t="shared" si="152"/>
        <v>2. 1-24 hours</v>
      </c>
      <c r="O4924" t="str">
        <f t="shared" si="153"/>
        <v>2026-01</v>
      </c>
    </row>
    <row r="4925" spans="1:15" x14ac:dyDescent="0.3">
      <c r="A4925" t="s">
        <v>11600</v>
      </c>
      <c r="B4925" t="s">
        <v>11601</v>
      </c>
      <c r="C4925" t="s">
        <v>76</v>
      </c>
      <c r="D4925" t="s">
        <v>77</v>
      </c>
      <c r="E4925" t="s">
        <v>39</v>
      </c>
      <c r="F4925" t="s">
        <v>40</v>
      </c>
      <c r="G4925">
        <v>0.5</v>
      </c>
      <c r="H4925" t="s">
        <v>32</v>
      </c>
      <c r="I4925" t="s">
        <v>33</v>
      </c>
      <c r="K4925">
        <v>983.21</v>
      </c>
      <c r="L4925" t="s">
        <v>11602</v>
      </c>
      <c r="M4925">
        <f>VLOOKUP(H4925,'Stage Order'!$A$2:$B$8,2,FALSE)</f>
        <v>7</v>
      </c>
      <c r="N4925" t="str">
        <f t="shared" si="152"/>
        <v>1. Under 1 hour</v>
      </c>
      <c r="O4925" t="str">
        <f t="shared" si="153"/>
        <v>2026-01</v>
      </c>
    </row>
    <row r="4926" spans="1:15" x14ac:dyDescent="0.3">
      <c r="A4926" t="s">
        <v>11603</v>
      </c>
      <c r="B4926" t="s">
        <v>11604</v>
      </c>
      <c r="C4926" t="s">
        <v>58</v>
      </c>
      <c r="D4926" t="s">
        <v>77</v>
      </c>
      <c r="E4926" t="s">
        <v>90</v>
      </c>
      <c r="F4926" t="s">
        <v>112</v>
      </c>
      <c r="G4926">
        <v>1.52</v>
      </c>
      <c r="H4926" t="s">
        <v>41</v>
      </c>
      <c r="I4926" t="s">
        <v>42</v>
      </c>
      <c r="M4926">
        <f>VLOOKUP(H4926,'Stage Order'!$A$2:$B$8,2,FALSE)</f>
        <v>2</v>
      </c>
      <c r="N4926" t="str">
        <f t="shared" si="152"/>
        <v>2. 1-24 hours</v>
      </c>
      <c r="O4926" t="str">
        <f t="shared" si="153"/>
        <v>2026-06</v>
      </c>
    </row>
    <row r="4927" spans="1:15" x14ac:dyDescent="0.3">
      <c r="A4927" t="s">
        <v>11605</v>
      </c>
      <c r="B4927" t="s">
        <v>11606</v>
      </c>
      <c r="C4927" t="s">
        <v>53</v>
      </c>
      <c r="D4927" t="s">
        <v>54</v>
      </c>
      <c r="E4927" t="s">
        <v>59</v>
      </c>
      <c r="F4927" t="s">
        <v>117</v>
      </c>
      <c r="G4927">
        <v>1.73</v>
      </c>
      <c r="H4927" t="s">
        <v>32</v>
      </c>
      <c r="I4927" t="s">
        <v>33</v>
      </c>
      <c r="K4927">
        <v>469.68</v>
      </c>
      <c r="L4927" t="s">
        <v>11607</v>
      </c>
      <c r="M4927">
        <f>VLOOKUP(H4927,'Stage Order'!$A$2:$B$8,2,FALSE)</f>
        <v>7</v>
      </c>
      <c r="N4927" t="str">
        <f t="shared" si="152"/>
        <v>2. 1-24 hours</v>
      </c>
      <c r="O4927" t="str">
        <f t="shared" si="153"/>
        <v>2026-05</v>
      </c>
    </row>
    <row r="4928" spans="1:15" x14ac:dyDescent="0.3">
      <c r="A4928" t="s">
        <v>11608</v>
      </c>
      <c r="B4928" t="s">
        <v>11609</v>
      </c>
      <c r="C4928" t="s">
        <v>58</v>
      </c>
      <c r="D4928" t="s">
        <v>77</v>
      </c>
      <c r="E4928" t="s">
        <v>45</v>
      </c>
      <c r="F4928" t="s">
        <v>94</v>
      </c>
      <c r="G4928">
        <v>1.72</v>
      </c>
      <c r="H4928" t="s">
        <v>41</v>
      </c>
      <c r="I4928" t="s">
        <v>42</v>
      </c>
      <c r="M4928">
        <f>VLOOKUP(H4928,'Stage Order'!$A$2:$B$8,2,FALSE)</f>
        <v>2</v>
      </c>
      <c r="N4928" t="str">
        <f t="shared" si="152"/>
        <v>2. 1-24 hours</v>
      </c>
      <c r="O4928" t="str">
        <f t="shared" si="153"/>
        <v>2025-04</v>
      </c>
    </row>
    <row r="4929" spans="1:15" x14ac:dyDescent="0.3">
      <c r="A4929" t="s">
        <v>11610</v>
      </c>
      <c r="B4929" t="s">
        <v>11611</v>
      </c>
      <c r="C4929" t="s">
        <v>53</v>
      </c>
      <c r="D4929" t="s">
        <v>29</v>
      </c>
      <c r="E4929" t="s">
        <v>59</v>
      </c>
      <c r="F4929" t="s">
        <v>60</v>
      </c>
      <c r="G4929">
        <v>1.1200000000000001</v>
      </c>
      <c r="H4929" t="s">
        <v>138</v>
      </c>
      <c r="I4929" t="s">
        <v>48</v>
      </c>
      <c r="J4929" t="s">
        <v>742</v>
      </c>
      <c r="K4929">
        <v>538.97</v>
      </c>
      <c r="L4929" t="s">
        <v>11612</v>
      </c>
      <c r="M4929">
        <f>VLOOKUP(H4929,'Stage Order'!$A$2:$B$8,2,FALSE)</f>
        <v>6</v>
      </c>
      <c r="N4929" t="str">
        <f t="shared" si="152"/>
        <v>2. 1-24 hours</v>
      </c>
      <c r="O4929" t="str">
        <f t="shared" si="153"/>
        <v>2026-05</v>
      </c>
    </row>
    <row r="4930" spans="1:15" x14ac:dyDescent="0.3">
      <c r="A4930" t="s">
        <v>11613</v>
      </c>
      <c r="B4930" t="s">
        <v>11614</v>
      </c>
      <c r="C4930" t="s">
        <v>58</v>
      </c>
      <c r="D4930" t="s">
        <v>77</v>
      </c>
      <c r="E4930" t="s">
        <v>45</v>
      </c>
      <c r="F4930" t="s">
        <v>94</v>
      </c>
      <c r="G4930">
        <v>17.170000000000002</v>
      </c>
      <c r="H4930" t="s">
        <v>41</v>
      </c>
      <c r="I4930" t="s">
        <v>42</v>
      </c>
      <c r="M4930">
        <f>VLOOKUP(H4930,'Stage Order'!$A$2:$B$8,2,FALSE)</f>
        <v>2</v>
      </c>
      <c r="N4930" t="str">
        <f t="shared" ref="N4930:N4993" si="154">IF(G4930&lt;=1,"1. Under 1 hour",IF(G4930&lt;=24,"2. 1-24 hours",IF(G4930&lt;=72,"3. 1-3 days","4. Over 3 days")))</f>
        <v>2. 1-24 hours</v>
      </c>
      <c r="O4930" t="str">
        <f t="shared" ref="O4930:O4993" si="155">TEXT(B4930,"YYYY-MM")</f>
        <v>2025-01</v>
      </c>
    </row>
    <row r="4931" spans="1:15" x14ac:dyDescent="0.3">
      <c r="A4931" t="s">
        <v>11615</v>
      </c>
      <c r="B4931" t="s">
        <v>11616</v>
      </c>
      <c r="C4931" t="s">
        <v>125</v>
      </c>
      <c r="D4931" t="s">
        <v>97</v>
      </c>
      <c r="E4931" t="s">
        <v>45</v>
      </c>
      <c r="F4931" t="s">
        <v>94</v>
      </c>
      <c r="G4931">
        <v>2.1</v>
      </c>
      <c r="H4931" t="s">
        <v>41</v>
      </c>
      <c r="I4931" t="s">
        <v>42</v>
      </c>
      <c r="M4931">
        <f>VLOOKUP(H4931,'Stage Order'!$A$2:$B$8,2,FALSE)</f>
        <v>2</v>
      </c>
      <c r="N4931" t="str">
        <f t="shared" si="154"/>
        <v>2. 1-24 hours</v>
      </c>
      <c r="O4931" t="str">
        <f t="shared" si="155"/>
        <v>2026-05</v>
      </c>
    </row>
    <row r="4932" spans="1:15" x14ac:dyDescent="0.3">
      <c r="A4932" t="s">
        <v>11617</v>
      </c>
      <c r="B4932" t="s">
        <v>11618</v>
      </c>
      <c r="C4932" t="s">
        <v>81</v>
      </c>
      <c r="D4932" t="s">
        <v>29</v>
      </c>
      <c r="E4932" t="s">
        <v>59</v>
      </c>
      <c r="F4932" t="s">
        <v>117</v>
      </c>
      <c r="G4932">
        <v>1.9</v>
      </c>
      <c r="H4932" t="s">
        <v>41</v>
      </c>
      <c r="I4932" t="s">
        <v>42</v>
      </c>
      <c r="M4932">
        <f>VLOOKUP(H4932,'Stage Order'!$A$2:$B$8,2,FALSE)</f>
        <v>2</v>
      </c>
      <c r="N4932" t="str">
        <f t="shared" si="154"/>
        <v>2. 1-24 hours</v>
      </c>
      <c r="O4932" t="str">
        <f t="shared" si="155"/>
        <v>2026-04</v>
      </c>
    </row>
    <row r="4933" spans="1:15" x14ac:dyDescent="0.3">
      <c r="A4933" t="s">
        <v>11619</v>
      </c>
      <c r="B4933" t="s">
        <v>11620</v>
      </c>
      <c r="C4933" t="s">
        <v>125</v>
      </c>
      <c r="D4933" t="s">
        <v>29</v>
      </c>
      <c r="E4933" t="s">
        <v>39</v>
      </c>
      <c r="F4933" t="s">
        <v>40</v>
      </c>
      <c r="G4933">
        <v>2.79</v>
      </c>
      <c r="H4933" t="s">
        <v>41</v>
      </c>
      <c r="I4933" t="s">
        <v>42</v>
      </c>
      <c r="M4933">
        <f>VLOOKUP(H4933,'Stage Order'!$A$2:$B$8,2,FALSE)</f>
        <v>2</v>
      </c>
      <c r="N4933" t="str">
        <f t="shared" si="154"/>
        <v>2. 1-24 hours</v>
      </c>
      <c r="O4933" t="str">
        <f t="shared" si="155"/>
        <v>2025-12</v>
      </c>
    </row>
    <row r="4934" spans="1:15" x14ac:dyDescent="0.3">
      <c r="A4934" t="s">
        <v>11621</v>
      </c>
      <c r="B4934" t="s">
        <v>11622</v>
      </c>
      <c r="C4934" t="s">
        <v>58</v>
      </c>
      <c r="D4934" t="s">
        <v>77</v>
      </c>
      <c r="E4934" t="s">
        <v>39</v>
      </c>
      <c r="F4934" t="s">
        <v>106</v>
      </c>
      <c r="G4934">
        <v>2.82</v>
      </c>
      <c r="H4934" t="s">
        <v>41</v>
      </c>
      <c r="I4934" t="s">
        <v>42</v>
      </c>
      <c r="M4934">
        <f>VLOOKUP(H4934,'Stage Order'!$A$2:$B$8,2,FALSE)</f>
        <v>2</v>
      </c>
      <c r="N4934" t="str">
        <f t="shared" si="154"/>
        <v>2. 1-24 hours</v>
      </c>
      <c r="O4934" t="str">
        <f t="shared" si="155"/>
        <v>2025-01</v>
      </c>
    </row>
    <row r="4935" spans="1:15" x14ac:dyDescent="0.3">
      <c r="A4935" t="s">
        <v>11623</v>
      </c>
      <c r="B4935" t="s">
        <v>11624</v>
      </c>
      <c r="C4935" t="s">
        <v>76</v>
      </c>
      <c r="D4935" t="s">
        <v>38</v>
      </c>
      <c r="E4935" t="s">
        <v>39</v>
      </c>
      <c r="F4935" t="s">
        <v>106</v>
      </c>
      <c r="G4935">
        <v>3.64</v>
      </c>
      <c r="H4935" t="s">
        <v>138</v>
      </c>
      <c r="I4935" t="s">
        <v>48</v>
      </c>
      <c r="J4935" t="s">
        <v>98</v>
      </c>
      <c r="K4935">
        <v>318.04000000000002</v>
      </c>
      <c r="L4935" t="s">
        <v>11625</v>
      </c>
      <c r="M4935">
        <f>VLOOKUP(H4935,'Stage Order'!$A$2:$B$8,2,FALSE)</f>
        <v>6</v>
      </c>
      <c r="N4935" t="str">
        <f t="shared" si="154"/>
        <v>2. 1-24 hours</v>
      </c>
      <c r="O4935" t="str">
        <f t="shared" si="155"/>
        <v>2025-05</v>
      </c>
    </row>
    <row r="4936" spans="1:15" x14ac:dyDescent="0.3">
      <c r="A4936" t="s">
        <v>11626</v>
      </c>
      <c r="B4936" t="s">
        <v>11627</v>
      </c>
      <c r="C4936" t="s">
        <v>37</v>
      </c>
      <c r="D4936" t="s">
        <v>54</v>
      </c>
      <c r="E4936" t="s">
        <v>59</v>
      </c>
      <c r="F4936" t="s">
        <v>60</v>
      </c>
      <c r="G4936">
        <v>2.81</v>
      </c>
      <c r="H4936" t="s">
        <v>41</v>
      </c>
      <c r="I4936" t="s">
        <v>42</v>
      </c>
      <c r="M4936">
        <f>VLOOKUP(H4936,'Stage Order'!$A$2:$B$8,2,FALSE)</f>
        <v>2</v>
      </c>
      <c r="N4936" t="str">
        <f t="shared" si="154"/>
        <v>2. 1-24 hours</v>
      </c>
      <c r="O4936" t="str">
        <f t="shared" si="155"/>
        <v>2025-03</v>
      </c>
    </row>
    <row r="4937" spans="1:15" x14ac:dyDescent="0.3">
      <c r="A4937" t="s">
        <v>11628</v>
      </c>
      <c r="B4937" t="s">
        <v>11629</v>
      </c>
      <c r="C4937" t="s">
        <v>125</v>
      </c>
      <c r="D4937" t="s">
        <v>38</v>
      </c>
      <c r="E4937" t="s">
        <v>39</v>
      </c>
      <c r="F4937" t="s">
        <v>106</v>
      </c>
      <c r="G4937">
        <v>5.37</v>
      </c>
      <c r="H4937" t="s">
        <v>41</v>
      </c>
      <c r="I4937" t="s">
        <v>42</v>
      </c>
      <c r="M4937">
        <f>VLOOKUP(H4937,'Stage Order'!$A$2:$B$8,2,FALSE)</f>
        <v>2</v>
      </c>
      <c r="N4937" t="str">
        <f t="shared" si="154"/>
        <v>2. 1-24 hours</v>
      </c>
      <c r="O4937" t="str">
        <f t="shared" si="155"/>
        <v>2025-04</v>
      </c>
    </row>
    <row r="4938" spans="1:15" x14ac:dyDescent="0.3">
      <c r="A4938" t="s">
        <v>11630</v>
      </c>
      <c r="B4938" t="s">
        <v>11631</v>
      </c>
      <c r="C4938" t="s">
        <v>58</v>
      </c>
      <c r="D4938" t="s">
        <v>29</v>
      </c>
      <c r="E4938" t="s">
        <v>39</v>
      </c>
      <c r="F4938" t="s">
        <v>106</v>
      </c>
      <c r="G4938">
        <v>0.73</v>
      </c>
      <c r="H4938" t="s">
        <v>61</v>
      </c>
      <c r="I4938" t="s">
        <v>42</v>
      </c>
      <c r="M4938">
        <f>VLOOKUP(H4938,'Stage Order'!$A$2:$B$8,2,FALSE)</f>
        <v>1</v>
      </c>
      <c r="N4938" t="str">
        <f t="shared" si="154"/>
        <v>1. Under 1 hour</v>
      </c>
      <c r="O4938" t="str">
        <f t="shared" si="155"/>
        <v>2025-01</v>
      </c>
    </row>
    <row r="4939" spans="1:15" x14ac:dyDescent="0.3">
      <c r="A4939" t="s">
        <v>11632</v>
      </c>
      <c r="B4939" t="s">
        <v>11633</v>
      </c>
      <c r="C4939" t="s">
        <v>58</v>
      </c>
      <c r="D4939" t="s">
        <v>29</v>
      </c>
      <c r="E4939" t="s">
        <v>30</v>
      </c>
      <c r="F4939" t="s">
        <v>82</v>
      </c>
      <c r="G4939">
        <v>16.61</v>
      </c>
      <c r="H4939" t="s">
        <v>41</v>
      </c>
      <c r="I4939" t="s">
        <v>42</v>
      </c>
      <c r="M4939">
        <f>VLOOKUP(H4939,'Stage Order'!$A$2:$B$8,2,FALSE)</f>
        <v>2</v>
      </c>
      <c r="N4939" t="str">
        <f t="shared" si="154"/>
        <v>2. 1-24 hours</v>
      </c>
      <c r="O4939" t="str">
        <f t="shared" si="155"/>
        <v>2025-12</v>
      </c>
    </row>
    <row r="4940" spans="1:15" x14ac:dyDescent="0.3">
      <c r="A4940" t="s">
        <v>11634</v>
      </c>
      <c r="B4940" t="s">
        <v>11635</v>
      </c>
      <c r="C4940" t="s">
        <v>37</v>
      </c>
      <c r="D4940" t="s">
        <v>38</v>
      </c>
      <c r="E4940" t="s">
        <v>45</v>
      </c>
      <c r="F4940" t="s">
        <v>46</v>
      </c>
      <c r="G4940">
        <v>0.4</v>
      </c>
      <c r="H4940" t="s">
        <v>41</v>
      </c>
      <c r="I4940" t="s">
        <v>42</v>
      </c>
      <c r="M4940">
        <f>VLOOKUP(H4940,'Stage Order'!$A$2:$B$8,2,FALSE)</f>
        <v>2</v>
      </c>
      <c r="N4940" t="str">
        <f t="shared" si="154"/>
        <v>1. Under 1 hour</v>
      </c>
      <c r="O4940" t="str">
        <f t="shared" si="155"/>
        <v>2026-04</v>
      </c>
    </row>
    <row r="4941" spans="1:15" x14ac:dyDescent="0.3">
      <c r="A4941" t="s">
        <v>11636</v>
      </c>
      <c r="B4941" t="s">
        <v>11637</v>
      </c>
      <c r="C4941" t="s">
        <v>125</v>
      </c>
      <c r="D4941" t="s">
        <v>77</v>
      </c>
      <c r="E4941" t="s">
        <v>39</v>
      </c>
      <c r="F4941" t="s">
        <v>40</v>
      </c>
      <c r="G4941">
        <v>4.43</v>
      </c>
      <c r="H4941" t="s">
        <v>61</v>
      </c>
      <c r="I4941" t="s">
        <v>42</v>
      </c>
      <c r="M4941">
        <f>VLOOKUP(H4941,'Stage Order'!$A$2:$B$8,2,FALSE)</f>
        <v>1</v>
      </c>
      <c r="N4941" t="str">
        <f t="shared" si="154"/>
        <v>2. 1-24 hours</v>
      </c>
      <c r="O4941" t="str">
        <f t="shared" si="155"/>
        <v>2026-03</v>
      </c>
    </row>
    <row r="4942" spans="1:15" x14ac:dyDescent="0.3">
      <c r="A4942" t="s">
        <v>11638</v>
      </c>
      <c r="B4942" t="s">
        <v>11639</v>
      </c>
      <c r="C4942" t="s">
        <v>58</v>
      </c>
      <c r="D4942" t="s">
        <v>77</v>
      </c>
      <c r="E4942" t="s">
        <v>90</v>
      </c>
      <c r="F4942" t="s">
        <v>112</v>
      </c>
      <c r="G4942">
        <v>3.32</v>
      </c>
      <c r="H4942" t="s">
        <v>61</v>
      </c>
      <c r="I4942" t="s">
        <v>42</v>
      </c>
      <c r="M4942">
        <f>VLOOKUP(H4942,'Stage Order'!$A$2:$B$8,2,FALSE)</f>
        <v>1</v>
      </c>
      <c r="N4942" t="str">
        <f t="shared" si="154"/>
        <v>2. 1-24 hours</v>
      </c>
      <c r="O4942" t="str">
        <f t="shared" si="155"/>
        <v>2025-10</v>
      </c>
    </row>
    <row r="4943" spans="1:15" x14ac:dyDescent="0.3">
      <c r="A4943" t="s">
        <v>11640</v>
      </c>
      <c r="B4943" t="s">
        <v>11641</v>
      </c>
      <c r="C4943" t="s">
        <v>37</v>
      </c>
      <c r="D4943" t="s">
        <v>38</v>
      </c>
      <c r="E4943" t="s">
        <v>59</v>
      </c>
      <c r="F4943" t="s">
        <v>137</v>
      </c>
      <c r="G4943">
        <v>2.9</v>
      </c>
      <c r="H4943" t="s">
        <v>41</v>
      </c>
      <c r="I4943" t="s">
        <v>42</v>
      </c>
      <c r="M4943">
        <f>VLOOKUP(H4943,'Stage Order'!$A$2:$B$8,2,FALSE)</f>
        <v>2</v>
      </c>
      <c r="N4943" t="str">
        <f t="shared" si="154"/>
        <v>2. 1-24 hours</v>
      </c>
      <c r="O4943" t="str">
        <f t="shared" si="155"/>
        <v>2026-01</v>
      </c>
    </row>
    <row r="4944" spans="1:15" x14ac:dyDescent="0.3">
      <c r="A4944" t="s">
        <v>11642</v>
      </c>
      <c r="B4944" t="s">
        <v>11643</v>
      </c>
      <c r="C4944" t="s">
        <v>58</v>
      </c>
      <c r="D4944" t="s">
        <v>97</v>
      </c>
      <c r="E4944" t="s">
        <v>59</v>
      </c>
      <c r="F4944" t="s">
        <v>117</v>
      </c>
      <c r="G4944">
        <v>8.27</v>
      </c>
      <c r="H4944" t="s">
        <v>41</v>
      </c>
      <c r="I4944" t="s">
        <v>42</v>
      </c>
      <c r="M4944">
        <f>VLOOKUP(H4944,'Stage Order'!$A$2:$B$8,2,FALSE)</f>
        <v>2</v>
      </c>
      <c r="N4944" t="str">
        <f t="shared" si="154"/>
        <v>2. 1-24 hours</v>
      </c>
      <c r="O4944" t="str">
        <f t="shared" si="155"/>
        <v>2026-02</v>
      </c>
    </row>
    <row r="4945" spans="1:15" x14ac:dyDescent="0.3">
      <c r="A4945" t="s">
        <v>11644</v>
      </c>
      <c r="B4945" t="s">
        <v>11645</v>
      </c>
      <c r="C4945" t="s">
        <v>37</v>
      </c>
      <c r="D4945" t="s">
        <v>77</v>
      </c>
      <c r="E4945" t="s">
        <v>59</v>
      </c>
      <c r="F4945" t="s">
        <v>117</v>
      </c>
      <c r="G4945">
        <v>8.9</v>
      </c>
      <c r="H4945" t="s">
        <v>41</v>
      </c>
      <c r="I4945" t="s">
        <v>42</v>
      </c>
      <c r="M4945">
        <f>VLOOKUP(H4945,'Stage Order'!$A$2:$B$8,2,FALSE)</f>
        <v>2</v>
      </c>
      <c r="N4945" t="str">
        <f t="shared" si="154"/>
        <v>2. 1-24 hours</v>
      </c>
      <c r="O4945" t="str">
        <f t="shared" si="155"/>
        <v>2025-11</v>
      </c>
    </row>
    <row r="4946" spans="1:15" x14ac:dyDescent="0.3">
      <c r="A4946" t="s">
        <v>11646</v>
      </c>
      <c r="B4946" t="s">
        <v>11647</v>
      </c>
      <c r="C4946" t="s">
        <v>81</v>
      </c>
      <c r="D4946" t="s">
        <v>29</v>
      </c>
      <c r="E4946" t="s">
        <v>30</v>
      </c>
      <c r="F4946" t="s">
        <v>78</v>
      </c>
      <c r="G4946">
        <v>8.51</v>
      </c>
      <c r="H4946" t="s">
        <v>61</v>
      </c>
      <c r="I4946" t="s">
        <v>42</v>
      </c>
      <c r="M4946">
        <f>VLOOKUP(H4946,'Stage Order'!$A$2:$B$8,2,FALSE)</f>
        <v>1</v>
      </c>
      <c r="N4946" t="str">
        <f t="shared" si="154"/>
        <v>2. 1-24 hours</v>
      </c>
      <c r="O4946" t="str">
        <f t="shared" si="155"/>
        <v>2025-10</v>
      </c>
    </row>
    <row r="4947" spans="1:15" x14ac:dyDescent="0.3">
      <c r="A4947" t="s">
        <v>11648</v>
      </c>
      <c r="B4947" t="s">
        <v>11649</v>
      </c>
      <c r="C4947" t="s">
        <v>58</v>
      </c>
      <c r="D4947" t="s">
        <v>29</v>
      </c>
      <c r="E4947" t="s">
        <v>45</v>
      </c>
      <c r="F4947" t="s">
        <v>94</v>
      </c>
      <c r="G4947">
        <v>2.94</v>
      </c>
      <c r="H4947" t="s">
        <v>47</v>
      </c>
      <c r="I4947" t="s">
        <v>48</v>
      </c>
      <c r="J4947" t="s">
        <v>98</v>
      </c>
      <c r="K4947">
        <v>542.66</v>
      </c>
      <c r="L4947" t="s">
        <v>11650</v>
      </c>
      <c r="M4947">
        <f>VLOOKUP(H4947,'Stage Order'!$A$2:$B$8,2,FALSE)</f>
        <v>4</v>
      </c>
      <c r="N4947" t="str">
        <f t="shared" si="154"/>
        <v>2. 1-24 hours</v>
      </c>
      <c r="O4947" t="str">
        <f t="shared" si="155"/>
        <v>2025-08</v>
      </c>
    </row>
    <row r="4948" spans="1:15" x14ac:dyDescent="0.3">
      <c r="A4948" t="s">
        <v>11651</v>
      </c>
      <c r="B4948" t="s">
        <v>11652</v>
      </c>
      <c r="C4948" t="s">
        <v>53</v>
      </c>
      <c r="D4948" t="s">
        <v>77</v>
      </c>
      <c r="E4948" t="s">
        <v>30</v>
      </c>
      <c r="F4948" t="s">
        <v>31</v>
      </c>
      <c r="G4948">
        <v>5.19</v>
      </c>
      <c r="H4948" t="s">
        <v>41</v>
      </c>
      <c r="I4948" t="s">
        <v>42</v>
      </c>
      <c r="M4948">
        <f>VLOOKUP(H4948,'Stage Order'!$A$2:$B$8,2,FALSE)</f>
        <v>2</v>
      </c>
      <c r="N4948" t="str">
        <f t="shared" si="154"/>
        <v>2. 1-24 hours</v>
      </c>
      <c r="O4948" t="str">
        <f t="shared" si="155"/>
        <v>2026-01</v>
      </c>
    </row>
    <row r="4949" spans="1:15" x14ac:dyDescent="0.3">
      <c r="A4949" t="s">
        <v>11653</v>
      </c>
      <c r="B4949" t="s">
        <v>11654</v>
      </c>
      <c r="C4949" t="s">
        <v>37</v>
      </c>
      <c r="D4949" t="s">
        <v>29</v>
      </c>
      <c r="E4949" t="s">
        <v>45</v>
      </c>
      <c r="F4949" t="s">
        <v>94</v>
      </c>
      <c r="G4949">
        <v>2.62</v>
      </c>
      <c r="H4949" t="s">
        <v>41</v>
      </c>
      <c r="I4949" t="s">
        <v>42</v>
      </c>
      <c r="M4949">
        <f>VLOOKUP(H4949,'Stage Order'!$A$2:$B$8,2,FALSE)</f>
        <v>2</v>
      </c>
      <c r="N4949" t="str">
        <f t="shared" si="154"/>
        <v>2. 1-24 hours</v>
      </c>
      <c r="O4949" t="str">
        <f t="shared" si="155"/>
        <v>2025-01</v>
      </c>
    </row>
    <row r="4950" spans="1:15" x14ac:dyDescent="0.3">
      <c r="A4950" t="s">
        <v>11655</v>
      </c>
      <c r="B4950" t="s">
        <v>11656</v>
      </c>
      <c r="C4950" t="s">
        <v>76</v>
      </c>
      <c r="D4950" t="s">
        <v>38</v>
      </c>
      <c r="E4950" t="s">
        <v>30</v>
      </c>
      <c r="F4950" t="s">
        <v>78</v>
      </c>
      <c r="G4950">
        <v>6.09</v>
      </c>
      <c r="H4950" t="s">
        <v>32</v>
      </c>
      <c r="I4950" t="s">
        <v>33</v>
      </c>
      <c r="K4950">
        <v>385.76</v>
      </c>
      <c r="L4950" t="s">
        <v>11657</v>
      </c>
      <c r="M4950">
        <f>VLOOKUP(H4950,'Stage Order'!$A$2:$B$8,2,FALSE)</f>
        <v>7</v>
      </c>
      <c r="N4950" t="str">
        <f t="shared" si="154"/>
        <v>2. 1-24 hours</v>
      </c>
      <c r="O4950" t="str">
        <f t="shared" si="155"/>
        <v>2025-12</v>
      </c>
    </row>
    <row r="4951" spans="1:15" x14ac:dyDescent="0.3">
      <c r="A4951" t="s">
        <v>11658</v>
      </c>
      <c r="B4951" t="s">
        <v>11659</v>
      </c>
      <c r="C4951" t="s">
        <v>37</v>
      </c>
      <c r="D4951" t="s">
        <v>77</v>
      </c>
      <c r="E4951" t="s">
        <v>90</v>
      </c>
      <c r="F4951" t="s">
        <v>112</v>
      </c>
      <c r="G4951">
        <v>2.2999999999999998</v>
      </c>
      <c r="H4951" t="s">
        <v>61</v>
      </c>
      <c r="I4951" t="s">
        <v>42</v>
      </c>
      <c r="M4951">
        <f>VLOOKUP(H4951,'Stage Order'!$A$2:$B$8,2,FALSE)</f>
        <v>1</v>
      </c>
      <c r="N4951" t="str">
        <f t="shared" si="154"/>
        <v>2. 1-24 hours</v>
      </c>
      <c r="O4951" t="str">
        <f t="shared" si="155"/>
        <v>2025-08</v>
      </c>
    </row>
    <row r="4952" spans="1:15" x14ac:dyDescent="0.3">
      <c r="A4952" t="s">
        <v>11660</v>
      </c>
      <c r="B4952" t="s">
        <v>11661</v>
      </c>
      <c r="C4952" t="s">
        <v>53</v>
      </c>
      <c r="D4952" t="s">
        <v>77</v>
      </c>
      <c r="E4952" t="s">
        <v>30</v>
      </c>
      <c r="F4952" t="s">
        <v>78</v>
      </c>
      <c r="G4952">
        <v>1.18</v>
      </c>
      <c r="H4952" t="s">
        <v>41</v>
      </c>
      <c r="I4952" t="s">
        <v>42</v>
      </c>
      <c r="M4952">
        <f>VLOOKUP(H4952,'Stage Order'!$A$2:$B$8,2,FALSE)</f>
        <v>2</v>
      </c>
      <c r="N4952" t="str">
        <f t="shared" si="154"/>
        <v>2. 1-24 hours</v>
      </c>
      <c r="O4952" t="str">
        <f t="shared" si="155"/>
        <v>2025-01</v>
      </c>
    </row>
    <row r="4953" spans="1:15" x14ac:dyDescent="0.3">
      <c r="A4953" t="s">
        <v>11662</v>
      </c>
      <c r="B4953" t="s">
        <v>11663</v>
      </c>
      <c r="C4953" t="s">
        <v>53</v>
      </c>
      <c r="D4953" t="s">
        <v>77</v>
      </c>
      <c r="E4953" t="s">
        <v>59</v>
      </c>
      <c r="F4953" t="s">
        <v>60</v>
      </c>
      <c r="G4953">
        <v>0.46</v>
      </c>
      <c r="H4953" t="s">
        <v>41</v>
      </c>
      <c r="I4953" t="s">
        <v>42</v>
      </c>
      <c r="M4953">
        <f>VLOOKUP(H4953,'Stage Order'!$A$2:$B$8,2,FALSE)</f>
        <v>2</v>
      </c>
      <c r="N4953" t="str">
        <f t="shared" si="154"/>
        <v>1. Under 1 hour</v>
      </c>
      <c r="O4953" t="str">
        <f t="shared" si="155"/>
        <v>2026-06</v>
      </c>
    </row>
    <row r="4954" spans="1:15" x14ac:dyDescent="0.3">
      <c r="A4954" t="s">
        <v>11664</v>
      </c>
      <c r="B4954" t="s">
        <v>11665</v>
      </c>
      <c r="C4954" t="s">
        <v>53</v>
      </c>
      <c r="D4954" t="s">
        <v>54</v>
      </c>
      <c r="E4954" t="s">
        <v>45</v>
      </c>
      <c r="F4954" t="s">
        <v>46</v>
      </c>
      <c r="G4954">
        <v>1.32</v>
      </c>
      <c r="H4954" t="s">
        <v>32</v>
      </c>
      <c r="I4954" t="s">
        <v>33</v>
      </c>
      <c r="K4954">
        <v>419.27</v>
      </c>
      <c r="L4954" t="s">
        <v>11666</v>
      </c>
      <c r="M4954">
        <f>VLOOKUP(H4954,'Stage Order'!$A$2:$B$8,2,FALSE)</f>
        <v>7</v>
      </c>
      <c r="N4954" t="str">
        <f t="shared" si="154"/>
        <v>2. 1-24 hours</v>
      </c>
      <c r="O4954" t="str">
        <f t="shared" si="155"/>
        <v>2025-05</v>
      </c>
    </row>
    <row r="4955" spans="1:15" x14ac:dyDescent="0.3">
      <c r="A4955" t="s">
        <v>11667</v>
      </c>
      <c r="B4955" t="s">
        <v>8265</v>
      </c>
      <c r="C4955" t="s">
        <v>28</v>
      </c>
      <c r="D4955" t="s">
        <v>29</v>
      </c>
      <c r="E4955" t="s">
        <v>90</v>
      </c>
      <c r="F4955" t="s">
        <v>91</v>
      </c>
      <c r="G4955">
        <v>6.38</v>
      </c>
      <c r="H4955" t="s">
        <v>32</v>
      </c>
      <c r="I4955" t="s">
        <v>33</v>
      </c>
      <c r="K4955">
        <v>532.4</v>
      </c>
      <c r="L4955" t="s">
        <v>11668</v>
      </c>
      <c r="M4955">
        <f>VLOOKUP(H4955,'Stage Order'!$A$2:$B$8,2,FALSE)</f>
        <v>7</v>
      </c>
      <c r="N4955" t="str">
        <f t="shared" si="154"/>
        <v>2. 1-24 hours</v>
      </c>
      <c r="O4955" t="str">
        <f t="shared" si="155"/>
        <v>2025-12</v>
      </c>
    </row>
    <row r="4956" spans="1:15" x14ac:dyDescent="0.3">
      <c r="A4956" t="s">
        <v>11669</v>
      </c>
      <c r="B4956" t="s">
        <v>11670</v>
      </c>
      <c r="C4956" t="s">
        <v>81</v>
      </c>
      <c r="D4956" t="s">
        <v>38</v>
      </c>
      <c r="E4956" t="s">
        <v>90</v>
      </c>
      <c r="F4956" t="s">
        <v>112</v>
      </c>
      <c r="G4956">
        <v>1.6</v>
      </c>
      <c r="H4956" t="s">
        <v>41</v>
      </c>
      <c r="I4956" t="s">
        <v>42</v>
      </c>
      <c r="M4956">
        <f>VLOOKUP(H4956,'Stage Order'!$A$2:$B$8,2,FALSE)</f>
        <v>2</v>
      </c>
      <c r="N4956" t="str">
        <f t="shared" si="154"/>
        <v>2. 1-24 hours</v>
      </c>
      <c r="O4956" t="str">
        <f t="shared" si="155"/>
        <v>2026-05</v>
      </c>
    </row>
    <row r="4957" spans="1:15" x14ac:dyDescent="0.3">
      <c r="A4957" t="s">
        <v>11671</v>
      </c>
      <c r="B4957" t="s">
        <v>11672</v>
      </c>
      <c r="C4957" t="s">
        <v>37</v>
      </c>
      <c r="D4957" t="s">
        <v>54</v>
      </c>
      <c r="E4957" t="s">
        <v>30</v>
      </c>
      <c r="F4957" t="s">
        <v>82</v>
      </c>
      <c r="G4957">
        <v>2.61</v>
      </c>
      <c r="H4957" t="s">
        <v>41</v>
      </c>
      <c r="I4957" t="s">
        <v>42</v>
      </c>
      <c r="M4957">
        <f>VLOOKUP(H4957,'Stage Order'!$A$2:$B$8,2,FALSE)</f>
        <v>2</v>
      </c>
      <c r="N4957" t="str">
        <f t="shared" si="154"/>
        <v>2. 1-24 hours</v>
      </c>
      <c r="O4957" t="str">
        <f t="shared" si="155"/>
        <v>2025-12</v>
      </c>
    </row>
    <row r="4958" spans="1:15" x14ac:dyDescent="0.3">
      <c r="A4958" t="s">
        <v>11673</v>
      </c>
      <c r="B4958" t="s">
        <v>11674</v>
      </c>
      <c r="C4958" t="s">
        <v>58</v>
      </c>
      <c r="D4958" t="s">
        <v>77</v>
      </c>
      <c r="E4958" t="s">
        <v>90</v>
      </c>
      <c r="F4958" t="s">
        <v>145</v>
      </c>
      <c r="G4958">
        <v>4.2300000000000004</v>
      </c>
      <c r="H4958" t="s">
        <v>41</v>
      </c>
      <c r="I4958" t="s">
        <v>42</v>
      </c>
      <c r="M4958">
        <f>VLOOKUP(H4958,'Stage Order'!$A$2:$B$8,2,FALSE)</f>
        <v>2</v>
      </c>
      <c r="N4958" t="str">
        <f t="shared" si="154"/>
        <v>2. 1-24 hours</v>
      </c>
      <c r="O4958" t="str">
        <f t="shared" si="155"/>
        <v>2025-12</v>
      </c>
    </row>
    <row r="4959" spans="1:15" x14ac:dyDescent="0.3">
      <c r="A4959" t="s">
        <v>11675</v>
      </c>
      <c r="B4959" t="s">
        <v>11676</v>
      </c>
      <c r="C4959" t="s">
        <v>28</v>
      </c>
      <c r="D4959" t="s">
        <v>97</v>
      </c>
      <c r="E4959" t="s">
        <v>59</v>
      </c>
      <c r="F4959" t="s">
        <v>117</v>
      </c>
      <c r="G4959">
        <v>2.58</v>
      </c>
      <c r="H4959" t="s">
        <v>32</v>
      </c>
      <c r="I4959" t="s">
        <v>33</v>
      </c>
      <c r="K4959">
        <v>1705.98</v>
      </c>
      <c r="L4959" t="s">
        <v>11677</v>
      </c>
      <c r="M4959">
        <f>VLOOKUP(H4959,'Stage Order'!$A$2:$B$8,2,FALSE)</f>
        <v>7</v>
      </c>
      <c r="N4959" t="str">
        <f t="shared" si="154"/>
        <v>2. 1-24 hours</v>
      </c>
      <c r="O4959" t="str">
        <f t="shared" si="155"/>
        <v>2026-02</v>
      </c>
    </row>
    <row r="4960" spans="1:15" x14ac:dyDescent="0.3">
      <c r="A4960" t="s">
        <v>11678</v>
      </c>
      <c r="B4960" t="s">
        <v>11679</v>
      </c>
      <c r="C4960" t="s">
        <v>53</v>
      </c>
      <c r="D4960" t="s">
        <v>54</v>
      </c>
      <c r="E4960" t="s">
        <v>39</v>
      </c>
      <c r="F4960" t="s">
        <v>66</v>
      </c>
      <c r="G4960">
        <v>1.19</v>
      </c>
      <c r="H4960" t="s">
        <v>146</v>
      </c>
      <c r="I4960" t="s">
        <v>48</v>
      </c>
      <c r="J4960" t="s">
        <v>49</v>
      </c>
      <c r="K4960">
        <v>596.48</v>
      </c>
      <c r="L4960" t="s">
        <v>11680</v>
      </c>
      <c r="M4960">
        <f>VLOOKUP(H4960,'Stage Order'!$A$2:$B$8,2,FALSE)</f>
        <v>5</v>
      </c>
      <c r="N4960" t="str">
        <f t="shared" si="154"/>
        <v>2. 1-24 hours</v>
      </c>
      <c r="O4960" t="str">
        <f t="shared" si="155"/>
        <v>2026-03</v>
      </c>
    </row>
    <row r="4961" spans="1:15" x14ac:dyDescent="0.3">
      <c r="A4961" t="s">
        <v>11681</v>
      </c>
      <c r="B4961" t="s">
        <v>11682</v>
      </c>
      <c r="C4961" t="s">
        <v>37</v>
      </c>
      <c r="D4961" t="s">
        <v>54</v>
      </c>
      <c r="E4961" t="s">
        <v>39</v>
      </c>
      <c r="F4961" t="s">
        <v>40</v>
      </c>
      <c r="G4961">
        <v>9.4700000000000006</v>
      </c>
      <c r="H4961" t="s">
        <v>41</v>
      </c>
      <c r="I4961" t="s">
        <v>42</v>
      </c>
      <c r="M4961">
        <f>VLOOKUP(H4961,'Stage Order'!$A$2:$B$8,2,FALSE)</f>
        <v>2</v>
      </c>
      <c r="N4961" t="str">
        <f t="shared" si="154"/>
        <v>2. 1-24 hours</v>
      </c>
      <c r="O4961" t="str">
        <f t="shared" si="155"/>
        <v>2025-08</v>
      </c>
    </row>
    <row r="4962" spans="1:15" x14ac:dyDescent="0.3">
      <c r="A4962" t="s">
        <v>11683</v>
      </c>
      <c r="B4962" t="s">
        <v>11684</v>
      </c>
      <c r="C4962" t="s">
        <v>76</v>
      </c>
      <c r="D4962" t="s">
        <v>54</v>
      </c>
      <c r="E4962" t="s">
        <v>39</v>
      </c>
      <c r="F4962" t="s">
        <v>106</v>
      </c>
      <c r="G4962">
        <v>6.3</v>
      </c>
      <c r="H4962" t="s">
        <v>128</v>
      </c>
      <c r="I4962" t="s">
        <v>42</v>
      </c>
      <c r="M4962">
        <f>VLOOKUP(H4962,'Stage Order'!$A$2:$B$8,2,FALSE)</f>
        <v>3</v>
      </c>
      <c r="N4962" t="str">
        <f t="shared" si="154"/>
        <v>2. 1-24 hours</v>
      </c>
      <c r="O4962" t="str">
        <f t="shared" si="155"/>
        <v>2025-08</v>
      </c>
    </row>
    <row r="4963" spans="1:15" x14ac:dyDescent="0.3">
      <c r="A4963" t="s">
        <v>11685</v>
      </c>
      <c r="B4963" t="s">
        <v>11686</v>
      </c>
      <c r="C4963" t="s">
        <v>58</v>
      </c>
      <c r="D4963" t="s">
        <v>29</v>
      </c>
      <c r="E4963" t="s">
        <v>45</v>
      </c>
      <c r="F4963" t="s">
        <v>55</v>
      </c>
      <c r="G4963">
        <v>1.75</v>
      </c>
      <c r="H4963" t="s">
        <v>61</v>
      </c>
      <c r="I4963" t="s">
        <v>42</v>
      </c>
      <c r="M4963">
        <f>VLOOKUP(H4963,'Stage Order'!$A$2:$B$8,2,FALSE)</f>
        <v>1</v>
      </c>
      <c r="N4963" t="str">
        <f t="shared" si="154"/>
        <v>2. 1-24 hours</v>
      </c>
      <c r="O4963" t="str">
        <f t="shared" si="155"/>
        <v>2025-11</v>
      </c>
    </row>
    <row r="4964" spans="1:15" x14ac:dyDescent="0.3">
      <c r="A4964" t="s">
        <v>11687</v>
      </c>
      <c r="B4964" t="s">
        <v>11688</v>
      </c>
      <c r="C4964" t="s">
        <v>81</v>
      </c>
      <c r="D4964" t="s">
        <v>29</v>
      </c>
      <c r="E4964" t="s">
        <v>45</v>
      </c>
      <c r="F4964" t="s">
        <v>55</v>
      </c>
      <c r="G4964">
        <v>8.66</v>
      </c>
      <c r="H4964" t="s">
        <v>41</v>
      </c>
      <c r="I4964" t="s">
        <v>42</v>
      </c>
      <c r="M4964">
        <f>VLOOKUP(H4964,'Stage Order'!$A$2:$B$8,2,FALSE)</f>
        <v>2</v>
      </c>
      <c r="N4964" t="str">
        <f t="shared" si="154"/>
        <v>2. 1-24 hours</v>
      </c>
      <c r="O4964" t="str">
        <f t="shared" si="155"/>
        <v>2025-05</v>
      </c>
    </row>
    <row r="4965" spans="1:15" x14ac:dyDescent="0.3">
      <c r="A4965" t="s">
        <v>11689</v>
      </c>
      <c r="B4965" t="s">
        <v>11690</v>
      </c>
      <c r="C4965" t="s">
        <v>37</v>
      </c>
      <c r="D4965" t="s">
        <v>77</v>
      </c>
      <c r="E4965" t="s">
        <v>39</v>
      </c>
      <c r="F4965" t="s">
        <v>66</v>
      </c>
      <c r="G4965">
        <v>5.91</v>
      </c>
      <c r="H4965" t="s">
        <v>41</v>
      </c>
      <c r="I4965" t="s">
        <v>42</v>
      </c>
      <c r="M4965">
        <f>VLOOKUP(H4965,'Stage Order'!$A$2:$B$8,2,FALSE)</f>
        <v>2</v>
      </c>
      <c r="N4965" t="str">
        <f t="shared" si="154"/>
        <v>2. 1-24 hours</v>
      </c>
      <c r="O4965" t="str">
        <f t="shared" si="155"/>
        <v>2026-04</v>
      </c>
    </row>
    <row r="4966" spans="1:15" x14ac:dyDescent="0.3">
      <c r="A4966" t="s">
        <v>11691</v>
      </c>
      <c r="B4966" t="s">
        <v>11692</v>
      </c>
      <c r="C4966" t="s">
        <v>37</v>
      </c>
      <c r="D4966" t="s">
        <v>77</v>
      </c>
      <c r="E4966" t="s">
        <v>59</v>
      </c>
      <c r="F4966" t="s">
        <v>137</v>
      </c>
      <c r="G4966">
        <v>1.32</v>
      </c>
      <c r="H4966" t="s">
        <v>41</v>
      </c>
      <c r="I4966" t="s">
        <v>42</v>
      </c>
      <c r="M4966">
        <f>VLOOKUP(H4966,'Stage Order'!$A$2:$B$8,2,FALSE)</f>
        <v>2</v>
      </c>
      <c r="N4966" t="str">
        <f t="shared" si="154"/>
        <v>2. 1-24 hours</v>
      </c>
      <c r="O4966" t="str">
        <f t="shared" si="155"/>
        <v>2025-09</v>
      </c>
    </row>
    <row r="4967" spans="1:15" x14ac:dyDescent="0.3">
      <c r="A4967" t="s">
        <v>11693</v>
      </c>
      <c r="B4967" t="s">
        <v>11694</v>
      </c>
      <c r="C4967" t="s">
        <v>125</v>
      </c>
      <c r="D4967" t="s">
        <v>97</v>
      </c>
      <c r="E4967" t="s">
        <v>45</v>
      </c>
      <c r="F4967" t="s">
        <v>94</v>
      </c>
      <c r="G4967">
        <v>2.99</v>
      </c>
      <c r="H4967" t="s">
        <v>128</v>
      </c>
      <c r="I4967" t="s">
        <v>42</v>
      </c>
      <c r="M4967">
        <f>VLOOKUP(H4967,'Stage Order'!$A$2:$B$8,2,FALSE)</f>
        <v>3</v>
      </c>
      <c r="N4967" t="str">
        <f t="shared" si="154"/>
        <v>2. 1-24 hours</v>
      </c>
      <c r="O4967" t="str">
        <f t="shared" si="155"/>
        <v>2026-06</v>
      </c>
    </row>
    <row r="4968" spans="1:15" x14ac:dyDescent="0.3">
      <c r="A4968" t="s">
        <v>11695</v>
      </c>
      <c r="B4968" t="s">
        <v>11696</v>
      </c>
      <c r="C4968" t="s">
        <v>76</v>
      </c>
      <c r="D4968" t="s">
        <v>54</v>
      </c>
      <c r="E4968" t="s">
        <v>59</v>
      </c>
      <c r="F4968" t="s">
        <v>137</v>
      </c>
      <c r="G4968">
        <v>2.13</v>
      </c>
      <c r="H4968" t="s">
        <v>41</v>
      </c>
      <c r="I4968" t="s">
        <v>42</v>
      </c>
      <c r="M4968">
        <f>VLOOKUP(H4968,'Stage Order'!$A$2:$B$8,2,FALSE)</f>
        <v>2</v>
      </c>
      <c r="N4968" t="str">
        <f t="shared" si="154"/>
        <v>2. 1-24 hours</v>
      </c>
      <c r="O4968" t="str">
        <f t="shared" si="155"/>
        <v>2025-10</v>
      </c>
    </row>
    <row r="4969" spans="1:15" x14ac:dyDescent="0.3">
      <c r="A4969" t="s">
        <v>11697</v>
      </c>
      <c r="B4969" t="s">
        <v>11698</v>
      </c>
      <c r="C4969" t="s">
        <v>28</v>
      </c>
      <c r="D4969" t="s">
        <v>97</v>
      </c>
      <c r="E4969" t="s">
        <v>59</v>
      </c>
      <c r="F4969" t="s">
        <v>117</v>
      </c>
      <c r="G4969">
        <v>0.84</v>
      </c>
      <c r="H4969" t="s">
        <v>32</v>
      </c>
      <c r="I4969" t="s">
        <v>33</v>
      </c>
      <c r="K4969">
        <v>1246.3</v>
      </c>
      <c r="L4969" t="s">
        <v>11699</v>
      </c>
      <c r="M4969">
        <f>VLOOKUP(H4969,'Stage Order'!$A$2:$B$8,2,FALSE)</f>
        <v>7</v>
      </c>
      <c r="N4969" t="str">
        <f t="shared" si="154"/>
        <v>1. Under 1 hour</v>
      </c>
      <c r="O4969" t="str">
        <f t="shared" si="155"/>
        <v>2025-11</v>
      </c>
    </row>
    <row r="4970" spans="1:15" x14ac:dyDescent="0.3">
      <c r="A4970" t="s">
        <v>11700</v>
      </c>
      <c r="B4970" t="s">
        <v>11701</v>
      </c>
      <c r="C4970" t="s">
        <v>53</v>
      </c>
      <c r="D4970" t="s">
        <v>77</v>
      </c>
      <c r="E4970" t="s">
        <v>30</v>
      </c>
      <c r="F4970" t="s">
        <v>78</v>
      </c>
      <c r="G4970">
        <v>5.64</v>
      </c>
      <c r="H4970" t="s">
        <v>138</v>
      </c>
      <c r="I4970" t="s">
        <v>48</v>
      </c>
      <c r="J4970" t="s">
        <v>49</v>
      </c>
      <c r="K4970">
        <v>871.3</v>
      </c>
      <c r="L4970" t="s">
        <v>11702</v>
      </c>
      <c r="M4970">
        <f>VLOOKUP(H4970,'Stage Order'!$A$2:$B$8,2,FALSE)</f>
        <v>6</v>
      </c>
      <c r="N4970" t="str">
        <f t="shared" si="154"/>
        <v>2. 1-24 hours</v>
      </c>
      <c r="O4970" t="str">
        <f t="shared" si="155"/>
        <v>2025-07</v>
      </c>
    </row>
    <row r="4971" spans="1:15" x14ac:dyDescent="0.3">
      <c r="A4971" t="s">
        <v>11703</v>
      </c>
      <c r="B4971" t="s">
        <v>11704</v>
      </c>
      <c r="C4971" t="s">
        <v>37</v>
      </c>
      <c r="D4971" t="s">
        <v>29</v>
      </c>
      <c r="E4971" t="s">
        <v>45</v>
      </c>
      <c r="F4971" t="s">
        <v>55</v>
      </c>
      <c r="G4971">
        <v>4.5</v>
      </c>
      <c r="H4971" t="s">
        <v>128</v>
      </c>
      <c r="I4971" t="s">
        <v>42</v>
      </c>
      <c r="M4971">
        <f>VLOOKUP(H4971,'Stage Order'!$A$2:$B$8,2,FALSE)</f>
        <v>3</v>
      </c>
      <c r="N4971" t="str">
        <f t="shared" si="154"/>
        <v>2. 1-24 hours</v>
      </c>
      <c r="O4971" t="str">
        <f t="shared" si="155"/>
        <v>2026-04</v>
      </c>
    </row>
    <row r="4972" spans="1:15" x14ac:dyDescent="0.3">
      <c r="A4972" t="s">
        <v>11705</v>
      </c>
      <c r="B4972" t="s">
        <v>11706</v>
      </c>
      <c r="C4972" t="s">
        <v>37</v>
      </c>
      <c r="D4972" t="s">
        <v>38</v>
      </c>
      <c r="E4972" t="s">
        <v>90</v>
      </c>
      <c r="F4972" t="s">
        <v>145</v>
      </c>
      <c r="G4972">
        <v>2.25</v>
      </c>
      <c r="H4972" t="s">
        <v>128</v>
      </c>
      <c r="I4972" t="s">
        <v>42</v>
      </c>
      <c r="M4972">
        <f>VLOOKUP(H4972,'Stage Order'!$A$2:$B$8,2,FALSE)</f>
        <v>3</v>
      </c>
      <c r="N4972" t="str">
        <f t="shared" si="154"/>
        <v>2. 1-24 hours</v>
      </c>
      <c r="O4972" t="str">
        <f t="shared" si="155"/>
        <v>2025-10</v>
      </c>
    </row>
    <row r="4973" spans="1:15" x14ac:dyDescent="0.3">
      <c r="A4973" t="s">
        <v>11707</v>
      </c>
      <c r="B4973" t="s">
        <v>11708</v>
      </c>
      <c r="C4973" t="s">
        <v>81</v>
      </c>
      <c r="D4973" t="s">
        <v>29</v>
      </c>
      <c r="E4973" t="s">
        <v>39</v>
      </c>
      <c r="F4973" t="s">
        <v>66</v>
      </c>
      <c r="G4973">
        <v>2.37</v>
      </c>
      <c r="H4973" t="s">
        <v>41</v>
      </c>
      <c r="I4973" t="s">
        <v>42</v>
      </c>
      <c r="M4973">
        <f>VLOOKUP(H4973,'Stage Order'!$A$2:$B$8,2,FALSE)</f>
        <v>2</v>
      </c>
      <c r="N4973" t="str">
        <f t="shared" si="154"/>
        <v>2. 1-24 hours</v>
      </c>
      <c r="O4973" t="str">
        <f t="shared" si="155"/>
        <v>2025-05</v>
      </c>
    </row>
    <row r="4974" spans="1:15" x14ac:dyDescent="0.3">
      <c r="A4974" t="s">
        <v>11709</v>
      </c>
      <c r="B4974" t="s">
        <v>11710</v>
      </c>
      <c r="C4974" t="s">
        <v>37</v>
      </c>
      <c r="D4974" t="s">
        <v>54</v>
      </c>
      <c r="E4974" t="s">
        <v>45</v>
      </c>
      <c r="F4974" t="s">
        <v>55</v>
      </c>
      <c r="G4974">
        <v>2.17</v>
      </c>
      <c r="H4974" t="s">
        <v>41</v>
      </c>
      <c r="I4974" t="s">
        <v>42</v>
      </c>
      <c r="M4974">
        <f>VLOOKUP(H4974,'Stage Order'!$A$2:$B$8,2,FALSE)</f>
        <v>2</v>
      </c>
      <c r="N4974" t="str">
        <f t="shared" si="154"/>
        <v>2. 1-24 hours</v>
      </c>
      <c r="O4974" t="str">
        <f t="shared" si="155"/>
        <v>2026-02</v>
      </c>
    </row>
    <row r="4975" spans="1:15" x14ac:dyDescent="0.3">
      <c r="A4975" t="s">
        <v>11711</v>
      </c>
      <c r="B4975" t="s">
        <v>11712</v>
      </c>
      <c r="C4975" t="s">
        <v>125</v>
      </c>
      <c r="D4975" t="s">
        <v>77</v>
      </c>
      <c r="E4975" t="s">
        <v>39</v>
      </c>
      <c r="F4975" t="s">
        <v>66</v>
      </c>
      <c r="G4975">
        <v>2.54</v>
      </c>
      <c r="H4975" t="s">
        <v>47</v>
      </c>
      <c r="I4975" t="s">
        <v>48</v>
      </c>
      <c r="J4975" t="s">
        <v>49</v>
      </c>
      <c r="K4975">
        <v>1150.97</v>
      </c>
      <c r="L4975" t="s">
        <v>11713</v>
      </c>
      <c r="M4975">
        <f>VLOOKUP(H4975,'Stage Order'!$A$2:$B$8,2,FALSE)</f>
        <v>4</v>
      </c>
      <c r="N4975" t="str">
        <f t="shared" si="154"/>
        <v>2. 1-24 hours</v>
      </c>
      <c r="O4975" t="str">
        <f t="shared" si="155"/>
        <v>2025-10</v>
      </c>
    </row>
    <row r="4976" spans="1:15" x14ac:dyDescent="0.3">
      <c r="A4976" t="s">
        <v>11714</v>
      </c>
      <c r="B4976" t="s">
        <v>11715</v>
      </c>
      <c r="C4976" t="s">
        <v>37</v>
      </c>
      <c r="D4976" t="s">
        <v>29</v>
      </c>
      <c r="E4976" t="s">
        <v>45</v>
      </c>
      <c r="F4976" t="s">
        <v>55</v>
      </c>
      <c r="G4976">
        <v>4.88</v>
      </c>
      <c r="H4976" t="s">
        <v>41</v>
      </c>
      <c r="I4976" t="s">
        <v>42</v>
      </c>
      <c r="M4976">
        <f>VLOOKUP(H4976,'Stage Order'!$A$2:$B$8,2,FALSE)</f>
        <v>2</v>
      </c>
      <c r="N4976" t="str">
        <f t="shared" si="154"/>
        <v>2. 1-24 hours</v>
      </c>
      <c r="O4976" t="str">
        <f t="shared" si="155"/>
        <v>2025-05</v>
      </c>
    </row>
    <row r="4977" spans="1:15" x14ac:dyDescent="0.3">
      <c r="A4977" t="s">
        <v>11716</v>
      </c>
      <c r="B4977" t="s">
        <v>7194</v>
      </c>
      <c r="C4977" t="s">
        <v>37</v>
      </c>
      <c r="D4977" t="s">
        <v>29</v>
      </c>
      <c r="E4977" t="s">
        <v>39</v>
      </c>
      <c r="F4977" t="s">
        <v>106</v>
      </c>
      <c r="G4977">
        <v>1.23</v>
      </c>
      <c r="H4977" t="s">
        <v>47</v>
      </c>
      <c r="I4977" t="s">
        <v>48</v>
      </c>
      <c r="J4977" t="s">
        <v>49</v>
      </c>
      <c r="K4977">
        <v>539.98</v>
      </c>
      <c r="L4977" t="s">
        <v>11717</v>
      </c>
      <c r="M4977">
        <f>VLOOKUP(H4977,'Stage Order'!$A$2:$B$8,2,FALSE)</f>
        <v>4</v>
      </c>
      <c r="N4977" t="str">
        <f t="shared" si="154"/>
        <v>2. 1-24 hours</v>
      </c>
      <c r="O4977" t="str">
        <f t="shared" si="155"/>
        <v>2025-03</v>
      </c>
    </row>
    <row r="4978" spans="1:15" x14ac:dyDescent="0.3">
      <c r="A4978" t="s">
        <v>11718</v>
      </c>
      <c r="B4978" t="s">
        <v>11719</v>
      </c>
      <c r="C4978" t="s">
        <v>58</v>
      </c>
      <c r="D4978" t="s">
        <v>77</v>
      </c>
      <c r="E4978" t="s">
        <v>39</v>
      </c>
      <c r="F4978" t="s">
        <v>40</v>
      </c>
      <c r="G4978">
        <v>1.64</v>
      </c>
      <c r="H4978" t="s">
        <v>41</v>
      </c>
      <c r="I4978" t="s">
        <v>42</v>
      </c>
      <c r="M4978">
        <f>VLOOKUP(H4978,'Stage Order'!$A$2:$B$8,2,FALSE)</f>
        <v>2</v>
      </c>
      <c r="N4978" t="str">
        <f t="shared" si="154"/>
        <v>2. 1-24 hours</v>
      </c>
      <c r="O4978" t="str">
        <f t="shared" si="155"/>
        <v>2025-03</v>
      </c>
    </row>
    <row r="4979" spans="1:15" x14ac:dyDescent="0.3">
      <c r="A4979" t="s">
        <v>11720</v>
      </c>
      <c r="B4979" t="s">
        <v>11721</v>
      </c>
      <c r="C4979" t="s">
        <v>37</v>
      </c>
      <c r="D4979" t="s">
        <v>54</v>
      </c>
      <c r="E4979" t="s">
        <v>45</v>
      </c>
      <c r="F4979" t="s">
        <v>94</v>
      </c>
      <c r="G4979">
        <v>2.4500000000000002</v>
      </c>
      <c r="H4979" t="s">
        <v>138</v>
      </c>
      <c r="I4979" t="s">
        <v>48</v>
      </c>
      <c r="J4979" t="s">
        <v>742</v>
      </c>
      <c r="K4979">
        <v>440.45</v>
      </c>
      <c r="L4979" t="s">
        <v>11722</v>
      </c>
      <c r="M4979">
        <f>VLOOKUP(H4979,'Stage Order'!$A$2:$B$8,2,FALSE)</f>
        <v>6</v>
      </c>
      <c r="N4979" t="str">
        <f t="shared" si="154"/>
        <v>2. 1-24 hours</v>
      </c>
      <c r="O4979" t="str">
        <f t="shared" si="155"/>
        <v>2025-03</v>
      </c>
    </row>
    <row r="4980" spans="1:15" x14ac:dyDescent="0.3">
      <c r="A4980" t="s">
        <v>11723</v>
      </c>
      <c r="B4980" t="s">
        <v>11724</v>
      </c>
      <c r="C4980" t="s">
        <v>28</v>
      </c>
      <c r="D4980" t="s">
        <v>29</v>
      </c>
      <c r="E4980" t="s">
        <v>30</v>
      </c>
      <c r="F4980" t="s">
        <v>78</v>
      </c>
      <c r="G4980">
        <v>21.34</v>
      </c>
      <c r="H4980" t="s">
        <v>47</v>
      </c>
      <c r="I4980" t="s">
        <v>48</v>
      </c>
      <c r="J4980" t="s">
        <v>113</v>
      </c>
      <c r="K4980">
        <v>621.04999999999995</v>
      </c>
      <c r="L4980" t="s">
        <v>11725</v>
      </c>
      <c r="M4980">
        <f>VLOOKUP(H4980,'Stage Order'!$A$2:$B$8,2,FALSE)</f>
        <v>4</v>
      </c>
      <c r="N4980" t="str">
        <f t="shared" si="154"/>
        <v>2. 1-24 hours</v>
      </c>
      <c r="O4980" t="str">
        <f t="shared" si="155"/>
        <v>2026-04</v>
      </c>
    </row>
    <row r="4981" spans="1:15" x14ac:dyDescent="0.3">
      <c r="A4981" t="s">
        <v>11726</v>
      </c>
      <c r="B4981" t="s">
        <v>11727</v>
      </c>
      <c r="C4981" t="s">
        <v>125</v>
      </c>
      <c r="D4981" t="s">
        <v>54</v>
      </c>
      <c r="E4981" t="s">
        <v>30</v>
      </c>
      <c r="F4981" t="s">
        <v>78</v>
      </c>
      <c r="G4981">
        <v>1.26</v>
      </c>
      <c r="H4981" t="s">
        <v>41</v>
      </c>
      <c r="I4981" t="s">
        <v>42</v>
      </c>
      <c r="M4981">
        <f>VLOOKUP(H4981,'Stage Order'!$A$2:$B$8,2,FALSE)</f>
        <v>2</v>
      </c>
      <c r="N4981" t="str">
        <f t="shared" si="154"/>
        <v>2. 1-24 hours</v>
      </c>
      <c r="O4981" t="str">
        <f t="shared" si="155"/>
        <v>2026-01</v>
      </c>
    </row>
    <row r="4982" spans="1:15" x14ac:dyDescent="0.3">
      <c r="A4982" t="s">
        <v>11728</v>
      </c>
      <c r="B4982" t="s">
        <v>11729</v>
      </c>
      <c r="C4982" t="s">
        <v>125</v>
      </c>
      <c r="D4982" t="s">
        <v>77</v>
      </c>
      <c r="E4982" t="s">
        <v>30</v>
      </c>
      <c r="F4982" t="s">
        <v>78</v>
      </c>
      <c r="G4982">
        <v>2.48</v>
      </c>
      <c r="H4982" t="s">
        <v>61</v>
      </c>
      <c r="I4982" t="s">
        <v>42</v>
      </c>
      <c r="M4982">
        <f>VLOOKUP(H4982,'Stage Order'!$A$2:$B$8,2,FALSE)</f>
        <v>1</v>
      </c>
      <c r="N4982" t="str">
        <f t="shared" si="154"/>
        <v>2. 1-24 hours</v>
      </c>
      <c r="O4982" t="str">
        <f t="shared" si="155"/>
        <v>2025-03</v>
      </c>
    </row>
    <row r="4983" spans="1:15" x14ac:dyDescent="0.3">
      <c r="A4983" t="s">
        <v>11730</v>
      </c>
      <c r="B4983" t="s">
        <v>11731</v>
      </c>
      <c r="C4983" t="s">
        <v>37</v>
      </c>
      <c r="D4983" t="s">
        <v>54</v>
      </c>
      <c r="E4983" t="s">
        <v>39</v>
      </c>
      <c r="F4983" t="s">
        <v>106</v>
      </c>
      <c r="G4983">
        <v>9.75</v>
      </c>
      <c r="H4983" t="s">
        <v>32</v>
      </c>
      <c r="I4983" t="s">
        <v>33</v>
      </c>
      <c r="K4983">
        <v>555.30999999999995</v>
      </c>
      <c r="L4983" t="s">
        <v>11732</v>
      </c>
      <c r="M4983">
        <f>VLOOKUP(H4983,'Stage Order'!$A$2:$B$8,2,FALSE)</f>
        <v>7</v>
      </c>
      <c r="N4983" t="str">
        <f t="shared" si="154"/>
        <v>2. 1-24 hours</v>
      </c>
      <c r="O4983" t="str">
        <f t="shared" si="155"/>
        <v>2026-01</v>
      </c>
    </row>
    <row r="4984" spans="1:15" x14ac:dyDescent="0.3">
      <c r="A4984" t="s">
        <v>11733</v>
      </c>
      <c r="B4984" t="s">
        <v>11734</v>
      </c>
      <c r="C4984" t="s">
        <v>125</v>
      </c>
      <c r="D4984" t="s">
        <v>29</v>
      </c>
      <c r="E4984" t="s">
        <v>59</v>
      </c>
      <c r="F4984" t="s">
        <v>60</v>
      </c>
      <c r="G4984">
        <v>1.85</v>
      </c>
      <c r="H4984" t="s">
        <v>47</v>
      </c>
      <c r="I4984" t="s">
        <v>48</v>
      </c>
      <c r="J4984" t="s">
        <v>139</v>
      </c>
      <c r="K4984">
        <v>747.49</v>
      </c>
      <c r="L4984" t="s">
        <v>11735</v>
      </c>
      <c r="M4984">
        <f>VLOOKUP(H4984,'Stage Order'!$A$2:$B$8,2,FALSE)</f>
        <v>4</v>
      </c>
      <c r="N4984" t="str">
        <f t="shared" si="154"/>
        <v>2. 1-24 hours</v>
      </c>
      <c r="O4984" t="str">
        <f t="shared" si="155"/>
        <v>2025-07</v>
      </c>
    </row>
    <row r="4985" spans="1:15" x14ac:dyDescent="0.3">
      <c r="A4985" t="s">
        <v>11736</v>
      </c>
      <c r="B4985" t="s">
        <v>11737</v>
      </c>
      <c r="C4985" t="s">
        <v>81</v>
      </c>
      <c r="D4985" t="s">
        <v>29</v>
      </c>
      <c r="E4985" t="s">
        <v>39</v>
      </c>
      <c r="F4985" t="s">
        <v>106</v>
      </c>
      <c r="G4985">
        <v>4.8600000000000003</v>
      </c>
      <c r="H4985" t="s">
        <v>47</v>
      </c>
      <c r="I4985" t="s">
        <v>48</v>
      </c>
      <c r="J4985" t="s">
        <v>49</v>
      </c>
      <c r="K4985">
        <v>691.72</v>
      </c>
      <c r="L4985" t="s">
        <v>11738</v>
      </c>
      <c r="M4985">
        <f>VLOOKUP(H4985,'Stage Order'!$A$2:$B$8,2,FALSE)</f>
        <v>4</v>
      </c>
      <c r="N4985" t="str">
        <f t="shared" si="154"/>
        <v>2. 1-24 hours</v>
      </c>
      <c r="O4985" t="str">
        <f t="shared" si="155"/>
        <v>2026-06</v>
      </c>
    </row>
    <row r="4986" spans="1:15" x14ac:dyDescent="0.3">
      <c r="A4986" t="s">
        <v>11739</v>
      </c>
      <c r="B4986" t="s">
        <v>11740</v>
      </c>
      <c r="C4986" t="s">
        <v>81</v>
      </c>
      <c r="D4986" t="s">
        <v>54</v>
      </c>
      <c r="E4986" t="s">
        <v>45</v>
      </c>
      <c r="F4986" t="s">
        <v>55</v>
      </c>
      <c r="G4986">
        <v>1.89</v>
      </c>
      <c r="H4986" t="s">
        <v>61</v>
      </c>
      <c r="I4986" t="s">
        <v>42</v>
      </c>
      <c r="M4986">
        <f>VLOOKUP(H4986,'Stage Order'!$A$2:$B$8,2,FALSE)</f>
        <v>1</v>
      </c>
      <c r="N4986" t="str">
        <f t="shared" si="154"/>
        <v>2. 1-24 hours</v>
      </c>
      <c r="O4986" t="str">
        <f t="shared" si="155"/>
        <v>2025-06</v>
      </c>
    </row>
    <row r="4987" spans="1:15" x14ac:dyDescent="0.3">
      <c r="A4987" t="s">
        <v>11741</v>
      </c>
      <c r="B4987" t="s">
        <v>11742</v>
      </c>
      <c r="C4987" t="s">
        <v>81</v>
      </c>
      <c r="D4987" t="s">
        <v>54</v>
      </c>
      <c r="E4987" t="s">
        <v>30</v>
      </c>
      <c r="F4987" t="s">
        <v>82</v>
      </c>
      <c r="G4987">
        <v>0.54</v>
      </c>
      <c r="H4987" t="s">
        <v>128</v>
      </c>
      <c r="I4987" t="s">
        <v>42</v>
      </c>
      <c r="M4987">
        <f>VLOOKUP(H4987,'Stage Order'!$A$2:$B$8,2,FALSE)</f>
        <v>3</v>
      </c>
      <c r="N4987" t="str">
        <f t="shared" si="154"/>
        <v>1. Under 1 hour</v>
      </c>
      <c r="O4987" t="str">
        <f t="shared" si="155"/>
        <v>2025-02</v>
      </c>
    </row>
    <row r="4988" spans="1:15" x14ac:dyDescent="0.3">
      <c r="A4988" t="s">
        <v>11743</v>
      </c>
      <c r="B4988" t="s">
        <v>11744</v>
      </c>
      <c r="C4988" t="s">
        <v>53</v>
      </c>
      <c r="D4988" t="s">
        <v>77</v>
      </c>
      <c r="E4988" t="s">
        <v>39</v>
      </c>
      <c r="F4988" t="s">
        <v>66</v>
      </c>
      <c r="G4988">
        <v>2.4300000000000002</v>
      </c>
      <c r="H4988" t="s">
        <v>138</v>
      </c>
      <c r="I4988" t="s">
        <v>48</v>
      </c>
      <c r="J4988" t="s">
        <v>139</v>
      </c>
      <c r="K4988">
        <v>842.86</v>
      </c>
      <c r="L4988" t="s">
        <v>11745</v>
      </c>
      <c r="M4988">
        <f>VLOOKUP(H4988,'Stage Order'!$A$2:$B$8,2,FALSE)</f>
        <v>6</v>
      </c>
      <c r="N4988" t="str">
        <f t="shared" si="154"/>
        <v>2. 1-24 hours</v>
      </c>
      <c r="O4988" t="str">
        <f t="shared" si="155"/>
        <v>2025-09</v>
      </c>
    </row>
    <row r="4989" spans="1:15" x14ac:dyDescent="0.3">
      <c r="A4989" t="s">
        <v>11746</v>
      </c>
      <c r="B4989" t="s">
        <v>11747</v>
      </c>
      <c r="C4989" t="s">
        <v>58</v>
      </c>
      <c r="D4989" t="s">
        <v>77</v>
      </c>
      <c r="E4989" t="s">
        <v>45</v>
      </c>
      <c r="F4989" t="s">
        <v>46</v>
      </c>
      <c r="G4989">
        <v>3.06</v>
      </c>
      <c r="H4989" t="s">
        <v>138</v>
      </c>
      <c r="I4989" t="s">
        <v>48</v>
      </c>
      <c r="J4989" t="s">
        <v>49</v>
      </c>
      <c r="K4989">
        <v>1070.1600000000001</v>
      </c>
      <c r="L4989" t="s">
        <v>11748</v>
      </c>
      <c r="M4989">
        <f>VLOOKUP(H4989,'Stage Order'!$A$2:$B$8,2,FALSE)</f>
        <v>6</v>
      </c>
      <c r="N4989" t="str">
        <f t="shared" si="154"/>
        <v>2. 1-24 hours</v>
      </c>
      <c r="O4989" t="str">
        <f t="shared" si="155"/>
        <v>2025-12</v>
      </c>
    </row>
    <row r="4990" spans="1:15" x14ac:dyDescent="0.3">
      <c r="A4990" t="s">
        <v>11749</v>
      </c>
      <c r="B4990" t="s">
        <v>11750</v>
      </c>
      <c r="C4990" t="s">
        <v>58</v>
      </c>
      <c r="D4990" t="s">
        <v>97</v>
      </c>
      <c r="E4990" t="s">
        <v>39</v>
      </c>
      <c r="F4990" t="s">
        <v>66</v>
      </c>
      <c r="G4990">
        <v>4.6900000000000004</v>
      </c>
      <c r="H4990" t="s">
        <v>41</v>
      </c>
      <c r="I4990" t="s">
        <v>42</v>
      </c>
      <c r="M4990">
        <f>VLOOKUP(H4990,'Stage Order'!$A$2:$B$8,2,FALSE)</f>
        <v>2</v>
      </c>
      <c r="N4990" t="str">
        <f t="shared" si="154"/>
        <v>2. 1-24 hours</v>
      </c>
      <c r="O4990" t="str">
        <f t="shared" si="155"/>
        <v>2026-01</v>
      </c>
    </row>
    <row r="4991" spans="1:15" x14ac:dyDescent="0.3">
      <c r="A4991" t="s">
        <v>11751</v>
      </c>
      <c r="B4991" t="s">
        <v>11752</v>
      </c>
      <c r="C4991" t="s">
        <v>37</v>
      </c>
      <c r="D4991" t="s">
        <v>77</v>
      </c>
      <c r="E4991" t="s">
        <v>45</v>
      </c>
      <c r="F4991" t="s">
        <v>46</v>
      </c>
      <c r="G4991">
        <v>2.98</v>
      </c>
      <c r="H4991" t="s">
        <v>32</v>
      </c>
      <c r="I4991" t="s">
        <v>33</v>
      </c>
      <c r="K4991">
        <v>1086.8399999999999</v>
      </c>
      <c r="L4991" t="s">
        <v>11753</v>
      </c>
      <c r="M4991">
        <f>VLOOKUP(H4991,'Stage Order'!$A$2:$B$8,2,FALSE)</f>
        <v>7</v>
      </c>
      <c r="N4991" t="str">
        <f t="shared" si="154"/>
        <v>2. 1-24 hours</v>
      </c>
      <c r="O4991" t="str">
        <f t="shared" si="155"/>
        <v>2026-03</v>
      </c>
    </row>
    <row r="4992" spans="1:15" x14ac:dyDescent="0.3">
      <c r="A4992" t="s">
        <v>11754</v>
      </c>
      <c r="B4992" t="s">
        <v>11755</v>
      </c>
      <c r="C4992" t="s">
        <v>125</v>
      </c>
      <c r="D4992" t="s">
        <v>29</v>
      </c>
      <c r="E4992" t="s">
        <v>30</v>
      </c>
      <c r="F4992" t="s">
        <v>78</v>
      </c>
      <c r="G4992">
        <v>7.43</v>
      </c>
      <c r="H4992" t="s">
        <v>146</v>
      </c>
      <c r="I4992" t="s">
        <v>48</v>
      </c>
      <c r="J4992" t="s">
        <v>49</v>
      </c>
      <c r="K4992">
        <v>726.77</v>
      </c>
      <c r="L4992" t="s">
        <v>11756</v>
      </c>
      <c r="M4992">
        <f>VLOOKUP(H4992,'Stage Order'!$A$2:$B$8,2,FALSE)</f>
        <v>5</v>
      </c>
      <c r="N4992" t="str">
        <f t="shared" si="154"/>
        <v>2. 1-24 hours</v>
      </c>
      <c r="O4992" t="str">
        <f t="shared" si="155"/>
        <v>2025-08</v>
      </c>
    </row>
    <row r="4993" spans="1:15" x14ac:dyDescent="0.3">
      <c r="A4993" t="s">
        <v>11757</v>
      </c>
      <c r="B4993" t="s">
        <v>11758</v>
      </c>
      <c r="C4993" t="s">
        <v>125</v>
      </c>
      <c r="D4993" t="s">
        <v>77</v>
      </c>
      <c r="E4993" t="s">
        <v>59</v>
      </c>
      <c r="F4993" t="s">
        <v>60</v>
      </c>
      <c r="G4993">
        <v>2.4300000000000002</v>
      </c>
      <c r="H4993" t="s">
        <v>41</v>
      </c>
      <c r="I4993" t="s">
        <v>42</v>
      </c>
      <c r="M4993">
        <f>VLOOKUP(H4993,'Stage Order'!$A$2:$B$8,2,FALSE)</f>
        <v>2</v>
      </c>
      <c r="N4993" t="str">
        <f t="shared" si="154"/>
        <v>2. 1-24 hours</v>
      </c>
      <c r="O4993" t="str">
        <f t="shared" si="155"/>
        <v>2025-06</v>
      </c>
    </row>
    <row r="4994" spans="1:15" x14ac:dyDescent="0.3">
      <c r="A4994" t="s">
        <v>11759</v>
      </c>
      <c r="B4994" t="s">
        <v>11760</v>
      </c>
      <c r="C4994" t="s">
        <v>58</v>
      </c>
      <c r="D4994" t="s">
        <v>77</v>
      </c>
      <c r="E4994" t="s">
        <v>45</v>
      </c>
      <c r="F4994" t="s">
        <v>94</v>
      </c>
      <c r="G4994">
        <v>10.3</v>
      </c>
      <c r="H4994" t="s">
        <v>128</v>
      </c>
      <c r="I4994" t="s">
        <v>42</v>
      </c>
      <c r="M4994">
        <f>VLOOKUP(H4994,'Stage Order'!$A$2:$B$8,2,FALSE)</f>
        <v>3</v>
      </c>
      <c r="N4994" t="str">
        <f t="shared" ref="N4994:N5057" si="156">IF(G4994&lt;=1,"1. Under 1 hour",IF(G4994&lt;=24,"2. 1-24 hours",IF(G4994&lt;=72,"3. 1-3 days","4. Over 3 days")))</f>
        <v>2. 1-24 hours</v>
      </c>
      <c r="O4994" t="str">
        <f t="shared" ref="O4994:O5057" si="157">TEXT(B4994,"YYYY-MM")</f>
        <v>2025-03</v>
      </c>
    </row>
    <row r="4995" spans="1:15" x14ac:dyDescent="0.3">
      <c r="A4995" t="s">
        <v>11761</v>
      </c>
      <c r="B4995" t="s">
        <v>11762</v>
      </c>
      <c r="C4995" t="s">
        <v>37</v>
      </c>
      <c r="D4995" t="s">
        <v>29</v>
      </c>
      <c r="E4995" t="s">
        <v>59</v>
      </c>
      <c r="F4995" t="s">
        <v>60</v>
      </c>
      <c r="G4995">
        <v>2.52</v>
      </c>
      <c r="H4995" t="s">
        <v>41</v>
      </c>
      <c r="I4995" t="s">
        <v>42</v>
      </c>
      <c r="M4995">
        <f>VLOOKUP(H4995,'Stage Order'!$A$2:$B$8,2,FALSE)</f>
        <v>2</v>
      </c>
      <c r="N4995" t="str">
        <f t="shared" si="156"/>
        <v>2. 1-24 hours</v>
      </c>
      <c r="O4995" t="str">
        <f t="shared" si="157"/>
        <v>2026-06</v>
      </c>
    </row>
    <row r="4996" spans="1:15" x14ac:dyDescent="0.3">
      <c r="A4996" t="s">
        <v>11763</v>
      </c>
      <c r="B4996" t="s">
        <v>11764</v>
      </c>
      <c r="C4996" t="s">
        <v>53</v>
      </c>
      <c r="D4996" t="s">
        <v>97</v>
      </c>
      <c r="E4996" t="s">
        <v>90</v>
      </c>
      <c r="F4996" t="s">
        <v>91</v>
      </c>
      <c r="G4996">
        <v>8.41</v>
      </c>
      <c r="H4996" t="s">
        <v>138</v>
      </c>
      <c r="I4996" t="s">
        <v>48</v>
      </c>
      <c r="J4996" t="s">
        <v>139</v>
      </c>
      <c r="K4996">
        <v>1372.4</v>
      </c>
      <c r="L4996" t="s">
        <v>11765</v>
      </c>
      <c r="M4996">
        <f>VLOOKUP(H4996,'Stage Order'!$A$2:$B$8,2,FALSE)</f>
        <v>6</v>
      </c>
      <c r="N4996" t="str">
        <f t="shared" si="156"/>
        <v>2. 1-24 hours</v>
      </c>
      <c r="O4996" t="str">
        <f t="shared" si="157"/>
        <v>2026-01</v>
      </c>
    </row>
    <row r="4997" spans="1:15" x14ac:dyDescent="0.3">
      <c r="A4997" t="s">
        <v>11766</v>
      </c>
      <c r="B4997" t="s">
        <v>11767</v>
      </c>
      <c r="C4997" t="s">
        <v>28</v>
      </c>
      <c r="D4997" t="s">
        <v>54</v>
      </c>
      <c r="E4997" t="s">
        <v>90</v>
      </c>
      <c r="F4997" t="s">
        <v>145</v>
      </c>
      <c r="G4997">
        <v>26.2</v>
      </c>
      <c r="H4997" t="s">
        <v>41</v>
      </c>
      <c r="I4997" t="s">
        <v>42</v>
      </c>
      <c r="M4997">
        <f>VLOOKUP(H4997,'Stage Order'!$A$2:$B$8,2,FALSE)</f>
        <v>2</v>
      </c>
      <c r="N4997" t="str">
        <f t="shared" si="156"/>
        <v>3. 1-3 days</v>
      </c>
      <c r="O4997" t="str">
        <f t="shared" si="157"/>
        <v>2025-11</v>
      </c>
    </row>
    <row r="4998" spans="1:15" x14ac:dyDescent="0.3">
      <c r="A4998" t="s">
        <v>11768</v>
      </c>
      <c r="B4998" t="s">
        <v>11769</v>
      </c>
      <c r="C4998" t="s">
        <v>53</v>
      </c>
      <c r="D4998" t="s">
        <v>77</v>
      </c>
      <c r="E4998" t="s">
        <v>39</v>
      </c>
      <c r="F4998" t="s">
        <v>66</v>
      </c>
      <c r="G4998">
        <v>6.64</v>
      </c>
      <c r="H4998" t="s">
        <v>146</v>
      </c>
      <c r="I4998" t="s">
        <v>48</v>
      </c>
      <c r="J4998" t="s">
        <v>742</v>
      </c>
      <c r="K4998">
        <v>874.72</v>
      </c>
      <c r="L4998" t="s">
        <v>11770</v>
      </c>
      <c r="M4998">
        <f>VLOOKUP(H4998,'Stage Order'!$A$2:$B$8,2,FALSE)</f>
        <v>5</v>
      </c>
      <c r="N4998" t="str">
        <f t="shared" si="156"/>
        <v>2. 1-24 hours</v>
      </c>
      <c r="O4998" t="str">
        <f t="shared" si="157"/>
        <v>2025-05</v>
      </c>
    </row>
    <row r="4999" spans="1:15" x14ac:dyDescent="0.3">
      <c r="A4999" t="s">
        <v>11771</v>
      </c>
      <c r="B4999" t="s">
        <v>11772</v>
      </c>
      <c r="C4999" t="s">
        <v>81</v>
      </c>
      <c r="D4999" t="s">
        <v>97</v>
      </c>
      <c r="E4999" t="s">
        <v>45</v>
      </c>
      <c r="F4999" t="s">
        <v>94</v>
      </c>
      <c r="G4999">
        <v>4.3600000000000003</v>
      </c>
      <c r="H4999" t="s">
        <v>41</v>
      </c>
      <c r="I4999" t="s">
        <v>42</v>
      </c>
      <c r="M4999">
        <f>VLOOKUP(H4999,'Stage Order'!$A$2:$B$8,2,FALSE)</f>
        <v>2</v>
      </c>
      <c r="N4999" t="str">
        <f t="shared" si="156"/>
        <v>2. 1-24 hours</v>
      </c>
      <c r="O4999" t="str">
        <f t="shared" si="157"/>
        <v>2025-07</v>
      </c>
    </row>
    <row r="5000" spans="1:15" x14ac:dyDescent="0.3">
      <c r="A5000" t="s">
        <v>11773</v>
      </c>
      <c r="B5000" t="s">
        <v>11774</v>
      </c>
      <c r="C5000" t="s">
        <v>125</v>
      </c>
      <c r="D5000" t="s">
        <v>38</v>
      </c>
      <c r="E5000" t="s">
        <v>90</v>
      </c>
      <c r="F5000" t="s">
        <v>91</v>
      </c>
      <c r="G5000">
        <v>3.34</v>
      </c>
      <c r="H5000" t="s">
        <v>61</v>
      </c>
      <c r="I5000" t="s">
        <v>42</v>
      </c>
      <c r="M5000">
        <f>VLOOKUP(H5000,'Stage Order'!$A$2:$B$8,2,FALSE)</f>
        <v>1</v>
      </c>
      <c r="N5000" t="str">
        <f t="shared" si="156"/>
        <v>2. 1-24 hours</v>
      </c>
      <c r="O5000" t="str">
        <f t="shared" si="157"/>
        <v>2025-02</v>
      </c>
    </row>
    <row r="5001" spans="1:15" x14ac:dyDescent="0.3">
      <c r="A5001" t="s">
        <v>11775</v>
      </c>
      <c r="B5001" t="s">
        <v>11776</v>
      </c>
      <c r="C5001" t="s">
        <v>81</v>
      </c>
      <c r="D5001" t="s">
        <v>54</v>
      </c>
      <c r="E5001" t="s">
        <v>39</v>
      </c>
      <c r="F5001" t="s">
        <v>40</v>
      </c>
      <c r="G5001">
        <v>1.1399999999999999</v>
      </c>
      <c r="H5001" t="s">
        <v>41</v>
      </c>
      <c r="I5001" t="s">
        <v>42</v>
      </c>
      <c r="M5001">
        <f>VLOOKUP(H5001,'Stage Order'!$A$2:$B$8,2,FALSE)</f>
        <v>2</v>
      </c>
      <c r="N5001" t="str">
        <f t="shared" si="156"/>
        <v>2. 1-24 hours</v>
      </c>
      <c r="O5001" t="str">
        <f t="shared" si="157"/>
        <v>2026-05</v>
      </c>
    </row>
    <row r="5002" spans="1:15" x14ac:dyDescent="0.3">
      <c r="A5002" t="s">
        <v>11777</v>
      </c>
      <c r="B5002" t="s">
        <v>11778</v>
      </c>
      <c r="C5002" t="s">
        <v>53</v>
      </c>
      <c r="D5002" t="s">
        <v>54</v>
      </c>
      <c r="E5002" t="s">
        <v>45</v>
      </c>
      <c r="F5002" t="s">
        <v>94</v>
      </c>
      <c r="G5002">
        <v>10.98</v>
      </c>
      <c r="H5002" t="s">
        <v>41</v>
      </c>
      <c r="I5002" t="s">
        <v>42</v>
      </c>
      <c r="M5002">
        <f>VLOOKUP(H5002,'Stage Order'!$A$2:$B$8,2,FALSE)</f>
        <v>2</v>
      </c>
      <c r="N5002" t="str">
        <f t="shared" si="156"/>
        <v>2. 1-24 hours</v>
      </c>
      <c r="O5002" t="str">
        <f t="shared" si="157"/>
        <v>2025-01</v>
      </c>
    </row>
    <row r="5003" spans="1:15" x14ac:dyDescent="0.3">
      <c r="A5003" t="s">
        <v>11779</v>
      </c>
      <c r="B5003" t="s">
        <v>11780</v>
      </c>
      <c r="C5003" t="s">
        <v>37</v>
      </c>
      <c r="D5003" t="s">
        <v>77</v>
      </c>
      <c r="E5003" t="s">
        <v>59</v>
      </c>
      <c r="F5003" t="s">
        <v>117</v>
      </c>
      <c r="G5003">
        <v>3.63</v>
      </c>
      <c r="H5003" t="s">
        <v>138</v>
      </c>
      <c r="I5003" t="s">
        <v>48</v>
      </c>
      <c r="J5003" t="s">
        <v>139</v>
      </c>
      <c r="K5003">
        <v>1144.81</v>
      </c>
      <c r="L5003" t="s">
        <v>11781</v>
      </c>
      <c r="M5003">
        <f>VLOOKUP(H5003,'Stage Order'!$A$2:$B$8,2,FALSE)</f>
        <v>6</v>
      </c>
      <c r="N5003" t="str">
        <f t="shared" si="156"/>
        <v>2. 1-24 hours</v>
      </c>
      <c r="O5003" t="str">
        <f t="shared" si="157"/>
        <v>2025-09</v>
      </c>
    </row>
    <row r="5004" spans="1:15" x14ac:dyDescent="0.3">
      <c r="A5004" t="s">
        <v>11782</v>
      </c>
      <c r="B5004" t="s">
        <v>11783</v>
      </c>
      <c r="C5004" t="s">
        <v>125</v>
      </c>
      <c r="D5004" t="s">
        <v>38</v>
      </c>
      <c r="E5004" t="s">
        <v>45</v>
      </c>
      <c r="F5004" t="s">
        <v>94</v>
      </c>
      <c r="G5004">
        <v>0.66</v>
      </c>
      <c r="H5004" t="s">
        <v>128</v>
      </c>
      <c r="I5004" t="s">
        <v>42</v>
      </c>
      <c r="M5004">
        <f>VLOOKUP(H5004,'Stage Order'!$A$2:$B$8,2,FALSE)</f>
        <v>3</v>
      </c>
      <c r="N5004" t="str">
        <f t="shared" si="156"/>
        <v>1. Under 1 hour</v>
      </c>
      <c r="O5004" t="str">
        <f t="shared" si="157"/>
        <v>2025-12</v>
      </c>
    </row>
    <row r="5005" spans="1:15" x14ac:dyDescent="0.3">
      <c r="A5005" t="s">
        <v>11784</v>
      </c>
      <c r="B5005" t="s">
        <v>11785</v>
      </c>
      <c r="C5005" t="s">
        <v>125</v>
      </c>
      <c r="D5005" t="s">
        <v>38</v>
      </c>
      <c r="E5005" t="s">
        <v>39</v>
      </c>
      <c r="F5005" t="s">
        <v>106</v>
      </c>
      <c r="G5005">
        <v>3.21</v>
      </c>
      <c r="H5005" t="s">
        <v>41</v>
      </c>
      <c r="I5005" t="s">
        <v>42</v>
      </c>
      <c r="M5005">
        <f>VLOOKUP(H5005,'Stage Order'!$A$2:$B$8,2,FALSE)</f>
        <v>2</v>
      </c>
      <c r="N5005" t="str">
        <f t="shared" si="156"/>
        <v>2. 1-24 hours</v>
      </c>
      <c r="O5005" t="str">
        <f t="shared" si="157"/>
        <v>2025-12</v>
      </c>
    </row>
    <row r="5006" spans="1:15" x14ac:dyDescent="0.3">
      <c r="A5006" t="s">
        <v>11786</v>
      </c>
      <c r="B5006" t="s">
        <v>11787</v>
      </c>
      <c r="C5006" t="s">
        <v>125</v>
      </c>
      <c r="D5006" t="s">
        <v>77</v>
      </c>
      <c r="E5006" t="s">
        <v>45</v>
      </c>
      <c r="F5006" t="s">
        <v>55</v>
      </c>
      <c r="G5006">
        <v>2.16</v>
      </c>
      <c r="H5006" t="s">
        <v>146</v>
      </c>
      <c r="I5006" t="s">
        <v>48</v>
      </c>
      <c r="J5006" t="s">
        <v>113</v>
      </c>
      <c r="K5006">
        <v>852.22</v>
      </c>
      <c r="L5006" t="s">
        <v>11788</v>
      </c>
      <c r="M5006">
        <f>VLOOKUP(H5006,'Stage Order'!$A$2:$B$8,2,FALSE)</f>
        <v>5</v>
      </c>
      <c r="N5006" t="str">
        <f t="shared" si="156"/>
        <v>2. 1-24 hours</v>
      </c>
      <c r="O5006" t="str">
        <f t="shared" si="157"/>
        <v>2026-01</v>
      </c>
    </row>
    <row r="5007" spans="1:15" x14ac:dyDescent="0.3">
      <c r="A5007" t="s">
        <v>11789</v>
      </c>
      <c r="B5007" t="s">
        <v>11790</v>
      </c>
      <c r="C5007" t="s">
        <v>58</v>
      </c>
      <c r="D5007" t="s">
        <v>29</v>
      </c>
      <c r="E5007" t="s">
        <v>45</v>
      </c>
      <c r="F5007" t="s">
        <v>94</v>
      </c>
      <c r="G5007">
        <v>0.31</v>
      </c>
      <c r="H5007" t="s">
        <v>32</v>
      </c>
      <c r="I5007" t="s">
        <v>33</v>
      </c>
      <c r="K5007">
        <v>705.14</v>
      </c>
      <c r="L5007" t="s">
        <v>11791</v>
      </c>
      <c r="M5007">
        <f>VLOOKUP(H5007,'Stage Order'!$A$2:$B$8,2,FALSE)</f>
        <v>7</v>
      </c>
      <c r="N5007" t="str">
        <f t="shared" si="156"/>
        <v>1. Under 1 hour</v>
      </c>
      <c r="O5007" t="str">
        <f t="shared" si="157"/>
        <v>2025-11</v>
      </c>
    </row>
    <row r="5008" spans="1:15" x14ac:dyDescent="0.3">
      <c r="A5008" t="s">
        <v>11792</v>
      </c>
      <c r="B5008" t="s">
        <v>11793</v>
      </c>
      <c r="C5008" t="s">
        <v>81</v>
      </c>
      <c r="D5008" t="s">
        <v>29</v>
      </c>
      <c r="E5008" t="s">
        <v>30</v>
      </c>
      <c r="F5008" t="s">
        <v>31</v>
      </c>
      <c r="G5008">
        <v>1.36</v>
      </c>
      <c r="H5008" t="s">
        <v>61</v>
      </c>
      <c r="I5008" t="s">
        <v>42</v>
      </c>
      <c r="M5008">
        <f>VLOOKUP(H5008,'Stage Order'!$A$2:$B$8,2,FALSE)</f>
        <v>1</v>
      </c>
      <c r="N5008" t="str">
        <f t="shared" si="156"/>
        <v>2. 1-24 hours</v>
      </c>
      <c r="O5008" t="str">
        <f t="shared" si="157"/>
        <v>2025-05</v>
      </c>
    </row>
    <row r="5009" spans="1:15" x14ac:dyDescent="0.3">
      <c r="A5009" t="s">
        <v>11794</v>
      </c>
      <c r="B5009" t="s">
        <v>11795</v>
      </c>
      <c r="C5009" t="s">
        <v>37</v>
      </c>
      <c r="D5009" t="s">
        <v>29</v>
      </c>
      <c r="E5009" t="s">
        <v>45</v>
      </c>
      <c r="F5009" t="s">
        <v>46</v>
      </c>
      <c r="G5009">
        <v>13.96</v>
      </c>
      <c r="H5009" t="s">
        <v>47</v>
      </c>
      <c r="I5009" t="s">
        <v>48</v>
      </c>
      <c r="J5009" t="s">
        <v>139</v>
      </c>
      <c r="K5009">
        <v>747.9</v>
      </c>
      <c r="L5009" t="s">
        <v>11796</v>
      </c>
      <c r="M5009">
        <f>VLOOKUP(H5009,'Stage Order'!$A$2:$B$8,2,FALSE)</f>
        <v>4</v>
      </c>
      <c r="N5009" t="str">
        <f t="shared" si="156"/>
        <v>2. 1-24 hours</v>
      </c>
      <c r="O5009" t="str">
        <f t="shared" si="157"/>
        <v>2025-10</v>
      </c>
    </row>
    <row r="5010" spans="1:15" x14ac:dyDescent="0.3">
      <c r="A5010" t="s">
        <v>11797</v>
      </c>
      <c r="B5010" t="s">
        <v>11798</v>
      </c>
      <c r="C5010" t="s">
        <v>81</v>
      </c>
      <c r="D5010" t="s">
        <v>29</v>
      </c>
      <c r="E5010" t="s">
        <v>39</v>
      </c>
      <c r="F5010" t="s">
        <v>106</v>
      </c>
      <c r="G5010">
        <v>1.2</v>
      </c>
      <c r="H5010" t="s">
        <v>146</v>
      </c>
      <c r="I5010" t="s">
        <v>48</v>
      </c>
      <c r="J5010" t="s">
        <v>139</v>
      </c>
      <c r="K5010">
        <v>711.37</v>
      </c>
      <c r="L5010" t="s">
        <v>11799</v>
      </c>
      <c r="M5010">
        <f>VLOOKUP(H5010,'Stage Order'!$A$2:$B$8,2,FALSE)</f>
        <v>5</v>
      </c>
      <c r="N5010" t="str">
        <f t="shared" si="156"/>
        <v>2. 1-24 hours</v>
      </c>
      <c r="O5010" t="str">
        <f t="shared" si="157"/>
        <v>2025-08</v>
      </c>
    </row>
    <row r="5011" spans="1:15" x14ac:dyDescent="0.3">
      <c r="A5011" t="s">
        <v>11800</v>
      </c>
      <c r="B5011" t="s">
        <v>11801</v>
      </c>
      <c r="C5011" t="s">
        <v>37</v>
      </c>
      <c r="D5011" t="s">
        <v>54</v>
      </c>
      <c r="E5011" t="s">
        <v>45</v>
      </c>
      <c r="F5011" t="s">
        <v>46</v>
      </c>
      <c r="G5011">
        <v>0.76</v>
      </c>
      <c r="H5011" t="s">
        <v>138</v>
      </c>
      <c r="I5011" t="s">
        <v>48</v>
      </c>
      <c r="J5011" t="s">
        <v>98</v>
      </c>
      <c r="K5011">
        <v>445.27</v>
      </c>
      <c r="L5011" t="s">
        <v>11802</v>
      </c>
      <c r="M5011">
        <f>VLOOKUP(H5011,'Stage Order'!$A$2:$B$8,2,FALSE)</f>
        <v>6</v>
      </c>
      <c r="N5011" t="str">
        <f t="shared" si="156"/>
        <v>1. Under 1 hour</v>
      </c>
      <c r="O5011" t="str">
        <f t="shared" si="157"/>
        <v>2025-08</v>
      </c>
    </row>
    <row r="5012" spans="1:15" x14ac:dyDescent="0.3">
      <c r="A5012" t="s">
        <v>11803</v>
      </c>
      <c r="B5012" t="s">
        <v>11804</v>
      </c>
      <c r="C5012" t="s">
        <v>58</v>
      </c>
      <c r="D5012" t="s">
        <v>77</v>
      </c>
      <c r="E5012" t="s">
        <v>45</v>
      </c>
      <c r="F5012" t="s">
        <v>55</v>
      </c>
      <c r="G5012">
        <v>1.69</v>
      </c>
      <c r="H5012" t="s">
        <v>41</v>
      </c>
      <c r="I5012" t="s">
        <v>42</v>
      </c>
      <c r="M5012">
        <f>VLOOKUP(H5012,'Stage Order'!$A$2:$B$8,2,FALSE)</f>
        <v>2</v>
      </c>
      <c r="N5012" t="str">
        <f t="shared" si="156"/>
        <v>2. 1-24 hours</v>
      </c>
      <c r="O5012" t="str">
        <f t="shared" si="157"/>
        <v>2026-03</v>
      </c>
    </row>
    <row r="5013" spans="1:15" x14ac:dyDescent="0.3">
      <c r="A5013" t="s">
        <v>11805</v>
      </c>
      <c r="B5013" t="s">
        <v>11806</v>
      </c>
      <c r="C5013" t="s">
        <v>37</v>
      </c>
      <c r="D5013" t="s">
        <v>38</v>
      </c>
      <c r="E5013" t="s">
        <v>39</v>
      </c>
      <c r="F5013" t="s">
        <v>40</v>
      </c>
      <c r="G5013">
        <v>1.2</v>
      </c>
      <c r="H5013" t="s">
        <v>41</v>
      </c>
      <c r="I5013" t="s">
        <v>42</v>
      </c>
      <c r="M5013">
        <f>VLOOKUP(H5013,'Stage Order'!$A$2:$B$8,2,FALSE)</f>
        <v>2</v>
      </c>
      <c r="N5013" t="str">
        <f t="shared" si="156"/>
        <v>2. 1-24 hours</v>
      </c>
      <c r="O5013" t="str">
        <f t="shared" si="157"/>
        <v>2025-05</v>
      </c>
    </row>
    <row r="5014" spans="1:15" x14ac:dyDescent="0.3">
      <c r="A5014" t="s">
        <v>11807</v>
      </c>
      <c r="B5014" t="s">
        <v>11808</v>
      </c>
      <c r="C5014" t="s">
        <v>58</v>
      </c>
      <c r="D5014" t="s">
        <v>54</v>
      </c>
      <c r="E5014" t="s">
        <v>39</v>
      </c>
      <c r="F5014" t="s">
        <v>40</v>
      </c>
      <c r="G5014">
        <v>3.37</v>
      </c>
      <c r="H5014" t="s">
        <v>128</v>
      </c>
      <c r="I5014" t="s">
        <v>42</v>
      </c>
      <c r="M5014">
        <f>VLOOKUP(H5014,'Stage Order'!$A$2:$B$8,2,FALSE)</f>
        <v>3</v>
      </c>
      <c r="N5014" t="str">
        <f t="shared" si="156"/>
        <v>2. 1-24 hours</v>
      </c>
      <c r="O5014" t="str">
        <f t="shared" si="157"/>
        <v>2025-03</v>
      </c>
    </row>
    <row r="5015" spans="1:15" x14ac:dyDescent="0.3">
      <c r="A5015" t="s">
        <v>11809</v>
      </c>
      <c r="B5015" t="s">
        <v>11810</v>
      </c>
      <c r="C5015" t="s">
        <v>58</v>
      </c>
      <c r="D5015" t="s">
        <v>54</v>
      </c>
      <c r="E5015" t="s">
        <v>39</v>
      </c>
      <c r="F5015" t="s">
        <v>40</v>
      </c>
      <c r="G5015">
        <v>15.93</v>
      </c>
      <c r="H5015" t="s">
        <v>47</v>
      </c>
      <c r="I5015" t="s">
        <v>48</v>
      </c>
      <c r="J5015" t="s">
        <v>139</v>
      </c>
      <c r="K5015">
        <v>462.33</v>
      </c>
      <c r="L5015" t="s">
        <v>11811</v>
      </c>
      <c r="M5015">
        <f>VLOOKUP(H5015,'Stage Order'!$A$2:$B$8,2,FALSE)</f>
        <v>4</v>
      </c>
      <c r="N5015" t="str">
        <f t="shared" si="156"/>
        <v>2. 1-24 hours</v>
      </c>
      <c r="O5015" t="str">
        <f t="shared" si="157"/>
        <v>2025-11</v>
      </c>
    </row>
    <row r="5016" spans="1:15" x14ac:dyDescent="0.3">
      <c r="A5016" t="s">
        <v>11812</v>
      </c>
      <c r="B5016" t="s">
        <v>11813</v>
      </c>
      <c r="C5016" t="s">
        <v>58</v>
      </c>
      <c r="D5016" t="s">
        <v>38</v>
      </c>
      <c r="E5016" t="s">
        <v>39</v>
      </c>
      <c r="F5016" t="s">
        <v>66</v>
      </c>
      <c r="G5016">
        <v>0.82</v>
      </c>
      <c r="H5016" t="s">
        <v>47</v>
      </c>
      <c r="I5016" t="s">
        <v>48</v>
      </c>
      <c r="J5016" t="s">
        <v>742</v>
      </c>
      <c r="K5016">
        <v>345.03</v>
      </c>
      <c r="L5016" t="s">
        <v>11814</v>
      </c>
      <c r="M5016">
        <f>VLOOKUP(H5016,'Stage Order'!$A$2:$B$8,2,FALSE)</f>
        <v>4</v>
      </c>
      <c r="N5016" t="str">
        <f t="shared" si="156"/>
        <v>1. Under 1 hour</v>
      </c>
      <c r="O5016" t="str">
        <f t="shared" si="157"/>
        <v>2025-08</v>
      </c>
    </row>
    <row r="5017" spans="1:15" x14ac:dyDescent="0.3">
      <c r="A5017" t="s">
        <v>11815</v>
      </c>
      <c r="B5017" t="s">
        <v>11816</v>
      </c>
      <c r="C5017" t="s">
        <v>125</v>
      </c>
      <c r="D5017" t="s">
        <v>38</v>
      </c>
      <c r="E5017" t="s">
        <v>30</v>
      </c>
      <c r="F5017" t="s">
        <v>78</v>
      </c>
      <c r="G5017">
        <v>1.92</v>
      </c>
      <c r="H5017" t="s">
        <v>61</v>
      </c>
      <c r="I5017" t="s">
        <v>42</v>
      </c>
      <c r="M5017">
        <f>VLOOKUP(H5017,'Stage Order'!$A$2:$B$8,2,FALSE)</f>
        <v>1</v>
      </c>
      <c r="N5017" t="str">
        <f t="shared" si="156"/>
        <v>2. 1-24 hours</v>
      </c>
      <c r="O5017" t="str">
        <f t="shared" si="157"/>
        <v>2025-06</v>
      </c>
    </row>
    <row r="5018" spans="1:15" x14ac:dyDescent="0.3">
      <c r="A5018" t="s">
        <v>11817</v>
      </c>
      <c r="B5018" t="s">
        <v>11818</v>
      </c>
      <c r="C5018" t="s">
        <v>37</v>
      </c>
      <c r="D5018" t="s">
        <v>77</v>
      </c>
      <c r="E5018" t="s">
        <v>90</v>
      </c>
      <c r="F5018" t="s">
        <v>145</v>
      </c>
      <c r="G5018">
        <v>2.65</v>
      </c>
      <c r="H5018" t="s">
        <v>41</v>
      </c>
      <c r="I5018" t="s">
        <v>42</v>
      </c>
      <c r="M5018">
        <f>VLOOKUP(H5018,'Stage Order'!$A$2:$B$8,2,FALSE)</f>
        <v>2</v>
      </c>
      <c r="N5018" t="str">
        <f t="shared" si="156"/>
        <v>2. 1-24 hours</v>
      </c>
      <c r="O5018" t="str">
        <f t="shared" si="157"/>
        <v>2025-07</v>
      </c>
    </row>
    <row r="5019" spans="1:15" x14ac:dyDescent="0.3">
      <c r="A5019" t="s">
        <v>11819</v>
      </c>
      <c r="B5019" t="s">
        <v>11820</v>
      </c>
      <c r="C5019" t="s">
        <v>58</v>
      </c>
      <c r="D5019" t="s">
        <v>54</v>
      </c>
      <c r="E5019" t="s">
        <v>59</v>
      </c>
      <c r="F5019" t="s">
        <v>117</v>
      </c>
      <c r="G5019">
        <v>14.37</v>
      </c>
      <c r="H5019" t="s">
        <v>146</v>
      </c>
      <c r="I5019" t="s">
        <v>48</v>
      </c>
      <c r="J5019" t="s">
        <v>49</v>
      </c>
      <c r="K5019">
        <v>430.64</v>
      </c>
      <c r="L5019" t="s">
        <v>11821</v>
      </c>
      <c r="M5019">
        <f>VLOOKUP(H5019,'Stage Order'!$A$2:$B$8,2,FALSE)</f>
        <v>5</v>
      </c>
      <c r="N5019" t="str">
        <f t="shared" si="156"/>
        <v>2. 1-24 hours</v>
      </c>
      <c r="O5019" t="str">
        <f t="shared" si="157"/>
        <v>2025-02</v>
      </c>
    </row>
    <row r="5020" spans="1:15" x14ac:dyDescent="0.3">
      <c r="A5020" t="s">
        <v>11822</v>
      </c>
      <c r="B5020" t="s">
        <v>11823</v>
      </c>
      <c r="C5020" t="s">
        <v>37</v>
      </c>
      <c r="D5020" t="s">
        <v>97</v>
      </c>
      <c r="E5020" t="s">
        <v>45</v>
      </c>
      <c r="F5020" t="s">
        <v>55</v>
      </c>
      <c r="G5020">
        <v>2.08</v>
      </c>
      <c r="H5020" t="s">
        <v>146</v>
      </c>
      <c r="I5020" t="s">
        <v>48</v>
      </c>
      <c r="J5020" t="s">
        <v>139</v>
      </c>
      <c r="K5020">
        <v>1524.73</v>
      </c>
      <c r="L5020" t="s">
        <v>11824</v>
      </c>
      <c r="M5020">
        <f>VLOOKUP(H5020,'Stage Order'!$A$2:$B$8,2,FALSE)</f>
        <v>5</v>
      </c>
      <c r="N5020" t="str">
        <f t="shared" si="156"/>
        <v>2. 1-24 hours</v>
      </c>
      <c r="O5020" t="str">
        <f t="shared" si="157"/>
        <v>2025-11</v>
      </c>
    </row>
    <row r="5021" spans="1:15" x14ac:dyDescent="0.3">
      <c r="A5021" t="s">
        <v>11825</v>
      </c>
      <c r="B5021" t="s">
        <v>11826</v>
      </c>
      <c r="C5021" t="s">
        <v>28</v>
      </c>
      <c r="D5021" t="s">
        <v>38</v>
      </c>
      <c r="E5021" t="s">
        <v>30</v>
      </c>
      <c r="F5021" t="s">
        <v>31</v>
      </c>
      <c r="G5021">
        <v>2.0099999999999998</v>
      </c>
      <c r="H5021" t="s">
        <v>138</v>
      </c>
      <c r="I5021" t="s">
        <v>48</v>
      </c>
      <c r="J5021" t="s">
        <v>139</v>
      </c>
      <c r="K5021">
        <v>365.04</v>
      </c>
      <c r="L5021" t="s">
        <v>11827</v>
      </c>
      <c r="M5021">
        <f>VLOOKUP(H5021,'Stage Order'!$A$2:$B$8,2,FALSE)</f>
        <v>6</v>
      </c>
      <c r="N5021" t="str">
        <f t="shared" si="156"/>
        <v>2. 1-24 hours</v>
      </c>
      <c r="O5021" t="str">
        <f t="shared" si="157"/>
        <v>2025-06</v>
      </c>
    </row>
    <row r="5022" spans="1:15" x14ac:dyDescent="0.3">
      <c r="A5022" t="s">
        <v>11828</v>
      </c>
      <c r="B5022" t="s">
        <v>11829</v>
      </c>
      <c r="C5022" t="s">
        <v>81</v>
      </c>
      <c r="D5022" t="s">
        <v>29</v>
      </c>
      <c r="E5022" t="s">
        <v>45</v>
      </c>
      <c r="F5022" t="s">
        <v>46</v>
      </c>
      <c r="G5022">
        <v>8.02</v>
      </c>
      <c r="H5022" t="s">
        <v>61</v>
      </c>
      <c r="I5022" t="s">
        <v>42</v>
      </c>
      <c r="M5022">
        <f>VLOOKUP(H5022,'Stage Order'!$A$2:$B$8,2,FALSE)</f>
        <v>1</v>
      </c>
      <c r="N5022" t="str">
        <f t="shared" si="156"/>
        <v>2. 1-24 hours</v>
      </c>
      <c r="O5022" t="str">
        <f t="shared" si="157"/>
        <v>2025-08</v>
      </c>
    </row>
    <row r="5023" spans="1:15" x14ac:dyDescent="0.3">
      <c r="A5023" t="s">
        <v>11830</v>
      </c>
      <c r="B5023" t="s">
        <v>11831</v>
      </c>
      <c r="C5023" t="s">
        <v>53</v>
      </c>
      <c r="D5023" t="s">
        <v>38</v>
      </c>
      <c r="E5023" t="s">
        <v>59</v>
      </c>
      <c r="F5023" t="s">
        <v>60</v>
      </c>
      <c r="G5023">
        <v>1.36</v>
      </c>
      <c r="H5023" t="s">
        <v>32</v>
      </c>
      <c r="I5023" t="s">
        <v>33</v>
      </c>
      <c r="K5023">
        <v>293.73</v>
      </c>
      <c r="L5023" t="s">
        <v>11832</v>
      </c>
      <c r="M5023">
        <f>VLOOKUP(H5023,'Stage Order'!$A$2:$B$8,2,FALSE)</f>
        <v>7</v>
      </c>
      <c r="N5023" t="str">
        <f t="shared" si="156"/>
        <v>2. 1-24 hours</v>
      </c>
      <c r="O5023" t="str">
        <f t="shared" si="157"/>
        <v>2025-09</v>
      </c>
    </row>
    <row r="5024" spans="1:15" x14ac:dyDescent="0.3">
      <c r="A5024" t="s">
        <v>11833</v>
      </c>
      <c r="B5024" t="s">
        <v>11834</v>
      </c>
      <c r="C5024" t="s">
        <v>76</v>
      </c>
      <c r="D5024" t="s">
        <v>38</v>
      </c>
      <c r="E5024" t="s">
        <v>39</v>
      </c>
      <c r="F5024" t="s">
        <v>66</v>
      </c>
      <c r="G5024">
        <v>2.46</v>
      </c>
      <c r="H5024" t="s">
        <v>128</v>
      </c>
      <c r="I5024" t="s">
        <v>42</v>
      </c>
      <c r="M5024">
        <f>VLOOKUP(H5024,'Stage Order'!$A$2:$B$8,2,FALSE)</f>
        <v>3</v>
      </c>
      <c r="N5024" t="str">
        <f t="shared" si="156"/>
        <v>2. 1-24 hours</v>
      </c>
      <c r="O5024" t="str">
        <f t="shared" si="157"/>
        <v>2026-04</v>
      </c>
    </row>
    <row r="5025" spans="1:15" x14ac:dyDescent="0.3">
      <c r="A5025" t="s">
        <v>11835</v>
      </c>
      <c r="B5025" t="s">
        <v>11836</v>
      </c>
      <c r="C5025" t="s">
        <v>125</v>
      </c>
      <c r="D5025" t="s">
        <v>54</v>
      </c>
      <c r="E5025" t="s">
        <v>39</v>
      </c>
      <c r="F5025" t="s">
        <v>40</v>
      </c>
      <c r="G5025">
        <v>8.9600000000000009</v>
      </c>
      <c r="H5025" t="s">
        <v>61</v>
      </c>
      <c r="I5025" t="s">
        <v>42</v>
      </c>
      <c r="M5025">
        <f>VLOOKUP(H5025,'Stage Order'!$A$2:$B$8,2,FALSE)</f>
        <v>1</v>
      </c>
      <c r="N5025" t="str">
        <f t="shared" si="156"/>
        <v>2. 1-24 hours</v>
      </c>
      <c r="O5025" t="str">
        <f t="shared" si="157"/>
        <v>2025-08</v>
      </c>
    </row>
    <row r="5026" spans="1:15" x14ac:dyDescent="0.3">
      <c r="A5026" t="s">
        <v>11837</v>
      </c>
      <c r="B5026" t="s">
        <v>11838</v>
      </c>
      <c r="C5026" t="s">
        <v>125</v>
      </c>
      <c r="D5026" t="s">
        <v>54</v>
      </c>
      <c r="E5026" t="s">
        <v>39</v>
      </c>
      <c r="F5026" t="s">
        <v>40</v>
      </c>
      <c r="G5026">
        <v>1.37</v>
      </c>
      <c r="H5026" t="s">
        <v>41</v>
      </c>
      <c r="I5026" t="s">
        <v>42</v>
      </c>
      <c r="M5026">
        <f>VLOOKUP(H5026,'Stage Order'!$A$2:$B$8,2,FALSE)</f>
        <v>2</v>
      </c>
      <c r="N5026" t="str">
        <f t="shared" si="156"/>
        <v>2. 1-24 hours</v>
      </c>
      <c r="O5026" t="str">
        <f t="shared" si="157"/>
        <v>2026-01</v>
      </c>
    </row>
    <row r="5027" spans="1:15" x14ac:dyDescent="0.3">
      <c r="A5027" t="s">
        <v>11839</v>
      </c>
      <c r="B5027" t="s">
        <v>11840</v>
      </c>
      <c r="C5027" t="s">
        <v>81</v>
      </c>
      <c r="D5027" t="s">
        <v>54</v>
      </c>
      <c r="E5027" t="s">
        <v>59</v>
      </c>
      <c r="F5027" t="s">
        <v>137</v>
      </c>
      <c r="G5027">
        <v>3.53</v>
      </c>
      <c r="H5027" t="s">
        <v>41</v>
      </c>
      <c r="I5027" t="s">
        <v>42</v>
      </c>
      <c r="M5027">
        <f>VLOOKUP(H5027,'Stage Order'!$A$2:$B$8,2,FALSE)</f>
        <v>2</v>
      </c>
      <c r="N5027" t="str">
        <f t="shared" si="156"/>
        <v>2. 1-24 hours</v>
      </c>
      <c r="O5027" t="str">
        <f t="shared" si="157"/>
        <v>2025-07</v>
      </c>
    </row>
    <row r="5028" spans="1:15" x14ac:dyDescent="0.3">
      <c r="A5028" t="s">
        <v>11841</v>
      </c>
      <c r="B5028" t="s">
        <v>11842</v>
      </c>
      <c r="C5028" t="s">
        <v>37</v>
      </c>
      <c r="D5028" t="s">
        <v>77</v>
      </c>
      <c r="E5028" t="s">
        <v>90</v>
      </c>
      <c r="F5028" t="s">
        <v>145</v>
      </c>
      <c r="G5028">
        <v>0.97</v>
      </c>
      <c r="H5028" t="s">
        <v>61</v>
      </c>
      <c r="I5028" t="s">
        <v>42</v>
      </c>
      <c r="M5028">
        <f>VLOOKUP(H5028,'Stage Order'!$A$2:$B$8,2,FALSE)</f>
        <v>1</v>
      </c>
      <c r="N5028" t="str">
        <f t="shared" si="156"/>
        <v>1. Under 1 hour</v>
      </c>
      <c r="O5028" t="str">
        <f t="shared" si="157"/>
        <v>2025-02</v>
      </c>
    </row>
    <row r="5029" spans="1:15" x14ac:dyDescent="0.3">
      <c r="A5029" t="s">
        <v>11843</v>
      </c>
      <c r="B5029" t="s">
        <v>11844</v>
      </c>
      <c r="C5029" t="s">
        <v>28</v>
      </c>
      <c r="D5029" t="s">
        <v>77</v>
      </c>
      <c r="E5029" t="s">
        <v>45</v>
      </c>
      <c r="F5029" t="s">
        <v>55</v>
      </c>
      <c r="G5029">
        <v>5.86</v>
      </c>
      <c r="H5029" t="s">
        <v>41</v>
      </c>
      <c r="I5029" t="s">
        <v>42</v>
      </c>
      <c r="M5029">
        <f>VLOOKUP(H5029,'Stage Order'!$A$2:$B$8,2,FALSE)</f>
        <v>2</v>
      </c>
      <c r="N5029" t="str">
        <f t="shared" si="156"/>
        <v>2. 1-24 hours</v>
      </c>
      <c r="O5029" t="str">
        <f t="shared" si="157"/>
        <v>2026-01</v>
      </c>
    </row>
    <row r="5030" spans="1:15" x14ac:dyDescent="0.3">
      <c r="A5030" t="s">
        <v>11845</v>
      </c>
      <c r="B5030" t="s">
        <v>11846</v>
      </c>
      <c r="C5030" t="s">
        <v>53</v>
      </c>
      <c r="D5030" t="s">
        <v>29</v>
      </c>
      <c r="E5030" t="s">
        <v>45</v>
      </c>
      <c r="F5030" t="s">
        <v>94</v>
      </c>
      <c r="G5030">
        <v>3.64</v>
      </c>
      <c r="H5030" t="s">
        <v>41</v>
      </c>
      <c r="I5030" t="s">
        <v>42</v>
      </c>
      <c r="M5030">
        <f>VLOOKUP(H5030,'Stage Order'!$A$2:$B$8,2,FALSE)</f>
        <v>2</v>
      </c>
      <c r="N5030" t="str">
        <f t="shared" si="156"/>
        <v>2. 1-24 hours</v>
      </c>
      <c r="O5030" t="str">
        <f t="shared" si="157"/>
        <v>2025-01</v>
      </c>
    </row>
    <row r="5031" spans="1:15" x14ac:dyDescent="0.3">
      <c r="A5031" t="s">
        <v>11847</v>
      </c>
      <c r="B5031" t="s">
        <v>11848</v>
      </c>
      <c r="C5031" t="s">
        <v>58</v>
      </c>
      <c r="D5031" t="s">
        <v>77</v>
      </c>
      <c r="E5031" t="s">
        <v>30</v>
      </c>
      <c r="F5031" t="s">
        <v>31</v>
      </c>
      <c r="G5031">
        <v>3.23</v>
      </c>
      <c r="H5031" t="s">
        <v>61</v>
      </c>
      <c r="I5031" t="s">
        <v>42</v>
      </c>
      <c r="M5031">
        <f>VLOOKUP(H5031,'Stage Order'!$A$2:$B$8,2,FALSE)</f>
        <v>1</v>
      </c>
      <c r="N5031" t="str">
        <f t="shared" si="156"/>
        <v>2. 1-24 hours</v>
      </c>
      <c r="O5031" t="str">
        <f t="shared" si="157"/>
        <v>2026-01</v>
      </c>
    </row>
    <row r="5032" spans="1:15" x14ac:dyDescent="0.3">
      <c r="A5032" t="s">
        <v>11849</v>
      </c>
      <c r="B5032" t="s">
        <v>11850</v>
      </c>
      <c r="C5032" t="s">
        <v>58</v>
      </c>
      <c r="D5032" t="s">
        <v>29</v>
      </c>
      <c r="E5032" t="s">
        <v>39</v>
      </c>
      <c r="F5032" t="s">
        <v>66</v>
      </c>
      <c r="G5032">
        <v>6.32</v>
      </c>
      <c r="H5032" t="s">
        <v>41</v>
      </c>
      <c r="I5032" t="s">
        <v>42</v>
      </c>
      <c r="M5032">
        <f>VLOOKUP(H5032,'Stage Order'!$A$2:$B$8,2,FALSE)</f>
        <v>2</v>
      </c>
      <c r="N5032" t="str">
        <f t="shared" si="156"/>
        <v>2. 1-24 hours</v>
      </c>
      <c r="O5032" t="str">
        <f t="shared" si="157"/>
        <v>2026-03</v>
      </c>
    </row>
    <row r="5033" spans="1:15" x14ac:dyDescent="0.3">
      <c r="A5033" t="s">
        <v>11851</v>
      </c>
      <c r="B5033" t="s">
        <v>11852</v>
      </c>
      <c r="C5033" t="s">
        <v>37</v>
      </c>
      <c r="D5033" t="s">
        <v>54</v>
      </c>
      <c r="E5033" t="s">
        <v>30</v>
      </c>
      <c r="F5033" t="s">
        <v>31</v>
      </c>
      <c r="G5033">
        <v>30.84</v>
      </c>
      <c r="H5033" t="s">
        <v>41</v>
      </c>
      <c r="I5033" t="s">
        <v>42</v>
      </c>
      <c r="M5033">
        <f>VLOOKUP(H5033,'Stage Order'!$A$2:$B$8,2,FALSE)</f>
        <v>2</v>
      </c>
      <c r="N5033" t="str">
        <f t="shared" si="156"/>
        <v>3. 1-3 days</v>
      </c>
      <c r="O5033" t="str">
        <f t="shared" si="157"/>
        <v>2025-12</v>
      </c>
    </row>
    <row r="5034" spans="1:15" x14ac:dyDescent="0.3">
      <c r="A5034" t="s">
        <v>11853</v>
      </c>
      <c r="B5034" t="s">
        <v>11854</v>
      </c>
      <c r="C5034" t="s">
        <v>58</v>
      </c>
      <c r="D5034" t="s">
        <v>54</v>
      </c>
      <c r="E5034" t="s">
        <v>39</v>
      </c>
      <c r="F5034" t="s">
        <v>40</v>
      </c>
      <c r="G5034">
        <v>0.73</v>
      </c>
      <c r="H5034" t="s">
        <v>41</v>
      </c>
      <c r="I5034" t="s">
        <v>42</v>
      </c>
      <c r="M5034">
        <f>VLOOKUP(H5034,'Stage Order'!$A$2:$B$8,2,FALSE)</f>
        <v>2</v>
      </c>
      <c r="N5034" t="str">
        <f t="shared" si="156"/>
        <v>1. Under 1 hour</v>
      </c>
      <c r="O5034" t="str">
        <f t="shared" si="157"/>
        <v>2026-02</v>
      </c>
    </row>
    <row r="5035" spans="1:15" x14ac:dyDescent="0.3">
      <c r="A5035" t="s">
        <v>11855</v>
      </c>
      <c r="B5035" t="s">
        <v>11856</v>
      </c>
      <c r="C5035" t="s">
        <v>125</v>
      </c>
      <c r="D5035" t="s">
        <v>38</v>
      </c>
      <c r="E5035" t="s">
        <v>30</v>
      </c>
      <c r="F5035" t="s">
        <v>78</v>
      </c>
      <c r="G5035">
        <v>0.32</v>
      </c>
      <c r="H5035" t="s">
        <v>128</v>
      </c>
      <c r="I5035" t="s">
        <v>42</v>
      </c>
      <c r="M5035">
        <f>VLOOKUP(H5035,'Stage Order'!$A$2:$B$8,2,FALSE)</f>
        <v>3</v>
      </c>
      <c r="N5035" t="str">
        <f t="shared" si="156"/>
        <v>1. Under 1 hour</v>
      </c>
      <c r="O5035" t="str">
        <f t="shared" si="157"/>
        <v>2025-03</v>
      </c>
    </row>
    <row r="5036" spans="1:15" x14ac:dyDescent="0.3">
      <c r="A5036" t="s">
        <v>11857</v>
      </c>
      <c r="B5036" t="s">
        <v>11858</v>
      </c>
      <c r="C5036" t="s">
        <v>37</v>
      </c>
      <c r="D5036" t="s">
        <v>77</v>
      </c>
      <c r="E5036" t="s">
        <v>39</v>
      </c>
      <c r="F5036" t="s">
        <v>66</v>
      </c>
      <c r="G5036">
        <v>3.92</v>
      </c>
      <c r="H5036" t="s">
        <v>61</v>
      </c>
      <c r="I5036" t="s">
        <v>42</v>
      </c>
      <c r="M5036">
        <f>VLOOKUP(H5036,'Stage Order'!$A$2:$B$8,2,FALSE)</f>
        <v>1</v>
      </c>
      <c r="N5036" t="str">
        <f t="shared" si="156"/>
        <v>2. 1-24 hours</v>
      </c>
      <c r="O5036" t="str">
        <f t="shared" si="157"/>
        <v>2025-02</v>
      </c>
    </row>
    <row r="5037" spans="1:15" x14ac:dyDescent="0.3">
      <c r="A5037" t="s">
        <v>11859</v>
      </c>
      <c r="B5037" t="s">
        <v>11860</v>
      </c>
      <c r="C5037" t="s">
        <v>37</v>
      </c>
      <c r="D5037" t="s">
        <v>29</v>
      </c>
      <c r="E5037" t="s">
        <v>90</v>
      </c>
      <c r="F5037" t="s">
        <v>91</v>
      </c>
      <c r="G5037">
        <v>1.66</v>
      </c>
      <c r="H5037" t="s">
        <v>41</v>
      </c>
      <c r="I5037" t="s">
        <v>42</v>
      </c>
      <c r="M5037">
        <f>VLOOKUP(H5037,'Stage Order'!$A$2:$B$8,2,FALSE)</f>
        <v>2</v>
      </c>
      <c r="N5037" t="str">
        <f t="shared" si="156"/>
        <v>2. 1-24 hours</v>
      </c>
      <c r="O5037" t="str">
        <f t="shared" si="157"/>
        <v>2025-02</v>
      </c>
    </row>
    <row r="5038" spans="1:15" x14ac:dyDescent="0.3">
      <c r="A5038" t="s">
        <v>11861</v>
      </c>
      <c r="B5038" t="s">
        <v>11862</v>
      </c>
      <c r="C5038" t="s">
        <v>125</v>
      </c>
      <c r="D5038" t="s">
        <v>54</v>
      </c>
      <c r="E5038" t="s">
        <v>59</v>
      </c>
      <c r="F5038" t="s">
        <v>137</v>
      </c>
      <c r="G5038">
        <v>2</v>
      </c>
      <c r="H5038" t="s">
        <v>61</v>
      </c>
      <c r="I5038" t="s">
        <v>42</v>
      </c>
      <c r="M5038">
        <f>VLOOKUP(H5038,'Stage Order'!$A$2:$B$8,2,FALSE)</f>
        <v>1</v>
      </c>
      <c r="N5038" t="str">
        <f t="shared" si="156"/>
        <v>2. 1-24 hours</v>
      </c>
      <c r="O5038" t="str">
        <f t="shared" si="157"/>
        <v>2025-05</v>
      </c>
    </row>
    <row r="5039" spans="1:15" x14ac:dyDescent="0.3">
      <c r="A5039" t="s">
        <v>11863</v>
      </c>
      <c r="B5039" t="s">
        <v>11864</v>
      </c>
      <c r="C5039" t="s">
        <v>58</v>
      </c>
      <c r="D5039" t="s">
        <v>97</v>
      </c>
      <c r="E5039" t="s">
        <v>39</v>
      </c>
      <c r="F5039" t="s">
        <v>66</v>
      </c>
      <c r="G5039">
        <v>3.62</v>
      </c>
      <c r="H5039" t="s">
        <v>61</v>
      </c>
      <c r="I5039" t="s">
        <v>42</v>
      </c>
      <c r="M5039">
        <f>VLOOKUP(H5039,'Stage Order'!$A$2:$B$8,2,FALSE)</f>
        <v>1</v>
      </c>
      <c r="N5039" t="str">
        <f t="shared" si="156"/>
        <v>2. 1-24 hours</v>
      </c>
      <c r="O5039" t="str">
        <f t="shared" si="157"/>
        <v>2025-03</v>
      </c>
    </row>
    <row r="5040" spans="1:15" x14ac:dyDescent="0.3">
      <c r="A5040" t="s">
        <v>11865</v>
      </c>
      <c r="B5040" t="s">
        <v>11866</v>
      </c>
      <c r="C5040" t="s">
        <v>53</v>
      </c>
      <c r="D5040" t="s">
        <v>38</v>
      </c>
      <c r="E5040" t="s">
        <v>59</v>
      </c>
      <c r="F5040" t="s">
        <v>117</v>
      </c>
      <c r="G5040">
        <v>1.1299999999999999</v>
      </c>
      <c r="H5040" t="s">
        <v>32</v>
      </c>
      <c r="I5040" t="s">
        <v>33</v>
      </c>
      <c r="K5040">
        <v>421.1</v>
      </c>
      <c r="L5040" t="s">
        <v>11867</v>
      </c>
      <c r="M5040">
        <f>VLOOKUP(H5040,'Stage Order'!$A$2:$B$8,2,FALSE)</f>
        <v>7</v>
      </c>
      <c r="N5040" t="str">
        <f t="shared" si="156"/>
        <v>2. 1-24 hours</v>
      </c>
      <c r="O5040" t="str">
        <f t="shared" si="157"/>
        <v>2025-11</v>
      </c>
    </row>
    <row r="5041" spans="1:15" x14ac:dyDescent="0.3">
      <c r="A5041" t="s">
        <v>11868</v>
      </c>
      <c r="B5041" t="s">
        <v>11869</v>
      </c>
      <c r="C5041" t="s">
        <v>76</v>
      </c>
      <c r="D5041" t="s">
        <v>97</v>
      </c>
      <c r="E5041" t="s">
        <v>45</v>
      </c>
      <c r="F5041" t="s">
        <v>46</v>
      </c>
      <c r="G5041">
        <v>1.57</v>
      </c>
      <c r="H5041" t="s">
        <v>146</v>
      </c>
      <c r="I5041" t="s">
        <v>48</v>
      </c>
      <c r="J5041" t="s">
        <v>113</v>
      </c>
      <c r="K5041">
        <v>1309.99</v>
      </c>
      <c r="L5041" t="s">
        <v>11870</v>
      </c>
      <c r="M5041">
        <f>VLOOKUP(H5041,'Stage Order'!$A$2:$B$8,2,FALSE)</f>
        <v>5</v>
      </c>
      <c r="N5041" t="str">
        <f t="shared" si="156"/>
        <v>2. 1-24 hours</v>
      </c>
      <c r="O5041" t="str">
        <f t="shared" si="157"/>
        <v>2025-03</v>
      </c>
    </row>
    <row r="5042" spans="1:15" x14ac:dyDescent="0.3">
      <c r="A5042" t="s">
        <v>11871</v>
      </c>
      <c r="B5042" t="s">
        <v>11872</v>
      </c>
      <c r="C5042" t="s">
        <v>58</v>
      </c>
      <c r="D5042" t="s">
        <v>54</v>
      </c>
      <c r="E5042" t="s">
        <v>45</v>
      </c>
      <c r="F5042" t="s">
        <v>94</v>
      </c>
      <c r="G5042">
        <v>4.55</v>
      </c>
      <c r="H5042" t="s">
        <v>146</v>
      </c>
      <c r="I5042" t="s">
        <v>48</v>
      </c>
      <c r="J5042" t="s">
        <v>49</v>
      </c>
      <c r="K5042">
        <v>495.28</v>
      </c>
      <c r="L5042" t="s">
        <v>11873</v>
      </c>
      <c r="M5042">
        <f>VLOOKUP(H5042,'Stage Order'!$A$2:$B$8,2,FALSE)</f>
        <v>5</v>
      </c>
      <c r="N5042" t="str">
        <f t="shared" si="156"/>
        <v>2. 1-24 hours</v>
      </c>
      <c r="O5042" t="str">
        <f t="shared" si="157"/>
        <v>2025-06</v>
      </c>
    </row>
    <row r="5043" spans="1:15" x14ac:dyDescent="0.3">
      <c r="A5043" t="s">
        <v>11874</v>
      </c>
      <c r="B5043" t="s">
        <v>11875</v>
      </c>
      <c r="C5043" t="s">
        <v>28</v>
      </c>
      <c r="D5043" t="s">
        <v>54</v>
      </c>
      <c r="E5043" t="s">
        <v>90</v>
      </c>
      <c r="F5043" t="s">
        <v>112</v>
      </c>
      <c r="G5043">
        <v>44.66</v>
      </c>
      <c r="H5043" t="s">
        <v>32</v>
      </c>
      <c r="I5043" t="s">
        <v>33</v>
      </c>
      <c r="K5043">
        <v>470.02</v>
      </c>
      <c r="L5043" t="s">
        <v>11876</v>
      </c>
      <c r="M5043">
        <f>VLOOKUP(H5043,'Stage Order'!$A$2:$B$8,2,FALSE)</f>
        <v>7</v>
      </c>
      <c r="N5043" t="str">
        <f t="shared" si="156"/>
        <v>3. 1-3 days</v>
      </c>
      <c r="O5043" t="str">
        <f t="shared" si="157"/>
        <v>2025-01</v>
      </c>
    </row>
    <row r="5044" spans="1:15" x14ac:dyDescent="0.3">
      <c r="A5044" t="s">
        <v>11877</v>
      </c>
      <c r="B5044" t="s">
        <v>11878</v>
      </c>
      <c r="C5044" t="s">
        <v>37</v>
      </c>
      <c r="D5044" t="s">
        <v>54</v>
      </c>
      <c r="E5044" t="s">
        <v>90</v>
      </c>
      <c r="F5044" t="s">
        <v>145</v>
      </c>
      <c r="G5044">
        <v>1.17</v>
      </c>
      <c r="H5044" t="s">
        <v>41</v>
      </c>
      <c r="I5044" t="s">
        <v>42</v>
      </c>
      <c r="M5044">
        <f>VLOOKUP(H5044,'Stage Order'!$A$2:$B$8,2,FALSE)</f>
        <v>2</v>
      </c>
      <c r="N5044" t="str">
        <f t="shared" si="156"/>
        <v>2. 1-24 hours</v>
      </c>
      <c r="O5044" t="str">
        <f t="shared" si="157"/>
        <v>2026-01</v>
      </c>
    </row>
    <row r="5045" spans="1:15" x14ac:dyDescent="0.3">
      <c r="A5045" t="s">
        <v>11879</v>
      </c>
      <c r="B5045" t="s">
        <v>11880</v>
      </c>
      <c r="C5045" t="s">
        <v>125</v>
      </c>
      <c r="D5045" t="s">
        <v>77</v>
      </c>
      <c r="E5045" t="s">
        <v>45</v>
      </c>
      <c r="F5045" t="s">
        <v>94</v>
      </c>
      <c r="G5045">
        <v>1.26</v>
      </c>
      <c r="H5045" t="s">
        <v>32</v>
      </c>
      <c r="I5045" t="s">
        <v>33</v>
      </c>
      <c r="K5045">
        <v>852.88</v>
      </c>
      <c r="L5045" t="s">
        <v>11881</v>
      </c>
      <c r="M5045">
        <f>VLOOKUP(H5045,'Stage Order'!$A$2:$B$8,2,FALSE)</f>
        <v>7</v>
      </c>
      <c r="N5045" t="str">
        <f t="shared" si="156"/>
        <v>2. 1-24 hours</v>
      </c>
      <c r="O5045" t="str">
        <f t="shared" si="157"/>
        <v>2025-12</v>
      </c>
    </row>
    <row r="5046" spans="1:15" x14ac:dyDescent="0.3">
      <c r="A5046" t="s">
        <v>11882</v>
      </c>
      <c r="B5046" t="s">
        <v>11883</v>
      </c>
      <c r="C5046" t="s">
        <v>81</v>
      </c>
      <c r="D5046" t="s">
        <v>97</v>
      </c>
      <c r="E5046" t="s">
        <v>39</v>
      </c>
      <c r="F5046" t="s">
        <v>106</v>
      </c>
      <c r="G5046">
        <v>2.31</v>
      </c>
      <c r="H5046" t="s">
        <v>41</v>
      </c>
      <c r="I5046" t="s">
        <v>42</v>
      </c>
      <c r="M5046">
        <f>VLOOKUP(H5046,'Stage Order'!$A$2:$B$8,2,FALSE)</f>
        <v>2</v>
      </c>
      <c r="N5046" t="str">
        <f t="shared" si="156"/>
        <v>2. 1-24 hours</v>
      </c>
      <c r="O5046" t="str">
        <f t="shared" si="157"/>
        <v>2025-07</v>
      </c>
    </row>
    <row r="5047" spans="1:15" x14ac:dyDescent="0.3">
      <c r="A5047" t="s">
        <v>11884</v>
      </c>
      <c r="B5047" t="s">
        <v>11885</v>
      </c>
      <c r="C5047" t="s">
        <v>28</v>
      </c>
      <c r="D5047" t="s">
        <v>38</v>
      </c>
      <c r="E5047" t="s">
        <v>90</v>
      </c>
      <c r="F5047" t="s">
        <v>91</v>
      </c>
      <c r="G5047">
        <v>1.63</v>
      </c>
      <c r="H5047" t="s">
        <v>41</v>
      </c>
      <c r="I5047" t="s">
        <v>42</v>
      </c>
      <c r="M5047">
        <f>VLOOKUP(H5047,'Stage Order'!$A$2:$B$8,2,FALSE)</f>
        <v>2</v>
      </c>
      <c r="N5047" t="str">
        <f t="shared" si="156"/>
        <v>2. 1-24 hours</v>
      </c>
      <c r="O5047" t="str">
        <f t="shared" si="157"/>
        <v>2026-02</v>
      </c>
    </row>
    <row r="5048" spans="1:15" x14ac:dyDescent="0.3">
      <c r="A5048" t="s">
        <v>11886</v>
      </c>
      <c r="B5048" t="s">
        <v>11887</v>
      </c>
      <c r="C5048" t="s">
        <v>37</v>
      </c>
      <c r="D5048" t="s">
        <v>77</v>
      </c>
      <c r="E5048" t="s">
        <v>39</v>
      </c>
      <c r="F5048" t="s">
        <v>40</v>
      </c>
      <c r="G5048">
        <v>1.47</v>
      </c>
      <c r="H5048" t="s">
        <v>41</v>
      </c>
      <c r="I5048" t="s">
        <v>42</v>
      </c>
      <c r="M5048">
        <f>VLOOKUP(H5048,'Stage Order'!$A$2:$B$8,2,FALSE)</f>
        <v>2</v>
      </c>
      <c r="N5048" t="str">
        <f t="shared" si="156"/>
        <v>2. 1-24 hours</v>
      </c>
      <c r="O5048" t="str">
        <f t="shared" si="157"/>
        <v>2026-05</v>
      </c>
    </row>
    <row r="5049" spans="1:15" x14ac:dyDescent="0.3">
      <c r="A5049" t="s">
        <v>11888</v>
      </c>
      <c r="B5049" t="s">
        <v>11889</v>
      </c>
      <c r="C5049" t="s">
        <v>125</v>
      </c>
      <c r="D5049" t="s">
        <v>77</v>
      </c>
      <c r="E5049" t="s">
        <v>90</v>
      </c>
      <c r="F5049" t="s">
        <v>145</v>
      </c>
      <c r="G5049">
        <v>14.41</v>
      </c>
      <c r="H5049" t="s">
        <v>61</v>
      </c>
      <c r="I5049" t="s">
        <v>42</v>
      </c>
      <c r="M5049">
        <f>VLOOKUP(H5049,'Stage Order'!$A$2:$B$8,2,FALSE)</f>
        <v>1</v>
      </c>
      <c r="N5049" t="str">
        <f t="shared" si="156"/>
        <v>2. 1-24 hours</v>
      </c>
      <c r="O5049" t="str">
        <f t="shared" si="157"/>
        <v>2025-06</v>
      </c>
    </row>
    <row r="5050" spans="1:15" x14ac:dyDescent="0.3">
      <c r="A5050" t="s">
        <v>11890</v>
      </c>
      <c r="B5050" t="s">
        <v>11891</v>
      </c>
      <c r="C5050" t="s">
        <v>58</v>
      </c>
      <c r="D5050" t="s">
        <v>77</v>
      </c>
      <c r="E5050" t="s">
        <v>59</v>
      </c>
      <c r="F5050" t="s">
        <v>60</v>
      </c>
      <c r="G5050">
        <v>6.52</v>
      </c>
      <c r="H5050" t="s">
        <v>41</v>
      </c>
      <c r="I5050" t="s">
        <v>42</v>
      </c>
      <c r="M5050">
        <f>VLOOKUP(H5050,'Stage Order'!$A$2:$B$8,2,FALSE)</f>
        <v>2</v>
      </c>
      <c r="N5050" t="str">
        <f t="shared" si="156"/>
        <v>2. 1-24 hours</v>
      </c>
      <c r="O5050" t="str">
        <f t="shared" si="157"/>
        <v>2026-05</v>
      </c>
    </row>
    <row r="5051" spans="1:15" x14ac:dyDescent="0.3">
      <c r="A5051" t="s">
        <v>11892</v>
      </c>
      <c r="B5051" t="s">
        <v>11893</v>
      </c>
      <c r="C5051" t="s">
        <v>53</v>
      </c>
      <c r="D5051" t="s">
        <v>77</v>
      </c>
      <c r="E5051" t="s">
        <v>59</v>
      </c>
      <c r="F5051" t="s">
        <v>117</v>
      </c>
      <c r="G5051">
        <v>2.67</v>
      </c>
      <c r="H5051" t="s">
        <v>138</v>
      </c>
      <c r="I5051" t="s">
        <v>48</v>
      </c>
      <c r="J5051" t="s">
        <v>49</v>
      </c>
      <c r="K5051">
        <v>1145.1199999999999</v>
      </c>
      <c r="L5051" t="s">
        <v>11894</v>
      </c>
      <c r="M5051">
        <f>VLOOKUP(H5051,'Stage Order'!$A$2:$B$8,2,FALSE)</f>
        <v>6</v>
      </c>
      <c r="N5051" t="str">
        <f t="shared" si="156"/>
        <v>2. 1-24 hours</v>
      </c>
      <c r="O5051" t="str">
        <f t="shared" si="157"/>
        <v>2025-07</v>
      </c>
    </row>
    <row r="5052" spans="1:15" x14ac:dyDescent="0.3">
      <c r="A5052" t="s">
        <v>11895</v>
      </c>
      <c r="B5052" t="s">
        <v>11896</v>
      </c>
      <c r="C5052" t="s">
        <v>28</v>
      </c>
      <c r="D5052" t="s">
        <v>38</v>
      </c>
      <c r="E5052" t="s">
        <v>45</v>
      </c>
      <c r="F5052" t="s">
        <v>94</v>
      </c>
      <c r="G5052">
        <v>1.53</v>
      </c>
      <c r="H5052" t="s">
        <v>41</v>
      </c>
      <c r="I5052" t="s">
        <v>42</v>
      </c>
      <c r="M5052">
        <f>VLOOKUP(H5052,'Stage Order'!$A$2:$B$8,2,FALSE)</f>
        <v>2</v>
      </c>
      <c r="N5052" t="str">
        <f t="shared" si="156"/>
        <v>2. 1-24 hours</v>
      </c>
      <c r="O5052" t="str">
        <f t="shared" si="157"/>
        <v>2026-02</v>
      </c>
    </row>
    <row r="5053" spans="1:15" x14ac:dyDescent="0.3">
      <c r="A5053" t="s">
        <v>11897</v>
      </c>
      <c r="B5053" t="s">
        <v>11898</v>
      </c>
      <c r="C5053" t="s">
        <v>58</v>
      </c>
      <c r="D5053" t="s">
        <v>54</v>
      </c>
      <c r="E5053" t="s">
        <v>45</v>
      </c>
      <c r="F5053" t="s">
        <v>55</v>
      </c>
      <c r="G5053">
        <v>3.99</v>
      </c>
      <c r="H5053" t="s">
        <v>128</v>
      </c>
      <c r="I5053" t="s">
        <v>42</v>
      </c>
      <c r="M5053">
        <f>VLOOKUP(H5053,'Stage Order'!$A$2:$B$8,2,FALSE)</f>
        <v>3</v>
      </c>
      <c r="N5053" t="str">
        <f t="shared" si="156"/>
        <v>2. 1-24 hours</v>
      </c>
      <c r="O5053" t="str">
        <f t="shared" si="157"/>
        <v>2026-03</v>
      </c>
    </row>
    <row r="5054" spans="1:15" x14ac:dyDescent="0.3">
      <c r="A5054" t="s">
        <v>11899</v>
      </c>
      <c r="B5054" t="s">
        <v>11900</v>
      </c>
      <c r="C5054" t="s">
        <v>125</v>
      </c>
      <c r="D5054" t="s">
        <v>54</v>
      </c>
      <c r="E5054" t="s">
        <v>39</v>
      </c>
      <c r="F5054" t="s">
        <v>106</v>
      </c>
      <c r="G5054">
        <v>8.77</v>
      </c>
      <c r="H5054" t="s">
        <v>41</v>
      </c>
      <c r="I5054" t="s">
        <v>42</v>
      </c>
      <c r="M5054">
        <f>VLOOKUP(H5054,'Stage Order'!$A$2:$B$8,2,FALSE)</f>
        <v>2</v>
      </c>
      <c r="N5054" t="str">
        <f t="shared" si="156"/>
        <v>2. 1-24 hours</v>
      </c>
      <c r="O5054" t="str">
        <f t="shared" si="157"/>
        <v>2025-03</v>
      </c>
    </row>
    <row r="5055" spans="1:15" x14ac:dyDescent="0.3">
      <c r="A5055" t="s">
        <v>11901</v>
      </c>
      <c r="B5055" t="s">
        <v>11902</v>
      </c>
      <c r="C5055" t="s">
        <v>76</v>
      </c>
      <c r="D5055" t="s">
        <v>38</v>
      </c>
      <c r="E5055" t="s">
        <v>59</v>
      </c>
      <c r="F5055" t="s">
        <v>117</v>
      </c>
      <c r="G5055">
        <v>1.04</v>
      </c>
      <c r="H5055" t="s">
        <v>138</v>
      </c>
      <c r="I5055" t="s">
        <v>48</v>
      </c>
      <c r="J5055" t="s">
        <v>98</v>
      </c>
      <c r="K5055">
        <v>345.07</v>
      </c>
      <c r="L5055" t="s">
        <v>11903</v>
      </c>
      <c r="M5055">
        <f>VLOOKUP(H5055,'Stage Order'!$A$2:$B$8,2,FALSE)</f>
        <v>6</v>
      </c>
      <c r="N5055" t="str">
        <f t="shared" si="156"/>
        <v>2. 1-24 hours</v>
      </c>
      <c r="O5055" t="str">
        <f t="shared" si="157"/>
        <v>2025-07</v>
      </c>
    </row>
    <row r="5056" spans="1:15" x14ac:dyDescent="0.3">
      <c r="A5056" t="s">
        <v>11904</v>
      </c>
      <c r="B5056" t="s">
        <v>11905</v>
      </c>
      <c r="C5056" t="s">
        <v>58</v>
      </c>
      <c r="D5056" t="s">
        <v>29</v>
      </c>
      <c r="E5056" t="s">
        <v>45</v>
      </c>
      <c r="F5056" t="s">
        <v>94</v>
      </c>
      <c r="G5056">
        <v>6.08</v>
      </c>
      <c r="H5056" t="s">
        <v>41</v>
      </c>
      <c r="I5056" t="s">
        <v>42</v>
      </c>
      <c r="M5056">
        <f>VLOOKUP(H5056,'Stage Order'!$A$2:$B$8,2,FALSE)</f>
        <v>2</v>
      </c>
      <c r="N5056" t="str">
        <f t="shared" si="156"/>
        <v>2. 1-24 hours</v>
      </c>
      <c r="O5056" t="str">
        <f t="shared" si="157"/>
        <v>2025-08</v>
      </c>
    </row>
    <row r="5057" spans="1:15" x14ac:dyDescent="0.3">
      <c r="A5057" t="s">
        <v>11906</v>
      </c>
      <c r="B5057" t="s">
        <v>11907</v>
      </c>
      <c r="C5057" t="s">
        <v>37</v>
      </c>
      <c r="D5057" t="s">
        <v>54</v>
      </c>
      <c r="E5057" t="s">
        <v>59</v>
      </c>
      <c r="F5057" t="s">
        <v>137</v>
      </c>
      <c r="G5057">
        <v>2.0499999999999998</v>
      </c>
      <c r="H5057" t="s">
        <v>61</v>
      </c>
      <c r="I5057" t="s">
        <v>42</v>
      </c>
      <c r="M5057">
        <f>VLOOKUP(H5057,'Stage Order'!$A$2:$B$8,2,FALSE)</f>
        <v>1</v>
      </c>
      <c r="N5057" t="str">
        <f t="shared" si="156"/>
        <v>2. 1-24 hours</v>
      </c>
      <c r="O5057" t="str">
        <f t="shared" si="157"/>
        <v>2025-03</v>
      </c>
    </row>
    <row r="5058" spans="1:15" x14ac:dyDescent="0.3">
      <c r="A5058" t="s">
        <v>11908</v>
      </c>
      <c r="B5058" t="s">
        <v>11909</v>
      </c>
      <c r="C5058" t="s">
        <v>37</v>
      </c>
      <c r="D5058" t="s">
        <v>54</v>
      </c>
      <c r="E5058" t="s">
        <v>90</v>
      </c>
      <c r="F5058" t="s">
        <v>91</v>
      </c>
      <c r="G5058">
        <v>2.3199999999999998</v>
      </c>
      <c r="H5058" t="s">
        <v>41</v>
      </c>
      <c r="I5058" t="s">
        <v>42</v>
      </c>
      <c r="M5058">
        <f>VLOOKUP(H5058,'Stage Order'!$A$2:$B$8,2,FALSE)</f>
        <v>2</v>
      </c>
      <c r="N5058" t="str">
        <f t="shared" ref="N5058:N5121" si="158">IF(G5058&lt;=1,"1. Under 1 hour",IF(G5058&lt;=24,"2. 1-24 hours",IF(G5058&lt;=72,"3. 1-3 days","4. Over 3 days")))</f>
        <v>2. 1-24 hours</v>
      </c>
      <c r="O5058" t="str">
        <f t="shared" ref="O5058:O5121" si="159">TEXT(B5058,"YYYY-MM")</f>
        <v>2026-06</v>
      </c>
    </row>
    <row r="5059" spans="1:15" x14ac:dyDescent="0.3">
      <c r="A5059" t="s">
        <v>11910</v>
      </c>
      <c r="B5059" t="s">
        <v>11911</v>
      </c>
      <c r="C5059" t="s">
        <v>81</v>
      </c>
      <c r="D5059" t="s">
        <v>77</v>
      </c>
      <c r="E5059" t="s">
        <v>59</v>
      </c>
      <c r="F5059" t="s">
        <v>60</v>
      </c>
      <c r="G5059">
        <v>4.22</v>
      </c>
      <c r="H5059" t="s">
        <v>41</v>
      </c>
      <c r="I5059" t="s">
        <v>42</v>
      </c>
      <c r="M5059">
        <f>VLOOKUP(H5059,'Stage Order'!$A$2:$B$8,2,FALSE)</f>
        <v>2</v>
      </c>
      <c r="N5059" t="str">
        <f t="shared" si="158"/>
        <v>2. 1-24 hours</v>
      </c>
      <c r="O5059" t="str">
        <f t="shared" si="159"/>
        <v>2025-12</v>
      </c>
    </row>
    <row r="5060" spans="1:15" x14ac:dyDescent="0.3">
      <c r="A5060" t="s">
        <v>11912</v>
      </c>
      <c r="B5060" t="s">
        <v>11913</v>
      </c>
      <c r="C5060" t="s">
        <v>125</v>
      </c>
      <c r="D5060" t="s">
        <v>38</v>
      </c>
      <c r="E5060" t="s">
        <v>59</v>
      </c>
      <c r="F5060" t="s">
        <v>117</v>
      </c>
      <c r="G5060">
        <v>3.47</v>
      </c>
      <c r="H5060" t="s">
        <v>41</v>
      </c>
      <c r="I5060" t="s">
        <v>42</v>
      </c>
      <c r="M5060">
        <f>VLOOKUP(H5060,'Stage Order'!$A$2:$B$8,2,FALSE)</f>
        <v>2</v>
      </c>
      <c r="N5060" t="str">
        <f t="shared" si="158"/>
        <v>2. 1-24 hours</v>
      </c>
      <c r="O5060" t="str">
        <f t="shared" si="159"/>
        <v>2025-02</v>
      </c>
    </row>
    <row r="5061" spans="1:15" x14ac:dyDescent="0.3">
      <c r="A5061" t="s">
        <v>11914</v>
      </c>
      <c r="B5061" t="s">
        <v>11915</v>
      </c>
      <c r="C5061" t="s">
        <v>125</v>
      </c>
      <c r="D5061" t="s">
        <v>54</v>
      </c>
      <c r="E5061" t="s">
        <v>45</v>
      </c>
      <c r="F5061" t="s">
        <v>55</v>
      </c>
      <c r="G5061">
        <v>7.75</v>
      </c>
      <c r="H5061" t="s">
        <v>41</v>
      </c>
      <c r="I5061" t="s">
        <v>42</v>
      </c>
      <c r="M5061">
        <f>VLOOKUP(H5061,'Stage Order'!$A$2:$B$8,2,FALSE)</f>
        <v>2</v>
      </c>
      <c r="N5061" t="str">
        <f t="shared" si="158"/>
        <v>2. 1-24 hours</v>
      </c>
      <c r="O5061" t="str">
        <f t="shared" si="159"/>
        <v>2026-03</v>
      </c>
    </row>
    <row r="5062" spans="1:15" x14ac:dyDescent="0.3">
      <c r="A5062" t="s">
        <v>11916</v>
      </c>
      <c r="B5062" t="s">
        <v>11917</v>
      </c>
      <c r="C5062" t="s">
        <v>76</v>
      </c>
      <c r="D5062" t="s">
        <v>29</v>
      </c>
      <c r="E5062" t="s">
        <v>59</v>
      </c>
      <c r="F5062" t="s">
        <v>117</v>
      </c>
      <c r="G5062">
        <v>4.5999999999999996</v>
      </c>
      <c r="H5062" t="s">
        <v>41</v>
      </c>
      <c r="I5062" t="s">
        <v>42</v>
      </c>
      <c r="M5062">
        <f>VLOOKUP(H5062,'Stage Order'!$A$2:$B$8,2,FALSE)</f>
        <v>2</v>
      </c>
      <c r="N5062" t="str">
        <f t="shared" si="158"/>
        <v>2. 1-24 hours</v>
      </c>
      <c r="O5062" t="str">
        <f t="shared" si="159"/>
        <v>2025-12</v>
      </c>
    </row>
    <row r="5063" spans="1:15" x14ac:dyDescent="0.3">
      <c r="A5063" t="s">
        <v>11918</v>
      </c>
      <c r="B5063" t="s">
        <v>11919</v>
      </c>
      <c r="C5063" t="s">
        <v>125</v>
      </c>
      <c r="D5063" t="s">
        <v>38</v>
      </c>
      <c r="E5063" t="s">
        <v>45</v>
      </c>
      <c r="F5063" t="s">
        <v>94</v>
      </c>
      <c r="G5063">
        <v>0.74</v>
      </c>
      <c r="H5063" t="s">
        <v>41</v>
      </c>
      <c r="I5063" t="s">
        <v>42</v>
      </c>
      <c r="M5063">
        <f>VLOOKUP(H5063,'Stage Order'!$A$2:$B$8,2,FALSE)</f>
        <v>2</v>
      </c>
      <c r="N5063" t="str">
        <f t="shared" si="158"/>
        <v>1. Under 1 hour</v>
      </c>
      <c r="O5063" t="str">
        <f t="shared" si="159"/>
        <v>2025-11</v>
      </c>
    </row>
    <row r="5064" spans="1:15" x14ac:dyDescent="0.3">
      <c r="A5064" t="s">
        <v>11920</v>
      </c>
      <c r="B5064" t="s">
        <v>11921</v>
      </c>
      <c r="C5064" t="s">
        <v>81</v>
      </c>
      <c r="D5064" t="s">
        <v>77</v>
      </c>
      <c r="E5064" t="s">
        <v>45</v>
      </c>
      <c r="F5064" t="s">
        <v>55</v>
      </c>
      <c r="G5064">
        <v>3.16</v>
      </c>
      <c r="H5064" t="s">
        <v>41</v>
      </c>
      <c r="I5064" t="s">
        <v>42</v>
      </c>
      <c r="M5064">
        <f>VLOOKUP(H5064,'Stage Order'!$A$2:$B$8,2,FALSE)</f>
        <v>2</v>
      </c>
      <c r="N5064" t="str">
        <f t="shared" si="158"/>
        <v>2. 1-24 hours</v>
      </c>
      <c r="O5064" t="str">
        <f t="shared" si="159"/>
        <v>2025-11</v>
      </c>
    </row>
    <row r="5065" spans="1:15" x14ac:dyDescent="0.3">
      <c r="A5065" t="s">
        <v>11922</v>
      </c>
      <c r="B5065" t="s">
        <v>11923</v>
      </c>
      <c r="C5065" t="s">
        <v>125</v>
      </c>
      <c r="D5065" t="s">
        <v>77</v>
      </c>
      <c r="E5065" t="s">
        <v>90</v>
      </c>
      <c r="F5065" t="s">
        <v>145</v>
      </c>
      <c r="G5065">
        <v>4.76</v>
      </c>
      <c r="H5065" t="s">
        <v>61</v>
      </c>
      <c r="I5065" t="s">
        <v>42</v>
      </c>
      <c r="M5065">
        <f>VLOOKUP(H5065,'Stage Order'!$A$2:$B$8,2,FALSE)</f>
        <v>1</v>
      </c>
      <c r="N5065" t="str">
        <f t="shared" si="158"/>
        <v>2. 1-24 hours</v>
      </c>
      <c r="O5065" t="str">
        <f t="shared" si="159"/>
        <v>2025-01</v>
      </c>
    </row>
    <row r="5066" spans="1:15" x14ac:dyDescent="0.3">
      <c r="A5066" t="s">
        <v>11924</v>
      </c>
      <c r="B5066" t="s">
        <v>11925</v>
      </c>
      <c r="C5066" t="s">
        <v>125</v>
      </c>
      <c r="D5066" t="s">
        <v>77</v>
      </c>
      <c r="E5066" t="s">
        <v>90</v>
      </c>
      <c r="F5066" t="s">
        <v>145</v>
      </c>
      <c r="G5066">
        <v>3.25</v>
      </c>
      <c r="H5066" t="s">
        <v>47</v>
      </c>
      <c r="I5066" t="s">
        <v>48</v>
      </c>
      <c r="J5066" t="s">
        <v>98</v>
      </c>
      <c r="K5066">
        <v>985.02</v>
      </c>
      <c r="L5066" t="s">
        <v>11926</v>
      </c>
      <c r="M5066">
        <f>VLOOKUP(H5066,'Stage Order'!$A$2:$B$8,2,FALSE)</f>
        <v>4</v>
      </c>
      <c r="N5066" t="str">
        <f t="shared" si="158"/>
        <v>2. 1-24 hours</v>
      </c>
      <c r="O5066" t="str">
        <f t="shared" si="159"/>
        <v>2025-07</v>
      </c>
    </row>
    <row r="5067" spans="1:15" x14ac:dyDescent="0.3">
      <c r="A5067" t="s">
        <v>11927</v>
      </c>
      <c r="B5067" t="s">
        <v>11928</v>
      </c>
      <c r="C5067" t="s">
        <v>76</v>
      </c>
      <c r="D5067" t="s">
        <v>54</v>
      </c>
      <c r="E5067" t="s">
        <v>30</v>
      </c>
      <c r="F5067" t="s">
        <v>31</v>
      </c>
      <c r="G5067">
        <v>2.2599999999999998</v>
      </c>
      <c r="H5067" t="s">
        <v>41</v>
      </c>
      <c r="I5067" t="s">
        <v>42</v>
      </c>
      <c r="M5067">
        <f>VLOOKUP(H5067,'Stage Order'!$A$2:$B$8,2,FALSE)</f>
        <v>2</v>
      </c>
      <c r="N5067" t="str">
        <f t="shared" si="158"/>
        <v>2. 1-24 hours</v>
      </c>
      <c r="O5067" t="str">
        <f t="shared" si="159"/>
        <v>2025-05</v>
      </c>
    </row>
    <row r="5068" spans="1:15" x14ac:dyDescent="0.3">
      <c r="A5068" t="s">
        <v>11929</v>
      </c>
      <c r="B5068" t="s">
        <v>11930</v>
      </c>
      <c r="C5068" t="s">
        <v>81</v>
      </c>
      <c r="D5068" t="s">
        <v>97</v>
      </c>
      <c r="E5068" t="s">
        <v>59</v>
      </c>
      <c r="F5068" t="s">
        <v>60</v>
      </c>
      <c r="G5068">
        <v>1.32</v>
      </c>
      <c r="H5068" t="s">
        <v>41</v>
      </c>
      <c r="I5068" t="s">
        <v>42</v>
      </c>
      <c r="M5068">
        <f>VLOOKUP(H5068,'Stage Order'!$A$2:$B$8,2,FALSE)</f>
        <v>2</v>
      </c>
      <c r="N5068" t="str">
        <f t="shared" si="158"/>
        <v>2. 1-24 hours</v>
      </c>
      <c r="O5068" t="str">
        <f t="shared" si="159"/>
        <v>2025-07</v>
      </c>
    </row>
    <row r="5069" spans="1:15" x14ac:dyDescent="0.3">
      <c r="A5069" t="s">
        <v>11931</v>
      </c>
      <c r="B5069" t="s">
        <v>11932</v>
      </c>
      <c r="C5069" t="s">
        <v>125</v>
      </c>
      <c r="D5069" t="s">
        <v>77</v>
      </c>
      <c r="E5069" t="s">
        <v>45</v>
      </c>
      <c r="F5069" t="s">
        <v>94</v>
      </c>
      <c r="G5069">
        <v>2.2200000000000002</v>
      </c>
      <c r="H5069" t="s">
        <v>61</v>
      </c>
      <c r="I5069" t="s">
        <v>42</v>
      </c>
      <c r="M5069">
        <f>VLOOKUP(H5069,'Stage Order'!$A$2:$B$8,2,FALSE)</f>
        <v>1</v>
      </c>
      <c r="N5069" t="str">
        <f t="shared" si="158"/>
        <v>2. 1-24 hours</v>
      </c>
      <c r="O5069" t="str">
        <f t="shared" si="159"/>
        <v>2025-01</v>
      </c>
    </row>
    <row r="5070" spans="1:15" x14ac:dyDescent="0.3">
      <c r="A5070" t="s">
        <v>11933</v>
      </c>
      <c r="B5070" t="s">
        <v>11934</v>
      </c>
      <c r="C5070" t="s">
        <v>37</v>
      </c>
      <c r="D5070" t="s">
        <v>54</v>
      </c>
      <c r="E5070" t="s">
        <v>59</v>
      </c>
      <c r="F5070" t="s">
        <v>60</v>
      </c>
      <c r="G5070">
        <v>1.57</v>
      </c>
      <c r="H5070" t="s">
        <v>47</v>
      </c>
      <c r="I5070" t="s">
        <v>48</v>
      </c>
      <c r="J5070" t="s">
        <v>139</v>
      </c>
      <c r="K5070">
        <v>424.69</v>
      </c>
      <c r="L5070" t="s">
        <v>11935</v>
      </c>
      <c r="M5070">
        <f>VLOOKUP(H5070,'Stage Order'!$A$2:$B$8,2,FALSE)</f>
        <v>4</v>
      </c>
      <c r="N5070" t="str">
        <f t="shared" si="158"/>
        <v>2. 1-24 hours</v>
      </c>
      <c r="O5070" t="str">
        <f t="shared" si="159"/>
        <v>2025-08</v>
      </c>
    </row>
    <row r="5071" spans="1:15" x14ac:dyDescent="0.3">
      <c r="A5071" t="s">
        <v>11936</v>
      </c>
      <c r="B5071" t="s">
        <v>11937</v>
      </c>
      <c r="C5071" t="s">
        <v>58</v>
      </c>
      <c r="D5071" t="s">
        <v>77</v>
      </c>
      <c r="E5071" t="s">
        <v>45</v>
      </c>
      <c r="F5071" t="s">
        <v>46</v>
      </c>
      <c r="G5071">
        <v>1.84</v>
      </c>
      <c r="H5071" t="s">
        <v>41</v>
      </c>
      <c r="I5071" t="s">
        <v>42</v>
      </c>
      <c r="M5071">
        <f>VLOOKUP(H5071,'Stage Order'!$A$2:$B$8,2,FALSE)</f>
        <v>2</v>
      </c>
      <c r="N5071" t="str">
        <f t="shared" si="158"/>
        <v>2. 1-24 hours</v>
      </c>
      <c r="O5071" t="str">
        <f t="shared" si="159"/>
        <v>2026-03</v>
      </c>
    </row>
    <row r="5072" spans="1:15" x14ac:dyDescent="0.3">
      <c r="A5072" t="s">
        <v>11938</v>
      </c>
      <c r="B5072" t="s">
        <v>11939</v>
      </c>
      <c r="C5072" t="s">
        <v>58</v>
      </c>
      <c r="D5072" t="s">
        <v>77</v>
      </c>
      <c r="E5072" t="s">
        <v>45</v>
      </c>
      <c r="F5072" t="s">
        <v>55</v>
      </c>
      <c r="G5072">
        <v>8.32</v>
      </c>
      <c r="H5072" t="s">
        <v>41</v>
      </c>
      <c r="I5072" t="s">
        <v>42</v>
      </c>
      <c r="M5072">
        <f>VLOOKUP(H5072,'Stage Order'!$A$2:$B$8,2,FALSE)</f>
        <v>2</v>
      </c>
      <c r="N5072" t="str">
        <f t="shared" si="158"/>
        <v>2. 1-24 hours</v>
      </c>
      <c r="O5072" t="str">
        <f t="shared" si="159"/>
        <v>2025-09</v>
      </c>
    </row>
    <row r="5073" spans="1:15" x14ac:dyDescent="0.3">
      <c r="A5073" t="s">
        <v>11940</v>
      </c>
      <c r="B5073" t="s">
        <v>11941</v>
      </c>
      <c r="C5073" t="s">
        <v>125</v>
      </c>
      <c r="D5073" t="s">
        <v>77</v>
      </c>
      <c r="E5073" t="s">
        <v>90</v>
      </c>
      <c r="F5073" t="s">
        <v>112</v>
      </c>
      <c r="G5073">
        <v>9.93</v>
      </c>
      <c r="H5073" t="s">
        <v>41</v>
      </c>
      <c r="I5073" t="s">
        <v>42</v>
      </c>
      <c r="M5073">
        <f>VLOOKUP(H5073,'Stage Order'!$A$2:$B$8,2,FALSE)</f>
        <v>2</v>
      </c>
      <c r="N5073" t="str">
        <f t="shared" si="158"/>
        <v>2. 1-24 hours</v>
      </c>
      <c r="O5073" t="str">
        <f t="shared" si="159"/>
        <v>2026-04</v>
      </c>
    </row>
    <row r="5074" spans="1:15" x14ac:dyDescent="0.3">
      <c r="A5074" t="s">
        <v>11942</v>
      </c>
      <c r="B5074" t="s">
        <v>11943</v>
      </c>
      <c r="C5074" t="s">
        <v>37</v>
      </c>
      <c r="D5074" t="s">
        <v>54</v>
      </c>
      <c r="E5074" t="s">
        <v>39</v>
      </c>
      <c r="F5074" t="s">
        <v>106</v>
      </c>
      <c r="G5074">
        <v>3.64</v>
      </c>
      <c r="H5074" t="s">
        <v>138</v>
      </c>
      <c r="I5074" t="s">
        <v>48</v>
      </c>
      <c r="J5074" t="s">
        <v>139</v>
      </c>
      <c r="K5074">
        <v>505.91</v>
      </c>
      <c r="L5074" t="s">
        <v>11944</v>
      </c>
      <c r="M5074">
        <f>VLOOKUP(H5074,'Stage Order'!$A$2:$B$8,2,FALSE)</f>
        <v>6</v>
      </c>
      <c r="N5074" t="str">
        <f t="shared" si="158"/>
        <v>2. 1-24 hours</v>
      </c>
      <c r="O5074" t="str">
        <f t="shared" si="159"/>
        <v>2026-02</v>
      </c>
    </row>
    <row r="5075" spans="1:15" x14ac:dyDescent="0.3">
      <c r="A5075" t="s">
        <v>11945</v>
      </c>
      <c r="B5075" t="s">
        <v>11946</v>
      </c>
      <c r="C5075" t="s">
        <v>58</v>
      </c>
      <c r="D5075" t="s">
        <v>97</v>
      </c>
      <c r="E5075" t="s">
        <v>45</v>
      </c>
      <c r="F5075" t="s">
        <v>55</v>
      </c>
      <c r="G5075">
        <v>2.08</v>
      </c>
      <c r="H5075" t="s">
        <v>146</v>
      </c>
      <c r="I5075" t="s">
        <v>48</v>
      </c>
      <c r="J5075" t="s">
        <v>113</v>
      </c>
      <c r="K5075">
        <v>1268.8800000000001</v>
      </c>
      <c r="L5075" t="s">
        <v>11947</v>
      </c>
      <c r="M5075">
        <f>VLOOKUP(H5075,'Stage Order'!$A$2:$B$8,2,FALSE)</f>
        <v>5</v>
      </c>
      <c r="N5075" t="str">
        <f t="shared" si="158"/>
        <v>2. 1-24 hours</v>
      </c>
      <c r="O5075" t="str">
        <f t="shared" si="159"/>
        <v>2025-03</v>
      </c>
    </row>
    <row r="5076" spans="1:15" x14ac:dyDescent="0.3">
      <c r="A5076" t="s">
        <v>11948</v>
      </c>
      <c r="B5076" t="s">
        <v>11949</v>
      </c>
      <c r="C5076" t="s">
        <v>125</v>
      </c>
      <c r="D5076" t="s">
        <v>38</v>
      </c>
      <c r="E5076" t="s">
        <v>45</v>
      </c>
      <c r="F5076" t="s">
        <v>46</v>
      </c>
      <c r="G5076">
        <v>1.29</v>
      </c>
      <c r="H5076" t="s">
        <v>138</v>
      </c>
      <c r="I5076" t="s">
        <v>48</v>
      </c>
      <c r="J5076" t="s">
        <v>98</v>
      </c>
      <c r="K5076">
        <v>336.79</v>
      </c>
      <c r="L5076" t="s">
        <v>11950</v>
      </c>
      <c r="M5076">
        <f>VLOOKUP(H5076,'Stage Order'!$A$2:$B$8,2,FALSE)</f>
        <v>6</v>
      </c>
      <c r="N5076" t="str">
        <f t="shared" si="158"/>
        <v>2. 1-24 hours</v>
      </c>
      <c r="O5076" t="str">
        <f t="shared" si="159"/>
        <v>2025-01</v>
      </c>
    </row>
    <row r="5077" spans="1:15" x14ac:dyDescent="0.3">
      <c r="A5077" t="s">
        <v>11951</v>
      </c>
      <c r="B5077" t="s">
        <v>11952</v>
      </c>
      <c r="C5077" t="s">
        <v>37</v>
      </c>
      <c r="D5077" t="s">
        <v>54</v>
      </c>
      <c r="E5077" t="s">
        <v>90</v>
      </c>
      <c r="F5077" t="s">
        <v>91</v>
      </c>
      <c r="G5077">
        <v>1.42</v>
      </c>
      <c r="H5077" t="s">
        <v>41</v>
      </c>
      <c r="I5077" t="s">
        <v>42</v>
      </c>
      <c r="M5077">
        <f>VLOOKUP(H5077,'Stage Order'!$A$2:$B$8,2,FALSE)</f>
        <v>2</v>
      </c>
      <c r="N5077" t="str">
        <f t="shared" si="158"/>
        <v>2. 1-24 hours</v>
      </c>
      <c r="O5077" t="str">
        <f t="shared" si="159"/>
        <v>2025-04</v>
      </c>
    </row>
    <row r="5078" spans="1:15" x14ac:dyDescent="0.3">
      <c r="A5078" t="s">
        <v>11953</v>
      </c>
      <c r="B5078" t="s">
        <v>11954</v>
      </c>
      <c r="C5078" t="s">
        <v>81</v>
      </c>
      <c r="D5078" t="s">
        <v>54</v>
      </c>
      <c r="E5078" t="s">
        <v>30</v>
      </c>
      <c r="F5078" t="s">
        <v>78</v>
      </c>
      <c r="G5078">
        <v>4.9000000000000004</v>
      </c>
      <c r="H5078" t="s">
        <v>61</v>
      </c>
      <c r="I5078" t="s">
        <v>42</v>
      </c>
      <c r="M5078">
        <f>VLOOKUP(H5078,'Stage Order'!$A$2:$B$8,2,FALSE)</f>
        <v>1</v>
      </c>
      <c r="N5078" t="str">
        <f t="shared" si="158"/>
        <v>2. 1-24 hours</v>
      </c>
      <c r="O5078" t="str">
        <f t="shared" si="159"/>
        <v>2026-03</v>
      </c>
    </row>
    <row r="5079" spans="1:15" x14ac:dyDescent="0.3">
      <c r="A5079" t="s">
        <v>11955</v>
      </c>
      <c r="B5079" t="s">
        <v>11956</v>
      </c>
      <c r="C5079" t="s">
        <v>58</v>
      </c>
      <c r="D5079" t="s">
        <v>38</v>
      </c>
      <c r="E5079" t="s">
        <v>39</v>
      </c>
      <c r="F5079" t="s">
        <v>66</v>
      </c>
      <c r="G5079">
        <v>1.84</v>
      </c>
      <c r="H5079" t="s">
        <v>41</v>
      </c>
      <c r="I5079" t="s">
        <v>42</v>
      </c>
      <c r="M5079">
        <f>VLOOKUP(H5079,'Stage Order'!$A$2:$B$8,2,FALSE)</f>
        <v>2</v>
      </c>
      <c r="N5079" t="str">
        <f t="shared" si="158"/>
        <v>2. 1-24 hours</v>
      </c>
      <c r="O5079" t="str">
        <f t="shared" si="159"/>
        <v>2025-10</v>
      </c>
    </row>
    <row r="5080" spans="1:15" x14ac:dyDescent="0.3">
      <c r="A5080" t="s">
        <v>11957</v>
      </c>
      <c r="B5080" t="s">
        <v>11958</v>
      </c>
      <c r="C5080" t="s">
        <v>58</v>
      </c>
      <c r="D5080" t="s">
        <v>54</v>
      </c>
      <c r="E5080" t="s">
        <v>90</v>
      </c>
      <c r="F5080" t="s">
        <v>112</v>
      </c>
      <c r="G5080">
        <v>2.98</v>
      </c>
      <c r="H5080" t="s">
        <v>41</v>
      </c>
      <c r="I5080" t="s">
        <v>42</v>
      </c>
      <c r="M5080">
        <f>VLOOKUP(H5080,'Stage Order'!$A$2:$B$8,2,FALSE)</f>
        <v>2</v>
      </c>
      <c r="N5080" t="str">
        <f t="shared" si="158"/>
        <v>2. 1-24 hours</v>
      </c>
      <c r="O5080" t="str">
        <f t="shared" si="159"/>
        <v>2025-11</v>
      </c>
    </row>
    <row r="5081" spans="1:15" x14ac:dyDescent="0.3">
      <c r="A5081" t="s">
        <v>11959</v>
      </c>
      <c r="B5081" t="s">
        <v>11960</v>
      </c>
      <c r="C5081" t="s">
        <v>53</v>
      </c>
      <c r="D5081" t="s">
        <v>77</v>
      </c>
      <c r="E5081" t="s">
        <v>39</v>
      </c>
      <c r="F5081" t="s">
        <v>40</v>
      </c>
      <c r="G5081">
        <v>2.39</v>
      </c>
      <c r="H5081" t="s">
        <v>138</v>
      </c>
      <c r="I5081" t="s">
        <v>48</v>
      </c>
      <c r="J5081" t="s">
        <v>49</v>
      </c>
      <c r="K5081">
        <v>1168.6500000000001</v>
      </c>
      <c r="L5081" t="s">
        <v>11961</v>
      </c>
      <c r="M5081">
        <f>VLOOKUP(H5081,'Stage Order'!$A$2:$B$8,2,FALSE)</f>
        <v>6</v>
      </c>
      <c r="N5081" t="str">
        <f t="shared" si="158"/>
        <v>2. 1-24 hours</v>
      </c>
      <c r="O5081" t="str">
        <f t="shared" si="159"/>
        <v>2025-06</v>
      </c>
    </row>
    <row r="5082" spans="1:15" x14ac:dyDescent="0.3">
      <c r="A5082" t="s">
        <v>11962</v>
      </c>
      <c r="B5082" t="s">
        <v>11963</v>
      </c>
      <c r="C5082" t="s">
        <v>37</v>
      </c>
      <c r="D5082" t="s">
        <v>29</v>
      </c>
      <c r="E5082" t="s">
        <v>45</v>
      </c>
      <c r="F5082" t="s">
        <v>94</v>
      </c>
      <c r="G5082">
        <v>5.74</v>
      </c>
      <c r="H5082" t="s">
        <v>41</v>
      </c>
      <c r="I5082" t="s">
        <v>42</v>
      </c>
      <c r="M5082">
        <f>VLOOKUP(H5082,'Stage Order'!$A$2:$B$8,2,FALSE)</f>
        <v>2</v>
      </c>
      <c r="N5082" t="str">
        <f t="shared" si="158"/>
        <v>2. 1-24 hours</v>
      </c>
      <c r="O5082" t="str">
        <f t="shared" si="159"/>
        <v>2025-04</v>
      </c>
    </row>
    <row r="5083" spans="1:15" x14ac:dyDescent="0.3">
      <c r="A5083" t="s">
        <v>11964</v>
      </c>
      <c r="B5083" t="s">
        <v>11965</v>
      </c>
      <c r="C5083" t="s">
        <v>76</v>
      </c>
      <c r="D5083" t="s">
        <v>29</v>
      </c>
      <c r="E5083" t="s">
        <v>59</v>
      </c>
      <c r="F5083" t="s">
        <v>137</v>
      </c>
      <c r="G5083">
        <v>3.26</v>
      </c>
      <c r="H5083" t="s">
        <v>41</v>
      </c>
      <c r="I5083" t="s">
        <v>42</v>
      </c>
      <c r="M5083">
        <f>VLOOKUP(H5083,'Stage Order'!$A$2:$B$8,2,FALSE)</f>
        <v>2</v>
      </c>
      <c r="N5083" t="str">
        <f t="shared" si="158"/>
        <v>2. 1-24 hours</v>
      </c>
      <c r="O5083" t="str">
        <f t="shared" si="159"/>
        <v>2026-05</v>
      </c>
    </row>
    <row r="5084" spans="1:15" x14ac:dyDescent="0.3">
      <c r="A5084" t="s">
        <v>11966</v>
      </c>
      <c r="B5084" t="s">
        <v>11967</v>
      </c>
      <c r="C5084" t="s">
        <v>28</v>
      </c>
      <c r="D5084" t="s">
        <v>38</v>
      </c>
      <c r="E5084" t="s">
        <v>90</v>
      </c>
      <c r="F5084" t="s">
        <v>91</v>
      </c>
      <c r="G5084">
        <v>2.08</v>
      </c>
      <c r="H5084" t="s">
        <v>47</v>
      </c>
      <c r="I5084" t="s">
        <v>48</v>
      </c>
      <c r="J5084" t="s">
        <v>113</v>
      </c>
      <c r="K5084">
        <v>290.85000000000002</v>
      </c>
      <c r="L5084" t="s">
        <v>11968</v>
      </c>
      <c r="M5084">
        <f>VLOOKUP(H5084,'Stage Order'!$A$2:$B$8,2,FALSE)</f>
        <v>4</v>
      </c>
      <c r="N5084" t="str">
        <f t="shared" si="158"/>
        <v>2. 1-24 hours</v>
      </c>
      <c r="O5084" t="str">
        <f t="shared" si="159"/>
        <v>2025-08</v>
      </c>
    </row>
    <row r="5085" spans="1:15" x14ac:dyDescent="0.3">
      <c r="A5085" t="s">
        <v>11969</v>
      </c>
      <c r="B5085" t="s">
        <v>11970</v>
      </c>
      <c r="C5085" t="s">
        <v>37</v>
      </c>
      <c r="D5085" t="s">
        <v>38</v>
      </c>
      <c r="E5085" t="s">
        <v>45</v>
      </c>
      <c r="F5085" t="s">
        <v>94</v>
      </c>
      <c r="G5085">
        <v>3.9</v>
      </c>
      <c r="H5085" t="s">
        <v>41</v>
      </c>
      <c r="I5085" t="s">
        <v>42</v>
      </c>
      <c r="M5085">
        <f>VLOOKUP(H5085,'Stage Order'!$A$2:$B$8,2,FALSE)</f>
        <v>2</v>
      </c>
      <c r="N5085" t="str">
        <f t="shared" si="158"/>
        <v>2. 1-24 hours</v>
      </c>
      <c r="O5085" t="str">
        <f t="shared" si="159"/>
        <v>2025-09</v>
      </c>
    </row>
    <row r="5086" spans="1:15" x14ac:dyDescent="0.3">
      <c r="A5086" t="s">
        <v>11971</v>
      </c>
      <c r="B5086" t="s">
        <v>11972</v>
      </c>
      <c r="C5086" t="s">
        <v>125</v>
      </c>
      <c r="D5086" t="s">
        <v>77</v>
      </c>
      <c r="E5086" t="s">
        <v>30</v>
      </c>
      <c r="F5086" t="s">
        <v>82</v>
      </c>
      <c r="G5086">
        <v>7.06</v>
      </c>
      <c r="H5086" t="s">
        <v>128</v>
      </c>
      <c r="I5086" t="s">
        <v>42</v>
      </c>
      <c r="M5086">
        <f>VLOOKUP(H5086,'Stage Order'!$A$2:$B$8,2,FALSE)</f>
        <v>3</v>
      </c>
      <c r="N5086" t="str">
        <f t="shared" si="158"/>
        <v>2. 1-24 hours</v>
      </c>
      <c r="O5086" t="str">
        <f t="shared" si="159"/>
        <v>2026-02</v>
      </c>
    </row>
    <row r="5087" spans="1:15" x14ac:dyDescent="0.3">
      <c r="A5087" t="s">
        <v>11973</v>
      </c>
      <c r="B5087" t="s">
        <v>11974</v>
      </c>
      <c r="C5087" t="s">
        <v>53</v>
      </c>
      <c r="D5087" t="s">
        <v>54</v>
      </c>
      <c r="E5087" t="s">
        <v>39</v>
      </c>
      <c r="F5087" t="s">
        <v>106</v>
      </c>
      <c r="G5087">
        <v>3.19</v>
      </c>
      <c r="H5087" t="s">
        <v>32</v>
      </c>
      <c r="I5087" t="s">
        <v>33</v>
      </c>
      <c r="K5087">
        <v>466.09</v>
      </c>
      <c r="L5087" t="s">
        <v>11975</v>
      </c>
      <c r="M5087">
        <f>VLOOKUP(H5087,'Stage Order'!$A$2:$B$8,2,FALSE)</f>
        <v>7</v>
      </c>
      <c r="N5087" t="str">
        <f t="shared" si="158"/>
        <v>2. 1-24 hours</v>
      </c>
      <c r="O5087" t="str">
        <f t="shared" si="159"/>
        <v>2026-02</v>
      </c>
    </row>
    <row r="5088" spans="1:15" x14ac:dyDescent="0.3">
      <c r="A5088" t="s">
        <v>11976</v>
      </c>
      <c r="B5088" t="s">
        <v>11977</v>
      </c>
      <c r="C5088" t="s">
        <v>53</v>
      </c>
      <c r="D5088" t="s">
        <v>54</v>
      </c>
      <c r="E5088" t="s">
        <v>39</v>
      </c>
      <c r="F5088" t="s">
        <v>106</v>
      </c>
      <c r="G5088">
        <v>19.53</v>
      </c>
      <c r="H5088" t="s">
        <v>32</v>
      </c>
      <c r="I5088" t="s">
        <v>33</v>
      </c>
      <c r="K5088">
        <v>587.62</v>
      </c>
      <c r="L5088" t="s">
        <v>11978</v>
      </c>
      <c r="M5088">
        <f>VLOOKUP(H5088,'Stage Order'!$A$2:$B$8,2,FALSE)</f>
        <v>7</v>
      </c>
      <c r="N5088" t="str">
        <f t="shared" si="158"/>
        <v>2. 1-24 hours</v>
      </c>
      <c r="O5088" t="str">
        <f t="shared" si="159"/>
        <v>2025-01</v>
      </c>
    </row>
    <row r="5089" spans="1:15" x14ac:dyDescent="0.3">
      <c r="A5089" t="s">
        <v>11979</v>
      </c>
      <c r="B5089" t="s">
        <v>11980</v>
      </c>
      <c r="C5089" t="s">
        <v>81</v>
      </c>
      <c r="D5089" t="s">
        <v>97</v>
      </c>
      <c r="E5089" t="s">
        <v>45</v>
      </c>
      <c r="F5089" t="s">
        <v>94</v>
      </c>
      <c r="G5089">
        <v>3.25</v>
      </c>
      <c r="H5089" t="s">
        <v>61</v>
      </c>
      <c r="I5089" t="s">
        <v>42</v>
      </c>
      <c r="M5089">
        <f>VLOOKUP(H5089,'Stage Order'!$A$2:$B$8,2,FALSE)</f>
        <v>1</v>
      </c>
      <c r="N5089" t="str">
        <f t="shared" si="158"/>
        <v>2. 1-24 hours</v>
      </c>
      <c r="O5089" t="str">
        <f t="shared" si="159"/>
        <v>2025-05</v>
      </c>
    </row>
    <row r="5090" spans="1:15" x14ac:dyDescent="0.3">
      <c r="A5090" t="s">
        <v>11981</v>
      </c>
      <c r="B5090" t="s">
        <v>11982</v>
      </c>
      <c r="C5090" t="s">
        <v>125</v>
      </c>
      <c r="D5090" t="s">
        <v>77</v>
      </c>
      <c r="E5090" t="s">
        <v>45</v>
      </c>
      <c r="F5090" t="s">
        <v>46</v>
      </c>
      <c r="G5090">
        <v>3.55</v>
      </c>
      <c r="H5090" t="s">
        <v>47</v>
      </c>
      <c r="I5090" t="s">
        <v>48</v>
      </c>
      <c r="J5090" t="s">
        <v>98</v>
      </c>
      <c r="K5090">
        <v>1167.5999999999999</v>
      </c>
      <c r="L5090" t="s">
        <v>11983</v>
      </c>
      <c r="M5090">
        <f>VLOOKUP(H5090,'Stage Order'!$A$2:$B$8,2,FALSE)</f>
        <v>4</v>
      </c>
      <c r="N5090" t="str">
        <f t="shared" si="158"/>
        <v>2. 1-24 hours</v>
      </c>
      <c r="O5090" t="str">
        <f t="shared" si="159"/>
        <v>2026-02</v>
      </c>
    </row>
    <row r="5091" spans="1:15" x14ac:dyDescent="0.3">
      <c r="A5091" t="s">
        <v>11984</v>
      </c>
      <c r="B5091" t="s">
        <v>11985</v>
      </c>
      <c r="C5091" t="s">
        <v>81</v>
      </c>
      <c r="D5091" t="s">
        <v>38</v>
      </c>
      <c r="E5091" t="s">
        <v>59</v>
      </c>
      <c r="F5091" t="s">
        <v>60</v>
      </c>
      <c r="G5091">
        <v>3.9</v>
      </c>
      <c r="H5091" t="s">
        <v>61</v>
      </c>
      <c r="I5091" t="s">
        <v>42</v>
      </c>
      <c r="M5091">
        <f>VLOOKUP(H5091,'Stage Order'!$A$2:$B$8,2,FALSE)</f>
        <v>1</v>
      </c>
      <c r="N5091" t="str">
        <f t="shared" si="158"/>
        <v>2. 1-24 hours</v>
      </c>
      <c r="O5091" t="str">
        <f t="shared" si="159"/>
        <v>2025-11</v>
      </c>
    </row>
    <row r="5092" spans="1:15" x14ac:dyDescent="0.3">
      <c r="A5092" t="s">
        <v>11986</v>
      </c>
      <c r="B5092" t="s">
        <v>11987</v>
      </c>
      <c r="C5092" t="s">
        <v>58</v>
      </c>
      <c r="D5092" t="s">
        <v>77</v>
      </c>
      <c r="E5092" t="s">
        <v>90</v>
      </c>
      <c r="F5092" t="s">
        <v>91</v>
      </c>
      <c r="G5092">
        <v>1.21</v>
      </c>
      <c r="H5092" t="s">
        <v>61</v>
      </c>
      <c r="I5092" t="s">
        <v>42</v>
      </c>
      <c r="M5092">
        <f>VLOOKUP(H5092,'Stage Order'!$A$2:$B$8,2,FALSE)</f>
        <v>1</v>
      </c>
      <c r="N5092" t="str">
        <f t="shared" si="158"/>
        <v>2. 1-24 hours</v>
      </c>
      <c r="O5092" t="str">
        <f t="shared" si="159"/>
        <v>2025-11</v>
      </c>
    </row>
    <row r="5093" spans="1:15" x14ac:dyDescent="0.3">
      <c r="A5093" t="s">
        <v>11988</v>
      </c>
      <c r="B5093" t="s">
        <v>11989</v>
      </c>
      <c r="C5093" t="s">
        <v>37</v>
      </c>
      <c r="D5093" t="s">
        <v>38</v>
      </c>
      <c r="E5093" t="s">
        <v>30</v>
      </c>
      <c r="F5093" t="s">
        <v>31</v>
      </c>
      <c r="G5093">
        <v>1.7</v>
      </c>
      <c r="H5093" t="s">
        <v>41</v>
      </c>
      <c r="I5093" t="s">
        <v>42</v>
      </c>
      <c r="M5093">
        <f>VLOOKUP(H5093,'Stage Order'!$A$2:$B$8,2,FALSE)</f>
        <v>2</v>
      </c>
      <c r="N5093" t="str">
        <f t="shared" si="158"/>
        <v>2. 1-24 hours</v>
      </c>
      <c r="O5093" t="str">
        <f t="shared" si="159"/>
        <v>2025-11</v>
      </c>
    </row>
    <row r="5094" spans="1:15" x14ac:dyDescent="0.3">
      <c r="A5094" t="s">
        <v>11990</v>
      </c>
      <c r="B5094" t="s">
        <v>11991</v>
      </c>
      <c r="C5094" t="s">
        <v>125</v>
      </c>
      <c r="D5094" t="s">
        <v>77</v>
      </c>
      <c r="E5094" t="s">
        <v>59</v>
      </c>
      <c r="F5094" t="s">
        <v>60</v>
      </c>
      <c r="G5094">
        <v>3.39</v>
      </c>
      <c r="H5094" t="s">
        <v>41</v>
      </c>
      <c r="I5094" t="s">
        <v>42</v>
      </c>
      <c r="M5094">
        <f>VLOOKUP(H5094,'Stage Order'!$A$2:$B$8,2,FALSE)</f>
        <v>2</v>
      </c>
      <c r="N5094" t="str">
        <f t="shared" si="158"/>
        <v>2. 1-24 hours</v>
      </c>
      <c r="O5094" t="str">
        <f t="shared" si="159"/>
        <v>2025-06</v>
      </c>
    </row>
    <row r="5095" spans="1:15" x14ac:dyDescent="0.3">
      <c r="A5095" t="s">
        <v>11992</v>
      </c>
      <c r="B5095" t="s">
        <v>11993</v>
      </c>
      <c r="C5095" t="s">
        <v>37</v>
      </c>
      <c r="D5095" t="s">
        <v>77</v>
      </c>
      <c r="E5095" t="s">
        <v>45</v>
      </c>
      <c r="F5095" t="s">
        <v>46</v>
      </c>
      <c r="G5095">
        <v>1.43</v>
      </c>
      <c r="H5095" t="s">
        <v>32</v>
      </c>
      <c r="I5095" t="s">
        <v>33</v>
      </c>
      <c r="K5095">
        <v>1020.45</v>
      </c>
      <c r="L5095" t="s">
        <v>11994</v>
      </c>
      <c r="M5095">
        <f>VLOOKUP(H5095,'Stage Order'!$A$2:$B$8,2,FALSE)</f>
        <v>7</v>
      </c>
      <c r="N5095" t="str">
        <f t="shared" si="158"/>
        <v>2. 1-24 hours</v>
      </c>
      <c r="O5095" t="str">
        <f t="shared" si="159"/>
        <v>2025-09</v>
      </c>
    </row>
    <row r="5096" spans="1:15" x14ac:dyDescent="0.3">
      <c r="A5096" t="s">
        <v>11995</v>
      </c>
      <c r="B5096" t="s">
        <v>11996</v>
      </c>
      <c r="C5096" t="s">
        <v>53</v>
      </c>
      <c r="D5096" t="s">
        <v>97</v>
      </c>
      <c r="E5096" t="s">
        <v>30</v>
      </c>
      <c r="F5096" t="s">
        <v>82</v>
      </c>
      <c r="G5096">
        <v>18.52</v>
      </c>
      <c r="H5096" t="s">
        <v>41</v>
      </c>
      <c r="I5096" t="s">
        <v>42</v>
      </c>
      <c r="M5096">
        <f>VLOOKUP(H5096,'Stage Order'!$A$2:$B$8,2,FALSE)</f>
        <v>2</v>
      </c>
      <c r="N5096" t="str">
        <f t="shared" si="158"/>
        <v>2. 1-24 hours</v>
      </c>
      <c r="O5096" t="str">
        <f t="shared" si="159"/>
        <v>2025-05</v>
      </c>
    </row>
    <row r="5097" spans="1:15" x14ac:dyDescent="0.3">
      <c r="A5097" t="s">
        <v>11997</v>
      </c>
      <c r="B5097" t="s">
        <v>11998</v>
      </c>
      <c r="C5097" t="s">
        <v>125</v>
      </c>
      <c r="D5097" t="s">
        <v>77</v>
      </c>
      <c r="E5097" t="s">
        <v>45</v>
      </c>
      <c r="F5097" t="s">
        <v>46</v>
      </c>
      <c r="G5097">
        <v>15.5</v>
      </c>
      <c r="H5097" t="s">
        <v>47</v>
      </c>
      <c r="I5097" t="s">
        <v>48</v>
      </c>
      <c r="J5097" t="s">
        <v>98</v>
      </c>
      <c r="K5097">
        <v>896.51</v>
      </c>
      <c r="L5097" t="s">
        <v>11999</v>
      </c>
      <c r="M5097">
        <f>VLOOKUP(H5097,'Stage Order'!$A$2:$B$8,2,FALSE)</f>
        <v>4</v>
      </c>
      <c r="N5097" t="str">
        <f t="shared" si="158"/>
        <v>2. 1-24 hours</v>
      </c>
      <c r="O5097" t="str">
        <f t="shared" si="159"/>
        <v>2026-04</v>
      </c>
    </row>
    <row r="5098" spans="1:15" x14ac:dyDescent="0.3">
      <c r="A5098" t="s">
        <v>12000</v>
      </c>
      <c r="B5098" t="s">
        <v>12001</v>
      </c>
      <c r="C5098" t="s">
        <v>37</v>
      </c>
      <c r="D5098" t="s">
        <v>54</v>
      </c>
      <c r="E5098" t="s">
        <v>39</v>
      </c>
      <c r="F5098" t="s">
        <v>106</v>
      </c>
      <c r="G5098">
        <v>6.73</v>
      </c>
      <c r="H5098" t="s">
        <v>41</v>
      </c>
      <c r="I5098" t="s">
        <v>42</v>
      </c>
      <c r="M5098">
        <f>VLOOKUP(H5098,'Stage Order'!$A$2:$B$8,2,FALSE)</f>
        <v>2</v>
      </c>
      <c r="N5098" t="str">
        <f t="shared" si="158"/>
        <v>2. 1-24 hours</v>
      </c>
      <c r="O5098" t="str">
        <f t="shared" si="159"/>
        <v>2026-01</v>
      </c>
    </row>
    <row r="5099" spans="1:15" x14ac:dyDescent="0.3">
      <c r="A5099" t="s">
        <v>12002</v>
      </c>
      <c r="B5099" t="s">
        <v>12003</v>
      </c>
      <c r="C5099" t="s">
        <v>37</v>
      </c>
      <c r="D5099" t="s">
        <v>77</v>
      </c>
      <c r="E5099" t="s">
        <v>59</v>
      </c>
      <c r="F5099" t="s">
        <v>60</v>
      </c>
      <c r="G5099">
        <v>2.41</v>
      </c>
      <c r="H5099" t="s">
        <v>138</v>
      </c>
      <c r="I5099" t="s">
        <v>48</v>
      </c>
      <c r="J5099" t="s">
        <v>98</v>
      </c>
      <c r="K5099">
        <v>1166.57</v>
      </c>
      <c r="L5099" t="s">
        <v>12004</v>
      </c>
      <c r="M5099">
        <f>VLOOKUP(H5099,'Stage Order'!$A$2:$B$8,2,FALSE)</f>
        <v>6</v>
      </c>
      <c r="N5099" t="str">
        <f t="shared" si="158"/>
        <v>2. 1-24 hours</v>
      </c>
      <c r="O5099" t="str">
        <f t="shared" si="159"/>
        <v>2026-05</v>
      </c>
    </row>
    <row r="5100" spans="1:15" x14ac:dyDescent="0.3">
      <c r="A5100" t="s">
        <v>12005</v>
      </c>
      <c r="B5100" t="s">
        <v>12006</v>
      </c>
      <c r="C5100" t="s">
        <v>37</v>
      </c>
      <c r="D5100" t="s">
        <v>29</v>
      </c>
      <c r="E5100" t="s">
        <v>59</v>
      </c>
      <c r="F5100" t="s">
        <v>137</v>
      </c>
      <c r="G5100">
        <v>19.68</v>
      </c>
      <c r="H5100" t="s">
        <v>61</v>
      </c>
      <c r="I5100" t="s">
        <v>42</v>
      </c>
      <c r="M5100">
        <f>VLOOKUP(H5100,'Stage Order'!$A$2:$B$8,2,FALSE)</f>
        <v>1</v>
      </c>
      <c r="N5100" t="str">
        <f t="shared" si="158"/>
        <v>2. 1-24 hours</v>
      </c>
      <c r="O5100" t="str">
        <f t="shared" si="159"/>
        <v>2025-09</v>
      </c>
    </row>
    <row r="5101" spans="1:15" x14ac:dyDescent="0.3">
      <c r="A5101" t="s">
        <v>12007</v>
      </c>
      <c r="B5101" t="s">
        <v>12008</v>
      </c>
      <c r="C5101" t="s">
        <v>81</v>
      </c>
      <c r="D5101" t="s">
        <v>77</v>
      </c>
      <c r="E5101" t="s">
        <v>45</v>
      </c>
      <c r="F5101" t="s">
        <v>46</v>
      </c>
      <c r="G5101">
        <v>3.49</v>
      </c>
      <c r="H5101" t="s">
        <v>61</v>
      </c>
      <c r="I5101" t="s">
        <v>42</v>
      </c>
      <c r="M5101">
        <f>VLOOKUP(H5101,'Stage Order'!$A$2:$B$8,2,FALSE)</f>
        <v>1</v>
      </c>
      <c r="N5101" t="str">
        <f t="shared" si="158"/>
        <v>2. 1-24 hours</v>
      </c>
      <c r="O5101" t="str">
        <f t="shared" si="159"/>
        <v>2025-10</v>
      </c>
    </row>
    <row r="5102" spans="1:15" x14ac:dyDescent="0.3">
      <c r="A5102" t="s">
        <v>12009</v>
      </c>
      <c r="B5102" t="s">
        <v>12010</v>
      </c>
      <c r="C5102" t="s">
        <v>125</v>
      </c>
      <c r="D5102" t="s">
        <v>29</v>
      </c>
      <c r="E5102" t="s">
        <v>90</v>
      </c>
      <c r="F5102" t="s">
        <v>145</v>
      </c>
      <c r="G5102">
        <v>13.95</v>
      </c>
      <c r="H5102" t="s">
        <v>41</v>
      </c>
      <c r="I5102" t="s">
        <v>42</v>
      </c>
      <c r="M5102">
        <f>VLOOKUP(H5102,'Stage Order'!$A$2:$B$8,2,FALSE)</f>
        <v>2</v>
      </c>
      <c r="N5102" t="str">
        <f t="shared" si="158"/>
        <v>2. 1-24 hours</v>
      </c>
      <c r="O5102" t="str">
        <f t="shared" si="159"/>
        <v>2026-01</v>
      </c>
    </row>
    <row r="5103" spans="1:15" x14ac:dyDescent="0.3">
      <c r="A5103" t="s">
        <v>12011</v>
      </c>
      <c r="B5103" t="s">
        <v>12012</v>
      </c>
      <c r="C5103" t="s">
        <v>58</v>
      </c>
      <c r="D5103" t="s">
        <v>97</v>
      </c>
      <c r="E5103" t="s">
        <v>30</v>
      </c>
      <c r="F5103" t="s">
        <v>31</v>
      </c>
      <c r="G5103">
        <v>9.01</v>
      </c>
      <c r="H5103" t="s">
        <v>41</v>
      </c>
      <c r="I5103" t="s">
        <v>42</v>
      </c>
      <c r="M5103">
        <f>VLOOKUP(H5103,'Stage Order'!$A$2:$B$8,2,FALSE)</f>
        <v>2</v>
      </c>
      <c r="N5103" t="str">
        <f t="shared" si="158"/>
        <v>2. 1-24 hours</v>
      </c>
      <c r="O5103" t="str">
        <f t="shared" si="159"/>
        <v>2025-06</v>
      </c>
    </row>
    <row r="5104" spans="1:15" x14ac:dyDescent="0.3">
      <c r="A5104" t="s">
        <v>12013</v>
      </c>
      <c r="B5104" t="s">
        <v>12014</v>
      </c>
      <c r="C5104" t="s">
        <v>76</v>
      </c>
      <c r="D5104" t="s">
        <v>29</v>
      </c>
      <c r="E5104" t="s">
        <v>45</v>
      </c>
      <c r="F5104" t="s">
        <v>55</v>
      </c>
      <c r="G5104">
        <v>18.78</v>
      </c>
      <c r="H5104" t="s">
        <v>138</v>
      </c>
      <c r="I5104" t="s">
        <v>48</v>
      </c>
      <c r="J5104" t="s">
        <v>139</v>
      </c>
      <c r="K5104">
        <v>656.98</v>
      </c>
      <c r="L5104" t="s">
        <v>12015</v>
      </c>
      <c r="M5104">
        <f>VLOOKUP(H5104,'Stage Order'!$A$2:$B$8,2,FALSE)</f>
        <v>6</v>
      </c>
      <c r="N5104" t="str">
        <f t="shared" si="158"/>
        <v>2. 1-24 hours</v>
      </c>
      <c r="O5104" t="str">
        <f t="shared" si="159"/>
        <v>2025-08</v>
      </c>
    </row>
    <row r="5105" spans="1:15" x14ac:dyDescent="0.3">
      <c r="A5105" t="s">
        <v>12016</v>
      </c>
      <c r="B5105" t="s">
        <v>12017</v>
      </c>
      <c r="C5105" t="s">
        <v>58</v>
      </c>
      <c r="D5105" t="s">
        <v>54</v>
      </c>
      <c r="E5105" t="s">
        <v>90</v>
      </c>
      <c r="F5105" t="s">
        <v>112</v>
      </c>
      <c r="G5105">
        <v>2.38</v>
      </c>
      <c r="H5105" t="s">
        <v>41</v>
      </c>
      <c r="I5105" t="s">
        <v>42</v>
      </c>
      <c r="M5105">
        <f>VLOOKUP(H5105,'Stage Order'!$A$2:$B$8,2,FALSE)</f>
        <v>2</v>
      </c>
      <c r="N5105" t="str">
        <f t="shared" si="158"/>
        <v>2. 1-24 hours</v>
      </c>
      <c r="O5105" t="str">
        <f t="shared" si="159"/>
        <v>2025-02</v>
      </c>
    </row>
    <row r="5106" spans="1:15" x14ac:dyDescent="0.3">
      <c r="A5106" t="s">
        <v>12018</v>
      </c>
      <c r="B5106" t="s">
        <v>12019</v>
      </c>
      <c r="C5106" t="s">
        <v>58</v>
      </c>
      <c r="D5106" t="s">
        <v>29</v>
      </c>
      <c r="E5106" t="s">
        <v>39</v>
      </c>
      <c r="F5106" t="s">
        <v>66</v>
      </c>
      <c r="G5106">
        <v>2.2400000000000002</v>
      </c>
      <c r="H5106" t="s">
        <v>128</v>
      </c>
      <c r="I5106" t="s">
        <v>42</v>
      </c>
      <c r="M5106">
        <f>VLOOKUP(H5106,'Stage Order'!$A$2:$B$8,2,FALSE)</f>
        <v>3</v>
      </c>
      <c r="N5106" t="str">
        <f t="shared" si="158"/>
        <v>2. 1-24 hours</v>
      </c>
      <c r="O5106" t="str">
        <f t="shared" si="159"/>
        <v>2025-06</v>
      </c>
    </row>
    <row r="5107" spans="1:15" x14ac:dyDescent="0.3">
      <c r="A5107" t="s">
        <v>12020</v>
      </c>
      <c r="B5107" t="s">
        <v>12021</v>
      </c>
      <c r="C5107" t="s">
        <v>28</v>
      </c>
      <c r="D5107" t="s">
        <v>97</v>
      </c>
      <c r="E5107" t="s">
        <v>45</v>
      </c>
      <c r="F5107" t="s">
        <v>94</v>
      </c>
      <c r="G5107">
        <v>1.1499999999999999</v>
      </c>
      <c r="H5107" t="s">
        <v>138</v>
      </c>
      <c r="I5107" t="s">
        <v>48</v>
      </c>
      <c r="J5107" t="s">
        <v>139</v>
      </c>
      <c r="K5107">
        <v>1281.1400000000001</v>
      </c>
      <c r="L5107" t="s">
        <v>12022</v>
      </c>
      <c r="M5107">
        <f>VLOOKUP(H5107,'Stage Order'!$A$2:$B$8,2,FALSE)</f>
        <v>6</v>
      </c>
      <c r="N5107" t="str">
        <f t="shared" si="158"/>
        <v>2. 1-24 hours</v>
      </c>
      <c r="O5107" t="str">
        <f t="shared" si="159"/>
        <v>2026-02</v>
      </c>
    </row>
    <row r="5108" spans="1:15" x14ac:dyDescent="0.3">
      <c r="A5108" t="s">
        <v>12023</v>
      </c>
      <c r="B5108" t="s">
        <v>12024</v>
      </c>
      <c r="C5108" t="s">
        <v>81</v>
      </c>
      <c r="D5108" t="s">
        <v>38</v>
      </c>
      <c r="E5108" t="s">
        <v>45</v>
      </c>
      <c r="F5108" t="s">
        <v>55</v>
      </c>
      <c r="G5108">
        <v>37.520000000000003</v>
      </c>
      <c r="H5108" t="s">
        <v>41</v>
      </c>
      <c r="I5108" t="s">
        <v>42</v>
      </c>
      <c r="M5108">
        <f>VLOOKUP(H5108,'Stage Order'!$A$2:$B$8,2,FALSE)</f>
        <v>2</v>
      </c>
      <c r="N5108" t="str">
        <f t="shared" si="158"/>
        <v>3. 1-3 days</v>
      </c>
      <c r="O5108" t="str">
        <f t="shared" si="159"/>
        <v>2025-11</v>
      </c>
    </row>
    <row r="5109" spans="1:15" x14ac:dyDescent="0.3">
      <c r="A5109" t="s">
        <v>12025</v>
      </c>
      <c r="B5109" t="s">
        <v>12026</v>
      </c>
      <c r="C5109" t="s">
        <v>37</v>
      </c>
      <c r="D5109" t="s">
        <v>54</v>
      </c>
      <c r="E5109" t="s">
        <v>39</v>
      </c>
      <c r="F5109" t="s">
        <v>106</v>
      </c>
      <c r="G5109">
        <v>3.53</v>
      </c>
      <c r="H5109" t="s">
        <v>41</v>
      </c>
      <c r="I5109" t="s">
        <v>42</v>
      </c>
      <c r="M5109">
        <f>VLOOKUP(H5109,'Stage Order'!$A$2:$B$8,2,FALSE)</f>
        <v>2</v>
      </c>
      <c r="N5109" t="str">
        <f t="shared" si="158"/>
        <v>2. 1-24 hours</v>
      </c>
      <c r="O5109" t="str">
        <f t="shared" si="159"/>
        <v>2025-02</v>
      </c>
    </row>
    <row r="5110" spans="1:15" x14ac:dyDescent="0.3">
      <c r="A5110" t="s">
        <v>12027</v>
      </c>
      <c r="B5110" t="s">
        <v>12028</v>
      </c>
      <c r="C5110" t="s">
        <v>125</v>
      </c>
      <c r="D5110" t="s">
        <v>97</v>
      </c>
      <c r="E5110" t="s">
        <v>45</v>
      </c>
      <c r="F5110" t="s">
        <v>94</v>
      </c>
      <c r="G5110">
        <v>2.46</v>
      </c>
      <c r="H5110" t="s">
        <v>146</v>
      </c>
      <c r="I5110" t="s">
        <v>48</v>
      </c>
      <c r="J5110" t="s">
        <v>139</v>
      </c>
      <c r="K5110">
        <v>1254.26</v>
      </c>
      <c r="L5110" t="s">
        <v>12029</v>
      </c>
      <c r="M5110">
        <f>VLOOKUP(H5110,'Stage Order'!$A$2:$B$8,2,FALSE)</f>
        <v>5</v>
      </c>
      <c r="N5110" t="str">
        <f t="shared" si="158"/>
        <v>2. 1-24 hours</v>
      </c>
      <c r="O5110" t="str">
        <f t="shared" si="159"/>
        <v>2025-02</v>
      </c>
    </row>
    <row r="5111" spans="1:15" x14ac:dyDescent="0.3">
      <c r="A5111" t="s">
        <v>12030</v>
      </c>
      <c r="B5111" t="s">
        <v>12031</v>
      </c>
      <c r="C5111" t="s">
        <v>58</v>
      </c>
      <c r="D5111" t="s">
        <v>54</v>
      </c>
      <c r="E5111" t="s">
        <v>45</v>
      </c>
      <c r="F5111" t="s">
        <v>94</v>
      </c>
      <c r="G5111">
        <v>2.78</v>
      </c>
      <c r="H5111" t="s">
        <v>41</v>
      </c>
      <c r="I5111" t="s">
        <v>42</v>
      </c>
      <c r="M5111">
        <f>VLOOKUP(H5111,'Stage Order'!$A$2:$B$8,2,FALSE)</f>
        <v>2</v>
      </c>
      <c r="N5111" t="str">
        <f t="shared" si="158"/>
        <v>2. 1-24 hours</v>
      </c>
      <c r="O5111" t="str">
        <f t="shared" si="159"/>
        <v>2025-01</v>
      </c>
    </row>
    <row r="5112" spans="1:15" x14ac:dyDescent="0.3">
      <c r="A5112" t="s">
        <v>12032</v>
      </c>
      <c r="B5112" t="s">
        <v>12033</v>
      </c>
      <c r="C5112" t="s">
        <v>125</v>
      </c>
      <c r="D5112" t="s">
        <v>38</v>
      </c>
      <c r="E5112" t="s">
        <v>45</v>
      </c>
      <c r="F5112" t="s">
        <v>55</v>
      </c>
      <c r="G5112">
        <v>2.2000000000000002</v>
      </c>
      <c r="H5112" t="s">
        <v>47</v>
      </c>
      <c r="I5112" t="s">
        <v>48</v>
      </c>
      <c r="J5112" t="s">
        <v>49</v>
      </c>
      <c r="K5112">
        <v>340.71</v>
      </c>
      <c r="L5112" t="s">
        <v>12034</v>
      </c>
      <c r="M5112">
        <f>VLOOKUP(H5112,'Stage Order'!$A$2:$B$8,2,FALSE)</f>
        <v>4</v>
      </c>
      <c r="N5112" t="str">
        <f t="shared" si="158"/>
        <v>2. 1-24 hours</v>
      </c>
      <c r="O5112" t="str">
        <f t="shared" si="159"/>
        <v>2025-09</v>
      </c>
    </row>
    <row r="5113" spans="1:15" x14ac:dyDescent="0.3">
      <c r="A5113" t="s">
        <v>12035</v>
      </c>
      <c r="B5113" t="s">
        <v>12036</v>
      </c>
      <c r="C5113" t="s">
        <v>37</v>
      </c>
      <c r="D5113" t="s">
        <v>54</v>
      </c>
      <c r="E5113" t="s">
        <v>45</v>
      </c>
      <c r="F5113" t="s">
        <v>94</v>
      </c>
      <c r="G5113">
        <v>9.11</v>
      </c>
      <c r="H5113" t="s">
        <v>41</v>
      </c>
      <c r="I5113" t="s">
        <v>42</v>
      </c>
      <c r="M5113">
        <f>VLOOKUP(H5113,'Stage Order'!$A$2:$B$8,2,FALSE)</f>
        <v>2</v>
      </c>
      <c r="N5113" t="str">
        <f t="shared" si="158"/>
        <v>2. 1-24 hours</v>
      </c>
      <c r="O5113" t="str">
        <f t="shared" si="159"/>
        <v>2025-08</v>
      </c>
    </row>
    <row r="5114" spans="1:15" x14ac:dyDescent="0.3">
      <c r="A5114" t="s">
        <v>12037</v>
      </c>
      <c r="B5114" t="s">
        <v>12038</v>
      </c>
      <c r="C5114" t="s">
        <v>37</v>
      </c>
      <c r="D5114" t="s">
        <v>77</v>
      </c>
      <c r="E5114" t="s">
        <v>39</v>
      </c>
      <c r="F5114" t="s">
        <v>66</v>
      </c>
      <c r="G5114">
        <v>0.83</v>
      </c>
      <c r="H5114" t="s">
        <v>41</v>
      </c>
      <c r="I5114" t="s">
        <v>42</v>
      </c>
      <c r="M5114">
        <f>VLOOKUP(H5114,'Stage Order'!$A$2:$B$8,2,FALSE)</f>
        <v>2</v>
      </c>
      <c r="N5114" t="str">
        <f t="shared" si="158"/>
        <v>1. Under 1 hour</v>
      </c>
      <c r="O5114" t="str">
        <f t="shared" si="159"/>
        <v>2025-02</v>
      </c>
    </row>
    <row r="5115" spans="1:15" x14ac:dyDescent="0.3">
      <c r="A5115" t="s">
        <v>12039</v>
      </c>
      <c r="B5115" t="s">
        <v>12040</v>
      </c>
      <c r="C5115" t="s">
        <v>53</v>
      </c>
      <c r="D5115" t="s">
        <v>77</v>
      </c>
      <c r="E5115" t="s">
        <v>59</v>
      </c>
      <c r="F5115" t="s">
        <v>117</v>
      </c>
      <c r="G5115">
        <v>1.55</v>
      </c>
      <c r="H5115" t="s">
        <v>32</v>
      </c>
      <c r="I5115" t="s">
        <v>33</v>
      </c>
      <c r="K5115">
        <v>1070.8699999999999</v>
      </c>
      <c r="L5115" t="s">
        <v>12041</v>
      </c>
      <c r="M5115">
        <f>VLOOKUP(H5115,'Stage Order'!$A$2:$B$8,2,FALSE)</f>
        <v>7</v>
      </c>
      <c r="N5115" t="str">
        <f t="shared" si="158"/>
        <v>2. 1-24 hours</v>
      </c>
      <c r="O5115" t="str">
        <f t="shared" si="159"/>
        <v>2025-09</v>
      </c>
    </row>
    <row r="5116" spans="1:15" x14ac:dyDescent="0.3">
      <c r="A5116" t="s">
        <v>12042</v>
      </c>
      <c r="B5116" t="s">
        <v>12043</v>
      </c>
      <c r="C5116" t="s">
        <v>37</v>
      </c>
      <c r="D5116" t="s">
        <v>29</v>
      </c>
      <c r="E5116" t="s">
        <v>45</v>
      </c>
      <c r="F5116" t="s">
        <v>46</v>
      </c>
      <c r="G5116">
        <v>1.52</v>
      </c>
      <c r="H5116" t="s">
        <v>41</v>
      </c>
      <c r="I5116" t="s">
        <v>42</v>
      </c>
      <c r="M5116">
        <f>VLOOKUP(H5116,'Stage Order'!$A$2:$B$8,2,FALSE)</f>
        <v>2</v>
      </c>
      <c r="N5116" t="str">
        <f t="shared" si="158"/>
        <v>2. 1-24 hours</v>
      </c>
      <c r="O5116" t="str">
        <f t="shared" si="159"/>
        <v>2025-02</v>
      </c>
    </row>
    <row r="5117" spans="1:15" x14ac:dyDescent="0.3">
      <c r="A5117" t="s">
        <v>12044</v>
      </c>
      <c r="B5117" t="s">
        <v>12045</v>
      </c>
      <c r="C5117" t="s">
        <v>58</v>
      </c>
      <c r="D5117" t="s">
        <v>97</v>
      </c>
      <c r="E5117" t="s">
        <v>59</v>
      </c>
      <c r="F5117" t="s">
        <v>60</v>
      </c>
      <c r="G5117">
        <v>5.43</v>
      </c>
      <c r="H5117" t="s">
        <v>41</v>
      </c>
      <c r="I5117" t="s">
        <v>42</v>
      </c>
      <c r="M5117">
        <f>VLOOKUP(H5117,'Stage Order'!$A$2:$B$8,2,FALSE)</f>
        <v>2</v>
      </c>
      <c r="N5117" t="str">
        <f t="shared" si="158"/>
        <v>2. 1-24 hours</v>
      </c>
      <c r="O5117" t="str">
        <f t="shared" si="159"/>
        <v>2025-04</v>
      </c>
    </row>
    <row r="5118" spans="1:15" x14ac:dyDescent="0.3">
      <c r="A5118" t="s">
        <v>12046</v>
      </c>
      <c r="B5118" t="s">
        <v>12047</v>
      </c>
      <c r="C5118" t="s">
        <v>53</v>
      </c>
      <c r="D5118" t="s">
        <v>29</v>
      </c>
      <c r="E5118" t="s">
        <v>39</v>
      </c>
      <c r="F5118" t="s">
        <v>66</v>
      </c>
      <c r="G5118">
        <v>5.81</v>
      </c>
      <c r="H5118" t="s">
        <v>41</v>
      </c>
      <c r="I5118" t="s">
        <v>42</v>
      </c>
      <c r="M5118">
        <f>VLOOKUP(H5118,'Stage Order'!$A$2:$B$8,2,FALSE)</f>
        <v>2</v>
      </c>
      <c r="N5118" t="str">
        <f t="shared" si="158"/>
        <v>2. 1-24 hours</v>
      </c>
      <c r="O5118" t="str">
        <f t="shared" si="159"/>
        <v>2025-09</v>
      </c>
    </row>
    <row r="5119" spans="1:15" x14ac:dyDescent="0.3">
      <c r="A5119" t="s">
        <v>12048</v>
      </c>
      <c r="B5119" t="s">
        <v>12049</v>
      </c>
      <c r="C5119" t="s">
        <v>53</v>
      </c>
      <c r="D5119" t="s">
        <v>97</v>
      </c>
      <c r="E5119" t="s">
        <v>59</v>
      </c>
      <c r="F5119" t="s">
        <v>60</v>
      </c>
      <c r="G5119">
        <v>4.28</v>
      </c>
      <c r="H5119" t="s">
        <v>41</v>
      </c>
      <c r="I5119" t="s">
        <v>42</v>
      </c>
      <c r="M5119">
        <f>VLOOKUP(H5119,'Stage Order'!$A$2:$B$8,2,FALSE)</f>
        <v>2</v>
      </c>
      <c r="N5119" t="str">
        <f t="shared" si="158"/>
        <v>2. 1-24 hours</v>
      </c>
      <c r="O5119" t="str">
        <f t="shared" si="159"/>
        <v>2025-01</v>
      </c>
    </row>
    <row r="5120" spans="1:15" x14ac:dyDescent="0.3">
      <c r="A5120" t="s">
        <v>12050</v>
      </c>
      <c r="B5120" t="s">
        <v>12051</v>
      </c>
      <c r="C5120" t="s">
        <v>58</v>
      </c>
      <c r="D5120" t="s">
        <v>97</v>
      </c>
      <c r="E5120" t="s">
        <v>45</v>
      </c>
      <c r="F5120" t="s">
        <v>94</v>
      </c>
      <c r="G5120">
        <v>17.600000000000001</v>
      </c>
      <c r="H5120" t="s">
        <v>146</v>
      </c>
      <c r="I5120" t="s">
        <v>48</v>
      </c>
      <c r="J5120" t="s">
        <v>139</v>
      </c>
      <c r="K5120">
        <v>1196.57</v>
      </c>
      <c r="L5120" t="s">
        <v>12052</v>
      </c>
      <c r="M5120">
        <f>VLOOKUP(H5120,'Stage Order'!$A$2:$B$8,2,FALSE)</f>
        <v>5</v>
      </c>
      <c r="N5120" t="str">
        <f t="shared" si="158"/>
        <v>2. 1-24 hours</v>
      </c>
      <c r="O5120" t="str">
        <f t="shared" si="159"/>
        <v>2026-05</v>
      </c>
    </row>
    <row r="5121" spans="1:15" x14ac:dyDescent="0.3">
      <c r="A5121" t="s">
        <v>12053</v>
      </c>
      <c r="B5121" t="s">
        <v>12054</v>
      </c>
      <c r="C5121" t="s">
        <v>53</v>
      </c>
      <c r="D5121" t="s">
        <v>54</v>
      </c>
      <c r="E5121" t="s">
        <v>39</v>
      </c>
      <c r="F5121" t="s">
        <v>66</v>
      </c>
      <c r="G5121">
        <v>3.19</v>
      </c>
      <c r="H5121" t="s">
        <v>41</v>
      </c>
      <c r="I5121" t="s">
        <v>42</v>
      </c>
      <c r="M5121">
        <f>VLOOKUP(H5121,'Stage Order'!$A$2:$B$8,2,FALSE)</f>
        <v>2</v>
      </c>
      <c r="N5121" t="str">
        <f t="shared" si="158"/>
        <v>2. 1-24 hours</v>
      </c>
      <c r="O5121" t="str">
        <f t="shared" si="159"/>
        <v>2025-03</v>
      </c>
    </row>
    <row r="5122" spans="1:15" x14ac:dyDescent="0.3">
      <c r="A5122" t="s">
        <v>12055</v>
      </c>
      <c r="B5122" t="s">
        <v>12056</v>
      </c>
      <c r="C5122" t="s">
        <v>53</v>
      </c>
      <c r="D5122" t="s">
        <v>97</v>
      </c>
      <c r="E5122" t="s">
        <v>39</v>
      </c>
      <c r="F5122" t="s">
        <v>40</v>
      </c>
      <c r="G5122">
        <v>3.82</v>
      </c>
      <c r="H5122" t="s">
        <v>41</v>
      </c>
      <c r="I5122" t="s">
        <v>42</v>
      </c>
      <c r="M5122">
        <f>VLOOKUP(H5122,'Stage Order'!$A$2:$B$8,2,FALSE)</f>
        <v>2</v>
      </c>
      <c r="N5122" t="str">
        <f t="shared" ref="N5122:N5185" si="160">IF(G5122&lt;=1,"1. Under 1 hour",IF(G5122&lt;=24,"2. 1-24 hours",IF(G5122&lt;=72,"3. 1-3 days","4. Over 3 days")))</f>
        <v>2. 1-24 hours</v>
      </c>
      <c r="O5122" t="str">
        <f t="shared" ref="O5122:O5185" si="161">TEXT(B5122,"YYYY-MM")</f>
        <v>2026-03</v>
      </c>
    </row>
    <row r="5123" spans="1:15" x14ac:dyDescent="0.3">
      <c r="A5123" t="s">
        <v>12057</v>
      </c>
      <c r="B5123" t="s">
        <v>12058</v>
      </c>
      <c r="C5123" t="s">
        <v>28</v>
      </c>
      <c r="D5123" t="s">
        <v>29</v>
      </c>
      <c r="E5123" t="s">
        <v>45</v>
      </c>
      <c r="F5123" t="s">
        <v>46</v>
      </c>
      <c r="G5123">
        <v>3.51</v>
      </c>
      <c r="H5123" t="s">
        <v>32</v>
      </c>
      <c r="I5123" t="s">
        <v>33</v>
      </c>
      <c r="K5123">
        <v>589.03</v>
      </c>
      <c r="L5123" t="s">
        <v>12059</v>
      </c>
      <c r="M5123">
        <f>VLOOKUP(H5123,'Stage Order'!$A$2:$B$8,2,FALSE)</f>
        <v>7</v>
      </c>
      <c r="N5123" t="str">
        <f t="shared" si="160"/>
        <v>2. 1-24 hours</v>
      </c>
      <c r="O5123" t="str">
        <f t="shared" si="161"/>
        <v>2025-09</v>
      </c>
    </row>
    <row r="5124" spans="1:15" x14ac:dyDescent="0.3">
      <c r="A5124" t="s">
        <v>12060</v>
      </c>
      <c r="B5124" t="s">
        <v>12061</v>
      </c>
      <c r="C5124" t="s">
        <v>28</v>
      </c>
      <c r="D5124" t="s">
        <v>97</v>
      </c>
      <c r="E5124" t="s">
        <v>45</v>
      </c>
      <c r="F5124" t="s">
        <v>55</v>
      </c>
      <c r="G5124">
        <v>1.56</v>
      </c>
      <c r="H5124" t="s">
        <v>61</v>
      </c>
      <c r="I5124" t="s">
        <v>42</v>
      </c>
      <c r="M5124">
        <f>VLOOKUP(H5124,'Stage Order'!$A$2:$B$8,2,FALSE)</f>
        <v>1</v>
      </c>
      <c r="N5124" t="str">
        <f t="shared" si="160"/>
        <v>2. 1-24 hours</v>
      </c>
      <c r="O5124" t="str">
        <f t="shared" si="161"/>
        <v>2025-04</v>
      </c>
    </row>
    <row r="5125" spans="1:15" x14ac:dyDescent="0.3">
      <c r="A5125" t="s">
        <v>12062</v>
      </c>
      <c r="B5125" t="s">
        <v>12063</v>
      </c>
      <c r="C5125" t="s">
        <v>58</v>
      </c>
      <c r="D5125" t="s">
        <v>54</v>
      </c>
      <c r="E5125" t="s">
        <v>59</v>
      </c>
      <c r="F5125" t="s">
        <v>60</v>
      </c>
      <c r="G5125">
        <v>3.13</v>
      </c>
      <c r="H5125" t="s">
        <v>41</v>
      </c>
      <c r="I5125" t="s">
        <v>42</v>
      </c>
      <c r="M5125">
        <f>VLOOKUP(H5125,'Stage Order'!$A$2:$B$8,2,FALSE)</f>
        <v>2</v>
      </c>
      <c r="N5125" t="str">
        <f t="shared" si="160"/>
        <v>2. 1-24 hours</v>
      </c>
      <c r="O5125" t="str">
        <f t="shared" si="161"/>
        <v>2025-12</v>
      </c>
    </row>
    <row r="5126" spans="1:15" x14ac:dyDescent="0.3">
      <c r="A5126" t="s">
        <v>12064</v>
      </c>
      <c r="B5126" t="s">
        <v>12065</v>
      </c>
      <c r="C5126" t="s">
        <v>76</v>
      </c>
      <c r="D5126" t="s">
        <v>54</v>
      </c>
      <c r="E5126" t="s">
        <v>39</v>
      </c>
      <c r="F5126" t="s">
        <v>106</v>
      </c>
      <c r="G5126">
        <v>2.4</v>
      </c>
      <c r="H5126" t="s">
        <v>41</v>
      </c>
      <c r="I5126" t="s">
        <v>42</v>
      </c>
      <c r="M5126">
        <f>VLOOKUP(H5126,'Stage Order'!$A$2:$B$8,2,FALSE)</f>
        <v>2</v>
      </c>
      <c r="N5126" t="str">
        <f t="shared" si="160"/>
        <v>2. 1-24 hours</v>
      </c>
      <c r="O5126" t="str">
        <f t="shared" si="161"/>
        <v>2025-08</v>
      </c>
    </row>
    <row r="5127" spans="1:15" x14ac:dyDescent="0.3">
      <c r="A5127" t="s">
        <v>12066</v>
      </c>
      <c r="B5127" t="s">
        <v>12067</v>
      </c>
      <c r="C5127" t="s">
        <v>58</v>
      </c>
      <c r="D5127" t="s">
        <v>77</v>
      </c>
      <c r="E5127" t="s">
        <v>45</v>
      </c>
      <c r="F5127" t="s">
        <v>94</v>
      </c>
      <c r="G5127">
        <v>9.06</v>
      </c>
      <c r="H5127" t="s">
        <v>61</v>
      </c>
      <c r="I5127" t="s">
        <v>42</v>
      </c>
      <c r="M5127">
        <f>VLOOKUP(H5127,'Stage Order'!$A$2:$B$8,2,FALSE)</f>
        <v>1</v>
      </c>
      <c r="N5127" t="str">
        <f t="shared" si="160"/>
        <v>2. 1-24 hours</v>
      </c>
      <c r="O5127" t="str">
        <f t="shared" si="161"/>
        <v>2026-03</v>
      </c>
    </row>
    <row r="5128" spans="1:15" x14ac:dyDescent="0.3">
      <c r="A5128" t="s">
        <v>12068</v>
      </c>
      <c r="B5128" t="s">
        <v>12069</v>
      </c>
      <c r="C5128" t="s">
        <v>37</v>
      </c>
      <c r="D5128" t="s">
        <v>29</v>
      </c>
      <c r="E5128" t="s">
        <v>59</v>
      </c>
      <c r="F5128" t="s">
        <v>137</v>
      </c>
      <c r="G5128">
        <v>3.43</v>
      </c>
      <c r="H5128" t="s">
        <v>41</v>
      </c>
      <c r="I5128" t="s">
        <v>42</v>
      </c>
      <c r="M5128">
        <f>VLOOKUP(H5128,'Stage Order'!$A$2:$B$8,2,FALSE)</f>
        <v>2</v>
      </c>
      <c r="N5128" t="str">
        <f t="shared" si="160"/>
        <v>2. 1-24 hours</v>
      </c>
      <c r="O5128" t="str">
        <f t="shared" si="161"/>
        <v>2026-03</v>
      </c>
    </row>
    <row r="5129" spans="1:15" x14ac:dyDescent="0.3">
      <c r="A5129" t="s">
        <v>12070</v>
      </c>
      <c r="B5129" t="s">
        <v>12071</v>
      </c>
      <c r="C5129" t="s">
        <v>53</v>
      </c>
      <c r="D5129" t="s">
        <v>54</v>
      </c>
      <c r="E5129" t="s">
        <v>45</v>
      </c>
      <c r="F5129" t="s">
        <v>94</v>
      </c>
      <c r="G5129">
        <v>6.09</v>
      </c>
      <c r="H5129" t="s">
        <v>32</v>
      </c>
      <c r="I5129" t="s">
        <v>33</v>
      </c>
      <c r="K5129">
        <v>557.04999999999995</v>
      </c>
      <c r="L5129" t="s">
        <v>12072</v>
      </c>
      <c r="M5129">
        <f>VLOOKUP(H5129,'Stage Order'!$A$2:$B$8,2,FALSE)</f>
        <v>7</v>
      </c>
      <c r="N5129" t="str">
        <f t="shared" si="160"/>
        <v>2. 1-24 hours</v>
      </c>
      <c r="O5129" t="str">
        <f t="shared" si="161"/>
        <v>2025-05</v>
      </c>
    </row>
    <row r="5130" spans="1:15" x14ac:dyDescent="0.3">
      <c r="A5130" t="s">
        <v>12073</v>
      </c>
      <c r="B5130" t="s">
        <v>12074</v>
      </c>
      <c r="C5130" t="s">
        <v>37</v>
      </c>
      <c r="D5130" t="s">
        <v>38</v>
      </c>
      <c r="E5130" t="s">
        <v>39</v>
      </c>
      <c r="F5130" t="s">
        <v>66</v>
      </c>
      <c r="G5130">
        <v>7</v>
      </c>
      <c r="H5130" t="s">
        <v>61</v>
      </c>
      <c r="I5130" t="s">
        <v>42</v>
      </c>
      <c r="M5130">
        <f>VLOOKUP(H5130,'Stage Order'!$A$2:$B$8,2,FALSE)</f>
        <v>1</v>
      </c>
      <c r="N5130" t="str">
        <f t="shared" si="160"/>
        <v>2. 1-24 hours</v>
      </c>
      <c r="O5130" t="str">
        <f t="shared" si="161"/>
        <v>2025-03</v>
      </c>
    </row>
    <row r="5131" spans="1:15" x14ac:dyDescent="0.3">
      <c r="A5131" t="s">
        <v>12075</v>
      </c>
      <c r="B5131" t="s">
        <v>12076</v>
      </c>
      <c r="C5131" t="s">
        <v>125</v>
      </c>
      <c r="D5131" t="s">
        <v>29</v>
      </c>
      <c r="E5131" t="s">
        <v>39</v>
      </c>
      <c r="F5131" t="s">
        <v>40</v>
      </c>
      <c r="G5131">
        <v>4.9400000000000004</v>
      </c>
      <c r="H5131" t="s">
        <v>61</v>
      </c>
      <c r="I5131" t="s">
        <v>42</v>
      </c>
      <c r="M5131">
        <f>VLOOKUP(H5131,'Stage Order'!$A$2:$B$8,2,FALSE)</f>
        <v>1</v>
      </c>
      <c r="N5131" t="str">
        <f t="shared" si="160"/>
        <v>2. 1-24 hours</v>
      </c>
      <c r="O5131" t="str">
        <f t="shared" si="161"/>
        <v>2025-06</v>
      </c>
    </row>
    <row r="5132" spans="1:15" x14ac:dyDescent="0.3">
      <c r="A5132" t="s">
        <v>12077</v>
      </c>
      <c r="B5132" t="s">
        <v>12078</v>
      </c>
      <c r="C5132" t="s">
        <v>28</v>
      </c>
      <c r="D5132" t="s">
        <v>54</v>
      </c>
      <c r="E5132" t="s">
        <v>45</v>
      </c>
      <c r="F5132" t="s">
        <v>55</v>
      </c>
      <c r="G5132">
        <v>4.6500000000000004</v>
      </c>
      <c r="H5132" t="s">
        <v>41</v>
      </c>
      <c r="I5132" t="s">
        <v>42</v>
      </c>
      <c r="M5132">
        <f>VLOOKUP(H5132,'Stage Order'!$A$2:$B$8,2,FALSE)</f>
        <v>2</v>
      </c>
      <c r="N5132" t="str">
        <f t="shared" si="160"/>
        <v>2. 1-24 hours</v>
      </c>
      <c r="O5132" t="str">
        <f t="shared" si="161"/>
        <v>2025-08</v>
      </c>
    </row>
    <row r="5133" spans="1:15" x14ac:dyDescent="0.3">
      <c r="A5133" t="s">
        <v>12079</v>
      </c>
      <c r="B5133" t="s">
        <v>12080</v>
      </c>
      <c r="C5133" t="s">
        <v>58</v>
      </c>
      <c r="D5133" t="s">
        <v>54</v>
      </c>
      <c r="E5133" t="s">
        <v>90</v>
      </c>
      <c r="F5133" t="s">
        <v>145</v>
      </c>
      <c r="G5133">
        <v>6.29</v>
      </c>
      <c r="H5133" t="s">
        <v>61</v>
      </c>
      <c r="I5133" t="s">
        <v>42</v>
      </c>
      <c r="M5133">
        <f>VLOOKUP(H5133,'Stage Order'!$A$2:$B$8,2,FALSE)</f>
        <v>1</v>
      </c>
      <c r="N5133" t="str">
        <f t="shared" si="160"/>
        <v>2. 1-24 hours</v>
      </c>
      <c r="O5133" t="str">
        <f t="shared" si="161"/>
        <v>2025-10</v>
      </c>
    </row>
    <row r="5134" spans="1:15" x14ac:dyDescent="0.3">
      <c r="A5134" t="s">
        <v>12081</v>
      </c>
      <c r="B5134" t="s">
        <v>12082</v>
      </c>
      <c r="C5134" t="s">
        <v>81</v>
      </c>
      <c r="D5134" t="s">
        <v>77</v>
      </c>
      <c r="E5134" t="s">
        <v>59</v>
      </c>
      <c r="F5134" t="s">
        <v>117</v>
      </c>
      <c r="G5134">
        <v>1.7</v>
      </c>
      <c r="H5134" t="s">
        <v>47</v>
      </c>
      <c r="I5134" t="s">
        <v>48</v>
      </c>
      <c r="J5134" t="s">
        <v>98</v>
      </c>
      <c r="K5134">
        <v>931.28</v>
      </c>
      <c r="L5134" t="s">
        <v>12083</v>
      </c>
      <c r="M5134">
        <f>VLOOKUP(H5134,'Stage Order'!$A$2:$B$8,2,FALSE)</f>
        <v>4</v>
      </c>
      <c r="N5134" t="str">
        <f t="shared" si="160"/>
        <v>2. 1-24 hours</v>
      </c>
      <c r="O5134" t="str">
        <f t="shared" si="161"/>
        <v>2025-05</v>
      </c>
    </row>
    <row r="5135" spans="1:15" x14ac:dyDescent="0.3">
      <c r="A5135" t="s">
        <v>12084</v>
      </c>
      <c r="B5135" t="s">
        <v>12085</v>
      </c>
      <c r="C5135" t="s">
        <v>58</v>
      </c>
      <c r="D5135" t="s">
        <v>38</v>
      </c>
      <c r="E5135" t="s">
        <v>39</v>
      </c>
      <c r="F5135" t="s">
        <v>40</v>
      </c>
      <c r="G5135">
        <v>1.53</v>
      </c>
      <c r="H5135" t="s">
        <v>41</v>
      </c>
      <c r="I5135" t="s">
        <v>42</v>
      </c>
      <c r="M5135">
        <f>VLOOKUP(H5135,'Stage Order'!$A$2:$B$8,2,FALSE)</f>
        <v>2</v>
      </c>
      <c r="N5135" t="str">
        <f t="shared" si="160"/>
        <v>2. 1-24 hours</v>
      </c>
      <c r="O5135" t="str">
        <f t="shared" si="161"/>
        <v>2025-10</v>
      </c>
    </row>
    <row r="5136" spans="1:15" x14ac:dyDescent="0.3">
      <c r="A5136" t="s">
        <v>12086</v>
      </c>
      <c r="B5136" t="s">
        <v>12087</v>
      </c>
      <c r="C5136" t="s">
        <v>58</v>
      </c>
      <c r="D5136" t="s">
        <v>54</v>
      </c>
      <c r="E5136" t="s">
        <v>90</v>
      </c>
      <c r="F5136" t="s">
        <v>112</v>
      </c>
      <c r="G5136">
        <v>3.46</v>
      </c>
      <c r="H5136" t="s">
        <v>61</v>
      </c>
      <c r="I5136" t="s">
        <v>42</v>
      </c>
      <c r="M5136">
        <f>VLOOKUP(H5136,'Stage Order'!$A$2:$B$8,2,FALSE)</f>
        <v>1</v>
      </c>
      <c r="N5136" t="str">
        <f t="shared" si="160"/>
        <v>2. 1-24 hours</v>
      </c>
      <c r="O5136" t="str">
        <f t="shared" si="161"/>
        <v>2026-03</v>
      </c>
    </row>
    <row r="5137" spans="1:15" x14ac:dyDescent="0.3">
      <c r="A5137" t="s">
        <v>12088</v>
      </c>
      <c r="B5137" t="s">
        <v>12089</v>
      </c>
      <c r="C5137" t="s">
        <v>125</v>
      </c>
      <c r="D5137" t="s">
        <v>38</v>
      </c>
      <c r="E5137" t="s">
        <v>59</v>
      </c>
      <c r="F5137" t="s">
        <v>117</v>
      </c>
      <c r="G5137">
        <v>1.22</v>
      </c>
      <c r="H5137" t="s">
        <v>146</v>
      </c>
      <c r="I5137" t="s">
        <v>48</v>
      </c>
      <c r="J5137" t="s">
        <v>98</v>
      </c>
      <c r="K5137">
        <v>337.73</v>
      </c>
      <c r="L5137" t="s">
        <v>12090</v>
      </c>
      <c r="M5137">
        <f>VLOOKUP(H5137,'Stage Order'!$A$2:$B$8,2,FALSE)</f>
        <v>5</v>
      </c>
      <c r="N5137" t="str">
        <f t="shared" si="160"/>
        <v>2. 1-24 hours</v>
      </c>
      <c r="O5137" t="str">
        <f t="shared" si="161"/>
        <v>2025-02</v>
      </c>
    </row>
    <row r="5138" spans="1:15" x14ac:dyDescent="0.3">
      <c r="A5138" t="s">
        <v>12091</v>
      </c>
      <c r="B5138" t="s">
        <v>12092</v>
      </c>
      <c r="C5138" t="s">
        <v>125</v>
      </c>
      <c r="D5138" t="s">
        <v>54</v>
      </c>
      <c r="E5138" t="s">
        <v>59</v>
      </c>
      <c r="F5138" t="s">
        <v>60</v>
      </c>
      <c r="G5138">
        <v>0.53</v>
      </c>
      <c r="H5138" t="s">
        <v>41</v>
      </c>
      <c r="I5138" t="s">
        <v>42</v>
      </c>
      <c r="M5138">
        <f>VLOOKUP(H5138,'Stage Order'!$A$2:$B$8,2,FALSE)</f>
        <v>2</v>
      </c>
      <c r="N5138" t="str">
        <f t="shared" si="160"/>
        <v>1. Under 1 hour</v>
      </c>
      <c r="O5138" t="str">
        <f t="shared" si="161"/>
        <v>2025-04</v>
      </c>
    </row>
    <row r="5139" spans="1:15" x14ac:dyDescent="0.3">
      <c r="A5139" t="s">
        <v>12093</v>
      </c>
      <c r="B5139" t="s">
        <v>12094</v>
      </c>
      <c r="C5139" t="s">
        <v>58</v>
      </c>
      <c r="D5139" t="s">
        <v>38</v>
      </c>
      <c r="E5139" t="s">
        <v>39</v>
      </c>
      <c r="F5139" t="s">
        <v>66</v>
      </c>
      <c r="G5139">
        <v>6.42</v>
      </c>
      <c r="H5139" t="s">
        <v>61</v>
      </c>
      <c r="I5139" t="s">
        <v>42</v>
      </c>
      <c r="M5139">
        <f>VLOOKUP(H5139,'Stage Order'!$A$2:$B$8,2,FALSE)</f>
        <v>1</v>
      </c>
      <c r="N5139" t="str">
        <f t="shared" si="160"/>
        <v>2. 1-24 hours</v>
      </c>
      <c r="O5139" t="str">
        <f t="shared" si="161"/>
        <v>2025-02</v>
      </c>
    </row>
    <row r="5140" spans="1:15" x14ac:dyDescent="0.3">
      <c r="A5140" t="s">
        <v>12095</v>
      </c>
      <c r="B5140" t="s">
        <v>12096</v>
      </c>
      <c r="C5140" t="s">
        <v>53</v>
      </c>
      <c r="D5140" t="s">
        <v>97</v>
      </c>
      <c r="E5140" t="s">
        <v>59</v>
      </c>
      <c r="F5140" t="s">
        <v>137</v>
      </c>
      <c r="G5140">
        <v>1.03</v>
      </c>
      <c r="H5140" t="s">
        <v>41</v>
      </c>
      <c r="I5140" t="s">
        <v>42</v>
      </c>
      <c r="M5140">
        <f>VLOOKUP(H5140,'Stage Order'!$A$2:$B$8,2,FALSE)</f>
        <v>2</v>
      </c>
      <c r="N5140" t="str">
        <f t="shared" si="160"/>
        <v>2. 1-24 hours</v>
      </c>
      <c r="O5140" t="str">
        <f t="shared" si="161"/>
        <v>2026-04</v>
      </c>
    </row>
    <row r="5141" spans="1:15" x14ac:dyDescent="0.3">
      <c r="A5141" t="s">
        <v>12097</v>
      </c>
      <c r="B5141" t="s">
        <v>12098</v>
      </c>
      <c r="C5141" t="s">
        <v>37</v>
      </c>
      <c r="D5141" t="s">
        <v>97</v>
      </c>
      <c r="E5141" t="s">
        <v>39</v>
      </c>
      <c r="F5141" t="s">
        <v>106</v>
      </c>
      <c r="G5141">
        <v>2.4</v>
      </c>
      <c r="H5141" t="s">
        <v>138</v>
      </c>
      <c r="I5141" t="s">
        <v>48</v>
      </c>
      <c r="J5141" t="s">
        <v>139</v>
      </c>
      <c r="K5141">
        <v>1336.25</v>
      </c>
      <c r="L5141" t="s">
        <v>12099</v>
      </c>
      <c r="M5141">
        <f>VLOOKUP(H5141,'Stage Order'!$A$2:$B$8,2,FALSE)</f>
        <v>6</v>
      </c>
      <c r="N5141" t="str">
        <f t="shared" si="160"/>
        <v>2. 1-24 hours</v>
      </c>
      <c r="O5141" t="str">
        <f t="shared" si="161"/>
        <v>2025-08</v>
      </c>
    </row>
    <row r="5142" spans="1:15" x14ac:dyDescent="0.3">
      <c r="A5142" t="s">
        <v>12100</v>
      </c>
      <c r="B5142" t="s">
        <v>12101</v>
      </c>
      <c r="C5142" t="s">
        <v>58</v>
      </c>
      <c r="D5142" t="s">
        <v>77</v>
      </c>
      <c r="E5142" t="s">
        <v>59</v>
      </c>
      <c r="F5142" t="s">
        <v>137</v>
      </c>
      <c r="G5142">
        <v>1.73</v>
      </c>
      <c r="H5142" t="s">
        <v>41</v>
      </c>
      <c r="I5142" t="s">
        <v>42</v>
      </c>
      <c r="M5142">
        <f>VLOOKUP(H5142,'Stage Order'!$A$2:$B$8,2,FALSE)</f>
        <v>2</v>
      </c>
      <c r="N5142" t="str">
        <f t="shared" si="160"/>
        <v>2. 1-24 hours</v>
      </c>
      <c r="O5142" t="str">
        <f t="shared" si="161"/>
        <v>2025-09</v>
      </c>
    </row>
    <row r="5143" spans="1:15" x14ac:dyDescent="0.3">
      <c r="A5143" t="s">
        <v>12102</v>
      </c>
      <c r="B5143" t="s">
        <v>12103</v>
      </c>
      <c r="C5143" t="s">
        <v>58</v>
      </c>
      <c r="D5143" t="s">
        <v>38</v>
      </c>
      <c r="E5143" t="s">
        <v>45</v>
      </c>
      <c r="F5143" t="s">
        <v>55</v>
      </c>
      <c r="G5143">
        <v>1.81</v>
      </c>
      <c r="H5143" t="s">
        <v>61</v>
      </c>
      <c r="I5143" t="s">
        <v>42</v>
      </c>
      <c r="M5143">
        <f>VLOOKUP(H5143,'Stage Order'!$A$2:$B$8,2,FALSE)</f>
        <v>1</v>
      </c>
      <c r="N5143" t="str">
        <f t="shared" si="160"/>
        <v>2. 1-24 hours</v>
      </c>
      <c r="O5143" t="str">
        <f t="shared" si="161"/>
        <v>2025-07</v>
      </c>
    </row>
    <row r="5144" spans="1:15" x14ac:dyDescent="0.3">
      <c r="A5144" t="s">
        <v>12104</v>
      </c>
      <c r="B5144" t="s">
        <v>12105</v>
      </c>
      <c r="C5144" t="s">
        <v>28</v>
      </c>
      <c r="D5144" t="s">
        <v>54</v>
      </c>
      <c r="E5144" t="s">
        <v>39</v>
      </c>
      <c r="F5144" t="s">
        <v>106</v>
      </c>
      <c r="G5144">
        <v>2.13</v>
      </c>
      <c r="H5144" t="s">
        <v>41</v>
      </c>
      <c r="I5144" t="s">
        <v>42</v>
      </c>
      <c r="M5144">
        <f>VLOOKUP(H5144,'Stage Order'!$A$2:$B$8,2,FALSE)</f>
        <v>2</v>
      </c>
      <c r="N5144" t="str">
        <f t="shared" si="160"/>
        <v>2. 1-24 hours</v>
      </c>
      <c r="O5144" t="str">
        <f t="shared" si="161"/>
        <v>2025-08</v>
      </c>
    </row>
    <row r="5145" spans="1:15" x14ac:dyDescent="0.3">
      <c r="A5145" t="s">
        <v>12106</v>
      </c>
      <c r="B5145" t="s">
        <v>12107</v>
      </c>
      <c r="C5145" t="s">
        <v>76</v>
      </c>
      <c r="D5145" t="s">
        <v>29</v>
      </c>
      <c r="E5145" t="s">
        <v>90</v>
      </c>
      <c r="F5145" t="s">
        <v>91</v>
      </c>
      <c r="G5145">
        <v>3.33</v>
      </c>
      <c r="H5145" t="s">
        <v>32</v>
      </c>
      <c r="I5145" t="s">
        <v>33</v>
      </c>
      <c r="K5145">
        <v>680.82</v>
      </c>
      <c r="L5145" t="s">
        <v>12108</v>
      </c>
      <c r="M5145">
        <f>VLOOKUP(H5145,'Stage Order'!$A$2:$B$8,2,FALSE)</f>
        <v>7</v>
      </c>
      <c r="N5145" t="str">
        <f t="shared" si="160"/>
        <v>2. 1-24 hours</v>
      </c>
      <c r="O5145" t="str">
        <f t="shared" si="161"/>
        <v>2025-09</v>
      </c>
    </row>
    <row r="5146" spans="1:15" x14ac:dyDescent="0.3">
      <c r="A5146" t="s">
        <v>12109</v>
      </c>
      <c r="B5146" t="s">
        <v>12110</v>
      </c>
      <c r="C5146" t="s">
        <v>53</v>
      </c>
      <c r="D5146" t="s">
        <v>77</v>
      </c>
      <c r="E5146" t="s">
        <v>45</v>
      </c>
      <c r="F5146" t="s">
        <v>46</v>
      </c>
      <c r="G5146">
        <v>2.94</v>
      </c>
      <c r="H5146" t="s">
        <v>32</v>
      </c>
      <c r="I5146" t="s">
        <v>33</v>
      </c>
      <c r="K5146">
        <v>1005.79</v>
      </c>
      <c r="L5146" t="s">
        <v>12111</v>
      </c>
      <c r="M5146">
        <f>VLOOKUP(H5146,'Stage Order'!$A$2:$B$8,2,FALSE)</f>
        <v>7</v>
      </c>
      <c r="N5146" t="str">
        <f t="shared" si="160"/>
        <v>2. 1-24 hours</v>
      </c>
      <c r="O5146" t="str">
        <f t="shared" si="161"/>
        <v>2025-12</v>
      </c>
    </row>
    <row r="5147" spans="1:15" x14ac:dyDescent="0.3">
      <c r="A5147" t="s">
        <v>12112</v>
      </c>
      <c r="B5147" t="s">
        <v>12113</v>
      </c>
      <c r="C5147" t="s">
        <v>37</v>
      </c>
      <c r="D5147" t="s">
        <v>54</v>
      </c>
      <c r="E5147" t="s">
        <v>90</v>
      </c>
      <c r="F5147" t="s">
        <v>91</v>
      </c>
      <c r="G5147">
        <v>1.89</v>
      </c>
      <c r="H5147" t="s">
        <v>61</v>
      </c>
      <c r="I5147" t="s">
        <v>42</v>
      </c>
      <c r="M5147">
        <f>VLOOKUP(H5147,'Stage Order'!$A$2:$B$8,2,FALSE)</f>
        <v>1</v>
      </c>
      <c r="N5147" t="str">
        <f t="shared" si="160"/>
        <v>2. 1-24 hours</v>
      </c>
      <c r="O5147" t="str">
        <f t="shared" si="161"/>
        <v>2025-11</v>
      </c>
    </row>
    <row r="5148" spans="1:15" x14ac:dyDescent="0.3">
      <c r="A5148" t="s">
        <v>12114</v>
      </c>
      <c r="B5148" t="s">
        <v>12115</v>
      </c>
      <c r="C5148" t="s">
        <v>53</v>
      </c>
      <c r="D5148" t="s">
        <v>77</v>
      </c>
      <c r="E5148" t="s">
        <v>90</v>
      </c>
      <c r="F5148" t="s">
        <v>145</v>
      </c>
      <c r="G5148">
        <v>7.55</v>
      </c>
      <c r="H5148" t="s">
        <v>41</v>
      </c>
      <c r="I5148" t="s">
        <v>42</v>
      </c>
      <c r="M5148">
        <f>VLOOKUP(H5148,'Stage Order'!$A$2:$B$8,2,FALSE)</f>
        <v>2</v>
      </c>
      <c r="N5148" t="str">
        <f t="shared" si="160"/>
        <v>2. 1-24 hours</v>
      </c>
      <c r="O5148" t="str">
        <f t="shared" si="161"/>
        <v>2025-04</v>
      </c>
    </row>
    <row r="5149" spans="1:15" x14ac:dyDescent="0.3">
      <c r="A5149" t="s">
        <v>12116</v>
      </c>
      <c r="B5149" t="s">
        <v>12117</v>
      </c>
      <c r="C5149" t="s">
        <v>28</v>
      </c>
      <c r="D5149" t="s">
        <v>77</v>
      </c>
      <c r="E5149" t="s">
        <v>39</v>
      </c>
      <c r="F5149" t="s">
        <v>106</v>
      </c>
      <c r="G5149">
        <v>4.04</v>
      </c>
      <c r="H5149" t="s">
        <v>32</v>
      </c>
      <c r="I5149" t="s">
        <v>33</v>
      </c>
      <c r="K5149">
        <v>1017.85</v>
      </c>
      <c r="L5149" t="s">
        <v>12118</v>
      </c>
      <c r="M5149">
        <f>VLOOKUP(H5149,'Stage Order'!$A$2:$B$8,2,FALSE)</f>
        <v>7</v>
      </c>
      <c r="N5149" t="str">
        <f t="shared" si="160"/>
        <v>2. 1-24 hours</v>
      </c>
      <c r="O5149" t="str">
        <f t="shared" si="161"/>
        <v>2025-04</v>
      </c>
    </row>
    <row r="5150" spans="1:15" x14ac:dyDescent="0.3">
      <c r="A5150" t="s">
        <v>12119</v>
      </c>
      <c r="B5150" t="s">
        <v>12120</v>
      </c>
      <c r="C5150" t="s">
        <v>81</v>
      </c>
      <c r="D5150" t="s">
        <v>29</v>
      </c>
      <c r="E5150" t="s">
        <v>39</v>
      </c>
      <c r="F5150" t="s">
        <v>40</v>
      </c>
      <c r="G5150">
        <v>1.2</v>
      </c>
      <c r="H5150" t="s">
        <v>61</v>
      </c>
      <c r="I5150" t="s">
        <v>42</v>
      </c>
      <c r="M5150">
        <f>VLOOKUP(H5150,'Stage Order'!$A$2:$B$8,2,FALSE)</f>
        <v>1</v>
      </c>
      <c r="N5150" t="str">
        <f t="shared" si="160"/>
        <v>2. 1-24 hours</v>
      </c>
      <c r="O5150" t="str">
        <f t="shared" si="161"/>
        <v>2026-04</v>
      </c>
    </row>
    <row r="5151" spans="1:15" x14ac:dyDescent="0.3">
      <c r="A5151" t="s">
        <v>12121</v>
      </c>
      <c r="B5151" t="s">
        <v>12122</v>
      </c>
      <c r="C5151" t="s">
        <v>28</v>
      </c>
      <c r="D5151" t="s">
        <v>54</v>
      </c>
      <c r="E5151" t="s">
        <v>90</v>
      </c>
      <c r="F5151" t="s">
        <v>112</v>
      </c>
      <c r="G5151">
        <v>16.82</v>
      </c>
      <c r="H5151" t="s">
        <v>41</v>
      </c>
      <c r="I5151" t="s">
        <v>42</v>
      </c>
      <c r="M5151">
        <f>VLOOKUP(H5151,'Stage Order'!$A$2:$B$8,2,FALSE)</f>
        <v>2</v>
      </c>
      <c r="N5151" t="str">
        <f t="shared" si="160"/>
        <v>2. 1-24 hours</v>
      </c>
      <c r="O5151" t="str">
        <f t="shared" si="161"/>
        <v>2026-04</v>
      </c>
    </row>
    <row r="5152" spans="1:15" x14ac:dyDescent="0.3">
      <c r="A5152" t="s">
        <v>12123</v>
      </c>
      <c r="B5152" t="s">
        <v>12124</v>
      </c>
      <c r="C5152" t="s">
        <v>58</v>
      </c>
      <c r="D5152" t="s">
        <v>29</v>
      </c>
      <c r="E5152" t="s">
        <v>59</v>
      </c>
      <c r="F5152" t="s">
        <v>60</v>
      </c>
      <c r="G5152">
        <v>4.1500000000000004</v>
      </c>
      <c r="H5152" t="s">
        <v>41</v>
      </c>
      <c r="I5152" t="s">
        <v>42</v>
      </c>
      <c r="M5152">
        <f>VLOOKUP(H5152,'Stage Order'!$A$2:$B$8,2,FALSE)</f>
        <v>2</v>
      </c>
      <c r="N5152" t="str">
        <f t="shared" si="160"/>
        <v>2. 1-24 hours</v>
      </c>
      <c r="O5152" t="str">
        <f t="shared" si="161"/>
        <v>2025-06</v>
      </c>
    </row>
    <row r="5153" spans="1:15" x14ac:dyDescent="0.3">
      <c r="A5153" t="s">
        <v>12125</v>
      </c>
      <c r="B5153" t="s">
        <v>12126</v>
      </c>
      <c r="C5153" t="s">
        <v>58</v>
      </c>
      <c r="D5153" t="s">
        <v>77</v>
      </c>
      <c r="E5153" t="s">
        <v>39</v>
      </c>
      <c r="F5153" t="s">
        <v>66</v>
      </c>
      <c r="G5153">
        <v>13.62</v>
      </c>
      <c r="H5153" t="s">
        <v>41</v>
      </c>
      <c r="I5153" t="s">
        <v>42</v>
      </c>
      <c r="M5153">
        <f>VLOOKUP(H5153,'Stage Order'!$A$2:$B$8,2,FALSE)</f>
        <v>2</v>
      </c>
      <c r="N5153" t="str">
        <f t="shared" si="160"/>
        <v>2. 1-24 hours</v>
      </c>
      <c r="O5153" t="str">
        <f t="shared" si="161"/>
        <v>2026-04</v>
      </c>
    </row>
    <row r="5154" spans="1:15" x14ac:dyDescent="0.3">
      <c r="A5154" t="s">
        <v>12127</v>
      </c>
      <c r="B5154" t="s">
        <v>12128</v>
      </c>
      <c r="C5154" t="s">
        <v>28</v>
      </c>
      <c r="D5154" t="s">
        <v>54</v>
      </c>
      <c r="E5154" t="s">
        <v>39</v>
      </c>
      <c r="F5154" t="s">
        <v>106</v>
      </c>
      <c r="G5154">
        <v>2.57</v>
      </c>
      <c r="H5154" t="s">
        <v>32</v>
      </c>
      <c r="I5154" t="s">
        <v>33</v>
      </c>
      <c r="K5154">
        <v>517.37</v>
      </c>
      <c r="L5154" t="s">
        <v>12129</v>
      </c>
      <c r="M5154">
        <f>VLOOKUP(H5154,'Stage Order'!$A$2:$B$8,2,FALSE)</f>
        <v>7</v>
      </c>
      <c r="N5154" t="str">
        <f t="shared" si="160"/>
        <v>2. 1-24 hours</v>
      </c>
      <c r="O5154" t="str">
        <f t="shared" si="161"/>
        <v>2025-06</v>
      </c>
    </row>
    <row r="5155" spans="1:15" x14ac:dyDescent="0.3">
      <c r="A5155" t="s">
        <v>12130</v>
      </c>
      <c r="B5155" t="s">
        <v>12131</v>
      </c>
      <c r="C5155" t="s">
        <v>53</v>
      </c>
      <c r="D5155" t="s">
        <v>97</v>
      </c>
      <c r="E5155" t="s">
        <v>39</v>
      </c>
      <c r="F5155" t="s">
        <v>106</v>
      </c>
      <c r="G5155">
        <v>1.59</v>
      </c>
      <c r="H5155" t="s">
        <v>138</v>
      </c>
      <c r="I5155" t="s">
        <v>48</v>
      </c>
      <c r="J5155" t="s">
        <v>49</v>
      </c>
      <c r="K5155">
        <v>1351.11</v>
      </c>
      <c r="L5155" t="s">
        <v>12132</v>
      </c>
      <c r="M5155">
        <f>VLOOKUP(H5155,'Stage Order'!$A$2:$B$8,2,FALSE)</f>
        <v>6</v>
      </c>
      <c r="N5155" t="str">
        <f t="shared" si="160"/>
        <v>2. 1-24 hours</v>
      </c>
      <c r="O5155" t="str">
        <f t="shared" si="161"/>
        <v>2025-04</v>
      </c>
    </row>
    <row r="5156" spans="1:15" x14ac:dyDescent="0.3">
      <c r="A5156" t="s">
        <v>12133</v>
      </c>
      <c r="B5156" t="s">
        <v>12134</v>
      </c>
      <c r="C5156" t="s">
        <v>58</v>
      </c>
      <c r="D5156" t="s">
        <v>38</v>
      </c>
      <c r="E5156" t="s">
        <v>45</v>
      </c>
      <c r="F5156" t="s">
        <v>94</v>
      </c>
      <c r="G5156">
        <v>4.88</v>
      </c>
      <c r="H5156" t="s">
        <v>41</v>
      </c>
      <c r="I5156" t="s">
        <v>42</v>
      </c>
      <c r="M5156">
        <f>VLOOKUP(H5156,'Stage Order'!$A$2:$B$8,2,FALSE)</f>
        <v>2</v>
      </c>
      <c r="N5156" t="str">
        <f t="shared" si="160"/>
        <v>2. 1-24 hours</v>
      </c>
      <c r="O5156" t="str">
        <f t="shared" si="161"/>
        <v>2026-02</v>
      </c>
    </row>
    <row r="5157" spans="1:15" x14ac:dyDescent="0.3">
      <c r="A5157" t="s">
        <v>12135</v>
      </c>
      <c r="B5157" t="s">
        <v>12136</v>
      </c>
      <c r="C5157" t="s">
        <v>37</v>
      </c>
      <c r="D5157" t="s">
        <v>29</v>
      </c>
      <c r="E5157" t="s">
        <v>90</v>
      </c>
      <c r="F5157" t="s">
        <v>145</v>
      </c>
      <c r="G5157">
        <v>3.95</v>
      </c>
      <c r="H5157" t="s">
        <v>128</v>
      </c>
      <c r="I5157" t="s">
        <v>42</v>
      </c>
      <c r="M5157">
        <f>VLOOKUP(H5157,'Stage Order'!$A$2:$B$8,2,FALSE)</f>
        <v>3</v>
      </c>
      <c r="N5157" t="str">
        <f t="shared" si="160"/>
        <v>2. 1-24 hours</v>
      </c>
      <c r="O5157" t="str">
        <f t="shared" si="161"/>
        <v>2025-01</v>
      </c>
    </row>
    <row r="5158" spans="1:15" x14ac:dyDescent="0.3">
      <c r="A5158" t="s">
        <v>12137</v>
      </c>
      <c r="B5158" t="s">
        <v>12138</v>
      </c>
      <c r="C5158" t="s">
        <v>76</v>
      </c>
      <c r="D5158" t="s">
        <v>38</v>
      </c>
      <c r="E5158" t="s">
        <v>39</v>
      </c>
      <c r="F5158" t="s">
        <v>40</v>
      </c>
      <c r="G5158">
        <v>2.99</v>
      </c>
      <c r="H5158" t="s">
        <v>41</v>
      </c>
      <c r="I5158" t="s">
        <v>42</v>
      </c>
      <c r="M5158">
        <f>VLOOKUP(H5158,'Stage Order'!$A$2:$B$8,2,FALSE)</f>
        <v>2</v>
      </c>
      <c r="N5158" t="str">
        <f t="shared" si="160"/>
        <v>2. 1-24 hours</v>
      </c>
      <c r="O5158" t="str">
        <f t="shared" si="161"/>
        <v>2025-09</v>
      </c>
    </row>
    <row r="5159" spans="1:15" x14ac:dyDescent="0.3">
      <c r="A5159" t="s">
        <v>12139</v>
      </c>
      <c r="B5159" t="s">
        <v>12140</v>
      </c>
      <c r="C5159" t="s">
        <v>37</v>
      </c>
      <c r="D5159" t="s">
        <v>38</v>
      </c>
      <c r="E5159" t="s">
        <v>59</v>
      </c>
      <c r="F5159" t="s">
        <v>137</v>
      </c>
      <c r="G5159">
        <v>2.13</v>
      </c>
      <c r="H5159" t="s">
        <v>61</v>
      </c>
      <c r="I5159" t="s">
        <v>42</v>
      </c>
      <c r="M5159">
        <f>VLOOKUP(H5159,'Stage Order'!$A$2:$B$8,2,FALSE)</f>
        <v>1</v>
      </c>
      <c r="N5159" t="str">
        <f t="shared" si="160"/>
        <v>2. 1-24 hours</v>
      </c>
      <c r="O5159" t="str">
        <f t="shared" si="161"/>
        <v>2025-08</v>
      </c>
    </row>
    <row r="5160" spans="1:15" x14ac:dyDescent="0.3">
      <c r="A5160" t="s">
        <v>12141</v>
      </c>
      <c r="B5160" t="s">
        <v>12142</v>
      </c>
      <c r="C5160" t="s">
        <v>125</v>
      </c>
      <c r="D5160" t="s">
        <v>29</v>
      </c>
      <c r="E5160" t="s">
        <v>45</v>
      </c>
      <c r="F5160" t="s">
        <v>94</v>
      </c>
      <c r="G5160">
        <v>10.029999999999999</v>
      </c>
      <c r="H5160" t="s">
        <v>47</v>
      </c>
      <c r="I5160" t="s">
        <v>48</v>
      </c>
      <c r="J5160" t="s">
        <v>139</v>
      </c>
      <c r="K5160">
        <v>566.03</v>
      </c>
      <c r="L5160" t="s">
        <v>12143</v>
      </c>
      <c r="M5160">
        <f>VLOOKUP(H5160,'Stage Order'!$A$2:$B$8,2,FALSE)</f>
        <v>4</v>
      </c>
      <c r="N5160" t="str">
        <f t="shared" si="160"/>
        <v>2. 1-24 hours</v>
      </c>
      <c r="O5160" t="str">
        <f t="shared" si="161"/>
        <v>2025-01</v>
      </c>
    </row>
    <row r="5161" spans="1:15" x14ac:dyDescent="0.3">
      <c r="A5161" t="s">
        <v>12144</v>
      </c>
      <c r="B5161" t="s">
        <v>12145</v>
      </c>
      <c r="C5161" t="s">
        <v>37</v>
      </c>
      <c r="D5161" t="s">
        <v>38</v>
      </c>
      <c r="E5161" t="s">
        <v>39</v>
      </c>
      <c r="F5161" t="s">
        <v>40</v>
      </c>
      <c r="G5161">
        <v>2.84</v>
      </c>
      <c r="H5161" t="s">
        <v>41</v>
      </c>
      <c r="I5161" t="s">
        <v>42</v>
      </c>
      <c r="M5161">
        <f>VLOOKUP(H5161,'Stage Order'!$A$2:$B$8,2,FALSE)</f>
        <v>2</v>
      </c>
      <c r="N5161" t="str">
        <f t="shared" si="160"/>
        <v>2. 1-24 hours</v>
      </c>
      <c r="O5161" t="str">
        <f t="shared" si="161"/>
        <v>2026-06</v>
      </c>
    </row>
    <row r="5162" spans="1:15" x14ac:dyDescent="0.3">
      <c r="A5162" t="s">
        <v>12146</v>
      </c>
      <c r="B5162" t="s">
        <v>12147</v>
      </c>
      <c r="C5162" t="s">
        <v>58</v>
      </c>
      <c r="D5162" t="s">
        <v>97</v>
      </c>
      <c r="E5162" t="s">
        <v>45</v>
      </c>
      <c r="F5162" t="s">
        <v>46</v>
      </c>
      <c r="G5162">
        <v>1.88</v>
      </c>
      <c r="H5162" t="s">
        <v>146</v>
      </c>
      <c r="I5162" t="s">
        <v>48</v>
      </c>
      <c r="J5162" t="s">
        <v>139</v>
      </c>
      <c r="K5162">
        <v>1480.26</v>
      </c>
      <c r="L5162" t="s">
        <v>12148</v>
      </c>
      <c r="M5162">
        <f>VLOOKUP(H5162,'Stage Order'!$A$2:$B$8,2,FALSE)</f>
        <v>5</v>
      </c>
      <c r="N5162" t="str">
        <f t="shared" si="160"/>
        <v>2. 1-24 hours</v>
      </c>
      <c r="O5162" t="str">
        <f t="shared" si="161"/>
        <v>2025-05</v>
      </c>
    </row>
    <row r="5163" spans="1:15" x14ac:dyDescent="0.3">
      <c r="A5163" t="s">
        <v>12149</v>
      </c>
      <c r="B5163" t="s">
        <v>12150</v>
      </c>
      <c r="C5163" t="s">
        <v>125</v>
      </c>
      <c r="D5163" t="s">
        <v>38</v>
      </c>
      <c r="E5163" t="s">
        <v>59</v>
      </c>
      <c r="F5163" t="s">
        <v>137</v>
      </c>
      <c r="G5163">
        <v>7.15</v>
      </c>
      <c r="H5163" t="s">
        <v>32</v>
      </c>
      <c r="I5163" t="s">
        <v>33</v>
      </c>
      <c r="K5163">
        <v>418.98</v>
      </c>
      <c r="L5163" t="s">
        <v>12151</v>
      </c>
      <c r="M5163">
        <f>VLOOKUP(H5163,'Stage Order'!$A$2:$B$8,2,FALSE)</f>
        <v>7</v>
      </c>
      <c r="N5163" t="str">
        <f t="shared" si="160"/>
        <v>2. 1-24 hours</v>
      </c>
      <c r="O5163" t="str">
        <f t="shared" si="161"/>
        <v>2026-01</v>
      </c>
    </row>
    <row r="5164" spans="1:15" x14ac:dyDescent="0.3">
      <c r="A5164" t="s">
        <v>12152</v>
      </c>
      <c r="B5164" t="s">
        <v>12153</v>
      </c>
      <c r="C5164" t="s">
        <v>125</v>
      </c>
      <c r="D5164" t="s">
        <v>29</v>
      </c>
      <c r="E5164" t="s">
        <v>45</v>
      </c>
      <c r="F5164" t="s">
        <v>55</v>
      </c>
      <c r="G5164">
        <v>9.44</v>
      </c>
      <c r="H5164" t="s">
        <v>61</v>
      </c>
      <c r="I5164" t="s">
        <v>42</v>
      </c>
      <c r="M5164">
        <f>VLOOKUP(H5164,'Stage Order'!$A$2:$B$8,2,FALSE)</f>
        <v>1</v>
      </c>
      <c r="N5164" t="str">
        <f t="shared" si="160"/>
        <v>2. 1-24 hours</v>
      </c>
      <c r="O5164" t="str">
        <f t="shared" si="161"/>
        <v>2025-02</v>
      </c>
    </row>
    <row r="5165" spans="1:15" x14ac:dyDescent="0.3">
      <c r="A5165" t="s">
        <v>12154</v>
      </c>
      <c r="B5165" t="s">
        <v>12155</v>
      </c>
      <c r="C5165" t="s">
        <v>53</v>
      </c>
      <c r="D5165" t="s">
        <v>77</v>
      </c>
      <c r="E5165" t="s">
        <v>59</v>
      </c>
      <c r="F5165" t="s">
        <v>137</v>
      </c>
      <c r="G5165">
        <v>1.93</v>
      </c>
      <c r="H5165" t="s">
        <v>128</v>
      </c>
      <c r="I5165" t="s">
        <v>42</v>
      </c>
      <c r="M5165">
        <f>VLOOKUP(H5165,'Stage Order'!$A$2:$B$8,2,FALSE)</f>
        <v>3</v>
      </c>
      <c r="N5165" t="str">
        <f t="shared" si="160"/>
        <v>2. 1-24 hours</v>
      </c>
      <c r="O5165" t="str">
        <f t="shared" si="161"/>
        <v>2025-05</v>
      </c>
    </row>
    <row r="5166" spans="1:15" x14ac:dyDescent="0.3">
      <c r="A5166" t="s">
        <v>12156</v>
      </c>
      <c r="B5166" t="s">
        <v>12157</v>
      </c>
      <c r="C5166" t="s">
        <v>58</v>
      </c>
      <c r="D5166" t="s">
        <v>38</v>
      </c>
      <c r="E5166" t="s">
        <v>90</v>
      </c>
      <c r="F5166" t="s">
        <v>91</v>
      </c>
      <c r="G5166">
        <v>1.06</v>
      </c>
      <c r="H5166" t="s">
        <v>41</v>
      </c>
      <c r="I5166" t="s">
        <v>42</v>
      </c>
      <c r="M5166">
        <f>VLOOKUP(H5166,'Stage Order'!$A$2:$B$8,2,FALSE)</f>
        <v>2</v>
      </c>
      <c r="N5166" t="str">
        <f t="shared" si="160"/>
        <v>2. 1-24 hours</v>
      </c>
      <c r="O5166" t="str">
        <f t="shared" si="161"/>
        <v>2026-01</v>
      </c>
    </row>
    <row r="5167" spans="1:15" x14ac:dyDescent="0.3">
      <c r="A5167" t="s">
        <v>12158</v>
      </c>
      <c r="B5167" t="s">
        <v>12159</v>
      </c>
      <c r="C5167" t="s">
        <v>28</v>
      </c>
      <c r="D5167" t="s">
        <v>54</v>
      </c>
      <c r="E5167" t="s">
        <v>59</v>
      </c>
      <c r="F5167" t="s">
        <v>137</v>
      </c>
      <c r="G5167">
        <v>3.37</v>
      </c>
      <c r="H5167" t="s">
        <v>32</v>
      </c>
      <c r="I5167" t="s">
        <v>33</v>
      </c>
      <c r="K5167">
        <v>592.71</v>
      </c>
      <c r="L5167" t="s">
        <v>12160</v>
      </c>
      <c r="M5167">
        <f>VLOOKUP(H5167,'Stage Order'!$A$2:$B$8,2,FALSE)</f>
        <v>7</v>
      </c>
      <c r="N5167" t="str">
        <f t="shared" si="160"/>
        <v>2. 1-24 hours</v>
      </c>
      <c r="O5167" t="str">
        <f t="shared" si="161"/>
        <v>2025-01</v>
      </c>
    </row>
    <row r="5168" spans="1:15" x14ac:dyDescent="0.3">
      <c r="A5168" t="s">
        <v>12161</v>
      </c>
      <c r="B5168" t="s">
        <v>12162</v>
      </c>
      <c r="C5168" t="s">
        <v>53</v>
      </c>
      <c r="D5168" t="s">
        <v>77</v>
      </c>
      <c r="E5168" t="s">
        <v>45</v>
      </c>
      <c r="F5168" t="s">
        <v>46</v>
      </c>
      <c r="G5168">
        <v>1.1299999999999999</v>
      </c>
      <c r="H5168" t="s">
        <v>41</v>
      </c>
      <c r="I5168" t="s">
        <v>42</v>
      </c>
      <c r="M5168">
        <f>VLOOKUP(H5168,'Stage Order'!$A$2:$B$8,2,FALSE)</f>
        <v>2</v>
      </c>
      <c r="N5168" t="str">
        <f t="shared" si="160"/>
        <v>2. 1-24 hours</v>
      </c>
      <c r="O5168" t="str">
        <f t="shared" si="161"/>
        <v>2025-12</v>
      </c>
    </row>
    <row r="5169" spans="1:15" x14ac:dyDescent="0.3">
      <c r="A5169" t="s">
        <v>12163</v>
      </c>
      <c r="B5169" t="s">
        <v>12164</v>
      </c>
      <c r="C5169" t="s">
        <v>37</v>
      </c>
      <c r="D5169" t="s">
        <v>38</v>
      </c>
      <c r="E5169" t="s">
        <v>90</v>
      </c>
      <c r="F5169" t="s">
        <v>145</v>
      </c>
      <c r="G5169">
        <v>5.37</v>
      </c>
      <c r="H5169" t="s">
        <v>61</v>
      </c>
      <c r="I5169" t="s">
        <v>42</v>
      </c>
      <c r="M5169">
        <f>VLOOKUP(H5169,'Stage Order'!$A$2:$B$8,2,FALSE)</f>
        <v>1</v>
      </c>
      <c r="N5169" t="str">
        <f t="shared" si="160"/>
        <v>2. 1-24 hours</v>
      </c>
      <c r="O5169" t="str">
        <f t="shared" si="161"/>
        <v>2026-01</v>
      </c>
    </row>
    <row r="5170" spans="1:15" x14ac:dyDescent="0.3">
      <c r="A5170" t="s">
        <v>12165</v>
      </c>
      <c r="B5170" t="s">
        <v>12166</v>
      </c>
      <c r="C5170" t="s">
        <v>53</v>
      </c>
      <c r="D5170" t="s">
        <v>29</v>
      </c>
      <c r="E5170" t="s">
        <v>39</v>
      </c>
      <c r="F5170" t="s">
        <v>66</v>
      </c>
      <c r="G5170">
        <v>1.28</v>
      </c>
      <c r="H5170" t="s">
        <v>41</v>
      </c>
      <c r="I5170" t="s">
        <v>42</v>
      </c>
      <c r="M5170">
        <f>VLOOKUP(H5170,'Stage Order'!$A$2:$B$8,2,FALSE)</f>
        <v>2</v>
      </c>
      <c r="N5170" t="str">
        <f t="shared" si="160"/>
        <v>2. 1-24 hours</v>
      </c>
      <c r="O5170" t="str">
        <f t="shared" si="161"/>
        <v>2025-03</v>
      </c>
    </row>
    <row r="5171" spans="1:15" x14ac:dyDescent="0.3">
      <c r="A5171" t="s">
        <v>12167</v>
      </c>
      <c r="B5171" t="s">
        <v>12168</v>
      </c>
      <c r="C5171" t="s">
        <v>37</v>
      </c>
      <c r="D5171" t="s">
        <v>54</v>
      </c>
      <c r="E5171" t="s">
        <v>45</v>
      </c>
      <c r="F5171" t="s">
        <v>55</v>
      </c>
      <c r="G5171">
        <v>2.34</v>
      </c>
      <c r="H5171" t="s">
        <v>138</v>
      </c>
      <c r="I5171" t="s">
        <v>48</v>
      </c>
      <c r="J5171" t="s">
        <v>49</v>
      </c>
      <c r="K5171">
        <v>541.9</v>
      </c>
      <c r="L5171" t="s">
        <v>12169</v>
      </c>
      <c r="M5171">
        <f>VLOOKUP(H5171,'Stage Order'!$A$2:$B$8,2,FALSE)</f>
        <v>6</v>
      </c>
      <c r="N5171" t="str">
        <f t="shared" si="160"/>
        <v>2. 1-24 hours</v>
      </c>
      <c r="O5171" t="str">
        <f t="shared" si="161"/>
        <v>2025-03</v>
      </c>
    </row>
    <row r="5172" spans="1:15" x14ac:dyDescent="0.3">
      <c r="A5172" t="s">
        <v>12170</v>
      </c>
      <c r="B5172" t="s">
        <v>12171</v>
      </c>
      <c r="C5172" t="s">
        <v>76</v>
      </c>
      <c r="D5172" t="s">
        <v>54</v>
      </c>
      <c r="E5172" t="s">
        <v>90</v>
      </c>
      <c r="F5172" t="s">
        <v>112</v>
      </c>
      <c r="G5172">
        <v>3.15</v>
      </c>
      <c r="H5172" t="s">
        <v>146</v>
      </c>
      <c r="I5172" t="s">
        <v>48</v>
      </c>
      <c r="J5172" t="s">
        <v>113</v>
      </c>
      <c r="K5172">
        <v>462.32</v>
      </c>
      <c r="L5172" t="s">
        <v>12172</v>
      </c>
      <c r="M5172">
        <f>VLOOKUP(H5172,'Stage Order'!$A$2:$B$8,2,FALSE)</f>
        <v>5</v>
      </c>
      <c r="N5172" t="str">
        <f t="shared" si="160"/>
        <v>2. 1-24 hours</v>
      </c>
      <c r="O5172" t="str">
        <f t="shared" si="161"/>
        <v>2026-06</v>
      </c>
    </row>
    <row r="5173" spans="1:15" x14ac:dyDescent="0.3">
      <c r="A5173" t="s">
        <v>12173</v>
      </c>
      <c r="B5173" t="s">
        <v>12174</v>
      </c>
      <c r="C5173" t="s">
        <v>81</v>
      </c>
      <c r="D5173" t="s">
        <v>97</v>
      </c>
      <c r="E5173" t="s">
        <v>90</v>
      </c>
      <c r="F5173" t="s">
        <v>145</v>
      </c>
      <c r="G5173">
        <v>5.77</v>
      </c>
      <c r="H5173" t="s">
        <v>61</v>
      </c>
      <c r="I5173" t="s">
        <v>42</v>
      </c>
      <c r="M5173">
        <f>VLOOKUP(H5173,'Stage Order'!$A$2:$B$8,2,FALSE)</f>
        <v>1</v>
      </c>
      <c r="N5173" t="str">
        <f t="shared" si="160"/>
        <v>2. 1-24 hours</v>
      </c>
      <c r="O5173" t="str">
        <f t="shared" si="161"/>
        <v>2025-02</v>
      </c>
    </row>
    <row r="5174" spans="1:15" x14ac:dyDescent="0.3">
      <c r="A5174" t="s">
        <v>12175</v>
      </c>
      <c r="B5174" t="s">
        <v>12176</v>
      </c>
      <c r="C5174" t="s">
        <v>81</v>
      </c>
      <c r="D5174" t="s">
        <v>54</v>
      </c>
      <c r="E5174" t="s">
        <v>39</v>
      </c>
      <c r="F5174" t="s">
        <v>66</v>
      </c>
      <c r="G5174">
        <v>10.64</v>
      </c>
      <c r="H5174" t="s">
        <v>61</v>
      </c>
      <c r="I5174" t="s">
        <v>42</v>
      </c>
      <c r="M5174">
        <f>VLOOKUP(H5174,'Stage Order'!$A$2:$B$8,2,FALSE)</f>
        <v>1</v>
      </c>
      <c r="N5174" t="str">
        <f t="shared" si="160"/>
        <v>2. 1-24 hours</v>
      </c>
      <c r="O5174" t="str">
        <f t="shared" si="161"/>
        <v>2025-08</v>
      </c>
    </row>
    <row r="5175" spans="1:15" x14ac:dyDescent="0.3">
      <c r="A5175" t="s">
        <v>12177</v>
      </c>
      <c r="B5175" t="s">
        <v>12178</v>
      </c>
      <c r="C5175" t="s">
        <v>81</v>
      </c>
      <c r="D5175" t="s">
        <v>38</v>
      </c>
      <c r="E5175" t="s">
        <v>39</v>
      </c>
      <c r="F5175" t="s">
        <v>66</v>
      </c>
      <c r="G5175">
        <v>10.53</v>
      </c>
      <c r="H5175" t="s">
        <v>41</v>
      </c>
      <c r="I5175" t="s">
        <v>42</v>
      </c>
      <c r="M5175">
        <f>VLOOKUP(H5175,'Stage Order'!$A$2:$B$8,2,FALSE)</f>
        <v>2</v>
      </c>
      <c r="N5175" t="str">
        <f t="shared" si="160"/>
        <v>2. 1-24 hours</v>
      </c>
      <c r="O5175" t="str">
        <f t="shared" si="161"/>
        <v>2026-05</v>
      </c>
    </row>
    <row r="5176" spans="1:15" x14ac:dyDescent="0.3">
      <c r="A5176" t="s">
        <v>12179</v>
      </c>
      <c r="B5176" t="s">
        <v>12180</v>
      </c>
      <c r="C5176" t="s">
        <v>58</v>
      </c>
      <c r="D5176" t="s">
        <v>97</v>
      </c>
      <c r="E5176" t="s">
        <v>45</v>
      </c>
      <c r="F5176" t="s">
        <v>94</v>
      </c>
      <c r="G5176">
        <v>1.1100000000000001</v>
      </c>
      <c r="H5176" t="s">
        <v>41</v>
      </c>
      <c r="I5176" t="s">
        <v>42</v>
      </c>
      <c r="M5176">
        <f>VLOOKUP(H5176,'Stage Order'!$A$2:$B$8,2,FALSE)</f>
        <v>2</v>
      </c>
      <c r="N5176" t="str">
        <f t="shared" si="160"/>
        <v>2. 1-24 hours</v>
      </c>
      <c r="O5176" t="str">
        <f t="shared" si="161"/>
        <v>2026-06</v>
      </c>
    </row>
    <row r="5177" spans="1:15" x14ac:dyDescent="0.3">
      <c r="A5177" t="s">
        <v>12181</v>
      </c>
      <c r="B5177" t="s">
        <v>12182</v>
      </c>
      <c r="C5177" t="s">
        <v>53</v>
      </c>
      <c r="D5177" t="s">
        <v>54</v>
      </c>
      <c r="E5177" t="s">
        <v>59</v>
      </c>
      <c r="F5177" t="s">
        <v>137</v>
      </c>
      <c r="G5177">
        <v>1.03</v>
      </c>
      <c r="H5177" t="s">
        <v>41</v>
      </c>
      <c r="I5177" t="s">
        <v>42</v>
      </c>
      <c r="M5177">
        <f>VLOOKUP(H5177,'Stage Order'!$A$2:$B$8,2,FALSE)</f>
        <v>2</v>
      </c>
      <c r="N5177" t="str">
        <f t="shared" si="160"/>
        <v>2. 1-24 hours</v>
      </c>
      <c r="O5177" t="str">
        <f t="shared" si="161"/>
        <v>2025-08</v>
      </c>
    </row>
    <row r="5178" spans="1:15" x14ac:dyDescent="0.3">
      <c r="A5178" t="s">
        <v>12183</v>
      </c>
      <c r="B5178" t="s">
        <v>12184</v>
      </c>
      <c r="C5178" t="s">
        <v>37</v>
      </c>
      <c r="D5178" t="s">
        <v>29</v>
      </c>
      <c r="E5178" t="s">
        <v>59</v>
      </c>
      <c r="F5178" t="s">
        <v>60</v>
      </c>
      <c r="G5178">
        <v>2.63</v>
      </c>
      <c r="H5178" t="s">
        <v>41</v>
      </c>
      <c r="I5178" t="s">
        <v>42</v>
      </c>
      <c r="M5178">
        <f>VLOOKUP(H5178,'Stage Order'!$A$2:$B$8,2,FALSE)</f>
        <v>2</v>
      </c>
      <c r="N5178" t="str">
        <f t="shared" si="160"/>
        <v>2. 1-24 hours</v>
      </c>
      <c r="O5178" t="str">
        <f t="shared" si="161"/>
        <v>2025-10</v>
      </c>
    </row>
    <row r="5179" spans="1:15" x14ac:dyDescent="0.3">
      <c r="A5179" t="s">
        <v>12185</v>
      </c>
      <c r="B5179" t="s">
        <v>12186</v>
      </c>
      <c r="C5179" t="s">
        <v>53</v>
      </c>
      <c r="D5179" t="s">
        <v>77</v>
      </c>
      <c r="E5179" t="s">
        <v>39</v>
      </c>
      <c r="F5179" t="s">
        <v>40</v>
      </c>
      <c r="G5179">
        <v>6.02</v>
      </c>
      <c r="H5179" t="s">
        <v>41</v>
      </c>
      <c r="I5179" t="s">
        <v>42</v>
      </c>
      <c r="M5179">
        <f>VLOOKUP(H5179,'Stage Order'!$A$2:$B$8,2,FALSE)</f>
        <v>2</v>
      </c>
      <c r="N5179" t="str">
        <f t="shared" si="160"/>
        <v>2. 1-24 hours</v>
      </c>
      <c r="O5179" t="str">
        <f t="shared" si="161"/>
        <v>2025-02</v>
      </c>
    </row>
    <row r="5180" spans="1:15" x14ac:dyDescent="0.3">
      <c r="A5180" t="s">
        <v>12187</v>
      </c>
      <c r="B5180" t="s">
        <v>12188</v>
      </c>
      <c r="C5180" t="s">
        <v>125</v>
      </c>
      <c r="D5180" t="s">
        <v>54</v>
      </c>
      <c r="E5180" t="s">
        <v>45</v>
      </c>
      <c r="F5180" t="s">
        <v>46</v>
      </c>
      <c r="G5180">
        <v>3.33</v>
      </c>
      <c r="H5180" t="s">
        <v>41</v>
      </c>
      <c r="I5180" t="s">
        <v>42</v>
      </c>
      <c r="M5180">
        <f>VLOOKUP(H5180,'Stage Order'!$A$2:$B$8,2,FALSE)</f>
        <v>2</v>
      </c>
      <c r="N5180" t="str">
        <f t="shared" si="160"/>
        <v>2. 1-24 hours</v>
      </c>
      <c r="O5180" t="str">
        <f t="shared" si="161"/>
        <v>2025-08</v>
      </c>
    </row>
    <row r="5181" spans="1:15" x14ac:dyDescent="0.3">
      <c r="A5181" t="s">
        <v>12189</v>
      </c>
      <c r="B5181" t="s">
        <v>12190</v>
      </c>
      <c r="C5181" t="s">
        <v>58</v>
      </c>
      <c r="D5181" t="s">
        <v>38</v>
      </c>
      <c r="E5181" t="s">
        <v>90</v>
      </c>
      <c r="F5181" t="s">
        <v>91</v>
      </c>
      <c r="G5181">
        <v>0.75</v>
      </c>
      <c r="H5181" t="s">
        <v>41</v>
      </c>
      <c r="I5181" t="s">
        <v>42</v>
      </c>
      <c r="M5181">
        <f>VLOOKUP(H5181,'Stage Order'!$A$2:$B$8,2,FALSE)</f>
        <v>2</v>
      </c>
      <c r="N5181" t="str">
        <f t="shared" si="160"/>
        <v>1. Under 1 hour</v>
      </c>
      <c r="O5181" t="str">
        <f t="shared" si="161"/>
        <v>2025-11</v>
      </c>
    </row>
    <row r="5182" spans="1:15" x14ac:dyDescent="0.3">
      <c r="A5182" t="s">
        <v>12191</v>
      </c>
      <c r="B5182" t="s">
        <v>12192</v>
      </c>
      <c r="C5182" t="s">
        <v>53</v>
      </c>
      <c r="D5182" t="s">
        <v>54</v>
      </c>
      <c r="E5182" t="s">
        <v>30</v>
      </c>
      <c r="F5182" t="s">
        <v>31</v>
      </c>
      <c r="G5182">
        <v>2.7</v>
      </c>
      <c r="H5182" t="s">
        <v>41</v>
      </c>
      <c r="I5182" t="s">
        <v>42</v>
      </c>
      <c r="M5182">
        <f>VLOOKUP(H5182,'Stage Order'!$A$2:$B$8,2,FALSE)</f>
        <v>2</v>
      </c>
      <c r="N5182" t="str">
        <f t="shared" si="160"/>
        <v>2. 1-24 hours</v>
      </c>
      <c r="O5182" t="str">
        <f t="shared" si="161"/>
        <v>2026-01</v>
      </c>
    </row>
    <row r="5183" spans="1:15" x14ac:dyDescent="0.3">
      <c r="A5183" t="s">
        <v>12193</v>
      </c>
      <c r="B5183" t="s">
        <v>12194</v>
      </c>
      <c r="C5183" t="s">
        <v>58</v>
      </c>
      <c r="D5183" t="s">
        <v>54</v>
      </c>
      <c r="E5183" t="s">
        <v>39</v>
      </c>
      <c r="F5183" t="s">
        <v>66</v>
      </c>
      <c r="G5183">
        <v>8.7899999999999991</v>
      </c>
      <c r="H5183" t="s">
        <v>61</v>
      </c>
      <c r="I5183" t="s">
        <v>42</v>
      </c>
      <c r="M5183">
        <f>VLOOKUP(H5183,'Stage Order'!$A$2:$B$8,2,FALSE)</f>
        <v>1</v>
      </c>
      <c r="N5183" t="str">
        <f t="shared" si="160"/>
        <v>2. 1-24 hours</v>
      </c>
      <c r="O5183" t="str">
        <f t="shared" si="161"/>
        <v>2025-02</v>
      </c>
    </row>
    <row r="5184" spans="1:15" x14ac:dyDescent="0.3">
      <c r="A5184" t="s">
        <v>12195</v>
      </c>
      <c r="B5184" t="s">
        <v>12196</v>
      </c>
      <c r="C5184" t="s">
        <v>81</v>
      </c>
      <c r="D5184" t="s">
        <v>54</v>
      </c>
      <c r="E5184" t="s">
        <v>90</v>
      </c>
      <c r="F5184" t="s">
        <v>91</v>
      </c>
      <c r="G5184">
        <v>4.0199999999999996</v>
      </c>
      <c r="H5184" t="s">
        <v>61</v>
      </c>
      <c r="I5184" t="s">
        <v>42</v>
      </c>
      <c r="M5184">
        <f>VLOOKUP(H5184,'Stage Order'!$A$2:$B$8,2,FALSE)</f>
        <v>1</v>
      </c>
      <c r="N5184" t="str">
        <f t="shared" si="160"/>
        <v>2. 1-24 hours</v>
      </c>
      <c r="O5184" t="str">
        <f t="shared" si="161"/>
        <v>2025-11</v>
      </c>
    </row>
    <row r="5185" spans="1:15" x14ac:dyDescent="0.3">
      <c r="A5185" t="s">
        <v>12197</v>
      </c>
      <c r="B5185" t="s">
        <v>12198</v>
      </c>
      <c r="C5185" t="s">
        <v>37</v>
      </c>
      <c r="D5185" t="s">
        <v>29</v>
      </c>
      <c r="E5185" t="s">
        <v>45</v>
      </c>
      <c r="F5185" t="s">
        <v>55</v>
      </c>
      <c r="G5185">
        <v>1.1399999999999999</v>
      </c>
      <c r="H5185" t="s">
        <v>41</v>
      </c>
      <c r="I5185" t="s">
        <v>42</v>
      </c>
      <c r="M5185">
        <f>VLOOKUP(H5185,'Stage Order'!$A$2:$B$8,2,FALSE)</f>
        <v>2</v>
      </c>
      <c r="N5185" t="str">
        <f t="shared" si="160"/>
        <v>2. 1-24 hours</v>
      </c>
      <c r="O5185" t="str">
        <f t="shared" si="161"/>
        <v>2025-10</v>
      </c>
    </row>
    <row r="5186" spans="1:15" x14ac:dyDescent="0.3">
      <c r="A5186" t="s">
        <v>12199</v>
      </c>
      <c r="B5186" t="s">
        <v>12200</v>
      </c>
      <c r="C5186" t="s">
        <v>125</v>
      </c>
      <c r="D5186" t="s">
        <v>54</v>
      </c>
      <c r="E5186" t="s">
        <v>45</v>
      </c>
      <c r="F5186" t="s">
        <v>46</v>
      </c>
      <c r="G5186">
        <v>4.93</v>
      </c>
      <c r="H5186" t="s">
        <v>138</v>
      </c>
      <c r="I5186" t="s">
        <v>48</v>
      </c>
      <c r="J5186" t="s">
        <v>113</v>
      </c>
      <c r="K5186">
        <v>522.45000000000005</v>
      </c>
      <c r="L5186" t="s">
        <v>12201</v>
      </c>
      <c r="M5186">
        <f>VLOOKUP(H5186,'Stage Order'!$A$2:$B$8,2,FALSE)</f>
        <v>6</v>
      </c>
      <c r="N5186" t="str">
        <f t="shared" ref="N5186:N5249" si="162">IF(G5186&lt;=1,"1. Under 1 hour",IF(G5186&lt;=24,"2. 1-24 hours",IF(G5186&lt;=72,"3. 1-3 days","4. Over 3 days")))</f>
        <v>2. 1-24 hours</v>
      </c>
      <c r="O5186" t="str">
        <f t="shared" ref="O5186:O5249" si="163">TEXT(B5186,"YYYY-MM")</f>
        <v>2025-05</v>
      </c>
    </row>
    <row r="5187" spans="1:15" x14ac:dyDescent="0.3">
      <c r="A5187" t="s">
        <v>12202</v>
      </c>
      <c r="B5187" t="s">
        <v>12203</v>
      </c>
      <c r="C5187" t="s">
        <v>58</v>
      </c>
      <c r="D5187" t="s">
        <v>77</v>
      </c>
      <c r="E5187" t="s">
        <v>90</v>
      </c>
      <c r="F5187" t="s">
        <v>145</v>
      </c>
      <c r="G5187">
        <v>21.9</v>
      </c>
      <c r="H5187" t="s">
        <v>41</v>
      </c>
      <c r="I5187" t="s">
        <v>42</v>
      </c>
      <c r="M5187">
        <f>VLOOKUP(H5187,'Stage Order'!$A$2:$B$8,2,FALSE)</f>
        <v>2</v>
      </c>
      <c r="N5187" t="str">
        <f t="shared" si="162"/>
        <v>2. 1-24 hours</v>
      </c>
      <c r="O5187" t="str">
        <f t="shared" si="163"/>
        <v>2025-08</v>
      </c>
    </row>
    <row r="5188" spans="1:15" x14ac:dyDescent="0.3">
      <c r="A5188" t="s">
        <v>12204</v>
      </c>
      <c r="B5188" t="s">
        <v>12205</v>
      </c>
      <c r="C5188" t="s">
        <v>125</v>
      </c>
      <c r="D5188" t="s">
        <v>54</v>
      </c>
      <c r="E5188" t="s">
        <v>90</v>
      </c>
      <c r="F5188" t="s">
        <v>145</v>
      </c>
      <c r="G5188">
        <v>1.38</v>
      </c>
      <c r="H5188" t="s">
        <v>128</v>
      </c>
      <c r="I5188" t="s">
        <v>42</v>
      </c>
      <c r="M5188">
        <f>VLOOKUP(H5188,'Stage Order'!$A$2:$B$8,2,FALSE)</f>
        <v>3</v>
      </c>
      <c r="N5188" t="str">
        <f t="shared" si="162"/>
        <v>2. 1-24 hours</v>
      </c>
      <c r="O5188" t="str">
        <f t="shared" si="163"/>
        <v>2026-02</v>
      </c>
    </row>
    <row r="5189" spans="1:15" x14ac:dyDescent="0.3">
      <c r="A5189" t="s">
        <v>12206</v>
      </c>
      <c r="B5189" t="s">
        <v>12207</v>
      </c>
      <c r="C5189" t="s">
        <v>125</v>
      </c>
      <c r="D5189" t="s">
        <v>77</v>
      </c>
      <c r="E5189" t="s">
        <v>39</v>
      </c>
      <c r="F5189" t="s">
        <v>66</v>
      </c>
      <c r="G5189">
        <v>9.09</v>
      </c>
      <c r="H5189" t="s">
        <v>61</v>
      </c>
      <c r="I5189" t="s">
        <v>42</v>
      </c>
      <c r="M5189">
        <f>VLOOKUP(H5189,'Stage Order'!$A$2:$B$8,2,FALSE)</f>
        <v>1</v>
      </c>
      <c r="N5189" t="str">
        <f t="shared" si="162"/>
        <v>2. 1-24 hours</v>
      </c>
      <c r="O5189" t="str">
        <f t="shared" si="163"/>
        <v>2026-02</v>
      </c>
    </row>
    <row r="5190" spans="1:15" x14ac:dyDescent="0.3">
      <c r="A5190" t="s">
        <v>12208</v>
      </c>
      <c r="B5190" t="s">
        <v>12209</v>
      </c>
      <c r="C5190" t="s">
        <v>37</v>
      </c>
      <c r="D5190" t="s">
        <v>38</v>
      </c>
      <c r="E5190" t="s">
        <v>45</v>
      </c>
      <c r="F5190" t="s">
        <v>55</v>
      </c>
      <c r="G5190">
        <v>15.18</v>
      </c>
      <c r="H5190" t="s">
        <v>41</v>
      </c>
      <c r="I5190" t="s">
        <v>42</v>
      </c>
      <c r="M5190">
        <f>VLOOKUP(H5190,'Stage Order'!$A$2:$B$8,2,FALSE)</f>
        <v>2</v>
      </c>
      <c r="N5190" t="str">
        <f t="shared" si="162"/>
        <v>2. 1-24 hours</v>
      </c>
      <c r="O5190" t="str">
        <f t="shared" si="163"/>
        <v>2025-02</v>
      </c>
    </row>
    <row r="5191" spans="1:15" x14ac:dyDescent="0.3">
      <c r="A5191" t="s">
        <v>12210</v>
      </c>
      <c r="B5191" t="s">
        <v>12211</v>
      </c>
      <c r="C5191" t="s">
        <v>125</v>
      </c>
      <c r="D5191" t="s">
        <v>38</v>
      </c>
      <c r="E5191" t="s">
        <v>45</v>
      </c>
      <c r="F5191" t="s">
        <v>46</v>
      </c>
      <c r="G5191">
        <v>3.78</v>
      </c>
      <c r="H5191" t="s">
        <v>41</v>
      </c>
      <c r="I5191" t="s">
        <v>42</v>
      </c>
      <c r="M5191">
        <f>VLOOKUP(H5191,'Stage Order'!$A$2:$B$8,2,FALSE)</f>
        <v>2</v>
      </c>
      <c r="N5191" t="str">
        <f t="shared" si="162"/>
        <v>2. 1-24 hours</v>
      </c>
      <c r="O5191" t="str">
        <f t="shared" si="163"/>
        <v>2025-12</v>
      </c>
    </row>
    <row r="5192" spans="1:15" x14ac:dyDescent="0.3">
      <c r="A5192" t="s">
        <v>12212</v>
      </c>
      <c r="B5192" t="s">
        <v>12213</v>
      </c>
      <c r="C5192" t="s">
        <v>28</v>
      </c>
      <c r="D5192" t="s">
        <v>77</v>
      </c>
      <c r="E5192" t="s">
        <v>59</v>
      </c>
      <c r="F5192" t="s">
        <v>60</v>
      </c>
      <c r="G5192">
        <v>0.54</v>
      </c>
      <c r="H5192" t="s">
        <v>41</v>
      </c>
      <c r="I5192" t="s">
        <v>42</v>
      </c>
      <c r="M5192">
        <f>VLOOKUP(H5192,'Stage Order'!$A$2:$B$8,2,FALSE)</f>
        <v>2</v>
      </c>
      <c r="N5192" t="str">
        <f t="shared" si="162"/>
        <v>1. Under 1 hour</v>
      </c>
      <c r="O5192" t="str">
        <f t="shared" si="163"/>
        <v>2025-04</v>
      </c>
    </row>
    <row r="5193" spans="1:15" x14ac:dyDescent="0.3">
      <c r="A5193" t="s">
        <v>12214</v>
      </c>
      <c r="B5193" t="s">
        <v>12215</v>
      </c>
      <c r="C5193" t="s">
        <v>81</v>
      </c>
      <c r="D5193" t="s">
        <v>54</v>
      </c>
      <c r="E5193" t="s">
        <v>59</v>
      </c>
      <c r="F5193" t="s">
        <v>137</v>
      </c>
      <c r="G5193">
        <v>4.01</v>
      </c>
      <c r="H5193" t="s">
        <v>61</v>
      </c>
      <c r="I5193" t="s">
        <v>42</v>
      </c>
      <c r="M5193">
        <f>VLOOKUP(H5193,'Stage Order'!$A$2:$B$8,2,FALSE)</f>
        <v>1</v>
      </c>
      <c r="N5193" t="str">
        <f t="shared" si="162"/>
        <v>2. 1-24 hours</v>
      </c>
      <c r="O5193" t="str">
        <f t="shared" si="163"/>
        <v>2025-12</v>
      </c>
    </row>
    <row r="5194" spans="1:15" x14ac:dyDescent="0.3">
      <c r="A5194" t="s">
        <v>12216</v>
      </c>
      <c r="B5194" t="s">
        <v>12217</v>
      </c>
      <c r="C5194" t="s">
        <v>81</v>
      </c>
      <c r="D5194" t="s">
        <v>54</v>
      </c>
      <c r="E5194" t="s">
        <v>45</v>
      </c>
      <c r="F5194" t="s">
        <v>55</v>
      </c>
      <c r="G5194">
        <v>1.48</v>
      </c>
      <c r="H5194" t="s">
        <v>128</v>
      </c>
      <c r="I5194" t="s">
        <v>42</v>
      </c>
      <c r="M5194">
        <f>VLOOKUP(H5194,'Stage Order'!$A$2:$B$8,2,FALSE)</f>
        <v>3</v>
      </c>
      <c r="N5194" t="str">
        <f t="shared" si="162"/>
        <v>2. 1-24 hours</v>
      </c>
      <c r="O5194" t="str">
        <f t="shared" si="163"/>
        <v>2025-02</v>
      </c>
    </row>
    <row r="5195" spans="1:15" x14ac:dyDescent="0.3">
      <c r="A5195" t="s">
        <v>12218</v>
      </c>
      <c r="B5195" t="s">
        <v>12219</v>
      </c>
      <c r="C5195" t="s">
        <v>53</v>
      </c>
      <c r="D5195" t="s">
        <v>77</v>
      </c>
      <c r="E5195" t="s">
        <v>39</v>
      </c>
      <c r="F5195" t="s">
        <v>40</v>
      </c>
      <c r="G5195">
        <v>16.149999999999999</v>
      </c>
      <c r="H5195" t="s">
        <v>32</v>
      </c>
      <c r="I5195" t="s">
        <v>33</v>
      </c>
      <c r="K5195">
        <v>958.3</v>
      </c>
      <c r="L5195" t="s">
        <v>12220</v>
      </c>
      <c r="M5195">
        <f>VLOOKUP(H5195,'Stage Order'!$A$2:$B$8,2,FALSE)</f>
        <v>7</v>
      </c>
      <c r="N5195" t="str">
        <f t="shared" si="162"/>
        <v>2. 1-24 hours</v>
      </c>
      <c r="O5195" t="str">
        <f t="shared" si="163"/>
        <v>2025-05</v>
      </c>
    </row>
    <row r="5196" spans="1:15" x14ac:dyDescent="0.3">
      <c r="A5196" t="s">
        <v>12221</v>
      </c>
      <c r="B5196" t="s">
        <v>12222</v>
      </c>
      <c r="C5196" t="s">
        <v>37</v>
      </c>
      <c r="D5196" t="s">
        <v>29</v>
      </c>
      <c r="E5196" t="s">
        <v>90</v>
      </c>
      <c r="F5196" t="s">
        <v>112</v>
      </c>
      <c r="G5196">
        <v>10.199999999999999</v>
      </c>
      <c r="H5196" t="s">
        <v>41</v>
      </c>
      <c r="I5196" t="s">
        <v>42</v>
      </c>
      <c r="M5196">
        <f>VLOOKUP(H5196,'Stage Order'!$A$2:$B$8,2,FALSE)</f>
        <v>2</v>
      </c>
      <c r="N5196" t="str">
        <f t="shared" si="162"/>
        <v>2. 1-24 hours</v>
      </c>
      <c r="O5196" t="str">
        <f t="shared" si="163"/>
        <v>2026-01</v>
      </c>
    </row>
    <row r="5197" spans="1:15" x14ac:dyDescent="0.3">
      <c r="A5197" t="s">
        <v>12223</v>
      </c>
      <c r="B5197" t="s">
        <v>12224</v>
      </c>
      <c r="C5197" t="s">
        <v>28</v>
      </c>
      <c r="D5197" t="s">
        <v>97</v>
      </c>
      <c r="E5197" t="s">
        <v>90</v>
      </c>
      <c r="F5197" t="s">
        <v>112</v>
      </c>
      <c r="G5197">
        <v>0.68</v>
      </c>
      <c r="H5197" t="s">
        <v>41</v>
      </c>
      <c r="I5197" t="s">
        <v>42</v>
      </c>
      <c r="M5197">
        <f>VLOOKUP(H5197,'Stage Order'!$A$2:$B$8,2,FALSE)</f>
        <v>2</v>
      </c>
      <c r="N5197" t="str">
        <f t="shared" si="162"/>
        <v>1. Under 1 hour</v>
      </c>
      <c r="O5197" t="str">
        <f t="shared" si="163"/>
        <v>2026-05</v>
      </c>
    </row>
    <row r="5198" spans="1:15" x14ac:dyDescent="0.3">
      <c r="A5198" t="s">
        <v>12225</v>
      </c>
      <c r="B5198" t="s">
        <v>12226</v>
      </c>
      <c r="C5198" t="s">
        <v>37</v>
      </c>
      <c r="D5198" t="s">
        <v>54</v>
      </c>
      <c r="E5198" t="s">
        <v>45</v>
      </c>
      <c r="F5198" t="s">
        <v>94</v>
      </c>
      <c r="G5198">
        <v>0.39</v>
      </c>
      <c r="H5198" t="s">
        <v>41</v>
      </c>
      <c r="I5198" t="s">
        <v>42</v>
      </c>
      <c r="M5198">
        <f>VLOOKUP(H5198,'Stage Order'!$A$2:$B$8,2,FALSE)</f>
        <v>2</v>
      </c>
      <c r="N5198" t="str">
        <f t="shared" si="162"/>
        <v>1. Under 1 hour</v>
      </c>
      <c r="O5198" t="str">
        <f t="shared" si="163"/>
        <v>2025-02</v>
      </c>
    </row>
    <row r="5199" spans="1:15" x14ac:dyDescent="0.3">
      <c r="A5199" t="s">
        <v>12227</v>
      </c>
      <c r="B5199" t="s">
        <v>12228</v>
      </c>
      <c r="C5199" t="s">
        <v>37</v>
      </c>
      <c r="D5199" t="s">
        <v>54</v>
      </c>
      <c r="E5199" t="s">
        <v>45</v>
      </c>
      <c r="F5199" t="s">
        <v>94</v>
      </c>
      <c r="G5199">
        <v>4.26</v>
      </c>
      <c r="H5199" t="s">
        <v>138</v>
      </c>
      <c r="I5199" t="s">
        <v>48</v>
      </c>
      <c r="J5199" t="s">
        <v>139</v>
      </c>
      <c r="K5199">
        <v>408.04</v>
      </c>
      <c r="L5199" t="s">
        <v>12229</v>
      </c>
      <c r="M5199">
        <f>VLOOKUP(H5199,'Stage Order'!$A$2:$B$8,2,FALSE)</f>
        <v>6</v>
      </c>
      <c r="N5199" t="str">
        <f t="shared" si="162"/>
        <v>2. 1-24 hours</v>
      </c>
      <c r="O5199" t="str">
        <f t="shared" si="163"/>
        <v>2025-03</v>
      </c>
    </row>
    <row r="5200" spans="1:15" x14ac:dyDescent="0.3">
      <c r="A5200" t="s">
        <v>12230</v>
      </c>
      <c r="B5200" t="s">
        <v>12231</v>
      </c>
      <c r="C5200" t="s">
        <v>125</v>
      </c>
      <c r="D5200" t="s">
        <v>77</v>
      </c>
      <c r="E5200" t="s">
        <v>59</v>
      </c>
      <c r="F5200" t="s">
        <v>137</v>
      </c>
      <c r="G5200">
        <v>5.3</v>
      </c>
      <c r="H5200" t="s">
        <v>138</v>
      </c>
      <c r="I5200" t="s">
        <v>48</v>
      </c>
      <c r="J5200" t="s">
        <v>139</v>
      </c>
      <c r="K5200">
        <v>950.63</v>
      </c>
      <c r="L5200" t="s">
        <v>12232</v>
      </c>
      <c r="M5200">
        <f>VLOOKUP(H5200,'Stage Order'!$A$2:$B$8,2,FALSE)</f>
        <v>6</v>
      </c>
      <c r="N5200" t="str">
        <f t="shared" si="162"/>
        <v>2. 1-24 hours</v>
      </c>
      <c r="O5200" t="str">
        <f t="shared" si="163"/>
        <v>2025-10</v>
      </c>
    </row>
    <row r="5201" spans="1:15" x14ac:dyDescent="0.3">
      <c r="A5201" t="s">
        <v>12233</v>
      </c>
      <c r="B5201" t="s">
        <v>12234</v>
      </c>
      <c r="C5201" t="s">
        <v>37</v>
      </c>
      <c r="D5201" t="s">
        <v>38</v>
      </c>
      <c r="E5201" t="s">
        <v>39</v>
      </c>
      <c r="F5201" t="s">
        <v>40</v>
      </c>
      <c r="G5201">
        <v>2.0699999999999998</v>
      </c>
      <c r="H5201" t="s">
        <v>41</v>
      </c>
      <c r="I5201" t="s">
        <v>42</v>
      </c>
      <c r="M5201">
        <f>VLOOKUP(H5201,'Stage Order'!$A$2:$B$8,2,FALSE)</f>
        <v>2</v>
      </c>
      <c r="N5201" t="str">
        <f t="shared" si="162"/>
        <v>2. 1-24 hours</v>
      </c>
      <c r="O5201" t="str">
        <f t="shared" si="163"/>
        <v>2026-04</v>
      </c>
    </row>
    <row r="5202" spans="1:15" x14ac:dyDescent="0.3">
      <c r="A5202" t="s">
        <v>12235</v>
      </c>
      <c r="B5202" t="s">
        <v>12236</v>
      </c>
      <c r="C5202" t="s">
        <v>58</v>
      </c>
      <c r="D5202" t="s">
        <v>38</v>
      </c>
      <c r="E5202" t="s">
        <v>59</v>
      </c>
      <c r="F5202" t="s">
        <v>117</v>
      </c>
      <c r="G5202">
        <v>2.08</v>
      </c>
      <c r="H5202" t="s">
        <v>32</v>
      </c>
      <c r="I5202" t="s">
        <v>33</v>
      </c>
      <c r="K5202">
        <v>401.07</v>
      </c>
      <c r="L5202" t="s">
        <v>12237</v>
      </c>
      <c r="M5202">
        <f>VLOOKUP(H5202,'Stage Order'!$A$2:$B$8,2,FALSE)</f>
        <v>7</v>
      </c>
      <c r="N5202" t="str">
        <f t="shared" si="162"/>
        <v>2. 1-24 hours</v>
      </c>
      <c r="O5202" t="str">
        <f t="shared" si="163"/>
        <v>2025-01</v>
      </c>
    </row>
    <row r="5203" spans="1:15" x14ac:dyDescent="0.3">
      <c r="A5203" t="s">
        <v>12238</v>
      </c>
      <c r="B5203" t="s">
        <v>12239</v>
      </c>
      <c r="C5203" t="s">
        <v>53</v>
      </c>
      <c r="D5203" t="s">
        <v>54</v>
      </c>
      <c r="E5203" t="s">
        <v>59</v>
      </c>
      <c r="F5203" t="s">
        <v>60</v>
      </c>
      <c r="G5203">
        <v>6.12</v>
      </c>
      <c r="H5203" t="s">
        <v>138</v>
      </c>
      <c r="I5203" t="s">
        <v>48</v>
      </c>
      <c r="J5203" t="s">
        <v>49</v>
      </c>
      <c r="K5203">
        <v>515.47</v>
      </c>
      <c r="L5203" t="s">
        <v>12240</v>
      </c>
      <c r="M5203">
        <f>VLOOKUP(H5203,'Stage Order'!$A$2:$B$8,2,FALSE)</f>
        <v>6</v>
      </c>
      <c r="N5203" t="str">
        <f t="shared" si="162"/>
        <v>2. 1-24 hours</v>
      </c>
      <c r="O5203" t="str">
        <f t="shared" si="163"/>
        <v>2025-09</v>
      </c>
    </row>
    <row r="5204" spans="1:15" x14ac:dyDescent="0.3">
      <c r="A5204" t="s">
        <v>12241</v>
      </c>
      <c r="B5204" t="s">
        <v>12242</v>
      </c>
      <c r="C5204" t="s">
        <v>125</v>
      </c>
      <c r="D5204" t="s">
        <v>77</v>
      </c>
      <c r="E5204" t="s">
        <v>45</v>
      </c>
      <c r="F5204" t="s">
        <v>94</v>
      </c>
      <c r="G5204">
        <v>4.71</v>
      </c>
      <c r="H5204" t="s">
        <v>32</v>
      </c>
      <c r="I5204" t="s">
        <v>33</v>
      </c>
      <c r="K5204">
        <v>894.98</v>
      </c>
      <c r="L5204" t="s">
        <v>12243</v>
      </c>
      <c r="M5204">
        <f>VLOOKUP(H5204,'Stage Order'!$A$2:$B$8,2,FALSE)</f>
        <v>7</v>
      </c>
      <c r="N5204" t="str">
        <f t="shared" si="162"/>
        <v>2. 1-24 hours</v>
      </c>
      <c r="O5204" t="str">
        <f t="shared" si="163"/>
        <v>2025-09</v>
      </c>
    </row>
    <row r="5205" spans="1:15" x14ac:dyDescent="0.3">
      <c r="A5205" t="s">
        <v>12244</v>
      </c>
      <c r="B5205" t="s">
        <v>12245</v>
      </c>
      <c r="C5205" t="s">
        <v>125</v>
      </c>
      <c r="D5205" t="s">
        <v>77</v>
      </c>
      <c r="E5205" t="s">
        <v>45</v>
      </c>
      <c r="F5205" t="s">
        <v>46</v>
      </c>
      <c r="G5205">
        <v>11.79</v>
      </c>
      <c r="H5205" t="s">
        <v>146</v>
      </c>
      <c r="I5205" t="s">
        <v>48</v>
      </c>
      <c r="J5205" t="s">
        <v>49</v>
      </c>
      <c r="K5205">
        <v>969.35</v>
      </c>
      <c r="L5205" t="s">
        <v>12246</v>
      </c>
      <c r="M5205">
        <f>VLOOKUP(H5205,'Stage Order'!$A$2:$B$8,2,FALSE)</f>
        <v>5</v>
      </c>
      <c r="N5205" t="str">
        <f t="shared" si="162"/>
        <v>2. 1-24 hours</v>
      </c>
      <c r="O5205" t="str">
        <f t="shared" si="163"/>
        <v>2025-07</v>
      </c>
    </row>
    <row r="5206" spans="1:15" x14ac:dyDescent="0.3">
      <c r="A5206" t="s">
        <v>12247</v>
      </c>
      <c r="B5206" t="s">
        <v>12248</v>
      </c>
      <c r="C5206" t="s">
        <v>28</v>
      </c>
      <c r="D5206" t="s">
        <v>29</v>
      </c>
      <c r="E5206" t="s">
        <v>90</v>
      </c>
      <c r="F5206" t="s">
        <v>145</v>
      </c>
      <c r="G5206">
        <v>0.77</v>
      </c>
      <c r="H5206" t="s">
        <v>41</v>
      </c>
      <c r="I5206" t="s">
        <v>42</v>
      </c>
      <c r="M5206">
        <f>VLOOKUP(H5206,'Stage Order'!$A$2:$B$8,2,FALSE)</f>
        <v>2</v>
      </c>
      <c r="N5206" t="str">
        <f t="shared" si="162"/>
        <v>1. Under 1 hour</v>
      </c>
      <c r="O5206" t="str">
        <f t="shared" si="163"/>
        <v>2025-04</v>
      </c>
    </row>
    <row r="5207" spans="1:15" x14ac:dyDescent="0.3">
      <c r="A5207" t="s">
        <v>12249</v>
      </c>
      <c r="B5207" t="s">
        <v>12250</v>
      </c>
      <c r="C5207" t="s">
        <v>28</v>
      </c>
      <c r="D5207" t="s">
        <v>38</v>
      </c>
      <c r="E5207" t="s">
        <v>45</v>
      </c>
      <c r="F5207" t="s">
        <v>46</v>
      </c>
      <c r="G5207">
        <v>0.73</v>
      </c>
      <c r="H5207" t="s">
        <v>41</v>
      </c>
      <c r="I5207" t="s">
        <v>42</v>
      </c>
      <c r="M5207">
        <f>VLOOKUP(H5207,'Stage Order'!$A$2:$B$8,2,FALSE)</f>
        <v>2</v>
      </c>
      <c r="N5207" t="str">
        <f t="shared" si="162"/>
        <v>1. Under 1 hour</v>
      </c>
      <c r="O5207" t="str">
        <f t="shared" si="163"/>
        <v>2025-09</v>
      </c>
    </row>
    <row r="5208" spans="1:15" x14ac:dyDescent="0.3">
      <c r="A5208" t="s">
        <v>12251</v>
      </c>
      <c r="B5208" t="s">
        <v>12252</v>
      </c>
      <c r="C5208" t="s">
        <v>58</v>
      </c>
      <c r="D5208" t="s">
        <v>54</v>
      </c>
      <c r="E5208" t="s">
        <v>90</v>
      </c>
      <c r="F5208" t="s">
        <v>145</v>
      </c>
      <c r="G5208">
        <v>1.1599999999999999</v>
      </c>
      <c r="H5208" t="s">
        <v>128</v>
      </c>
      <c r="I5208" t="s">
        <v>42</v>
      </c>
      <c r="M5208">
        <f>VLOOKUP(H5208,'Stage Order'!$A$2:$B$8,2,FALSE)</f>
        <v>3</v>
      </c>
      <c r="N5208" t="str">
        <f t="shared" si="162"/>
        <v>2. 1-24 hours</v>
      </c>
      <c r="O5208" t="str">
        <f t="shared" si="163"/>
        <v>2025-04</v>
      </c>
    </row>
    <row r="5209" spans="1:15" x14ac:dyDescent="0.3">
      <c r="A5209" t="s">
        <v>12253</v>
      </c>
      <c r="B5209" t="s">
        <v>12254</v>
      </c>
      <c r="C5209" t="s">
        <v>81</v>
      </c>
      <c r="D5209" t="s">
        <v>29</v>
      </c>
      <c r="E5209" t="s">
        <v>45</v>
      </c>
      <c r="F5209" t="s">
        <v>46</v>
      </c>
      <c r="G5209">
        <v>0.45</v>
      </c>
      <c r="H5209" t="s">
        <v>41</v>
      </c>
      <c r="I5209" t="s">
        <v>42</v>
      </c>
      <c r="M5209">
        <f>VLOOKUP(H5209,'Stage Order'!$A$2:$B$8,2,FALSE)</f>
        <v>2</v>
      </c>
      <c r="N5209" t="str">
        <f t="shared" si="162"/>
        <v>1. Under 1 hour</v>
      </c>
      <c r="O5209" t="str">
        <f t="shared" si="163"/>
        <v>2026-03</v>
      </c>
    </row>
    <row r="5210" spans="1:15" x14ac:dyDescent="0.3">
      <c r="A5210" t="s">
        <v>12255</v>
      </c>
      <c r="B5210" t="s">
        <v>12256</v>
      </c>
      <c r="C5210" t="s">
        <v>53</v>
      </c>
      <c r="D5210" t="s">
        <v>97</v>
      </c>
      <c r="E5210" t="s">
        <v>30</v>
      </c>
      <c r="F5210" t="s">
        <v>31</v>
      </c>
      <c r="G5210">
        <v>1.8</v>
      </c>
      <c r="H5210" t="s">
        <v>138</v>
      </c>
      <c r="I5210" t="s">
        <v>48</v>
      </c>
      <c r="J5210" t="s">
        <v>139</v>
      </c>
      <c r="K5210">
        <v>1538.14</v>
      </c>
      <c r="L5210" t="s">
        <v>12257</v>
      </c>
      <c r="M5210">
        <f>VLOOKUP(H5210,'Stage Order'!$A$2:$B$8,2,FALSE)</f>
        <v>6</v>
      </c>
      <c r="N5210" t="str">
        <f t="shared" si="162"/>
        <v>2. 1-24 hours</v>
      </c>
      <c r="O5210" t="str">
        <f t="shared" si="163"/>
        <v>2026-06</v>
      </c>
    </row>
    <row r="5211" spans="1:15" x14ac:dyDescent="0.3">
      <c r="A5211" t="s">
        <v>12258</v>
      </c>
      <c r="B5211" t="s">
        <v>12259</v>
      </c>
      <c r="C5211" t="s">
        <v>28</v>
      </c>
      <c r="D5211" t="s">
        <v>29</v>
      </c>
      <c r="E5211" t="s">
        <v>39</v>
      </c>
      <c r="F5211" t="s">
        <v>106</v>
      </c>
      <c r="G5211">
        <v>1.05</v>
      </c>
      <c r="H5211" t="s">
        <v>32</v>
      </c>
      <c r="I5211" t="s">
        <v>33</v>
      </c>
      <c r="K5211">
        <v>648.35</v>
      </c>
      <c r="L5211" t="s">
        <v>12260</v>
      </c>
      <c r="M5211">
        <f>VLOOKUP(H5211,'Stage Order'!$A$2:$B$8,2,FALSE)</f>
        <v>7</v>
      </c>
      <c r="N5211" t="str">
        <f t="shared" si="162"/>
        <v>2. 1-24 hours</v>
      </c>
      <c r="O5211" t="str">
        <f t="shared" si="163"/>
        <v>2025-05</v>
      </c>
    </row>
    <row r="5212" spans="1:15" x14ac:dyDescent="0.3">
      <c r="A5212" t="s">
        <v>12261</v>
      </c>
      <c r="B5212" t="s">
        <v>12262</v>
      </c>
      <c r="C5212" t="s">
        <v>37</v>
      </c>
      <c r="D5212" t="s">
        <v>97</v>
      </c>
      <c r="E5212" t="s">
        <v>90</v>
      </c>
      <c r="F5212" t="s">
        <v>112</v>
      </c>
      <c r="G5212">
        <v>3.35</v>
      </c>
      <c r="H5212" t="s">
        <v>61</v>
      </c>
      <c r="I5212" t="s">
        <v>42</v>
      </c>
      <c r="M5212">
        <f>VLOOKUP(H5212,'Stage Order'!$A$2:$B$8,2,FALSE)</f>
        <v>1</v>
      </c>
      <c r="N5212" t="str">
        <f t="shared" si="162"/>
        <v>2. 1-24 hours</v>
      </c>
      <c r="O5212" t="str">
        <f t="shared" si="163"/>
        <v>2025-12</v>
      </c>
    </row>
    <row r="5213" spans="1:15" x14ac:dyDescent="0.3">
      <c r="A5213" t="s">
        <v>12263</v>
      </c>
      <c r="B5213" t="s">
        <v>12264</v>
      </c>
      <c r="C5213" t="s">
        <v>53</v>
      </c>
      <c r="D5213" t="s">
        <v>38</v>
      </c>
      <c r="E5213" t="s">
        <v>59</v>
      </c>
      <c r="F5213" t="s">
        <v>117</v>
      </c>
      <c r="G5213">
        <v>10.99</v>
      </c>
      <c r="H5213" t="s">
        <v>32</v>
      </c>
      <c r="I5213" t="s">
        <v>33</v>
      </c>
      <c r="K5213">
        <v>311.98</v>
      </c>
      <c r="L5213" t="s">
        <v>12265</v>
      </c>
      <c r="M5213">
        <f>VLOOKUP(H5213,'Stage Order'!$A$2:$B$8,2,FALSE)</f>
        <v>7</v>
      </c>
      <c r="N5213" t="str">
        <f t="shared" si="162"/>
        <v>2. 1-24 hours</v>
      </c>
      <c r="O5213" t="str">
        <f t="shared" si="163"/>
        <v>2026-01</v>
      </c>
    </row>
    <row r="5214" spans="1:15" x14ac:dyDescent="0.3">
      <c r="A5214" t="s">
        <v>12266</v>
      </c>
      <c r="B5214" t="s">
        <v>12267</v>
      </c>
      <c r="C5214" t="s">
        <v>28</v>
      </c>
      <c r="D5214" t="s">
        <v>38</v>
      </c>
      <c r="E5214" t="s">
        <v>39</v>
      </c>
      <c r="F5214" t="s">
        <v>66</v>
      </c>
      <c r="G5214">
        <v>2.11</v>
      </c>
      <c r="H5214" t="s">
        <v>41</v>
      </c>
      <c r="I5214" t="s">
        <v>42</v>
      </c>
      <c r="M5214">
        <f>VLOOKUP(H5214,'Stage Order'!$A$2:$B$8,2,FALSE)</f>
        <v>2</v>
      </c>
      <c r="N5214" t="str">
        <f t="shared" si="162"/>
        <v>2. 1-24 hours</v>
      </c>
      <c r="O5214" t="str">
        <f t="shared" si="163"/>
        <v>2026-04</v>
      </c>
    </row>
    <row r="5215" spans="1:15" x14ac:dyDescent="0.3">
      <c r="A5215" t="s">
        <v>12268</v>
      </c>
      <c r="B5215" t="s">
        <v>12269</v>
      </c>
      <c r="C5215" t="s">
        <v>58</v>
      </c>
      <c r="D5215" t="s">
        <v>38</v>
      </c>
      <c r="E5215" t="s">
        <v>30</v>
      </c>
      <c r="F5215" t="s">
        <v>78</v>
      </c>
      <c r="G5215">
        <v>2.74</v>
      </c>
      <c r="H5215" t="s">
        <v>61</v>
      </c>
      <c r="I5215" t="s">
        <v>42</v>
      </c>
      <c r="M5215">
        <f>VLOOKUP(H5215,'Stage Order'!$A$2:$B$8,2,FALSE)</f>
        <v>1</v>
      </c>
      <c r="N5215" t="str">
        <f t="shared" si="162"/>
        <v>2. 1-24 hours</v>
      </c>
      <c r="O5215" t="str">
        <f t="shared" si="163"/>
        <v>2026-05</v>
      </c>
    </row>
    <row r="5216" spans="1:15" x14ac:dyDescent="0.3">
      <c r="A5216" t="s">
        <v>12270</v>
      </c>
      <c r="B5216" t="s">
        <v>12271</v>
      </c>
      <c r="C5216" t="s">
        <v>81</v>
      </c>
      <c r="D5216" t="s">
        <v>97</v>
      </c>
      <c r="E5216" t="s">
        <v>45</v>
      </c>
      <c r="F5216" t="s">
        <v>46</v>
      </c>
      <c r="G5216">
        <v>1.1000000000000001</v>
      </c>
      <c r="H5216" t="s">
        <v>61</v>
      </c>
      <c r="I5216" t="s">
        <v>42</v>
      </c>
      <c r="M5216">
        <f>VLOOKUP(H5216,'Stage Order'!$A$2:$B$8,2,FALSE)</f>
        <v>1</v>
      </c>
      <c r="N5216" t="str">
        <f t="shared" si="162"/>
        <v>2. 1-24 hours</v>
      </c>
      <c r="O5216" t="str">
        <f t="shared" si="163"/>
        <v>2025-10</v>
      </c>
    </row>
    <row r="5217" spans="1:15" x14ac:dyDescent="0.3">
      <c r="A5217" t="s">
        <v>12272</v>
      </c>
      <c r="B5217" t="s">
        <v>12273</v>
      </c>
      <c r="C5217" t="s">
        <v>53</v>
      </c>
      <c r="D5217" t="s">
        <v>29</v>
      </c>
      <c r="E5217" t="s">
        <v>90</v>
      </c>
      <c r="F5217" t="s">
        <v>91</v>
      </c>
      <c r="G5217">
        <v>2.72</v>
      </c>
      <c r="H5217" t="s">
        <v>41</v>
      </c>
      <c r="I5217" t="s">
        <v>42</v>
      </c>
      <c r="M5217">
        <f>VLOOKUP(H5217,'Stage Order'!$A$2:$B$8,2,FALSE)</f>
        <v>2</v>
      </c>
      <c r="N5217" t="str">
        <f t="shared" si="162"/>
        <v>2. 1-24 hours</v>
      </c>
      <c r="O5217" t="str">
        <f t="shared" si="163"/>
        <v>2025-07</v>
      </c>
    </row>
    <row r="5218" spans="1:15" x14ac:dyDescent="0.3">
      <c r="A5218" t="s">
        <v>12274</v>
      </c>
      <c r="B5218" t="s">
        <v>12275</v>
      </c>
      <c r="C5218" t="s">
        <v>53</v>
      </c>
      <c r="D5218" t="s">
        <v>29</v>
      </c>
      <c r="E5218" t="s">
        <v>45</v>
      </c>
      <c r="F5218" t="s">
        <v>46</v>
      </c>
      <c r="G5218">
        <v>2.27</v>
      </c>
      <c r="H5218" t="s">
        <v>138</v>
      </c>
      <c r="I5218" t="s">
        <v>48</v>
      </c>
      <c r="J5218" t="s">
        <v>98</v>
      </c>
      <c r="K5218">
        <v>764.53</v>
      </c>
      <c r="L5218" t="s">
        <v>12276</v>
      </c>
      <c r="M5218">
        <f>VLOOKUP(H5218,'Stage Order'!$A$2:$B$8,2,FALSE)</f>
        <v>6</v>
      </c>
      <c r="N5218" t="str">
        <f t="shared" si="162"/>
        <v>2. 1-24 hours</v>
      </c>
      <c r="O5218" t="str">
        <f t="shared" si="163"/>
        <v>2025-08</v>
      </c>
    </row>
    <row r="5219" spans="1:15" x14ac:dyDescent="0.3">
      <c r="A5219" t="s">
        <v>12277</v>
      </c>
      <c r="B5219" t="s">
        <v>12278</v>
      </c>
      <c r="C5219" t="s">
        <v>125</v>
      </c>
      <c r="D5219" t="s">
        <v>38</v>
      </c>
      <c r="E5219" t="s">
        <v>59</v>
      </c>
      <c r="F5219" t="s">
        <v>60</v>
      </c>
      <c r="G5219">
        <v>5.2</v>
      </c>
      <c r="H5219" t="s">
        <v>41</v>
      </c>
      <c r="I5219" t="s">
        <v>42</v>
      </c>
      <c r="M5219">
        <f>VLOOKUP(H5219,'Stage Order'!$A$2:$B$8,2,FALSE)</f>
        <v>2</v>
      </c>
      <c r="N5219" t="str">
        <f t="shared" si="162"/>
        <v>2. 1-24 hours</v>
      </c>
      <c r="O5219" t="str">
        <f t="shared" si="163"/>
        <v>2025-07</v>
      </c>
    </row>
    <row r="5220" spans="1:15" x14ac:dyDescent="0.3">
      <c r="A5220" t="s">
        <v>12279</v>
      </c>
      <c r="B5220" t="s">
        <v>12280</v>
      </c>
      <c r="C5220" t="s">
        <v>76</v>
      </c>
      <c r="D5220" t="s">
        <v>38</v>
      </c>
      <c r="E5220" t="s">
        <v>59</v>
      </c>
      <c r="F5220" t="s">
        <v>117</v>
      </c>
      <c r="G5220">
        <v>1.55</v>
      </c>
      <c r="H5220" t="s">
        <v>41</v>
      </c>
      <c r="I5220" t="s">
        <v>42</v>
      </c>
      <c r="M5220">
        <f>VLOOKUP(H5220,'Stage Order'!$A$2:$B$8,2,FALSE)</f>
        <v>2</v>
      </c>
      <c r="N5220" t="str">
        <f t="shared" si="162"/>
        <v>2. 1-24 hours</v>
      </c>
      <c r="O5220" t="str">
        <f t="shared" si="163"/>
        <v>2025-11</v>
      </c>
    </row>
    <row r="5221" spans="1:15" x14ac:dyDescent="0.3">
      <c r="A5221" t="s">
        <v>12281</v>
      </c>
      <c r="B5221" t="s">
        <v>12282</v>
      </c>
      <c r="C5221" t="s">
        <v>53</v>
      </c>
      <c r="D5221" t="s">
        <v>29</v>
      </c>
      <c r="E5221" t="s">
        <v>59</v>
      </c>
      <c r="F5221" t="s">
        <v>117</v>
      </c>
      <c r="G5221">
        <v>1.52</v>
      </c>
      <c r="H5221" t="s">
        <v>32</v>
      </c>
      <c r="I5221" t="s">
        <v>33</v>
      </c>
      <c r="K5221">
        <v>557</v>
      </c>
      <c r="L5221" t="s">
        <v>12283</v>
      </c>
      <c r="M5221">
        <f>VLOOKUP(H5221,'Stage Order'!$A$2:$B$8,2,FALSE)</f>
        <v>7</v>
      </c>
      <c r="N5221" t="str">
        <f t="shared" si="162"/>
        <v>2. 1-24 hours</v>
      </c>
      <c r="O5221" t="str">
        <f t="shared" si="163"/>
        <v>2025-08</v>
      </c>
    </row>
    <row r="5222" spans="1:15" x14ac:dyDescent="0.3">
      <c r="A5222" t="s">
        <v>12284</v>
      </c>
      <c r="B5222" t="s">
        <v>12285</v>
      </c>
      <c r="C5222" t="s">
        <v>53</v>
      </c>
      <c r="D5222" t="s">
        <v>29</v>
      </c>
      <c r="E5222" t="s">
        <v>45</v>
      </c>
      <c r="F5222" t="s">
        <v>94</v>
      </c>
      <c r="G5222">
        <v>7.62</v>
      </c>
      <c r="H5222" t="s">
        <v>41</v>
      </c>
      <c r="I5222" t="s">
        <v>42</v>
      </c>
      <c r="M5222">
        <f>VLOOKUP(H5222,'Stage Order'!$A$2:$B$8,2,FALSE)</f>
        <v>2</v>
      </c>
      <c r="N5222" t="str">
        <f t="shared" si="162"/>
        <v>2. 1-24 hours</v>
      </c>
      <c r="O5222" t="str">
        <f t="shared" si="163"/>
        <v>2026-02</v>
      </c>
    </row>
    <row r="5223" spans="1:15" x14ac:dyDescent="0.3">
      <c r="A5223" t="s">
        <v>12286</v>
      </c>
      <c r="B5223" t="s">
        <v>12287</v>
      </c>
      <c r="C5223" t="s">
        <v>37</v>
      </c>
      <c r="D5223" t="s">
        <v>38</v>
      </c>
      <c r="E5223" t="s">
        <v>59</v>
      </c>
      <c r="F5223" t="s">
        <v>117</v>
      </c>
      <c r="G5223">
        <v>2.19</v>
      </c>
      <c r="H5223" t="s">
        <v>138</v>
      </c>
      <c r="I5223" t="s">
        <v>48</v>
      </c>
      <c r="J5223" t="s">
        <v>139</v>
      </c>
      <c r="K5223">
        <v>308.48</v>
      </c>
      <c r="L5223" t="s">
        <v>12288</v>
      </c>
      <c r="M5223">
        <f>VLOOKUP(H5223,'Stage Order'!$A$2:$B$8,2,FALSE)</f>
        <v>6</v>
      </c>
      <c r="N5223" t="str">
        <f t="shared" si="162"/>
        <v>2. 1-24 hours</v>
      </c>
      <c r="O5223" t="str">
        <f t="shared" si="163"/>
        <v>2026-05</v>
      </c>
    </row>
    <row r="5224" spans="1:15" x14ac:dyDescent="0.3">
      <c r="A5224" t="s">
        <v>12289</v>
      </c>
      <c r="B5224" t="s">
        <v>12290</v>
      </c>
      <c r="C5224" t="s">
        <v>125</v>
      </c>
      <c r="D5224" t="s">
        <v>54</v>
      </c>
      <c r="E5224" t="s">
        <v>90</v>
      </c>
      <c r="F5224" t="s">
        <v>145</v>
      </c>
      <c r="G5224">
        <v>3.24</v>
      </c>
      <c r="H5224" t="s">
        <v>61</v>
      </c>
      <c r="I5224" t="s">
        <v>42</v>
      </c>
      <c r="M5224">
        <f>VLOOKUP(H5224,'Stage Order'!$A$2:$B$8,2,FALSE)</f>
        <v>1</v>
      </c>
      <c r="N5224" t="str">
        <f t="shared" si="162"/>
        <v>2. 1-24 hours</v>
      </c>
      <c r="O5224" t="str">
        <f t="shared" si="163"/>
        <v>2025-12</v>
      </c>
    </row>
    <row r="5225" spans="1:15" x14ac:dyDescent="0.3">
      <c r="A5225" t="s">
        <v>12291</v>
      </c>
      <c r="B5225" t="s">
        <v>12292</v>
      </c>
      <c r="C5225" t="s">
        <v>53</v>
      </c>
      <c r="D5225" t="s">
        <v>29</v>
      </c>
      <c r="E5225" t="s">
        <v>39</v>
      </c>
      <c r="F5225" t="s">
        <v>106</v>
      </c>
      <c r="G5225">
        <v>23.55</v>
      </c>
      <c r="H5225" t="s">
        <v>32</v>
      </c>
      <c r="I5225" t="s">
        <v>33</v>
      </c>
      <c r="K5225">
        <v>698.09</v>
      </c>
      <c r="L5225" t="s">
        <v>12293</v>
      </c>
      <c r="M5225">
        <f>VLOOKUP(H5225,'Stage Order'!$A$2:$B$8,2,FALSE)</f>
        <v>7</v>
      </c>
      <c r="N5225" t="str">
        <f t="shared" si="162"/>
        <v>2. 1-24 hours</v>
      </c>
      <c r="O5225" t="str">
        <f t="shared" si="163"/>
        <v>2026-02</v>
      </c>
    </row>
    <row r="5226" spans="1:15" x14ac:dyDescent="0.3">
      <c r="A5226" t="s">
        <v>12294</v>
      </c>
      <c r="B5226" t="s">
        <v>12295</v>
      </c>
      <c r="C5226" t="s">
        <v>125</v>
      </c>
      <c r="D5226" t="s">
        <v>77</v>
      </c>
      <c r="E5226" t="s">
        <v>45</v>
      </c>
      <c r="F5226" t="s">
        <v>94</v>
      </c>
      <c r="G5226">
        <v>1.65</v>
      </c>
      <c r="H5226" t="s">
        <v>41</v>
      </c>
      <c r="I5226" t="s">
        <v>42</v>
      </c>
      <c r="M5226">
        <f>VLOOKUP(H5226,'Stage Order'!$A$2:$B$8,2,FALSE)</f>
        <v>2</v>
      </c>
      <c r="N5226" t="str">
        <f t="shared" si="162"/>
        <v>2. 1-24 hours</v>
      </c>
      <c r="O5226" t="str">
        <f t="shared" si="163"/>
        <v>2026-01</v>
      </c>
    </row>
    <row r="5227" spans="1:15" x14ac:dyDescent="0.3">
      <c r="A5227" t="s">
        <v>12296</v>
      </c>
      <c r="B5227" t="s">
        <v>12297</v>
      </c>
      <c r="C5227" t="s">
        <v>28</v>
      </c>
      <c r="D5227" t="s">
        <v>54</v>
      </c>
      <c r="E5227" t="s">
        <v>45</v>
      </c>
      <c r="F5227" t="s">
        <v>46</v>
      </c>
      <c r="G5227">
        <v>0.94</v>
      </c>
      <c r="H5227" t="s">
        <v>41</v>
      </c>
      <c r="I5227" t="s">
        <v>42</v>
      </c>
      <c r="M5227">
        <f>VLOOKUP(H5227,'Stage Order'!$A$2:$B$8,2,FALSE)</f>
        <v>2</v>
      </c>
      <c r="N5227" t="str">
        <f t="shared" si="162"/>
        <v>1. Under 1 hour</v>
      </c>
      <c r="O5227" t="str">
        <f t="shared" si="163"/>
        <v>2026-02</v>
      </c>
    </row>
    <row r="5228" spans="1:15" x14ac:dyDescent="0.3">
      <c r="A5228" t="s">
        <v>12298</v>
      </c>
      <c r="B5228" t="s">
        <v>12299</v>
      </c>
      <c r="C5228" t="s">
        <v>81</v>
      </c>
      <c r="D5228" t="s">
        <v>54</v>
      </c>
      <c r="E5228" t="s">
        <v>39</v>
      </c>
      <c r="F5228" t="s">
        <v>66</v>
      </c>
      <c r="G5228">
        <v>6.92</v>
      </c>
      <c r="H5228" t="s">
        <v>61</v>
      </c>
      <c r="I5228" t="s">
        <v>42</v>
      </c>
      <c r="M5228">
        <f>VLOOKUP(H5228,'Stage Order'!$A$2:$B$8,2,FALSE)</f>
        <v>1</v>
      </c>
      <c r="N5228" t="str">
        <f t="shared" si="162"/>
        <v>2. 1-24 hours</v>
      </c>
      <c r="O5228" t="str">
        <f t="shared" si="163"/>
        <v>2026-05</v>
      </c>
    </row>
    <row r="5229" spans="1:15" x14ac:dyDescent="0.3">
      <c r="A5229" t="s">
        <v>12300</v>
      </c>
      <c r="B5229" t="s">
        <v>12301</v>
      </c>
      <c r="C5229" t="s">
        <v>125</v>
      </c>
      <c r="D5229" t="s">
        <v>97</v>
      </c>
      <c r="E5229" t="s">
        <v>39</v>
      </c>
      <c r="F5229" t="s">
        <v>40</v>
      </c>
      <c r="G5229">
        <v>7.75</v>
      </c>
      <c r="H5229" t="s">
        <v>47</v>
      </c>
      <c r="I5229" t="s">
        <v>48</v>
      </c>
      <c r="J5229" t="s">
        <v>139</v>
      </c>
      <c r="K5229">
        <v>1312.48</v>
      </c>
      <c r="L5229" t="s">
        <v>12302</v>
      </c>
      <c r="M5229">
        <f>VLOOKUP(H5229,'Stage Order'!$A$2:$B$8,2,FALSE)</f>
        <v>4</v>
      </c>
      <c r="N5229" t="str">
        <f t="shared" si="162"/>
        <v>2. 1-24 hours</v>
      </c>
      <c r="O5229" t="str">
        <f t="shared" si="163"/>
        <v>2025-05</v>
      </c>
    </row>
    <row r="5230" spans="1:15" x14ac:dyDescent="0.3">
      <c r="A5230" t="s">
        <v>12303</v>
      </c>
      <c r="B5230" t="s">
        <v>12304</v>
      </c>
      <c r="C5230" t="s">
        <v>58</v>
      </c>
      <c r="D5230" t="s">
        <v>77</v>
      </c>
      <c r="E5230" t="s">
        <v>90</v>
      </c>
      <c r="F5230" t="s">
        <v>145</v>
      </c>
      <c r="G5230">
        <v>2.11</v>
      </c>
      <c r="H5230" t="s">
        <v>41</v>
      </c>
      <c r="I5230" t="s">
        <v>42</v>
      </c>
      <c r="M5230">
        <f>VLOOKUP(H5230,'Stage Order'!$A$2:$B$8,2,FALSE)</f>
        <v>2</v>
      </c>
      <c r="N5230" t="str">
        <f t="shared" si="162"/>
        <v>2. 1-24 hours</v>
      </c>
      <c r="O5230" t="str">
        <f t="shared" si="163"/>
        <v>2026-04</v>
      </c>
    </row>
    <row r="5231" spans="1:15" x14ac:dyDescent="0.3">
      <c r="A5231" t="s">
        <v>12305</v>
      </c>
      <c r="B5231" t="s">
        <v>12306</v>
      </c>
      <c r="C5231" t="s">
        <v>28</v>
      </c>
      <c r="D5231" t="s">
        <v>29</v>
      </c>
      <c r="E5231" t="s">
        <v>30</v>
      </c>
      <c r="F5231" t="s">
        <v>31</v>
      </c>
      <c r="G5231">
        <v>5.76</v>
      </c>
      <c r="H5231" t="s">
        <v>61</v>
      </c>
      <c r="I5231" t="s">
        <v>42</v>
      </c>
      <c r="M5231">
        <f>VLOOKUP(H5231,'Stage Order'!$A$2:$B$8,2,FALSE)</f>
        <v>1</v>
      </c>
      <c r="N5231" t="str">
        <f t="shared" si="162"/>
        <v>2. 1-24 hours</v>
      </c>
      <c r="O5231" t="str">
        <f t="shared" si="163"/>
        <v>2026-04</v>
      </c>
    </row>
    <row r="5232" spans="1:15" x14ac:dyDescent="0.3">
      <c r="A5232" t="s">
        <v>12307</v>
      </c>
      <c r="B5232" t="s">
        <v>12308</v>
      </c>
      <c r="C5232" t="s">
        <v>28</v>
      </c>
      <c r="D5232" t="s">
        <v>77</v>
      </c>
      <c r="E5232" t="s">
        <v>39</v>
      </c>
      <c r="F5232" t="s">
        <v>40</v>
      </c>
      <c r="G5232">
        <v>2.2799999999999998</v>
      </c>
      <c r="H5232" t="s">
        <v>32</v>
      </c>
      <c r="I5232" t="s">
        <v>33</v>
      </c>
      <c r="K5232">
        <v>893.48</v>
      </c>
      <c r="L5232" t="s">
        <v>12309</v>
      </c>
      <c r="M5232">
        <f>VLOOKUP(H5232,'Stage Order'!$A$2:$B$8,2,FALSE)</f>
        <v>7</v>
      </c>
      <c r="N5232" t="str">
        <f t="shared" si="162"/>
        <v>2. 1-24 hours</v>
      </c>
      <c r="O5232" t="str">
        <f t="shared" si="163"/>
        <v>2025-02</v>
      </c>
    </row>
    <row r="5233" spans="1:15" x14ac:dyDescent="0.3">
      <c r="A5233" t="s">
        <v>12310</v>
      </c>
      <c r="B5233" t="s">
        <v>12311</v>
      </c>
      <c r="C5233" t="s">
        <v>58</v>
      </c>
      <c r="D5233" t="s">
        <v>54</v>
      </c>
      <c r="E5233" t="s">
        <v>45</v>
      </c>
      <c r="F5233" t="s">
        <v>55</v>
      </c>
      <c r="G5233">
        <v>9.76</v>
      </c>
      <c r="H5233" t="s">
        <v>41</v>
      </c>
      <c r="I5233" t="s">
        <v>42</v>
      </c>
      <c r="M5233">
        <f>VLOOKUP(H5233,'Stage Order'!$A$2:$B$8,2,FALSE)</f>
        <v>2</v>
      </c>
      <c r="N5233" t="str">
        <f t="shared" si="162"/>
        <v>2. 1-24 hours</v>
      </c>
      <c r="O5233" t="str">
        <f t="shared" si="163"/>
        <v>2025-12</v>
      </c>
    </row>
    <row r="5234" spans="1:15" x14ac:dyDescent="0.3">
      <c r="A5234" t="s">
        <v>12312</v>
      </c>
      <c r="B5234" t="s">
        <v>12313</v>
      </c>
      <c r="C5234" t="s">
        <v>81</v>
      </c>
      <c r="D5234" t="s">
        <v>77</v>
      </c>
      <c r="E5234" t="s">
        <v>30</v>
      </c>
      <c r="F5234" t="s">
        <v>78</v>
      </c>
      <c r="G5234">
        <v>7.32</v>
      </c>
      <c r="H5234" t="s">
        <v>41</v>
      </c>
      <c r="I5234" t="s">
        <v>42</v>
      </c>
      <c r="M5234">
        <f>VLOOKUP(H5234,'Stage Order'!$A$2:$B$8,2,FALSE)</f>
        <v>2</v>
      </c>
      <c r="N5234" t="str">
        <f t="shared" si="162"/>
        <v>2. 1-24 hours</v>
      </c>
      <c r="O5234" t="str">
        <f t="shared" si="163"/>
        <v>2025-06</v>
      </c>
    </row>
    <row r="5235" spans="1:15" x14ac:dyDescent="0.3">
      <c r="A5235" t="s">
        <v>12314</v>
      </c>
      <c r="B5235" t="s">
        <v>12315</v>
      </c>
      <c r="C5235" t="s">
        <v>28</v>
      </c>
      <c r="D5235" t="s">
        <v>54</v>
      </c>
      <c r="E5235" t="s">
        <v>59</v>
      </c>
      <c r="F5235" t="s">
        <v>117</v>
      </c>
      <c r="G5235">
        <v>0.86</v>
      </c>
      <c r="H5235" t="s">
        <v>146</v>
      </c>
      <c r="I5235" t="s">
        <v>48</v>
      </c>
      <c r="J5235" t="s">
        <v>139</v>
      </c>
      <c r="K5235">
        <v>558.02</v>
      </c>
      <c r="L5235" t="s">
        <v>12316</v>
      </c>
      <c r="M5235">
        <f>VLOOKUP(H5235,'Stage Order'!$A$2:$B$8,2,FALSE)</f>
        <v>5</v>
      </c>
      <c r="N5235" t="str">
        <f t="shared" si="162"/>
        <v>1. Under 1 hour</v>
      </c>
      <c r="O5235" t="str">
        <f t="shared" si="163"/>
        <v>2026-02</v>
      </c>
    </row>
    <row r="5236" spans="1:15" x14ac:dyDescent="0.3">
      <c r="A5236" t="s">
        <v>12317</v>
      </c>
      <c r="B5236" t="s">
        <v>12318</v>
      </c>
      <c r="C5236" t="s">
        <v>81</v>
      </c>
      <c r="D5236" t="s">
        <v>29</v>
      </c>
      <c r="E5236" t="s">
        <v>39</v>
      </c>
      <c r="F5236" t="s">
        <v>106</v>
      </c>
      <c r="G5236">
        <v>0.82</v>
      </c>
      <c r="H5236" t="s">
        <v>61</v>
      </c>
      <c r="I5236" t="s">
        <v>42</v>
      </c>
      <c r="M5236">
        <f>VLOOKUP(H5236,'Stage Order'!$A$2:$B$8,2,FALSE)</f>
        <v>1</v>
      </c>
      <c r="N5236" t="str">
        <f t="shared" si="162"/>
        <v>1. Under 1 hour</v>
      </c>
      <c r="O5236" t="str">
        <f t="shared" si="163"/>
        <v>2025-08</v>
      </c>
    </row>
    <row r="5237" spans="1:15" x14ac:dyDescent="0.3">
      <c r="A5237" t="s">
        <v>12319</v>
      </c>
      <c r="B5237" t="s">
        <v>12320</v>
      </c>
      <c r="C5237" t="s">
        <v>81</v>
      </c>
      <c r="D5237" t="s">
        <v>77</v>
      </c>
      <c r="E5237" t="s">
        <v>45</v>
      </c>
      <c r="F5237" t="s">
        <v>46</v>
      </c>
      <c r="G5237">
        <v>3.04</v>
      </c>
      <c r="H5237" t="s">
        <v>61</v>
      </c>
      <c r="I5237" t="s">
        <v>42</v>
      </c>
      <c r="M5237">
        <f>VLOOKUP(H5237,'Stage Order'!$A$2:$B$8,2,FALSE)</f>
        <v>1</v>
      </c>
      <c r="N5237" t="str">
        <f t="shared" si="162"/>
        <v>2. 1-24 hours</v>
      </c>
      <c r="O5237" t="str">
        <f t="shared" si="163"/>
        <v>2025-08</v>
      </c>
    </row>
    <row r="5238" spans="1:15" x14ac:dyDescent="0.3">
      <c r="A5238" t="s">
        <v>12321</v>
      </c>
      <c r="B5238" t="s">
        <v>12322</v>
      </c>
      <c r="C5238" t="s">
        <v>81</v>
      </c>
      <c r="D5238" t="s">
        <v>54</v>
      </c>
      <c r="E5238" t="s">
        <v>39</v>
      </c>
      <c r="F5238" t="s">
        <v>40</v>
      </c>
      <c r="G5238">
        <v>3.52</v>
      </c>
      <c r="H5238" t="s">
        <v>41</v>
      </c>
      <c r="I5238" t="s">
        <v>42</v>
      </c>
      <c r="M5238">
        <f>VLOOKUP(H5238,'Stage Order'!$A$2:$B$8,2,FALSE)</f>
        <v>2</v>
      </c>
      <c r="N5238" t="str">
        <f t="shared" si="162"/>
        <v>2. 1-24 hours</v>
      </c>
      <c r="O5238" t="str">
        <f t="shared" si="163"/>
        <v>2026-06</v>
      </c>
    </row>
    <row r="5239" spans="1:15" x14ac:dyDescent="0.3">
      <c r="A5239" t="s">
        <v>12323</v>
      </c>
      <c r="B5239" t="s">
        <v>12324</v>
      </c>
      <c r="C5239" t="s">
        <v>53</v>
      </c>
      <c r="D5239" t="s">
        <v>29</v>
      </c>
      <c r="E5239" t="s">
        <v>30</v>
      </c>
      <c r="F5239" t="s">
        <v>82</v>
      </c>
      <c r="G5239">
        <v>4.4400000000000004</v>
      </c>
      <c r="H5239" t="s">
        <v>41</v>
      </c>
      <c r="I5239" t="s">
        <v>42</v>
      </c>
      <c r="M5239">
        <f>VLOOKUP(H5239,'Stage Order'!$A$2:$B$8,2,FALSE)</f>
        <v>2</v>
      </c>
      <c r="N5239" t="str">
        <f t="shared" si="162"/>
        <v>2. 1-24 hours</v>
      </c>
      <c r="O5239" t="str">
        <f t="shared" si="163"/>
        <v>2026-02</v>
      </c>
    </row>
    <row r="5240" spans="1:15" x14ac:dyDescent="0.3">
      <c r="A5240" t="s">
        <v>12325</v>
      </c>
      <c r="B5240" t="s">
        <v>12326</v>
      </c>
      <c r="C5240" t="s">
        <v>58</v>
      </c>
      <c r="D5240" t="s">
        <v>54</v>
      </c>
      <c r="E5240" t="s">
        <v>45</v>
      </c>
      <c r="F5240" t="s">
        <v>55</v>
      </c>
      <c r="G5240">
        <v>3.48</v>
      </c>
      <c r="H5240" t="s">
        <v>138</v>
      </c>
      <c r="I5240" t="s">
        <v>48</v>
      </c>
      <c r="J5240" t="s">
        <v>98</v>
      </c>
      <c r="K5240">
        <v>550.16</v>
      </c>
      <c r="L5240" t="s">
        <v>12327</v>
      </c>
      <c r="M5240">
        <f>VLOOKUP(H5240,'Stage Order'!$A$2:$B$8,2,FALSE)</f>
        <v>6</v>
      </c>
      <c r="N5240" t="str">
        <f t="shared" si="162"/>
        <v>2. 1-24 hours</v>
      </c>
      <c r="O5240" t="str">
        <f t="shared" si="163"/>
        <v>2025-05</v>
      </c>
    </row>
    <row r="5241" spans="1:15" x14ac:dyDescent="0.3">
      <c r="A5241" t="s">
        <v>12328</v>
      </c>
      <c r="B5241" t="s">
        <v>12329</v>
      </c>
      <c r="C5241" t="s">
        <v>37</v>
      </c>
      <c r="D5241" t="s">
        <v>29</v>
      </c>
      <c r="E5241" t="s">
        <v>39</v>
      </c>
      <c r="F5241" t="s">
        <v>66</v>
      </c>
      <c r="G5241">
        <v>10.75</v>
      </c>
      <c r="H5241" t="s">
        <v>41</v>
      </c>
      <c r="I5241" t="s">
        <v>42</v>
      </c>
      <c r="M5241">
        <f>VLOOKUP(H5241,'Stage Order'!$A$2:$B$8,2,FALSE)</f>
        <v>2</v>
      </c>
      <c r="N5241" t="str">
        <f t="shared" si="162"/>
        <v>2. 1-24 hours</v>
      </c>
      <c r="O5241" t="str">
        <f t="shared" si="163"/>
        <v>2026-04</v>
      </c>
    </row>
    <row r="5242" spans="1:15" x14ac:dyDescent="0.3">
      <c r="A5242" t="s">
        <v>12330</v>
      </c>
      <c r="B5242" t="s">
        <v>12331</v>
      </c>
      <c r="C5242" t="s">
        <v>37</v>
      </c>
      <c r="D5242" t="s">
        <v>77</v>
      </c>
      <c r="E5242" t="s">
        <v>30</v>
      </c>
      <c r="F5242" t="s">
        <v>78</v>
      </c>
      <c r="G5242">
        <v>8.77</v>
      </c>
      <c r="H5242" t="s">
        <v>146</v>
      </c>
      <c r="I5242" t="s">
        <v>48</v>
      </c>
      <c r="J5242" t="s">
        <v>742</v>
      </c>
      <c r="K5242">
        <v>1113.42</v>
      </c>
      <c r="L5242" t="s">
        <v>12332</v>
      </c>
      <c r="M5242">
        <f>VLOOKUP(H5242,'Stage Order'!$A$2:$B$8,2,FALSE)</f>
        <v>5</v>
      </c>
      <c r="N5242" t="str">
        <f t="shared" si="162"/>
        <v>2. 1-24 hours</v>
      </c>
      <c r="O5242" t="str">
        <f t="shared" si="163"/>
        <v>2026-06</v>
      </c>
    </row>
    <row r="5243" spans="1:15" x14ac:dyDescent="0.3">
      <c r="A5243" t="s">
        <v>12333</v>
      </c>
      <c r="B5243" t="s">
        <v>12334</v>
      </c>
      <c r="C5243" t="s">
        <v>58</v>
      </c>
      <c r="D5243" t="s">
        <v>29</v>
      </c>
      <c r="E5243" t="s">
        <v>45</v>
      </c>
      <c r="F5243" t="s">
        <v>94</v>
      </c>
      <c r="G5243">
        <v>3.2</v>
      </c>
      <c r="H5243" t="s">
        <v>47</v>
      </c>
      <c r="I5243" t="s">
        <v>48</v>
      </c>
      <c r="J5243" t="s">
        <v>98</v>
      </c>
      <c r="K5243">
        <v>563.79</v>
      </c>
      <c r="L5243" t="s">
        <v>12335</v>
      </c>
      <c r="M5243">
        <f>VLOOKUP(H5243,'Stage Order'!$A$2:$B$8,2,FALSE)</f>
        <v>4</v>
      </c>
      <c r="N5243" t="str">
        <f t="shared" si="162"/>
        <v>2. 1-24 hours</v>
      </c>
      <c r="O5243" t="str">
        <f t="shared" si="163"/>
        <v>2025-07</v>
      </c>
    </row>
    <row r="5244" spans="1:15" x14ac:dyDescent="0.3">
      <c r="A5244" t="s">
        <v>12336</v>
      </c>
      <c r="B5244" t="s">
        <v>12337</v>
      </c>
      <c r="C5244" t="s">
        <v>81</v>
      </c>
      <c r="D5244" t="s">
        <v>77</v>
      </c>
      <c r="E5244" t="s">
        <v>59</v>
      </c>
      <c r="F5244" t="s">
        <v>60</v>
      </c>
      <c r="G5244">
        <v>5.51</v>
      </c>
      <c r="H5244" t="s">
        <v>47</v>
      </c>
      <c r="I5244" t="s">
        <v>48</v>
      </c>
      <c r="J5244" t="s">
        <v>139</v>
      </c>
      <c r="K5244">
        <v>823.54</v>
      </c>
      <c r="L5244" t="s">
        <v>12338</v>
      </c>
      <c r="M5244">
        <f>VLOOKUP(H5244,'Stage Order'!$A$2:$B$8,2,FALSE)</f>
        <v>4</v>
      </c>
      <c r="N5244" t="str">
        <f t="shared" si="162"/>
        <v>2. 1-24 hours</v>
      </c>
      <c r="O5244" t="str">
        <f t="shared" si="163"/>
        <v>2025-06</v>
      </c>
    </row>
    <row r="5245" spans="1:15" x14ac:dyDescent="0.3">
      <c r="A5245" t="s">
        <v>12339</v>
      </c>
      <c r="B5245" t="s">
        <v>12340</v>
      </c>
      <c r="C5245" t="s">
        <v>81</v>
      </c>
      <c r="D5245" t="s">
        <v>38</v>
      </c>
      <c r="E5245" t="s">
        <v>39</v>
      </c>
      <c r="F5245" t="s">
        <v>66</v>
      </c>
      <c r="G5245">
        <v>6.31</v>
      </c>
      <c r="H5245" t="s">
        <v>61</v>
      </c>
      <c r="I5245" t="s">
        <v>42</v>
      </c>
      <c r="M5245">
        <f>VLOOKUP(H5245,'Stage Order'!$A$2:$B$8,2,FALSE)</f>
        <v>1</v>
      </c>
      <c r="N5245" t="str">
        <f t="shared" si="162"/>
        <v>2. 1-24 hours</v>
      </c>
      <c r="O5245" t="str">
        <f t="shared" si="163"/>
        <v>2025-05</v>
      </c>
    </row>
    <row r="5246" spans="1:15" x14ac:dyDescent="0.3">
      <c r="A5246" t="s">
        <v>12341</v>
      </c>
      <c r="B5246" t="s">
        <v>12342</v>
      </c>
      <c r="C5246" t="s">
        <v>125</v>
      </c>
      <c r="D5246" t="s">
        <v>77</v>
      </c>
      <c r="E5246" t="s">
        <v>45</v>
      </c>
      <c r="F5246" t="s">
        <v>46</v>
      </c>
      <c r="G5246">
        <v>1.26</v>
      </c>
      <c r="H5246" t="s">
        <v>128</v>
      </c>
      <c r="I5246" t="s">
        <v>42</v>
      </c>
      <c r="M5246">
        <f>VLOOKUP(H5246,'Stage Order'!$A$2:$B$8,2,FALSE)</f>
        <v>3</v>
      </c>
      <c r="N5246" t="str">
        <f t="shared" si="162"/>
        <v>2. 1-24 hours</v>
      </c>
      <c r="O5246" t="str">
        <f t="shared" si="163"/>
        <v>2025-03</v>
      </c>
    </row>
    <row r="5247" spans="1:15" x14ac:dyDescent="0.3">
      <c r="A5247" t="s">
        <v>12343</v>
      </c>
      <c r="B5247" t="s">
        <v>12344</v>
      </c>
      <c r="C5247" t="s">
        <v>125</v>
      </c>
      <c r="D5247" t="s">
        <v>38</v>
      </c>
      <c r="E5247" t="s">
        <v>30</v>
      </c>
      <c r="F5247" t="s">
        <v>82</v>
      </c>
      <c r="G5247">
        <v>35.71</v>
      </c>
      <c r="H5247" t="s">
        <v>41</v>
      </c>
      <c r="I5247" t="s">
        <v>42</v>
      </c>
      <c r="M5247">
        <f>VLOOKUP(H5247,'Stage Order'!$A$2:$B$8,2,FALSE)</f>
        <v>2</v>
      </c>
      <c r="N5247" t="str">
        <f t="shared" si="162"/>
        <v>3. 1-3 days</v>
      </c>
      <c r="O5247" t="str">
        <f t="shared" si="163"/>
        <v>2025-02</v>
      </c>
    </row>
    <row r="5248" spans="1:15" x14ac:dyDescent="0.3">
      <c r="A5248" t="s">
        <v>12345</v>
      </c>
      <c r="B5248" t="s">
        <v>12346</v>
      </c>
      <c r="C5248" t="s">
        <v>125</v>
      </c>
      <c r="D5248" t="s">
        <v>38</v>
      </c>
      <c r="E5248" t="s">
        <v>90</v>
      </c>
      <c r="F5248" t="s">
        <v>145</v>
      </c>
      <c r="G5248">
        <v>1.17</v>
      </c>
      <c r="H5248" t="s">
        <v>47</v>
      </c>
      <c r="I5248" t="s">
        <v>48</v>
      </c>
      <c r="J5248" t="s">
        <v>113</v>
      </c>
      <c r="K5248">
        <v>392.65</v>
      </c>
      <c r="L5248" t="s">
        <v>12347</v>
      </c>
      <c r="M5248">
        <f>VLOOKUP(H5248,'Stage Order'!$A$2:$B$8,2,FALSE)</f>
        <v>4</v>
      </c>
      <c r="N5248" t="str">
        <f t="shared" si="162"/>
        <v>2. 1-24 hours</v>
      </c>
      <c r="O5248" t="str">
        <f t="shared" si="163"/>
        <v>2025-05</v>
      </c>
    </row>
    <row r="5249" spans="1:15" x14ac:dyDescent="0.3">
      <c r="A5249" t="s">
        <v>12348</v>
      </c>
      <c r="B5249" t="s">
        <v>12349</v>
      </c>
      <c r="C5249" t="s">
        <v>53</v>
      </c>
      <c r="D5249" t="s">
        <v>77</v>
      </c>
      <c r="E5249" t="s">
        <v>45</v>
      </c>
      <c r="F5249" t="s">
        <v>46</v>
      </c>
      <c r="G5249">
        <v>4.01</v>
      </c>
      <c r="H5249" t="s">
        <v>41</v>
      </c>
      <c r="I5249" t="s">
        <v>42</v>
      </c>
      <c r="M5249">
        <f>VLOOKUP(H5249,'Stage Order'!$A$2:$B$8,2,FALSE)</f>
        <v>2</v>
      </c>
      <c r="N5249" t="str">
        <f t="shared" si="162"/>
        <v>2. 1-24 hours</v>
      </c>
      <c r="O5249" t="str">
        <f t="shared" si="163"/>
        <v>2025-09</v>
      </c>
    </row>
    <row r="5250" spans="1:15" x14ac:dyDescent="0.3">
      <c r="A5250" t="s">
        <v>12350</v>
      </c>
      <c r="B5250" t="s">
        <v>12351</v>
      </c>
      <c r="C5250" t="s">
        <v>58</v>
      </c>
      <c r="D5250" t="s">
        <v>77</v>
      </c>
      <c r="E5250" t="s">
        <v>45</v>
      </c>
      <c r="F5250" t="s">
        <v>94</v>
      </c>
      <c r="G5250">
        <v>8.73</v>
      </c>
      <c r="H5250" t="s">
        <v>41</v>
      </c>
      <c r="I5250" t="s">
        <v>42</v>
      </c>
      <c r="M5250">
        <f>VLOOKUP(H5250,'Stage Order'!$A$2:$B$8,2,FALSE)</f>
        <v>2</v>
      </c>
      <c r="N5250" t="str">
        <f t="shared" ref="N5250:N5313" si="164">IF(G5250&lt;=1,"1. Under 1 hour",IF(G5250&lt;=24,"2. 1-24 hours",IF(G5250&lt;=72,"3. 1-3 days","4. Over 3 days")))</f>
        <v>2. 1-24 hours</v>
      </c>
      <c r="O5250" t="str">
        <f t="shared" ref="O5250:O5313" si="165">TEXT(B5250,"YYYY-MM")</f>
        <v>2025-08</v>
      </c>
    </row>
    <row r="5251" spans="1:15" x14ac:dyDescent="0.3">
      <c r="A5251" t="s">
        <v>12352</v>
      </c>
      <c r="B5251" t="s">
        <v>12353</v>
      </c>
      <c r="C5251" t="s">
        <v>53</v>
      </c>
      <c r="D5251" t="s">
        <v>38</v>
      </c>
      <c r="E5251" t="s">
        <v>30</v>
      </c>
      <c r="F5251" t="s">
        <v>31</v>
      </c>
      <c r="G5251">
        <v>2.77</v>
      </c>
      <c r="H5251" t="s">
        <v>41</v>
      </c>
      <c r="I5251" t="s">
        <v>42</v>
      </c>
      <c r="M5251">
        <f>VLOOKUP(H5251,'Stage Order'!$A$2:$B$8,2,FALSE)</f>
        <v>2</v>
      </c>
      <c r="N5251" t="str">
        <f t="shared" si="164"/>
        <v>2. 1-24 hours</v>
      </c>
      <c r="O5251" t="str">
        <f t="shared" si="165"/>
        <v>2025-02</v>
      </c>
    </row>
    <row r="5252" spans="1:15" x14ac:dyDescent="0.3">
      <c r="A5252" t="s">
        <v>12354</v>
      </c>
      <c r="B5252" t="s">
        <v>12355</v>
      </c>
      <c r="C5252" t="s">
        <v>58</v>
      </c>
      <c r="D5252" t="s">
        <v>29</v>
      </c>
      <c r="E5252" t="s">
        <v>45</v>
      </c>
      <c r="F5252" t="s">
        <v>46</v>
      </c>
      <c r="G5252">
        <v>1.1200000000000001</v>
      </c>
      <c r="H5252" t="s">
        <v>138</v>
      </c>
      <c r="I5252" t="s">
        <v>48</v>
      </c>
      <c r="J5252" t="s">
        <v>49</v>
      </c>
      <c r="K5252">
        <v>584.91999999999996</v>
      </c>
      <c r="L5252" t="s">
        <v>12356</v>
      </c>
      <c r="M5252">
        <f>VLOOKUP(H5252,'Stage Order'!$A$2:$B$8,2,FALSE)</f>
        <v>6</v>
      </c>
      <c r="N5252" t="str">
        <f t="shared" si="164"/>
        <v>2. 1-24 hours</v>
      </c>
      <c r="O5252" t="str">
        <f t="shared" si="165"/>
        <v>2026-06</v>
      </c>
    </row>
    <row r="5253" spans="1:15" x14ac:dyDescent="0.3">
      <c r="A5253" t="s">
        <v>12357</v>
      </c>
      <c r="B5253" t="s">
        <v>12358</v>
      </c>
      <c r="C5253" t="s">
        <v>53</v>
      </c>
      <c r="D5253" t="s">
        <v>38</v>
      </c>
      <c r="E5253" t="s">
        <v>45</v>
      </c>
      <c r="F5253" t="s">
        <v>55</v>
      </c>
      <c r="G5253">
        <v>3.24</v>
      </c>
      <c r="H5253" t="s">
        <v>32</v>
      </c>
      <c r="I5253" t="s">
        <v>33</v>
      </c>
      <c r="K5253">
        <v>397.94</v>
      </c>
      <c r="L5253" t="s">
        <v>12359</v>
      </c>
      <c r="M5253">
        <f>VLOOKUP(H5253,'Stage Order'!$A$2:$B$8,2,FALSE)</f>
        <v>7</v>
      </c>
      <c r="N5253" t="str">
        <f t="shared" si="164"/>
        <v>2. 1-24 hours</v>
      </c>
      <c r="O5253" t="str">
        <f t="shared" si="165"/>
        <v>2025-02</v>
      </c>
    </row>
    <row r="5254" spans="1:15" x14ac:dyDescent="0.3">
      <c r="A5254" t="s">
        <v>12360</v>
      </c>
      <c r="B5254" t="s">
        <v>12361</v>
      </c>
      <c r="C5254" t="s">
        <v>37</v>
      </c>
      <c r="D5254" t="s">
        <v>38</v>
      </c>
      <c r="E5254" t="s">
        <v>45</v>
      </c>
      <c r="F5254" t="s">
        <v>55</v>
      </c>
      <c r="G5254">
        <v>0.84</v>
      </c>
      <c r="H5254" t="s">
        <v>41</v>
      </c>
      <c r="I5254" t="s">
        <v>42</v>
      </c>
      <c r="M5254">
        <f>VLOOKUP(H5254,'Stage Order'!$A$2:$B$8,2,FALSE)</f>
        <v>2</v>
      </c>
      <c r="N5254" t="str">
        <f t="shared" si="164"/>
        <v>1. Under 1 hour</v>
      </c>
      <c r="O5254" t="str">
        <f t="shared" si="165"/>
        <v>2025-10</v>
      </c>
    </row>
    <row r="5255" spans="1:15" x14ac:dyDescent="0.3">
      <c r="A5255" t="s">
        <v>12362</v>
      </c>
      <c r="B5255" t="s">
        <v>12363</v>
      </c>
      <c r="C5255" t="s">
        <v>37</v>
      </c>
      <c r="D5255" t="s">
        <v>77</v>
      </c>
      <c r="E5255" t="s">
        <v>59</v>
      </c>
      <c r="F5255" t="s">
        <v>60</v>
      </c>
      <c r="G5255">
        <v>7.64</v>
      </c>
      <c r="H5255" t="s">
        <v>41</v>
      </c>
      <c r="I5255" t="s">
        <v>42</v>
      </c>
      <c r="M5255">
        <f>VLOOKUP(H5255,'Stage Order'!$A$2:$B$8,2,FALSE)</f>
        <v>2</v>
      </c>
      <c r="N5255" t="str">
        <f t="shared" si="164"/>
        <v>2. 1-24 hours</v>
      </c>
      <c r="O5255" t="str">
        <f t="shared" si="165"/>
        <v>2025-06</v>
      </c>
    </row>
    <row r="5256" spans="1:15" x14ac:dyDescent="0.3">
      <c r="A5256" t="s">
        <v>12364</v>
      </c>
      <c r="B5256" t="s">
        <v>12365</v>
      </c>
      <c r="C5256" t="s">
        <v>37</v>
      </c>
      <c r="D5256" t="s">
        <v>29</v>
      </c>
      <c r="E5256" t="s">
        <v>59</v>
      </c>
      <c r="F5256" t="s">
        <v>137</v>
      </c>
      <c r="G5256">
        <v>3.03</v>
      </c>
      <c r="H5256" t="s">
        <v>47</v>
      </c>
      <c r="I5256" t="s">
        <v>48</v>
      </c>
      <c r="J5256" t="s">
        <v>139</v>
      </c>
      <c r="K5256">
        <v>632.48</v>
      </c>
      <c r="L5256" t="s">
        <v>12366</v>
      </c>
      <c r="M5256">
        <f>VLOOKUP(H5256,'Stage Order'!$A$2:$B$8,2,FALSE)</f>
        <v>4</v>
      </c>
      <c r="N5256" t="str">
        <f t="shared" si="164"/>
        <v>2. 1-24 hours</v>
      </c>
      <c r="O5256" t="str">
        <f t="shared" si="165"/>
        <v>2025-06</v>
      </c>
    </row>
    <row r="5257" spans="1:15" x14ac:dyDescent="0.3">
      <c r="A5257" t="s">
        <v>12367</v>
      </c>
      <c r="B5257" t="s">
        <v>12368</v>
      </c>
      <c r="C5257" t="s">
        <v>58</v>
      </c>
      <c r="D5257" t="s">
        <v>38</v>
      </c>
      <c r="E5257" t="s">
        <v>59</v>
      </c>
      <c r="F5257" t="s">
        <v>60</v>
      </c>
      <c r="G5257">
        <v>19.14</v>
      </c>
      <c r="H5257" t="s">
        <v>128</v>
      </c>
      <c r="I5257" t="s">
        <v>42</v>
      </c>
      <c r="M5257">
        <f>VLOOKUP(H5257,'Stage Order'!$A$2:$B$8,2,FALSE)</f>
        <v>3</v>
      </c>
      <c r="N5257" t="str">
        <f t="shared" si="164"/>
        <v>2. 1-24 hours</v>
      </c>
      <c r="O5257" t="str">
        <f t="shared" si="165"/>
        <v>2025-08</v>
      </c>
    </row>
    <row r="5258" spans="1:15" x14ac:dyDescent="0.3">
      <c r="A5258" t="s">
        <v>12369</v>
      </c>
      <c r="B5258" t="s">
        <v>12370</v>
      </c>
      <c r="C5258" t="s">
        <v>28</v>
      </c>
      <c r="D5258" t="s">
        <v>29</v>
      </c>
      <c r="E5258" t="s">
        <v>39</v>
      </c>
      <c r="F5258" t="s">
        <v>106</v>
      </c>
      <c r="G5258">
        <v>2.85</v>
      </c>
      <c r="H5258" t="s">
        <v>138</v>
      </c>
      <c r="I5258" t="s">
        <v>48</v>
      </c>
      <c r="J5258" t="s">
        <v>49</v>
      </c>
      <c r="K5258">
        <v>628.87</v>
      </c>
      <c r="L5258" t="s">
        <v>12371</v>
      </c>
      <c r="M5258">
        <f>VLOOKUP(H5258,'Stage Order'!$A$2:$B$8,2,FALSE)</f>
        <v>6</v>
      </c>
      <c r="N5258" t="str">
        <f t="shared" si="164"/>
        <v>2. 1-24 hours</v>
      </c>
      <c r="O5258" t="str">
        <f t="shared" si="165"/>
        <v>2025-03</v>
      </c>
    </row>
    <row r="5259" spans="1:15" x14ac:dyDescent="0.3">
      <c r="A5259" t="s">
        <v>12372</v>
      </c>
      <c r="B5259" t="s">
        <v>12373</v>
      </c>
      <c r="C5259" t="s">
        <v>125</v>
      </c>
      <c r="D5259" t="s">
        <v>77</v>
      </c>
      <c r="E5259" t="s">
        <v>45</v>
      </c>
      <c r="F5259" t="s">
        <v>55</v>
      </c>
      <c r="G5259">
        <v>4.3099999999999996</v>
      </c>
      <c r="H5259" t="s">
        <v>61</v>
      </c>
      <c r="I5259" t="s">
        <v>42</v>
      </c>
      <c r="M5259">
        <f>VLOOKUP(H5259,'Stage Order'!$A$2:$B$8,2,FALSE)</f>
        <v>1</v>
      </c>
      <c r="N5259" t="str">
        <f t="shared" si="164"/>
        <v>2. 1-24 hours</v>
      </c>
      <c r="O5259" t="str">
        <f t="shared" si="165"/>
        <v>2026-01</v>
      </c>
    </row>
    <row r="5260" spans="1:15" x14ac:dyDescent="0.3">
      <c r="A5260" t="s">
        <v>12374</v>
      </c>
      <c r="B5260" t="s">
        <v>12375</v>
      </c>
      <c r="C5260" t="s">
        <v>37</v>
      </c>
      <c r="D5260" t="s">
        <v>77</v>
      </c>
      <c r="E5260" t="s">
        <v>45</v>
      </c>
      <c r="F5260" t="s">
        <v>55</v>
      </c>
      <c r="G5260">
        <v>2.4</v>
      </c>
      <c r="H5260" t="s">
        <v>47</v>
      </c>
      <c r="I5260" t="s">
        <v>48</v>
      </c>
      <c r="J5260" t="s">
        <v>98</v>
      </c>
      <c r="K5260">
        <v>1059.17</v>
      </c>
      <c r="L5260" t="s">
        <v>12376</v>
      </c>
      <c r="M5260">
        <f>VLOOKUP(H5260,'Stage Order'!$A$2:$B$8,2,FALSE)</f>
        <v>4</v>
      </c>
      <c r="N5260" t="str">
        <f t="shared" si="164"/>
        <v>2. 1-24 hours</v>
      </c>
      <c r="O5260" t="str">
        <f t="shared" si="165"/>
        <v>2025-08</v>
      </c>
    </row>
    <row r="5261" spans="1:15" x14ac:dyDescent="0.3">
      <c r="A5261" t="s">
        <v>12377</v>
      </c>
      <c r="B5261" t="s">
        <v>12378</v>
      </c>
      <c r="C5261" t="s">
        <v>37</v>
      </c>
      <c r="D5261" t="s">
        <v>54</v>
      </c>
      <c r="E5261" t="s">
        <v>39</v>
      </c>
      <c r="F5261" t="s">
        <v>40</v>
      </c>
      <c r="G5261">
        <v>3.88</v>
      </c>
      <c r="H5261" t="s">
        <v>32</v>
      </c>
      <c r="I5261" t="s">
        <v>33</v>
      </c>
      <c r="K5261">
        <v>586.29</v>
      </c>
      <c r="L5261" t="s">
        <v>12379</v>
      </c>
      <c r="M5261">
        <f>VLOOKUP(H5261,'Stage Order'!$A$2:$B$8,2,FALSE)</f>
        <v>7</v>
      </c>
      <c r="N5261" t="str">
        <f t="shared" si="164"/>
        <v>2. 1-24 hours</v>
      </c>
      <c r="O5261" t="str">
        <f t="shared" si="165"/>
        <v>2025-04</v>
      </c>
    </row>
    <row r="5262" spans="1:15" x14ac:dyDescent="0.3">
      <c r="A5262" t="s">
        <v>12380</v>
      </c>
      <c r="B5262" t="s">
        <v>12381</v>
      </c>
      <c r="C5262" t="s">
        <v>53</v>
      </c>
      <c r="D5262" t="s">
        <v>77</v>
      </c>
      <c r="E5262" t="s">
        <v>39</v>
      </c>
      <c r="F5262" t="s">
        <v>106</v>
      </c>
      <c r="G5262">
        <v>4.68</v>
      </c>
      <c r="H5262" t="s">
        <v>146</v>
      </c>
      <c r="I5262" t="s">
        <v>48</v>
      </c>
      <c r="J5262" t="s">
        <v>139</v>
      </c>
      <c r="K5262">
        <v>935.73</v>
      </c>
      <c r="L5262" t="s">
        <v>12382</v>
      </c>
      <c r="M5262">
        <f>VLOOKUP(H5262,'Stage Order'!$A$2:$B$8,2,FALSE)</f>
        <v>5</v>
      </c>
      <c r="N5262" t="str">
        <f t="shared" si="164"/>
        <v>2. 1-24 hours</v>
      </c>
      <c r="O5262" t="str">
        <f t="shared" si="165"/>
        <v>2026-03</v>
      </c>
    </row>
    <row r="5263" spans="1:15" x14ac:dyDescent="0.3">
      <c r="A5263" t="s">
        <v>12383</v>
      </c>
      <c r="B5263" t="s">
        <v>12384</v>
      </c>
      <c r="C5263" t="s">
        <v>37</v>
      </c>
      <c r="D5263" t="s">
        <v>38</v>
      </c>
      <c r="E5263" t="s">
        <v>45</v>
      </c>
      <c r="F5263" t="s">
        <v>55</v>
      </c>
      <c r="G5263">
        <v>0.87</v>
      </c>
      <c r="H5263" t="s">
        <v>47</v>
      </c>
      <c r="I5263" t="s">
        <v>48</v>
      </c>
      <c r="J5263" t="s">
        <v>113</v>
      </c>
      <c r="K5263">
        <v>368.29</v>
      </c>
      <c r="L5263" t="s">
        <v>12385</v>
      </c>
      <c r="M5263">
        <f>VLOOKUP(H5263,'Stage Order'!$A$2:$B$8,2,FALSE)</f>
        <v>4</v>
      </c>
      <c r="N5263" t="str">
        <f t="shared" si="164"/>
        <v>1. Under 1 hour</v>
      </c>
      <c r="O5263" t="str">
        <f t="shared" si="165"/>
        <v>2025-09</v>
      </c>
    </row>
    <row r="5264" spans="1:15" x14ac:dyDescent="0.3">
      <c r="A5264" t="s">
        <v>12386</v>
      </c>
      <c r="B5264" t="s">
        <v>12387</v>
      </c>
      <c r="C5264" t="s">
        <v>125</v>
      </c>
      <c r="D5264" t="s">
        <v>38</v>
      </c>
      <c r="E5264" t="s">
        <v>59</v>
      </c>
      <c r="F5264" t="s">
        <v>117</v>
      </c>
      <c r="G5264">
        <v>2.77</v>
      </c>
      <c r="H5264" t="s">
        <v>146</v>
      </c>
      <c r="I5264" t="s">
        <v>48</v>
      </c>
      <c r="J5264" t="s">
        <v>139</v>
      </c>
      <c r="K5264">
        <v>370.28</v>
      </c>
      <c r="L5264" t="s">
        <v>12388</v>
      </c>
      <c r="M5264">
        <f>VLOOKUP(H5264,'Stage Order'!$A$2:$B$8,2,FALSE)</f>
        <v>5</v>
      </c>
      <c r="N5264" t="str">
        <f t="shared" si="164"/>
        <v>2. 1-24 hours</v>
      </c>
      <c r="O5264" t="str">
        <f t="shared" si="165"/>
        <v>2026-05</v>
      </c>
    </row>
    <row r="5265" spans="1:15" x14ac:dyDescent="0.3">
      <c r="A5265" t="s">
        <v>12389</v>
      </c>
      <c r="B5265" t="s">
        <v>12390</v>
      </c>
      <c r="C5265" t="s">
        <v>37</v>
      </c>
      <c r="D5265" t="s">
        <v>54</v>
      </c>
      <c r="E5265" t="s">
        <v>39</v>
      </c>
      <c r="F5265" t="s">
        <v>106</v>
      </c>
      <c r="G5265">
        <v>1.74</v>
      </c>
      <c r="H5265" t="s">
        <v>32</v>
      </c>
      <c r="I5265" t="s">
        <v>33</v>
      </c>
      <c r="K5265">
        <v>584.74</v>
      </c>
      <c r="L5265" t="s">
        <v>12391</v>
      </c>
      <c r="M5265">
        <f>VLOOKUP(H5265,'Stage Order'!$A$2:$B$8,2,FALSE)</f>
        <v>7</v>
      </c>
      <c r="N5265" t="str">
        <f t="shared" si="164"/>
        <v>2. 1-24 hours</v>
      </c>
      <c r="O5265" t="str">
        <f t="shared" si="165"/>
        <v>2025-07</v>
      </c>
    </row>
    <row r="5266" spans="1:15" x14ac:dyDescent="0.3">
      <c r="A5266" t="s">
        <v>12392</v>
      </c>
      <c r="B5266" t="s">
        <v>12393</v>
      </c>
      <c r="C5266" t="s">
        <v>58</v>
      </c>
      <c r="D5266" t="s">
        <v>77</v>
      </c>
      <c r="E5266" t="s">
        <v>45</v>
      </c>
      <c r="F5266" t="s">
        <v>55</v>
      </c>
      <c r="G5266">
        <v>2.4500000000000002</v>
      </c>
      <c r="H5266" t="s">
        <v>146</v>
      </c>
      <c r="I5266" t="s">
        <v>48</v>
      </c>
      <c r="J5266" t="s">
        <v>139</v>
      </c>
      <c r="K5266">
        <v>1034.55</v>
      </c>
      <c r="L5266" t="s">
        <v>12394</v>
      </c>
      <c r="M5266">
        <f>VLOOKUP(H5266,'Stage Order'!$A$2:$B$8,2,FALSE)</f>
        <v>5</v>
      </c>
      <c r="N5266" t="str">
        <f t="shared" si="164"/>
        <v>2. 1-24 hours</v>
      </c>
      <c r="O5266" t="str">
        <f t="shared" si="165"/>
        <v>2026-05</v>
      </c>
    </row>
    <row r="5267" spans="1:15" x14ac:dyDescent="0.3">
      <c r="A5267" t="s">
        <v>12395</v>
      </c>
      <c r="B5267" t="s">
        <v>12396</v>
      </c>
      <c r="C5267" t="s">
        <v>37</v>
      </c>
      <c r="D5267" t="s">
        <v>54</v>
      </c>
      <c r="E5267" t="s">
        <v>39</v>
      </c>
      <c r="F5267" t="s">
        <v>66</v>
      </c>
      <c r="G5267">
        <v>1.1100000000000001</v>
      </c>
      <c r="H5267" t="s">
        <v>61</v>
      </c>
      <c r="I5267" t="s">
        <v>42</v>
      </c>
      <c r="M5267">
        <f>VLOOKUP(H5267,'Stage Order'!$A$2:$B$8,2,FALSE)</f>
        <v>1</v>
      </c>
      <c r="N5267" t="str">
        <f t="shared" si="164"/>
        <v>2. 1-24 hours</v>
      </c>
      <c r="O5267" t="str">
        <f t="shared" si="165"/>
        <v>2026-02</v>
      </c>
    </row>
    <row r="5268" spans="1:15" x14ac:dyDescent="0.3">
      <c r="A5268" t="s">
        <v>12397</v>
      </c>
      <c r="B5268" t="s">
        <v>8388</v>
      </c>
      <c r="C5268" t="s">
        <v>53</v>
      </c>
      <c r="D5268" t="s">
        <v>29</v>
      </c>
      <c r="E5268" t="s">
        <v>45</v>
      </c>
      <c r="F5268" t="s">
        <v>94</v>
      </c>
      <c r="G5268">
        <v>1.67</v>
      </c>
      <c r="H5268" t="s">
        <v>41</v>
      </c>
      <c r="I5268" t="s">
        <v>42</v>
      </c>
      <c r="M5268">
        <f>VLOOKUP(H5268,'Stage Order'!$A$2:$B$8,2,FALSE)</f>
        <v>2</v>
      </c>
      <c r="N5268" t="str">
        <f t="shared" si="164"/>
        <v>2. 1-24 hours</v>
      </c>
      <c r="O5268" t="str">
        <f t="shared" si="165"/>
        <v>2025-07</v>
      </c>
    </row>
    <row r="5269" spans="1:15" x14ac:dyDescent="0.3">
      <c r="A5269" t="s">
        <v>12398</v>
      </c>
      <c r="B5269" t="s">
        <v>12399</v>
      </c>
      <c r="C5269" t="s">
        <v>37</v>
      </c>
      <c r="D5269" t="s">
        <v>54</v>
      </c>
      <c r="E5269" t="s">
        <v>30</v>
      </c>
      <c r="F5269" t="s">
        <v>78</v>
      </c>
      <c r="G5269">
        <v>1.48</v>
      </c>
      <c r="H5269" t="s">
        <v>146</v>
      </c>
      <c r="I5269" t="s">
        <v>48</v>
      </c>
      <c r="J5269" t="s">
        <v>139</v>
      </c>
      <c r="K5269">
        <v>587.47</v>
      </c>
      <c r="L5269" t="s">
        <v>12400</v>
      </c>
      <c r="M5269">
        <f>VLOOKUP(H5269,'Stage Order'!$A$2:$B$8,2,FALSE)</f>
        <v>5</v>
      </c>
      <c r="N5269" t="str">
        <f t="shared" si="164"/>
        <v>2. 1-24 hours</v>
      </c>
      <c r="O5269" t="str">
        <f t="shared" si="165"/>
        <v>2025-11</v>
      </c>
    </row>
    <row r="5270" spans="1:15" x14ac:dyDescent="0.3">
      <c r="A5270" t="s">
        <v>12401</v>
      </c>
      <c r="B5270" t="s">
        <v>12402</v>
      </c>
      <c r="C5270" t="s">
        <v>58</v>
      </c>
      <c r="D5270" t="s">
        <v>29</v>
      </c>
      <c r="E5270" t="s">
        <v>45</v>
      </c>
      <c r="F5270" t="s">
        <v>55</v>
      </c>
      <c r="G5270">
        <v>0.96</v>
      </c>
      <c r="H5270" t="s">
        <v>146</v>
      </c>
      <c r="I5270" t="s">
        <v>48</v>
      </c>
      <c r="J5270" t="s">
        <v>113</v>
      </c>
      <c r="K5270">
        <v>623.32000000000005</v>
      </c>
      <c r="L5270" t="s">
        <v>12403</v>
      </c>
      <c r="M5270">
        <f>VLOOKUP(H5270,'Stage Order'!$A$2:$B$8,2,FALSE)</f>
        <v>5</v>
      </c>
      <c r="N5270" t="str">
        <f t="shared" si="164"/>
        <v>1. Under 1 hour</v>
      </c>
      <c r="O5270" t="str">
        <f t="shared" si="165"/>
        <v>2025-04</v>
      </c>
    </row>
    <row r="5271" spans="1:15" x14ac:dyDescent="0.3">
      <c r="A5271" t="s">
        <v>12404</v>
      </c>
      <c r="B5271" t="s">
        <v>12405</v>
      </c>
      <c r="C5271" t="s">
        <v>37</v>
      </c>
      <c r="D5271" t="s">
        <v>97</v>
      </c>
      <c r="E5271" t="s">
        <v>30</v>
      </c>
      <c r="F5271" t="s">
        <v>31</v>
      </c>
      <c r="G5271">
        <v>3.68</v>
      </c>
      <c r="H5271" t="s">
        <v>146</v>
      </c>
      <c r="I5271" t="s">
        <v>48</v>
      </c>
      <c r="J5271" t="s">
        <v>742</v>
      </c>
      <c r="K5271">
        <v>1255.5</v>
      </c>
      <c r="L5271" t="s">
        <v>12406</v>
      </c>
      <c r="M5271">
        <f>VLOOKUP(H5271,'Stage Order'!$A$2:$B$8,2,FALSE)</f>
        <v>5</v>
      </c>
      <c r="N5271" t="str">
        <f t="shared" si="164"/>
        <v>2. 1-24 hours</v>
      </c>
      <c r="O5271" t="str">
        <f t="shared" si="165"/>
        <v>2025-08</v>
      </c>
    </row>
    <row r="5272" spans="1:15" x14ac:dyDescent="0.3">
      <c r="A5272" t="s">
        <v>12407</v>
      </c>
      <c r="B5272" t="s">
        <v>12408</v>
      </c>
      <c r="C5272" t="s">
        <v>37</v>
      </c>
      <c r="D5272" t="s">
        <v>54</v>
      </c>
      <c r="E5272" t="s">
        <v>45</v>
      </c>
      <c r="F5272" t="s">
        <v>46</v>
      </c>
      <c r="G5272">
        <v>2.4</v>
      </c>
      <c r="H5272" t="s">
        <v>146</v>
      </c>
      <c r="I5272" t="s">
        <v>48</v>
      </c>
      <c r="J5272" t="s">
        <v>742</v>
      </c>
      <c r="K5272">
        <v>495.68</v>
      </c>
      <c r="L5272" t="s">
        <v>12409</v>
      </c>
      <c r="M5272">
        <f>VLOOKUP(H5272,'Stage Order'!$A$2:$B$8,2,FALSE)</f>
        <v>5</v>
      </c>
      <c r="N5272" t="str">
        <f t="shared" si="164"/>
        <v>2. 1-24 hours</v>
      </c>
      <c r="O5272" t="str">
        <f t="shared" si="165"/>
        <v>2026-03</v>
      </c>
    </row>
    <row r="5273" spans="1:15" x14ac:dyDescent="0.3">
      <c r="A5273" t="s">
        <v>12410</v>
      </c>
      <c r="B5273" t="s">
        <v>12411</v>
      </c>
      <c r="C5273" t="s">
        <v>125</v>
      </c>
      <c r="D5273" t="s">
        <v>54</v>
      </c>
      <c r="E5273" t="s">
        <v>39</v>
      </c>
      <c r="F5273" t="s">
        <v>66</v>
      </c>
      <c r="G5273">
        <v>5.68</v>
      </c>
      <c r="H5273" t="s">
        <v>61</v>
      </c>
      <c r="I5273" t="s">
        <v>42</v>
      </c>
      <c r="M5273">
        <f>VLOOKUP(H5273,'Stage Order'!$A$2:$B$8,2,FALSE)</f>
        <v>1</v>
      </c>
      <c r="N5273" t="str">
        <f t="shared" si="164"/>
        <v>2. 1-24 hours</v>
      </c>
      <c r="O5273" t="str">
        <f t="shared" si="165"/>
        <v>2025-05</v>
      </c>
    </row>
    <row r="5274" spans="1:15" x14ac:dyDescent="0.3">
      <c r="A5274" t="s">
        <v>12412</v>
      </c>
      <c r="B5274" t="s">
        <v>12413</v>
      </c>
      <c r="C5274" t="s">
        <v>125</v>
      </c>
      <c r="D5274" t="s">
        <v>29</v>
      </c>
      <c r="E5274" t="s">
        <v>59</v>
      </c>
      <c r="F5274" t="s">
        <v>117</v>
      </c>
      <c r="G5274">
        <v>1.55</v>
      </c>
      <c r="H5274" t="s">
        <v>41</v>
      </c>
      <c r="I5274" t="s">
        <v>42</v>
      </c>
      <c r="M5274">
        <f>VLOOKUP(H5274,'Stage Order'!$A$2:$B$8,2,FALSE)</f>
        <v>2</v>
      </c>
      <c r="N5274" t="str">
        <f t="shared" si="164"/>
        <v>2. 1-24 hours</v>
      </c>
      <c r="O5274" t="str">
        <f t="shared" si="165"/>
        <v>2025-08</v>
      </c>
    </row>
    <row r="5275" spans="1:15" x14ac:dyDescent="0.3">
      <c r="A5275" t="s">
        <v>12414</v>
      </c>
      <c r="B5275" t="s">
        <v>12415</v>
      </c>
      <c r="C5275" t="s">
        <v>58</v>
      </c>
      <c r="D5275" t="s">
        <v>29</v>
      </c>
      <c r="E5275" t="s">
        <v>39</v>
      </c>
      <c r="F5275" t="s">
        <v>66</v>
      </c>
      <c r="G5275">
        <v>2.2799999999999998</v>
      </c>
      <c r="H5275" t="s">
        <v>41</v>
      </c>
      <c r="I5275" t="s">
        <v>42</v>
      </c>
      <c r="M5275">
        <f>VLOOKUP(H5275,'Stage Order'!$A$2:$B$8,2,FALSE)</f>
        <v>2</v>
      </c>
      <c r="N5275" t="str">
        <f t="shared" si="164"/>
        <v>2. 1-24 hours</v>
      </c>
      <c r="O5275" t="str">
        <f t="shared" si="165"/>
        <v>2025-06</v>
      </c>
    </row>
    <row r="5276" spans="1:15" x14ac:dyDescent="0.3">
      <c r="A5276" t="s">
        <v>12416</v>
      </c>
      <c r="B5276" t="s">
        <v>12417</v>
      </c>
      <c r="C5276" t="s">
        <v>37</v>
      </c>
      <c r="D5276" t="s">
        <v>54</v>
      </c>
      <c r="E5276" t="s">
        <v>59</v>
      </c>
      <c r="F5276" t="s">
        <v>117</v>
      </c>
      <c r="G5276">
        <v>6.29</v>
      </c>
      <c r="H5276" t="s">
        <v>138</v>
      </c>
      <c r="I5276" t="s">
        <v>48</v>
      </c>
      <c r="J5276" t="s">
        <v>742</v>
      </c>
      <c r="K5276">
        <v>524.49</v>
      </c>
      <c r="L5276" t="s">
        <v>12418</v>
      </c>
      <c r="M5276">
        <f>VLOOKUP(H5276,'Stage Order'!$A$2:$B$8,2,FALSE)</f>
        <v>6</v>
      </c>
      <c r="N5276" t="str">
        <f t="shared" si="164"/>
        <v>2. 1-24 hours</v>
      </c>
      <c r="O5276" t="str">
        <f t="shared" si="165"/>
        <v>2025-09</v>
      </c>
    </row>
    <row r="5277" spans="1:15" x14ac:dyDescent="0.3">
      <c r="A5277" t="s">
        <v>12419</v>
      </c>
      <c r="B5277" t="s">
        <v>12420</v>
      </c>
      <c r="C5277" t="s">
        <v>28</v>
      </c>
      <c r="D5277" t="s">
        <v>54</v>
      </c>
      <c r="E5277" t="s">
        <v>45</v>
      </c>
      <c r="F5277" t="s">
        <v>55</v>
      </c>
      <c r="G5277">
        <v>2.4300000000000002</v>
      </c>
      <c r="H5277" t="s">
        <v>138</v>
      </c>
      <c r="I5277" t="s">
        <v>48</v>
      </c>
      <c r="J5277" t="s">
        <v>49</v>
      </c>
      <c r="K5277">
        <v>468.86</v>
      </c>
      <c r="L5277" t="s">
        <v>12421</v>
      </c>
      <c r="M5277">
        <f>VLOOKUP(H5277,'Stage Order'!$A$2:$B$8,2,FALSE)</f>
        <v>6</v>
      </c>
      <c r="N5277" t="str">
        <f t="shared" si="164"/>
        <v>2. 1-24 hours</v>
      </c>
      <c r="O5277" t="str">
        <f t="shared" si="165"/>
        <v>2025-02</v>
      </c>
    </row>
    <row r="5278" spans="1:15" x14ac:dyDescent="0.3">
      <c r="A5278" t="s">
        <v>12422</v>
      </c>
      <c r="B5278" t="s">
        <v>12423</v>
      </c>
      <c r="C5278" t="s">
        <v>28</v>
      </c>
      <c r="D5278" t="s">
        <v>29</v>
      </c>
      <c r="E5278" t="s">
        <v>45</v>
      </c>
      <c r="F5278" t="s">
        <v>46</v>
      </c>
      <c r="G5278">
        <v>3.69</v>
      </c>
      <c r="H5278" t="s">
        <v>41</v>
      </c>
      <c r="I5278" t="s">
        <v>42</v>
      </c>
      <c r="M5278">
        <f>VLOOKUP(H5278,'Stage Order'!$A$2:$B$8,2,FALSE)</f>
        <v>2</v>
      </c>
      <c r="N5278" t="str">
        <f t="shared" si="164"/>
        <v>2. 1-24 hours</v>
      </c>
      <c r="O5278" t="str">
        <f t="shared" si="165"/>
        <v>2026-02</v>
      </c>
    </row>
    <row r="5279" spans="1:15" x14ac:dyDescent="0.3">
      <c r="A5279" t="s">
        <v>12424</v>
      </c>
      <c r="B5279" t="s">
        <v>12425</v>
      </c>
      <c r="C5279" t="s">
        <v>53</v>
      </c>
      <c r="D5279" t="s">
        <v>77</v>
      </c>
      <c r="E5279" t="s">
        <v>45</v>
      </c>
      <c r="F5279" t="s">
        <v>55</v>
      </c>
      <c r="G5279">
        <v>1.86</v>
      </c>
      <c r="H5279" t="s">
        <v>32</v>
      </c>
      <c r="I5279" t="s">
        <v>33</v>
      </c>
      <c r="K5279">
        <v>1123.27</v>
      </c>
      <c r="L5279" t="s">
        <v>12426</v>
      </c>
      <c r="M5279">
        <f>VLOOKUP(H5279,'Stage Order'!$A$2:$B$8,2,FALSE)</f>
        <v>7</v>
      </c>
      <c r="N5279" t="str">
        <f t="shared" si="164"/>
        <v>2. 1-24 hours</v>
      </c>
      <c r="O5279" t="str">
        <f t="shared" si="165"/>
        <v>2026-01</v>
      </c>
    </row>
    <row r="5280" spans="1:15" x14ac:dyDescent="0.3">
      <c r="A5280" t="s">
        <v>12427</v>
      </c>
      <c r="B5280" t="s">
        <v>12428</v>
      </c>
      <c r="C5280" t="s">
        <v>37</v>
      </c>
      <c r="D5280" t="s">
        <v>77</v>
      </c>
      <c r="E5280" t="s">
        <v>45</v>
      </c>
      <c r="F5280" t="s">
        <v>55</v>
      </c>
      <c r="G5280">
        <v>1.04</v>
      </c>
      <c r="H5280" t="s">
        <v>32</v>
      </c>
      <c r="I5280" t="s">
        <v>33</v>
      </c>
      <c r="K5280">
        <v>1168.92</v>
      </c>
      <c r="L5280" t="s">
        <v>12429</v>
      </c>
      <c r="M5280">
        <f>VLOOKUP(H5280,'Stage Order'!$A$2:$B$8,2,FALSE)</f>
        <v>7</v>
      </c>
      <c r="N5280" t="str">
        <f t="shared" si="164"/>
        <v>2. 1-24 hours</v>
      </c>
      <c r="O5280" t="str">
        <f t="shared" si="165"/>
        <v>2025-12</v>
      </c>
    </row>
    <row r="5281" spans="1:15" x14ac:dyDescent="0.3">
      <c r="A5281" t="s">
        <v>12430</v>
      </c>
      <c r="B5281" t="s">
        <v>12431</v>
      </c>
      <c r="C5281" t="s">
        <v>125</v>
      </c>
      <c r="D5281" t="s">
        <v>38</v>
      </c>
      <c r="E5281" t="s">
        <v>45</v>
      </c>
      <c r="F5281" t="s">
        <v>46</v>
      </c>
      <c r="G5281">
        <v>7.04</v>
      </c>
      <c r="H5281" t="s">
        <v>146</v>
      </c>
      <c r="I5281" t="s">
        <v>48</v>
      </c>
      <c r="J5281" t="s">
        <v>98</v>
      </c>
      <c r="K5281">
        <v>371.48</v>
      </c>
      <c r="L5281" t="s">
        <v>12432</v>
      </c>
      <c r="M5281">
        <f>VLOOKUP(H5281,'Stage Order'!$A$2:$B$8,2,FALSE)</f>
        <v>5</v>
      </c>
      <c r="N5281" t="str">
        <f t="shared" si="164"/>
        <v>2. 1-24 hours</v>
      </c>
      <c r="O5281" t="str">
        <f t="shared" si="165"/>
        <v>2026-03</v>
      </c>
    </row>
    <row r="5282" spans="1:15" x14ac:dyDescent="0.3">
      <c r="A5282" t="s">
        <v>12433</v>
      </c>
      <c r="B5282" t="s">
        <v>12434</v>
      </c>
      <c r="C5282" t="s">
        <v>53</v>
      </c>
      <c r="D5282" t="s">
        <v>54</v>
      </c>
      <c r="E5282" t="s">
        <v>45</v>
      </c>
      <c r="F5282" t="s">
        <v>46</v>
      </c>
      <c r="G5282">
        <v>10.86</v>
      </c>
      <c r="H5282" t="s">
        <v>32</v>
      </c>
      <c r="I5282" t="s">
        <v>33</v>
      </c>
      <c r="K5282">
        <v>444.56</v>
      </c>
      <c r="L5282" t="s">
        <v>12435</v>
      </c>
      <c r="M5282">
        <f>VLOOKUP(H5282,'Stage Order'!$A$2:$B$8,2,FALSE)</f>
        <v>7</v>
      </c>
      <c r="N5282" t="str">
        <f t="shared" si="164"/>
        <v>2. 1-24 hours</v>
      </c>
      <c r="O5282" t="str">
        <f t="shared" si="165"/>
        <v>2026-01</v>
      </c>
    </row>
    <row r="5283" spans="1:15" x14ac:dyDescent="0.3">
      <c r="A5283" t="s">
        <v>12436</v>
      </c>
      <c r="B5283" t="s">
        <v>12437</v>
      </c>
      <c r="C5283" t="s">
        <v>53</v>
      </c>
      <c r="D5283" t="s">
        <v>29</v>
      </c>
      <c r="E5283" t="s">
        <v>45</v>
      </c>
      <c r="F5283" t="s">
        <v>94</v>
      </c>
      <c r="G5283">
        <v>1.1299999999999999</v>
      </c>
      <c r="H5283" t="s">
        <v>32</v>
      </c>
      <c r="I5283" t="s">
        <v>33</v>
      </c>
      <c r="K5283">
        <v>644.53</v>
      </c>
      <c r="L5283" t="s">
        <v>12438</v>
      </c>
      <c r="M5283">
        <f>VLOOKUP(H5283,'Stage Order'!$A$2:$B$8,2,FALSE)</f>
        <v>7</v>
      </c>
      <c r="N5283" t="str">
        <f t="shared" si="164"/>
        <v>2. 1-24 hours</v>
      </c>
      <c r="O5283" t="str">
        <f t="shared" si="165"/>
        <v>2025-06</v>
      </c>
    </row>
    <row r="5284" spans="1:15" x14ac:dyDescent="0.3">
      <c r="A5284" t="s">
        <v>12439</v>
      </c>
      <c r="B5284" t="s">
        <v>12440</v>
      </c>
      <c r="C5284" t="s">
        <v>37</v>
      </c>
      <c r="D5284" t="s">
        <v>29</v>
      </c>
      <c r="E5284" t="s">
        <v>59</v>
      </c>
      <c r="F5284" t="s">
        <v>60</v>
      </c>
      <c r="G5284">
        <v>1.42</v>
      </c>
      <c r="H5284" t="s">
        <v>146</v>
      </c>
      <c r="I5284" t="s">
        <v>48</v>
      </c>
      <c r="J5284" t="s">
        <v>113</v>
      </c>
      <c r="K5284">
        <v>557.23</v>
      </c>
      <c r="L5284" t="s">
        <v>12441</v>
      </c>
      <c r="M5284">
        <f>VLOOKUP(H5284,'Stage Order'!$A$2:$B$8,2,FALSE)</f>
        <v>5</v>
      </c>
      <c r="N5284" t="str">
        <f t="shared" si="164"/>
        <v>2. 1-24 hours</v>
      </c>
      <c r="O5284" t="str">
        <f t="shared" si="165"/>
        <v>2026-05</v>
      </c>
    </row>
    <row r="5285" spans="1:15" x14ac:dyDescent="0.3">
      <c r="A5285" t="s">
        <v>12442</v>
      </c>
      <c r="B5285" t="s">
        <v>12443</v>
      </c>
      <c r="C5285" t="s">
        <v>28</v>
      </c>
      <c r="D5285" t="s">
        <v>54</v>
      </c>
      <c r="E5285" t="s">
        <v>39</v>
      </c>
      <c r="F5285" t="s">
        <v>40</v>
      </c>
      <c r="G5285">
        <v>1.57</v>
      </c>
      <c r="H5285" t="s">
        <v>138</v>
      </c>
      <c r="I5285" t="s">
        <v>48</v>
      </c>
      <c r="J5285" t="s">
        <v>98</v>
      </c>
      <c r="K5285">
        <v>466.43</v>
      </c>
      <c r="L5285" t="s">
        <v>12444</v>
      </c>
      <c r="M5285">
        <f>VLOOKUP(H5285,'Stage Order'!$A$2:$B$8,2,FALSE)</f>
        <v>6</v>
      </c>
      <c r="N5285" t="str">
        <f t="shared" si="164"/>
        <v>2. 1-24 hours</v>
      </c>
      <c r="O5285" t="str">
        <f t="shared" si="165"/>
        <v>2025-11</v>
      </c>
    </row>
    <row r="5286" spans="1:15" x14ac:dyDescent="0.3">
      <c r="A5286" t="s">
        <v>12445</v>
      </c>
      <c r="B5286" t="s">
        <v>12446</v>
      </c>
      <c r="C5286" t="s">
        <v>81</v>
      </c>
      <c r="D5286" t="s">
        <v>38</v>
      </c>
      <c r="E5286" t="s">
        <v>45</v>
      </c>
      <c r="F5286" t="s">
        <v>46</v>
      </c>
      <c r="G5286">
        <v>2.09</v>
      </c>
      <c r="H5286" t="s">
        <v>61</v>
      </c>
      <c r="I5286" t="s">
        <v>42</v>
      </c>
      <c r="M5286">
        <f>VLOOKUP(H5286,'Stage Order'!$A$2:$B$8,2,FALSE)</f>
        <v>1</v>
      </c>
      <c r="N5286" t="str">
        <f t="shared" si="164"/>
        <v>2. 1-24 hours</v>
      </c>
      <c r="O5286" t="str">
        <f t="shared" si="165"/>
        <v>2025-08</v>
      </c>
    </row>
    <row r="5287" spans="1:15" x14ac:dyDescent="0.3">
      <c r="A5287" t="s">
        <v>12447</v>
      </c>
      <c r="B5287" t="s">
        <v>12448</v>
      </c>
      <c r="C5287" t="s">
        <v>125</v>
      </c>
      <c r="D5287" t="s">
        <v>54</v>
      </c>
      <c r="E5287" t="s">
        <v>45</v>
      </c>
      <c r="F5287" t="s">
        <v>55</v>
      </c>
      <c r="G5287">
        <v>1.96</v>
      </c>
      <c r="H5287" t="s">
        <v>41</v>
      </c>
      <c r="I5287" t="s">
        <v>42</v>
      </c>
      <c r="M5287">
        <f>VLOOKUP(H5287,'Stage Order'!$A$2:$B$8,2,FALSE)</f>
        <v>2</v>
      </c>
      <c r="N5287" t="str">
        <f t="shared" si="164"/>
        <v>2. 1-24 hours</v>
      </c>
      <c r="O5287" t="str">
        <f t="shared" si="165"/>
        <v>2025-08</v>
      </c>
    </row>
    <row r="5288" spans="1:15" x14ac:dyDescent="0.3">
      <c r="A5288" t="s">
        <v>12449</v>
      </c>
      <c r="B5288" t="s">
        <v>12450</v>
      </c>
      <c r="C5288" t="s">
        <v>53</v>
      </c>
      <c r="D5288" t="s">
        <v>77</v>
      </c>
      <c r="E5288" t="s">
        <v>59</v>
      </c>
      <c r="F5288" t="s">
        <v>60</v>
      </c>
      <c r="G5288">
        <v>10.18</v>
      </c>
      <c r="H5288" t="s">
        <v>138</v>
      </c>
      <c r="I5288" t="s">
        <v>48</v>
      </c>
      <c r="J5288" t="s">
        <v>113</v>
      </c>
      <c r="K5288">
        <v>1035.0899999999999</v>
      </c>
      <c r="L5288" t="s">
        <v>12451</v>
      </c>
      <c r="M5288">
        <f>VLOOKUP(H5288,'Stage Order'!$A$2:$B$8,2,FALSE)</f>
        <v>6</v>
      </c>
      <c r="N5288" t="str">
        <f t="shared" si="164"/>
        <v>2. 1-24 hours</v>
      </c>
      <c r="O5288" t="str">
        <f t="shared" si="165"/>
        <v>2026-01</v>
      </c>
    </row>
    <row r="5289" spans="1:15" x14ac:dyDescent="0.3">
      <c r="A5289" t="s">
        <v>12452</v>
      </c>
      <c r="B5289" t="s">
        <v>12453</v>
      </c>
      <c r="C5289" t="s">
        <v>28</v>
      </c>
      <c r="D5289" t="s">
        <v>97</v>
      </c>
      <c r="E5289" t="s">
        <v>45</v>
      </c>
      <c r="F5289" t="s">
        <v>55</v>
      </c>
      <c r="G5289">
        <v>4.41</v>
      </c>
      <c r="H5289" t="s">
        <v>41</v>
      </c>
      <c r="I5289" t="s">
        <v>42</v>
      </c>
      <c r="M5289">
        <f>VLOOKUP(H5289,'Stage Order'!$A$2:$B$8,2,FALSE)</f>
        <v>2</v>
      </c>
      <c r="N5289" t="str">
        <f t="shared" si="164"/>
        <v>2. 1-24 hours</v>
      </c>
      <c r="O5289" t="str">
        <f t="shared" si="165"/>
        <v>2026-02</v>
      </c>
    </row>
    <row r="5290" spans="1:15" x14ac:dyDescent="0.3">
      <c r="A5290" t="s">
        <v>12454</v>
      </c>
      <c r="B5290" t="s">
        <v>12455</v>
      </c>
      <c r="C5290" t="s">
        <v>37</v>
      </c>
      <c r="D5290" t="s">
        <v>97</v>
      </c>
      <c r="E5290" t="s">
        <v>45</v>
      </c>
      <c r="F5290" t="s">
        <v>46</v>
      </c>
      <c r="G5290">
        <v>4.08</v>
      </c>
      <c r="H5290" t="s">
        <v>146</v>
      </c>
      <c r="I5290" t="s">
        <v>48</v>
      </c>
      <c r="J5290" t="s">
        <v>49</v>
      </c>
      <c r="K5290">
        <v>1229.8599999999999</v>
      </c>
      <c r="L5290" t="s">
        <v>12456</v>
      </c>
      <c r="M5290">
        <f>VLOOKUP(H5290,'Stage Order'!$A$2:$B$8,2,FALSE)</f>
        <v>5</v>
      </c>
      <c r="N5290" t="str">
        <f t="shared" si="164"/>
        <v>2. 1-24 hours</v>
      </c>
      <c r="O5290" t="str">
        <f t="shared" si="165"/>
        <v>2025-10</v>
      </c>
    </row>
    <row r="5291" spans="1:15" x14ac:dyDescent="0.3">
      <c r="A5291" t="s">
        <v>12457</v>
      </c>
      <c r="B5291" t="s">
        <v>12458</v>
      </c>
      <c r="C5291" t="s">
        <v>37</v>
      </c>
      <c r="D5291" t="s">
        <v>54</v>
      </c>
      <c r="E5291" t="s">
        <v>90</v>
      </c>
      <c r="F5291" t="s">
        <v>112</v>
      </c>
      <c r="G5291">
        <v>2.6</v>
      </c>
      <c r="H5291" t="s">
        <v>61</v>
      </c>
      <c r="I5291" t="s">
        <v>42</v>
      </c>
      <c r="M5291">
        <f>VLOOKUP(H5291,'Stage Order'!$A$2:$B$8,2,FALSE)</f>
        <v>1</v>
      </c>
      <c r="N5291" t="str">
        <f t="shared" si="164"/>
        <v>2. 1-24 hours</v>
      </c>
      <c r="O5291" t="str">
        <f t="shared" si="165"/>
        <v>2025-07</v>
      </c>
    </row>
    <row r="5292" spans="1:15" x14ac:dyDescent="0.3">
      <c r="A5292" t="s">
        <v>12459</v>
      </c>
      <c r="B5292" t="s">
        <v>12460</v>
      </c>
      <c r="C5292" t="s">
        <v>58</v>
      </c>
      <c r="D5292" t="s">
        <v>29</v>
      </c>
      <c r="E5292" t="s">
        <v>90</v>
      </c>
      <c r="F5292" t="s">
        <v>91</v>
      </c>
      <c r="G5292">
        <v>2.09</v>
      </c>
      <c r="H5292" t="s">
        <v>41</v>
      </c>
      <c r="I5292" t="s">
        <v>42</v>
      </c>
      <c r="M5292">
        <f>VLOOKUP(H5292,'Stage Order'!$A$2:$B$8,2,FALSE)</f>
        <v>2</v>
      </c>
      <c r="N5292" t="str">
        <f t="shared" si="164"/>
        <v>2. 1-24 hours</v>
      </c>
      <c r="O5292" t="str">
        <f t="shared" si="165"/>
        <v>2026-01</v>
      </c>
    </row>
    <row r="5293" spans="1:15" x14ac:dyDescent="0.3">
      <c r="A5293" t="s">
        <v>12461</v>
      </c>
      <c r="B5293" t="s">
        <v>12462</v>
      </c>
      <c r="C5293" t="s">
        <v>37</v>
      </c>
      <c r="D5293" t="s">
        <v>77</v>
      </c>
      <c r="E5293" t="s">
        <v>90</v>
      </c>
      <c r="F5293" t="s">
        <v>112</v>
      </c>
      <c r="G5293">
        <v>2.29</v>
      </c>
      <c r="H5293" t="s">
        <v>61</v>
      </c>
      <c r="I5293" t="s">
        <v>42</v>
      </c>
      <c r="M5293">
        <f>VLOOKUP(H5293,'Stage Order'!$A$2:$B$8,2,FALSE)</f>
        <v>1</v>
      </c>
      <c r="N5293" t="str">
        <f t="shared" si="164"/>
        <v>2. 1-24 hours</v>
      </c>
      <c r="O5293" t="str">
        <f t="shared" si="165"/>
        <v>2025-11</v>
      </c>
    </row>
    <row r="5294" spans="1:15" x14ac:dyDescent="0.3">
      <c r="A5294" t="s">
        <v>12463</v>
      </c>
      <c r="B5294" t="s">
        <v>12464</v>
      </c>
      <c r="C5294" t="s">
        <v>28</v>
      </c>
      <c r="D5294" t="s">
        <v>54</v>
      </c>
      <c r="E5294" t="s">
        <v>59</v>
      </c>
      <c r="F5294" t="s">
        <v>117</v>
      </c>
      <c r="G5294">
        <v>1.69</v>
      </c>
      <c r="H5294" t="s">
        <v>41</v>
      </c>
      <c r="I5294" t="s">
        <v>42</v>
      </c>
      <c r="M5294">
        <f>VLOOKUP(H5294,'Stage Order'!$A$2:$B$8,2,FALSE)</f>
        <v>2</v>
      </c>
      <c r="N5294" t="str">
        <f t="shared" si="164"/>
        <v>2. 1-24 hours</v>
      </c>
      <c r="O5294" t="str">
        <f t="shared" si="165"/>
        <v>2025-04</v>
      </c>
    </row>
    <row r="5295" spans="1:15" x14ac:dyDescent="0.3">
      <c r="A5295" t="s">
        <v>12465</v>
      </c>
      <c r="B5295" t="s">
        <v>12466</v>
      </c>
      <c r="C5295" t="s">
        <v>37</v>
      </c>
      <c r="D5295" t="s">
        <v>38</v>
      </c>
      <c r="E5295" t="s">
        <v>39</v>
      </c>
      <c r="F5295" t="s">
        <v>66</v>
      </c>
      <c r="G5295">
        <v>2.46</v>
      </c>
      <c r="H5295" t="s">
        <v>41</v>
      </c>
      <c r="I5295" t="s">
        <v>42</v>
      </c>
      <c r="M5295">
        <f>VLOOKUP(H5295,'Stage Order'!$A$2:$B$8,2,FALSE)</f>
        <v>2</v>
      </c>
      <c r="N5295" t="str">
        <f t="shared" si="164"/>
        <v>2. 1-24 hours</v>
      </c>
      <c r="O5295" t="str">
        <f t="shared" si="165"/>
        <v>2026-03</v>
      </c>
    </row>
    <row r="5296" spans="1:15" x14ac:dyDescent="0.3">
      <c r="A5296" t="s">
        <v>12467</v>
      </c>
      <c r="B5296" t="s">
        <v>12468</v>
      </c>
      <c r="C5296" t="s">
        <v>81</v>
      </c>
      <c r="D5296" t="s">
        <v>29</v>
      </c>
      <c r="E5296" t="s">
        <v>90</v>
      </c>
      <c r="F5296" t="s">
        <v>91</v>
      </c>
      <c r="G5296">
        <v>2.41</v>
      </c>
      <c r="H5296" t="s">
        <v>61</v>
      </c>
      <c r="I5296" t="s">
        <v>42</v>
      </c>
      <c r="M5296">
        <f>VLOOKUP(H5296,'Stage Order'!$A$2:$B$8,2,FALSE)</f>
        <v>1</v>
      </c>
      <c r="N5296" t="str">
        <f t="shared" si="164"/>
        <v>2. 1-24 hours</v>
      </c>
      <c r="O5296" t="str">
        <f t="shared" si="165"/>
        <v>2025-06</v>
      </c>
    </row>
    <row r="5297" spans="1:15" x14ac:dyDescent="0.3">
      <c r="A5297" t="s">
        <v>12469</v>
      </c>
      <c r="B5297" t="s">
        <v>12470</v>
      </c>
      <c r="C5297" t="s">
        <v>81</v>
      </c>
      <c r="D5297" t="s">
        <v>77</v>
      </c>
      <c r="E5297" t="s">
        <v>90</v>
      </c>
      <c r="F5297" t="s">
        <v>145</v>
      </c>
      <c r="G5297">
        <v>5.0999999999999996</v>
      </c>
      <c r="H5297" t="s">
        <v>61</v>
      </c>
      <c r="I5297" t="s">
        <v>42</v>
      </c>
      <c r="M5297">
        <f>VLOOKUP(H5297,'Stage Order'!$A$2:$B$8,2,FALSE)</f>
        <v>1</v>
      </c>
      <c r="N5297" t="str">
        <f t="shared" si="164"/>
        <v>2. 1-24 hours</v>
      </c>
      <c r="O5297" t="str">
        <f t="shared" si="165"/>
        <v>2025-06</v>
      </c>
    </row>
    <row r="5298" spans="1:15" x14ac:dyDescent="0.3">
      <c r="A5298" t="s">
        <v>12471</v>
      </c>
      <c r="B5298" t="s">
        <v>12472</v>
      </c>
      <c r="C5298" t="s">
        <v>76</v>
      </c>
      <c r="D5298" t="s">
        <v>77</v>
      </c>
      <c r="E5298" t="s">
        <v>59</v>
      </c>
      <c r="F5298" t="s">
        <v>117</v>
      </c>
      <c r="G5298">
        <v>1.1000000000000001</v>
      </c>
      <c r="H5298" t="s">
        <v>138</v>
      </c>
      <c r="I5298" t="s">
        <v>48</v>
      </c>
      <c r="J5298" t="s">
        <v>139</v>
      </c>
      <c r="K5298">
        <v>1112.1099999999999</v>
      </c>
      <c r="L5298" t="s">
        <v>12473</v>
      </c>
      <c r="M5298">
        <f>VLOOKUP(H5298,'Stage Order'!$A$2:$B$8,2,FALSE)</f>
        <v>6</v>
      </c>
      <c r="N5298" t="str">
        <f t="shared" si="164"/>
        <v>2. 1-24 hours</v>
      </c>
      <c r="O5298" t="str">
        <f t="shared" si="165"/>
        <v>2025-05</v>
      </c>
    </row>
    <row r="5299" spans="1:15" x14ac:dyDescent="0.3">
      <c r="A5299" t="s">
        <v>12474</v>
      </c>
      <c r="B5299" t="s">
        <v>12475</v>
      </c>
      <c r="C5299" t="s">
        <v>81</v>
      </c>
      <c r="D5299" t="s">
        <v>29</v>
      </c>
      <c r="E5299" t="s">
        <v>45</v>
      </c>
      <c r="F5299" t="s">
        <v>55</v>
      </c>
      <c r="G5299">
        <v>3.22</v>
      </c>
      <c r="H5299" t="s">
        <v>41</v>
      </c>
      <c r="I5299" t="s">
        <v>42</v>
      </c>
      <c r="M5299">
        <f>VLOOKUP(H5299,'Stage Order'!$A$2:$B$8,2,FALSE)</f>
        <v>2</v>
      </c>
      <c r="N5299" t="str">
        <f t="shared" si="164"/>
        <v>2. 1-24 hours</v>
      </c>
      <c r="O5299" t="str">
        <f t="shared" si="165"/>
        <v>2025-01</v>
      </c>
    </row>
    <row r="5300" spans="1:15" x14ac:dyDescent="0.3">
      <c r="A5300" t="s">
        <v>12476</v>
      </c>
      <c r="B5300" t="s">
        <v>12477</v>
      </c>
      <c r="C5300" t="s">
        <v>58</v>
      </c>
      <c r="D5300" t="s">
        <v>54</v>
      </c>
      <c r="E5300" t="s">
        <v>39</v>
      </c>
      <c r="F5300" t="s">
        <v>40</v>
      </c>
      <c r="G5300">
        <v>1.57</v>
      </c>
      <c r="H5300" t="s">
        <v>128</v>
      </c>
      <c r="I5300" t="s">
        <v>42</v>
      </c>
      <c r="M5300">
        <f>VLOOKUP(H5300,'Stage Order'!$A$2:$B$8,2,FALSE)</f>
        <v>3</v>
      </c>
      <c r="N5300" t="str">
        <f t="shared" si="164"/>
        <v>2. 1-24 hours</v>
      </c>
      <c r="O5300" t="str">
        <f t="shared" si="165"/>
        <v>2026-04</v>
      </c>
    </row>
    <row r="5301" spans="1:15" x14ac:dyDescent="0.3">
      <c r="A5301" t="s">
        <v>12478</v>
      </c>
      <c r="B5301" t="s">
        <v>12479</v>
      </c>
      <c r="C5301" t="s">
        <v>58</v>
      </c>
      <c r="D5301" t="s">
        <v>38</v>
      </c>
      <c r="E5301" t="s">
        <v>45</v>
      </c>
      <c r="F5301" t="s">
        <v>46</v>
      </c>
      <c r="G5301">
        <v>4.79</v>
      </c>
      <c r="H5301" t="s">
        <v>146</v>
      </c>
      <c r="I5301" t="s">
        <v>48</v>
      </c>
      <c r="J5301" t="s">
        <v>98</v>
      </c>
      <c r="K5301">
        <v>332.33</v>
      </c>
      <c r="L5301" t="s">
        <v>12480</v>
      </c>
      <c r="M5301">
        <f>VLOOKUP(H5301,'Stage Order'!$A$2:$B$8,2,FALSE)</f>
        <v>5</v>
      </c>
      <c r="N5301" t="str">
        <f t="shared" si="164"/>
        <v>2. 1-24 hours</v>
      </c>
      <c r="O5301" t="str">
        <f t="shared" si="165"/>
        <v>2025-02</v>
      </c>
    </row>
    <row r="5302" spans="1:15" x14ac:dyDescent="0.3">
      <c r="A5302" t="s">
        <v>12481</v>
      </c>
      <c r="B5302" t="s">
        <v>12482</v>
      </c>
      <c r="C5302" t="s">
        <v>81</v>
      </c>
      <c r="D5302" t="s">
        <v>77</v>
      </c>
      <c r="E5302" t="s">
        <v>45</v>
      </c>
      <c r="F5302" t="s">
        <v>46</v>
      </c>
      <c r="G5302">
        <v>3.25</v>
      </c>
      <c r="H5302" t="s">
        <v>61</v>
      </c>
      <c r="I5302" t="s">
        <v>42</v>
      </c>
      <c r="M5302">
        <f>VLOOKUP(H5302,'Stage Order'!$A$2:$B$8,2,FALSE)</f>
        <v>1</v>
      </c>
      <c r="N5302" t="str">
        <f t="shared" si="164"/>
        <v>2. 1-24 hours</v>
      </c>
      <c r="O5302" t="str">
        <f t="shared" si="165"/>
        <v>2025-09</v>
      </c>
    </row>
    <row r="5303" spans="1:15" x14ac:dyDescent="0.3">
      <c r="A5303" t="s">
        <v>12483</v>
      </c>
      <c r="B5303" t="s">
        <v>12484</v>
      </c>
      <c r="C5303" t="s">
        <v>53</v>
      </c>
      <c r="D5303" t="s">
        <v>77</v>
      </c>
      <c r="E5303" t="s">
        <v>39</v>
      </c>
      <c r="F5303" t="s">
        <v>66</v>
      </c>
      <c r="G5303">
        <v>3.64</v>
      </c>
      <c r="H5303" t="s">
        <v>41</v>
      </c>
      <c r="I5303" t="s">
        <v>42</v>
      </c>
      <c r="M5303">
        <f>VLOOKUP(H5303,'Stage Order'!$A$2:$B$8,2,FALSE)</f>
        <v>2</v>
      </c>
      <c r="N5303" t="str">
        <f t="shared" si="164"/>
        <v>2. 1-24 hours</v>
      </c>
      <c r="O5303" t="str">
        <f t="shared" si="165"/>
        <v>2026-04</v>
      </c>
    </row>
    <row r="5304" spans="1:15" x14ac:dyDescent="0.3">
      <c r="A5304" t="s">
        <v>12485</v>
      </c>
      <c r="B5304" t="s">
        <v>12486</v>
      </c>
      <c r="C5304" t="s">
        <v>37</v>
      </c>
      <c r="D5304" t="s">
        <v>97</v>
      </c>
      <c r="E5304" t="s">
        <v>90</v>
      </c>
      <c r="F5304" t="s">
        <v>112</v>
      </c>
      <c r="G5304">
        <v>2.83</v>
      </c>
      <c r="H5304" t="s">
        <v>47</v>
      </c>
      <c r="I5304" t="s">
        <v>48</v>
      </c>
      <c r="J5304" t="s">
        <v>98</v>
      </c>
      <c r="K5304">
        <v>1309.94</v>
      </c>
      <c r="L5304" t="s">
        <v>12487</v>
      </c>
      <c r="M5304">
        <f>VLOOKUP(H5304,'Stage Order'!$A$2:$B$8,2,FALSE)</f>
        <v>4</v>
      </c>
      <c r="N5304" t="str">
        <f t="shared" si="164"/>
        <v>2. 1-24 hours</v>
      </c>
      <c r="O5304" t="str">
        <f t="shared" si="165"/>
        <v>2025-08</v>
      </c>
    </row>
    <row r="5305" spans="1:15" x14ac:dyDescent="0.3">
      <c r="A5305" t="s">
        <v>12488</v>
      </c>
      <c r="B5305" t="s">
        <v>12489</v>
      </c>
      <c r="C5305" t="s">
        <v>81</v>
      </c>
      <c r="D5305" t="s">
        <v>54</v>
      </c>
      <c r="E5305" t="s">
        <v>45</v>
      </c>
      <c r="F5305" t="s">
        <v>55</v>
      </c>
      <c r="G5305">
        <v>3.72</v>
      </c>
      <c r="H5305" t="s">
        <v>61</v>
      </c>
      <c r="I5305" t="s">
        <v>42</v>
      </c>
      <c r="M5305">
        <f>VLOOKUP(H5305,'Stage Order'!$A$2:$B$8,2,FALSE)</f>
        <v>1</v>
      </c>
      <c r="N5305" t="str">
        <f t="shared" si="164"/>
        <v>2. 1-24 hours</v>
      </c>
      <c r="O5305" t="str">
        <f t="shared" si="165"/>
        <v>2025-07</v>
      </c>
    </row>
    <row r="5306" spans="1:15" x14ac:dyDescent="0.3">
      <c r="A5306" t="s">
        <v>12490</v>
      </c>
      <c r="B5306" t="s">
        <v>12491</v>
      </c>
      <c r="C5306" t="s">
        <v>125</v>
      </c>
      <c r="D5306" t="s">
        <v>29</v>
      </c>
      <c r="E5306" t="s">
        <v>59</v>
      </c>
      <c r="F5306" t="s">
        <v>60</v>
      </c>
      <c r="G5306">
        <v>1.61</v>
      </c>
      <c r="H5306" t="s">
        <v>61</v>
      </c>
      <c r="I5306" t="s">
        <v>42</v>
      </c>
      <c r="M5306">
        <f>VLOOKUP(H5306,'Stage Order'!$A$2:$B$8,2,FALSE)</f>
        <v>1</v>
      </c>
      <c r="N5306" t="str">
        <f t="shared" si="164"/>
        <v>2. 1-24 hours</v>
      </c>
      <c r="O5306" t="str">
        <f t="shared" si="165"/>
        <v>2025-09</v>
      </c>
    </row>
    <row r="5307" spans="1:15" x14ac:dyDescent="0.3">
      <c r="A5307" t="s">
        <v>12492</v>
      </c>
      <c r="B5307" t="s">
        <v>12493</v>
      </c>
      <c r="C5307" t="s">
        <v>76</v>
      </c>
      <c r="D5307" t="s">
        <v>97</v>
      </c>
      <c r="E5307" t="s">
        <v>45</v>
      </c>
      <c r="F5307" t="s">
        <v>46</v>
      </c>
      <c r="G5307">
        <v>4.3499999999999996</v>
      </c>
      <c r="H5307" t="s">
        <v>61</v>
      </c>
      <c r="I5307" t="s">
        <v>42</v>
      </c>
      <c r="M5307">
        <f>VLOOKUP(H5307,'Stage Order'!$A$2:$B$8,2,FALSE)</f>
        <v>1</v>
      </c>
      <c r="N5307" t="str">
        <f t="shared" si="164"/>
        <v>2. 1-24 hours</v>
      </c>
      <c r="O5307" t="str">
        <f t="shared" si="165"/>
        <v>2025-01</v>
      </c>
    </row>
    <row r="5308" spans="1:15" x14ac:dyDescent="0.3">
      <c r="A5308" t="s">
        <v>12494</v>
      </c>
      <c r="B5308" t="s">
        <v>12495</v>
      </c>
      <c r="C5308" t="s">
        <v>53</v>
      </c>
      <c r="D5308" t="s">
        <v>29</v>
      </c>
      <c r="E5308" t="s">
        <v>59</v>
      </c>
      <c r="F5308" t="s">
        <v>137</v>
      </c>
      <c r="G5308">
        <v>2.19</v>
      </c>
      <c r="H5308" t="s">
        <v>32</v>
      </c>
      <c r="I5308" t="s">
        <v>33</v>
      </c>
      <c r="K5308">
        <v>589.33000000000004</v>
      </c>
      <c r="L5308" t="s">
        <v>12496</v>
      </c>
      <c r="M5308">
        <f>VLOOKUP(H5308,'Stage Order'!$A$2:$B$8,2,FALSE)</f>
        <v>7</v>
      </c>
      <c r="N5308" t="str">
        <f t="shared" si="164"/>
        <v>2. 1-24 hours</v>
      </c>
      <c r="O5308" t="str">
        <f t="shared" si="165"/>
        <v>2025-08</v>
      </c>
    </row>
    <row r="5309" spans="1:15" x14ac:dyDescent="0.3">
      <c r="A5309" t="s">
        <v>12497</v>
      </c>
      <c r="B5309" t="s">
        <v>12498</v>
      </c>
      <c r="C5309" t="s">
        <v>125</v>
      </c>
      <c r="D5309" t="s">
        <v>54</v>
      </c>
      <c r="E5309" t="s">
        <v>59</v>
      </c>
      <c r="F5309" t="s">
        <v>60</v>
      </c>
      <c r="G5309">
        <v>6.88</v>
      </c>
      <c r="H5309" t="s">
        <v>61</v>
      </c>
      <c r="I5309" t="s">
        <v>42</v>
      </c>
      <c r="M5309">
        <f>VLOOKUP(H5309,'Stage Order'!$A$2:$B$8,2,FALSE)</f>
        <v>1</v>
      </c>
      <c r="N5309" t="str">
        <f t="shared" si="164"/>
        <v>2. 1-24 hours</v>
      </c>
      <c r="O5309" t="str">
        <f t="shared" si="165"/>
        <v>2026-05</v>
      </c>
    </row>
    <row r="5310" spans="1:15" x14ac:dyDescent="0.3">
      <c r="A5310" t="s">
        <v>12499</v>
      </c>
      <c r="B5310" t="s">
        <v>12500</v>
      </c>
      <c r="C5310" t="s">
        <v>53</v>
      </c>
      <c r="D5310" t="s">
        <v>77</v>
      </c>
      <c r="E5310" t="s">
        <v>59</v>
      </c>
      <c r="F5310" t="s">
        <v>137</v>
      </c>
      <c r="G5310">
        <v>1.93</v>
      </c>
      <c r="H5310" t="s">
        <v>41</v>
      </c>
      <c r="I5310" t="s">
        <v>42</v>
      </c>
      <c r="M5310">
        <f>VLOOKUP(H5310,'Stage Order'!$A$2:$B$8,2,FALSE)</f>
        <v>2</v>
      </c>
      <c r="N5310" t="str">
        <f t="shared" si="164"/>
        <v>2. 1-24 hours</v>
      </c>
      <c r="O5310" t="str">
        <f t="shared" si="165"/>
        <v>2025-12</v>
      </c>
    </row>
    <row r="5311" spans="1:15" x14ac:dyDescent="0.3">
      <c r="A5311" t="s">
        <v>12501</v>
      </c>
      <c r="B5311" t="s">
        <v>12502</v>
      </c>
      <c r="C5311" t="s">
        <v>125</v>
      </c>
      <c r="D5311" t="s">
        <v>77</v>
      </c>
      <c r="E5311" t="s">
        <v>90</v>
      </c>
      <c r="F5311" t="s">
        <v>91</v>
      </c>
      <c r="G5311">
        <v>6.83</v>
      </c>
      <c r="H5311" t="s">
        <v>41</v>
      </c>
      <c r="I5311" t="s">
        <v>42</v>
      </c>
      <c r="M5311">
        <f>VLOOKUP(H5311,'Stage Order'!$A$2:$B$8,2,FALSE)</f>
        <v>2</v>
      </c>
      <c r="N5311" t="str">
        <f t="shared" si="164"/>
        <v>2. 1-24 hours</v>
      </c>
      <c r="O5311" t="str">
        <f t="shared" si="165"/>
        <v>2025-12</v>
      </c>
    </row>
    <row r="5312" spans="1:15" x14ac:dyDescent="0.3">
      <c r="A5312" t="s">
        <v>12503</v>
      </c>
      <c r="B5312" t="s">
        <v>12504</v>
      </c>
      <c r="C5312" t="s">
        <v>28</v>
      </c>
      <c r="D5312" t="s">
        <v>54</v>
      </c>
      <c r="E5312" t="s">
        <v>30</v>
      </c>
      <c r="F5312" t="s">
        <v>31</v>
      </c>
      <c r="G5312">
        <v>2.2200000000000002</v>
      </c>
      <c r="H5312" t="s">
        <v>146</v>
      </c>
      <c r="I5312" t="s">
        <v>48</v>
      </c>
      <c r="J5312" t="s">
        <v>98</v>
      </c>
      <c r="K5312">
        <v>588.88</v>
      </c>
      <c r="L5312" t="s">
        <v>12505</v>
      </c>
      <c r="M5312">
        <f>VLOOKUP(H5312,'Stage Order'!$A$2:$B$8,2,FALSE)</f>
        <v>5</v>
      </c>
      <c r="N5312" t="str">
        <f t="shared" si="164"/>
        <v>2. 1-24 hours</v>
      </c>
      <c r="O5312" t="str">
        <f t="shared" si="165"/>
        <v>2025-07</v>
      </c>
    </row>
    <row r="5313" spans="1:15" x14ac:dyDescent="0.3">
      <c r="A5313" t="s">
        <v>12506</v>
      </c>
      <c r="B5313" t="s">
        <v>12507</v>
      </c>
      <c r="C5313" t="s">
        <v>53</v>
      </c>
      <c r="D5313" t="s">
        <v>29</v>
      </c>
      <c r="E5313" t="s">
        <v>90</v>
      </c>
      <c r="F5313" t="s">
        <v>112</v>
      </c>
      <c r="G5313">
        <v>1.51</v>
      </c>
      <c r="H5313" t="s">
        <v>138</v>
      </c>
      <c r="I5313" t="s">
        <v>48</v>
      </c>
      <c r="J5313" t="s">
        <v>49</v>
      </c>
      <c r="K5313">
        <v>711.82</v>
      </c>
      <c r="L5313" t="s">
        <v>12508</v>
      </c>
      <c r="M5313">
        <f>VLOOKUP(H5313,'Stage Order'!$A$2:$B$8,2,FALSE)</f>
        <v>6</v>
      </c>
      <c r="N5313" t="str">
        <f t="shared" si="164"/>
        <v>2. 1-24 hours</v>
      </c>
      <c r="O5313" t="str">
        <f t="shared" si="165"/>
        <v>2026-06</v>
      </c>
    </row>
    <row r="5314" spans="1:15" x14ac:dyDescent="0.3">
      <c r="A5314" t="s">
        <v>12509</v>
      </c>
      <c r="B5314" t="s">
        <v>12510</v>
      </c>
      <c r="C5314" t="s">
        <v>37</v>
      </c>
      <c r="D5314" t="s">
        <v>38</v>
      </c>
      <c r="E5314" t="s">
        <v>45</v>
      </c>
      <c r="F5314" t="s">
        <v>46</v>
      </c>
      <c r="G5314">
        <v>1.81</v>
      </c>
      <c r="H5314" t="s">
        <v>41</v>
      </c>
      <c r="I5314" t="s">
        <v>42</v>
      </c>
      <c r="M5314">
        <f>VLOOKUP(H5314,'Stage Order'!$A$2:$B$8,2,FALSE)</f>
        <v>2</v>
      </c>
      <c r="N5314" t="str">
        <f t="shared" ref="N5314:N5377" si="166">IF(G5314&lt;=1,"1. Under 1 hour",IF(G5314&lt;=24,"2. 1-24 hours",IF(G5314&lt;=72,"3. 1-3 days","4. Over 3 days")))</f>
        <v>2. 1-24 hours</v>
      </c>
      <c r="O5314" t="str">
        <f t="shared" ref="O5314:O5377" si="167">TEXT(B5314,"YYYY-MM")</f>
        <v>2025-09</v>
      </c>
    </row>
    <row r="5315" spans="1:15" x14ac:dyDescent="0.3">
      <c r="A5315" t="s">
        <v>12511</v>
      </c>
      <c r="B5315" t="s">
        <v>12512</v>
      </c>
      <c r="C5315" t="s">
        <v>37</v>
      </c>
      <c r="D5315" t="s">
        <v>54</v>
      </c>
      <c r="E5315" t="s">
        <v>39</v>
      </c>
      <c r="F5315" t="s">
        <v>66</v>
      </c>
      <c r="G5315">
        <v>5.91</v>
      </c>
      <c r="H5315" t="s">
        <v>41</v>
      </c>
      <c r="I5315" t="s">
        <v>42</v>
      </c>
      <c r="M5315">
        <f>VLOOKUP(H5315,'Stage Order'!$A$2:$B$8,2,FALSE)</f>
        <v>2</v>
      </c>
      <c r="N5315" t="str">
        <f t="shared" si="166"/>
        <v>2. 1-24 hours</v>
      </c>
      <c r="O5315" t="str">
        <f t="shared" si="167"/>
        <v>2026-01</v>
      </c>
    </row>
    <row r="5316" spans="1:15" x14ac:dyDescent="0.3">
      <c r="A5316" t="s">
        <v>12513</v>
      </c>
      <c r="B5316" t="s">
        <v>12514</v>
      </c>
      <c r="C5316" t="s">
        <v>125</v>
      </c>
      <c r="D5316" t="s">
        <v>54</v>
      </c>
      <c r="E5316" t="s">
        <v>45</v>
      </c>
      <c r="F5316" t="s">
        <v>55</v>
      </c>
      <c r="G5316">
        <v>6.04</v>
      </c>
      <c r="H5316" t="s">
        <v>61</v>
      </c>
      <c r="I5316" t="s">
        <v>42</v>
      </c>
      <c r="M5316">
        <f>VLOOKUP(H5316,'Stage Order'!$A$2:$B$8,2,FALSE)</f>
        <v>1</v>
      </c>
      <c r="N5316" t="str">
        <f t="shared" si="166"/>
        <v>2. 1-24 hours</v>
      </c>
      <c r="O5316" t="str">
        <f t="shared" si="167"/>
        <v>2026-02</v>
      </c>
    </row>
    <row r="5317" spans="1:15" x14ac:dyDescent="0.3">
      <c r="A5317" t="s">
        <v>12515</v>
      </c>
      <c r="B5317" t="s">
        <v>12516</v>
      </c>
      <c r="C5317" t="s">
        <v>37</v>
      </c>
      <c r="D5317" t="s">
        <v>77</v>
      </c>
      <c r="E5317" t="s">
        <v>45</v>
      </c>
      <c r="F5317" t="s">
        <v>46</v>
      </c>
      <c r="G5317">
        <v>0.83</v>
      </c>
      <c r="H5317" t="s">
        <v>41</v>
      </c>
      <c r="I5317" t="s">
        <v>42</v>
      </c>
      <c r="M5317">
        <f>VLOOKUP(H5317,'Stage Order'!$A$2:$B$8,2,FALSE)</f>
        <v>2</v>
      </c>
      <c r="N5317" t="str">
        <f t="shared" si="166"/>
        <v>1. Under 1 hour</v>
      </c>
      <c r="O5317" t="str">
        <f t="shared" si="167"/>
        <v>2026-03</v>
      </c>
    </row>
    <row r="5318" spans="1:15" x14ac:dyDescent="0.3">
      <c r="A5318" t="s">
        <v>12517</v>
      </c>
      <c r="B5318" t="s">
        <v>535</v>
      </c>
      <c r="C5318" t="s">
        <v>125</v>
      </c>
      <c r="D5318" t="s">
        <v>77</v>
      </c>
      <c r="E5318" t="s">
        <v>59</v>
      </c>
      <c r="F5318" t="s">
        <v>137</v>
      </c>
      <c r="G5318">
        <v>4.05</v>
      </c>
      <c r="H5318" t="s">
        <v>41</v>
      </c>
      <c r="I5318" t="s">
        <v>42</v>
      </c>
      <c r="M5318">
        <f>VLOOKUP(H5318,'Stage Order'!$A$2:$B$8,2,FALSE)</f>
        <v>2</v>
      </c>
      <c r="N5318" t="str">
        <f t="shared" si="166"/>
        <v>2. 1-24 hours</v>
      </c>
      <c r="O5318" t="str">
        <f t="shared" si="167"/>
        <v>2025-09</v>
      </c>
    </row>
    <row r="5319" spans="1:15" x14ac:dyDescent="0.3">
      <c r="A5319" t="s">
        <v>12518</v>
      </c>
      <c r="B5319" t="s">
        <v>12519</v>
      </c>
      <c r="C5319" t="s">
        <v>53</v>
      </c>
      <c r="D5319" t="s">
        <v>54</v>
      </c>
      <c r="E5319" t="s">
        <v>39</v>
      </c>
      <c r="F5319" t="s">
        <v>66</v>
      </c>
      <c r="G5319">
        <v>1.37</v>
      </c>
      <c r="H5319" t="s">
        <v>41</v>
      </c>
      <c r="I5319" t="s">
        <v>42</v>
      </c>
      <c r="M5319">
        <f>VLOOKUP(H5319,'Stage Order'!$A$2:$B$8,2,FALSE)</f>
        <v>2</v>
      </c>
      <c r="N5319" t="str">
        <f t="shared" si="166"/>
        <v>2. 1-24 hours</v>
      </c>
      <c r="O5319" t="str">
        <f t="shared" si="167"/>
        <v>2025-09</v>
      </c>
    </row>
    <row r="5320" spans="1:15" x14ac:dyDescent="0.3">
      <c r="A5320" t="s">
        <v>12520</v>
      </c>
      <c r="B5320" t="s">
        <v>10453</v>
      </c>
      <c r="C5320" t="s">
        <v>37</v>
      </c>
      <c r="D5320" t="s">
        <v>77</v>
      </c>
      <c r="E5320" t="s">
        <v>90</v>
      </c>
      <c r="F5320" t="s">
        <v>112</v>
      </c>
      <c r="G5320">
        <v>3.84</v>
      </c>
      <c r="H5320" t="s">
        <v>47</v>
      </c>
      <c r="I5320" t="s">
        <v>48</v>
      </c>
      <c r="J5320" t="s">
        <v>113</v>
      </c>
      <c r="K5320">
        <v>911.88</v>
      </c>
      <c r="L5320" t="s">
        <v>12521</v>
      </c>
      <c r="M5320">
        <f>VLOOKUP(H5320,'Stage Order'!$A$2:$B$8,2,FALSE)</f>
        <v>4</v>
      </c>
      <c r="N5320" t="str">
        <f t="shared" si="166"/>
        <v>2. 1-24 hours</v>
      </c>
      <c r="O5320" t="str">
        <f t="shared" si="167"/>
        <v>2025-12</v>
      </c>
    </row>
    <row r="5321" spans="1:15" x14ac:dyDescent="0.3">
      <c r="A5321" t="s">
        <v>12522</v>
      </c>
      <c r="B5321" t="s">
        <v>12523</v>
      </c>
      <c r="C5321" t="s">
        <v>58</v>
      </c>
      <c r="D5321" t="s">
        <v>38</v>
      </c>
      <c r="E5321" t="s">
        <v>30</v>
      </c>
      <c r="F5321" t="s">
        <v>82</v>
      </c>
      <c r="G5321">
        <v>3.29</v>
      </c>
      <c r="H5321" t="s">
        <v>138</v>
      </c>
      <c r="I5321" t="s">
        <v>48</v>
      </c>
      <c r="J5321" t="s">
        <v>139</v>
      </c>
      <c r="K5321">
        <v>371.76</v>
      </c>
      <c r="L5321" t="s">
        <v>12524</v>
      </c>
      <c r="M5321">
        <f>VLOOKUP(H5321,'Stage Order'!$A$2:$B$8,2,FALSE)</f>
        <v>6</v>
      </c>
      <c r="N5321" t="str">
        <f t="shared" si="166"/>
        <v>2. 1-24 hours</v>
      </c>
      <c r="O5321" t="str">
        <f t="shared" si="167"/>
        <v>2026-04</v>
      </c>
    </row>
    <row r="5322" spans="1:15" x14ac:dyDescent="0.3">
      <c r="A5322" t="s">
        <v>12525</v>
      </c>
      <c r="B5322" t="s">
        <v>12526</v>
      </c>
      <c r="C5322" t="s">
        <v>53</v>
      </c>
      <c r="D5322" t="s">
        <v>54</v>
      </c>
      <c r="E5322" t="s">
        <v>59</v>
      </c>
      <c r="F5322" t="s">
        <v>60</v>
      </c>
      <c r="G5322">
        <v>2.5099999999999998</v>
      </c>
      <c r="H5322" t="s">
        <v>41</v>
      </c>
      <c r="I5322" t="s">
        <v>42</v>
      </c>
      <c r="M5322">
        <f>VLOOKUP(H5322,'Stage Order'!$A$2:$B$8,2,FALSE)</f>
        <v>2</v>
      </c>
      <c r="N5322" t="str">
        <f t="shared" si="166"/>
        <v>2. 1-24 hours</v>
      </c>
      <c r="O5322" t="str">
        <f t="shared" si="167"/>
        <v>2025-09</v>
      </c>
    </row>
    <row r="5323" spans="1:15" x14ac:dyDescent="0.3">
      <c r="A5323" t="s">
        <v>12527</v>
      </c>
      <c r="B5323" t="s">
        <v>12528</v>
      </c>
      <c r="C5323" t="s">
        <v>28</v>
      </c>
      <c r="D5323" t="s">
        <v>54</v>
      </c>
      <c r="E5323" t="s">
        <v>39</v>
      </c>
      <c r="F5323" t="s">
        <v>40</v>
      </c>
      <c r="G5323">
        <v>5.77</v>
      </c>
      <c r="H5323" t="s">
        <v>41</v>
      </c>
      <c r="I5323" t="s">
        <v>42</v>
      </c>
      <c r="M5323">
        <f>VLOOKUP(H5323,'Stage Order'!$A$2:$B$8,2,FALSE)</f>
        <v>2</v>
      </c>
      <c r="N5323" t="str">
        <f t="shared" si="166"/>
        <v>2. 1-24 hours</v>
      </c>
      <c r="O5323" t="str">
        <f t="shared" si="167"/>
        <v>2025-05</v>
      </c>
    </row>
    <row r="5324" spans="1:15" x14ac:dyDescent="0.3">
      <c r="A5324" t="s">
        <v>12529</v>
      </c>
      <c r="B5324" t="s">
        <v>12530</v>
      </c>
      <c r="C5324" t="s">
        <v>53</v>
      </c>
      <c r="D5324" t="s">
        <v>97</v>
      </c>
      <c r="E5324" t="s">
        <v>39</v>
      </c>
      <c r="F5324" t="s">
        <v>66</v>
      </c>
      <c r="G5324">
        <v>15.41</v>
      </c>
      <c r="H5324" t="s">
        <v>32</v>
      </c>
      <c r="I5324" t="s">
        <v>33</v>
      </c>
      <c r="K5324">
        <v>1489.01</v>
      </c>
      <c r="L5324" t="s">
        <v>12531</v>
      </c>
      <c r="M5324">
        <f>VLOOKUP(H5324,'Stage Order'!$A$2:$B$8,2,FALSE)</f>
        <v>7</v>
      </c>
      <c r="N5324" t="str">
        <f t="shared" si="166"/>
        <v>2. 1-24 hours</v>
      </c>
      <c r="O5324" t="str">
        <f t="shared" si="167"/>
        <v>2025-01</v>
      </c>
    </row>
    <row r="5325" spans="1:15" x14ac:dyDescent="0.3">
      <c r="A5325" t="s">
        <v>12532</v>
      </c>
      <c r="B5325" t="s">
        <v>12533</v>
      </c>
      <c r="C5325" t="s">
        <v>81</v>
      </c>
      <c r="D5325" t="s">
        <v>29</v>
      </c>
      <c r="E5325" t="s">
        <v>59</v>
      </c>
      <c r="F5325" t="s">
        <v>117</v>
      </c>
      <c r="G5325">
        <v>0.39</v>
      </c>
      <c r="H5325" t="s">
        <v>61</v>
      </c>
      <c r="I5325" t="s">
        <v>42</v>
      </c>
      <c r="M5325">
        <f>VLOOKUP(H5325,'Stage Order'!$A$2:$B$8,2,FALSE)</f>
        <v>1</v>
      </c>
      <c r="N5325" t="str">
        <f t="shared" si="166"/>
        <v>1. Under 1 hour</v>
      </c>
      <c r="O5325" t="str">
        <f t="shared" si="167"/>
        <v>2025-11</v>
      </c>
    </row>
    <row r="5326" spans="1:15" x14ac:dyDescent="0.3">
      <c r="A5326" t="s">
        <v>12534</v>
      </c>
      <c r="B5326" t="s">
        <v>12535</v>
      </c>
      <c r="C5326" t="s">
        <v>37</v>
      </c>
      <c r="D5326" t="s">
        <v>97</v>
      </c>
      <c r="E5326" t="s">
        <v>45</v>
      </c>
      <c r="F5326" t="s">
        <v>94</v>
      </c>
      <c r="G5326">
        <v>2.92</v>
      </c>
      <c r="H5326" t="s">
        <v>41</v>
      </c>
      <c r="I5326" t="s">
        <v>42</v>
      </c>
      <c r="M5326">
        <f>VLOOKUP(H5326,'Stage Order'!$A$2:$B$8,2,FALSE)</f>
        <v>2</v>
      </c>
      <c r="N5326" t="str">
        <f t="shared" si="166"/>
        <v>2. 1-24 hours</v>
      </c>
      <c r="O5326" t="str">
        <f t="shared" si="167"/>
        <v>2026-05</v>
      </c>
    </row>
    <row r="5327" spans="1:15" x14ac:dyDescent="0.3">
      <c r="A5327" t="s">
        <v>12536</v>
      </c>
      <c r="B5327" t="s">
        <v>12537</v>
      </c>
      <c r="C5327" t="s">
        <v>58</v>
      </c>
      <c r="D5327" t="s">
        <v>54</v>
      </c>
      <c r="E5327" t="s">
        <v>30</v>
      </c>
      <c r="F5327" t="s">
        <v>78</v>
      </c>
      <c r="G5327">
        <v>2.8</v>
      </c>
      <c r="H5327" t="s">
        <v>61</v>
      </c>
      <c r="I5327" t="s">
        <v>42</v>
      </c>
      <c r="M5327">
        <f>VLOOKUP(H5327,'Stage Order'!$A$2:$B$8,2,FALSE)</f>
        <v>1</v>
      </c>
      <c r="N5327" t="str">
        <f t="shared" si="166"/>
        <v>2. 1-24 hours</v>
      </c>
      <c r="O5327" t="str">
        <f t="shared" si="167"/>
        <v>2026-02</v>
      </c>
    </row>
    <row r="5328" spans="1:15" x14ac:dyDescent="0.3">
      <c r="A5328" t="s">
        <v>12538</v>
      </c>
      <c r="B5328" t="s">
        <v>11804</v>
      </c>
      <c r="C5328" t="s">
        <v>81</v>
      </c>
      <c r="D5328" t="s">
        <v>54</v>
      </c>
      <c r="E5328" t="s">
        <v>59</v>
      </c>
      <c r="F5328" t="s">
        <v>60</v>
      </c>
      <c r="G5328">
        <v>1.1000000000000001</v>
      </c>
      <c r="H5328" t="s">
        <v>61</v>
      </c>
      <c r="I5328" t="s">
        <v>42</v>
      </c>
      <c r="M5328">
        <f>VLOOKUP(H5328,'Stage Order'!$A$2:$B$8,2,FALSE)</f>
        <v>1</v>
      </c>
      <c r="N5328" t="str">
        <f t="shared" si="166"/>
        <v>2. 1-24 hours</v>
      </c>
      <c r="O5328" t="str">
        <f t="shared" si="167"/>
        <v>2026-03</v>
      </c>
    </row>
    <row r="5329" spans="1:15" x14ac:dyDescent="0.3">
      <c r="A5329" t="s">
        <v>12539</v>
      </c>
      <c r="B5329" t="s">
        <v>12540</v>
      </c>
      <c r="C5329" t="s">
        <v>28</v>
      </c>
      <c r="D5329" t="s">
        <v>77</v>
      </c>
      <c r="E5329" t="s">
        <v>39</v>
      </c>
      <c r="F5329" t="s">
        <v>106</v>
      </c>
      <c r="G5329">
        <v>7.45</v>
      </c>
      <c r="H5329" t="s">
        <v>138</v>
      </c>
      <c r="I5329" t="s">
        <v>48</v>
      </c>
      <c r="J5329" t="s">
        <v>49</v>
      </c>
      <c r="K5329">
        <v>1083.8499999999999</v>
      </c>
      <c r="L5329" t="s">
        <v>12541</v>
      </c>
      <c r="M5329">
        <f>VLOOKUP(H5329,'Stage Order'!$A$2:$B$8,2,FALSE)</f>
        <v>6</v>
      </c>
      <c r="N5329" t="str">
        <f t="shared" si="166"/>
        <v>2. 1-24 hours</v>
      </c>
      <c r="O5329" t="str">
        <f t="shared" si="167"/>
        <v>2025-07</v>
      </c>
    </row>
    <row r="5330" spans="1:15" x14ac:dyDescent="0.3">
      <c r="A5330" t="s">
        <v>12542</v>
      </c>
      <c r="B5330" t="s">
        <v>12543</v>
      </c>
      <c r="C5330" t="s">
        <v>53</v>
      </c>
      <c r="D5330" t="s">
        <v>38</v>
      </c>
      <c r="E5330" t="s">
        <v>45</v>
      </c>
      <c r="F5330" t="s">
        <v>94</v>
      </c>
      <c r="G5330">
        <v>2.65</v>
      </c>
      <c r="H5330" t="s">
        <v>41</v>
      </c>
      <c r="I5330" t="s">
        <v>42</v>
      </c>
      <c r="M5330">
        <f>VLOOKUP(H5330,'Stage Order'!$A$2:$B$8,2,FALSE)</f>
        <v>2</v>
      </c>
      <c r="N5330" t="str">
        <f t="shared" si="166"/>
        <v>2. 1-24 hours</v>
      </c>
      <c r="O5330" t="str">
        <f t="shared" si="167"/>
        <v>2025-12</v>
      </c>
    </row>
    <row r="5331" spans="1:15" x14ac:dyDescent="0.3">
      <c r="A5331" t="s">
        <v>12544</v>
      </c>
      <c r="B5331" t="s">
        <v>12545</v>
      </c>
      <c r="C5331" t="s">
        <v>125</v>
      </c>
      <c r="D5331" t="s">
        <v>29</v>
      </c>
      <c r="E5331" t="s">
        <v>30</v>
      </c>
      <c r="F5331" t="s">
        <v>82</v>
      </c>
      <c r="G5331">
        <v>0.75</v>
      </c>
      <c r="H5331" t="s">
        <v>146</v>
      </c>
      <c r="I5331" t="s">
        <v>48</v>
      </c>
      <c r="J5331" t="s">
        <v>49</v>
      </c>
      <c r="K5331">
        <v>676.25</v>
      </c>
      <c r="L5331" t="s">
        <v>12546</v>
      </c>
      <c r="M5331">
        <f>VLOOKUP(H5331,'Stage Order'!$A$2:$B$8,2,FALSE)</f>
        <v>5</v>
      </c>
      <c r="N5331" t="str">
        <f t="shared" si="166"/>
        <v>1. Under 1 hour</v>
      </c>
      <c r="O5331" t="str">
        <f t="shared" si="167"/>
        <v>2025-05</v>
      </c>
    </row>
    <row r="5332" spans="1:15" x14ac:dyDescent="0.3">
      <c r="A5332" t="s">
        <v>12547</v>
      </c>
      <c r="B5332" t="s">
        <v>12548</v>
      </c>
      <c r="C5332" t="s">
        <v>53</v>
      </c>
      <c r="D5332" t="s">
        <v>29</v>
      </c>
      <c r="E5332" t="s">
        <v>30</v>
      </c>
      <c r="F5332" t="s">
        <v>82</v>
      </c>
      <c r="G5332">
        <v>0.56999999999999995</v>
      </c>
      <c r="H5332" t="s">
        <v>41</v>
      </c>
      <c r="I5332" t="s">
        <v>42</v>
      </c>
      <c r="M5332">
        <f>VLOOKUP(H5332,'Stage Order'!$A$2:$B$8,2,FALSE)</f>
        <v>2</v>
      </c>
      <c r="N5332" t="str">
        <f t="shared" si="166"/>
        <v>1. Under 1 hour</v>
      </c>
      <c r="O5332" t="str">
        <f t="shared" si="167"/>
        <v>2025-12</v>
      </c>
    </row>
    <row r="5333" spans="1:15" x14ac:dyDescent="0.3">
      <c r="A5333" t="s">
        <v>12549</v>
      </c>
      <c r="B5333" t="s">
        <v>12550</v>
      </c>
      <c r="C5333" t="s">
        <v>28</v>
      </c>
      <c r="D5333" t="s">
        <v>38</v>
      </c>
      <c r="E5333" t="s">
        <v>39</v>
      </c>
      <c r="F5333" t="s">
        <v>40</v>
      </c>
      <c r="G5333">
        <v>1.18</v>
      </c>
      <c r="H5333" t="s">
        <v>47</v>
      </c>
      <c r="I5333" t="s">
        <v>48</v>
      </c>
      <c r="J5333" t="s">
        <v>139</v>
      </c>
      <c r="K5333">
        <v>342.45</v>
      </c>
      <c r="L5333" t="s">
        <v>12551</v>
      </c>
      <c r="M5333">
        <f>VLOOKUP(H5333,'Stage Order'!$A$2:$B$8,2,FALSE)</f>
        <v>4</v>
      </c>
      <c r="N5333" t="str">
        <f t="shared" si="166"/>
        <v>2. 1-24 hours</v>
      </c>
      <c r="O5333" t="str">
        <f t="shared" si="167"/>
        <v>2025-05</v>
      </c>
    </row>
    <row r="5334" spans="1:15" x14ac:dyDescent="0.3">
      <c r="A5334" t="s">
        <v>12552</v>
      </c>
      <c r="B5334" t="s">
        <v>12553</v>
      </c>
      <c r="C5334" t="s">
        <v>53</v>
      </c>
      <c r="D5334" t="s">
        <v>54</v>
      </c>
      <c r="E5334" t="s">
        <v>39</v>
      </c>
      <c r="F5334" t="s">
        <v>40</v>
      </c>
      <c r="G5334">
        <v>10.130000000000001</v>
      </c>
      <c r="H5334" t="s">
        <v>32</v>
      </c>
      <c r="I5334" t="s">
        <v>33</v>
      </c>
      <c r="K5334">
        <v>437.06</v>
      </c>
      <c r="L5334" t="s">
        <v>12554</v>
      </c>
      <c r="M5334">
        <f>VLOOKUP(H5334,'Stage Order'!$A$2:$B$8,2,FALSE)</f>
        <v>7</v>
      </c>
      <c r="N5334" t="str">
        <f t="shared" si="166"/>
        <v>2. 1-24 hours</v>
      </c>
      <c r="O5334" t="str">
        <f t="shared" si="167"/>
        <v>2025-01</v>
      </c>
    </row>
    <row r="5335" spans="1:15" x14ac:dyDescent="0.3">
      <c r="A5335" t="s">
        <v>12555</v>
      </c>
      <c r="B5335" t="s">
        <v>12556</v>
      </c>
      <c r="C5335" t="s">
        <v>76</v>
      </c>
      <c r="D5335" t="s">
        <v>77</v>
      </c>
      <c r="E5335" t="s">
        <v>90</v>
      </c>
      <c r="F5335" t="s">
        <v>112</v>
      </c>
      <c r="G5335">
        <v>12.29</v>
      </c>
      <c r="H5335" t="s">
        <v>32</v>
      </c>
      <c r="I5335" t="s">
        <v>33</v>
      </c>
      <c r="K5335">
        <v>1148.24</v>
      </c>
      <c r="L5335" t="s">
        <v>12557</v>
      </c>
      <c r="M5335">
        <f>VLOOKUP(H5335,'Stage Order'!$A$2:$B$8,2,FALSE)</f>
        <v>7</v>
      </c>
      <c r="N5335" t="str">
        <f t="shared" si="166"/>
        <v>2. 1-24 hours</v>
      </c>
      <c r="O5335" t="str">
        <f t="shared" si="167"/>
        <v>2025-08</v>
      </c>
    </row>
    <row r="5336" spans="1:15" x14ac:dyDescent="0.3">
      <c r="A5336" t="s">
        <v>12558</v>
      </c>
      <c r="B5336" t="s">
        <v>12559</v>
      </c>
      <c r="C5336" t="s">
        <v>37</v>
      </c>
      <c r="D5336" t="s">
        <v>38</v>
      </c>
      <c r="E5336" t="s">
        <v>39</v>
      </c>
      <c r="F5336" t="s">
        <v>66</v>
      </c>
      <c r="G5336">
        <v>4.01</v>
      </c>
      <c r="H5336" t="s">
        <v>41</v>
      </c>
      <c r="I5336" t="s">
        <v>42</v>
      </c>
      <c r="M5336">
        <f>VLOOKUP(H5336,'Stage Order'!$A$2:$B$8,2,FALSE)</f>
        <v>2</v>
      </c>
      <c r="N5336" t="str">
        <f t="shared" si="166"/>
        <v>2. 1-24 hours</v>
      </c>
      <c r="O5336" t="str">
        <f t="shared" si="167"/>
        <v>2026-04</v>
      </c>
    </row>
    <row r="5337" spans="1:15" x14ac:dyDescent="0.3">
      <c r="A5337" t="s">
        <v>12560</v>
      </c>
      <c r="B5337" t="s">
        <v>12561</v>
      </c>
      <c r="C5337" t="s">
        <v>53</v>
      </c>
      <c r="D5337" t="s">
        <v>54</v>
      </c>
      <c r="E5337" t="s">
        <v>90</v>
      </c>
      <c r="F5337" t="s">
        <v>112</v>
      </c>
      <c r="G5337">
        <v>1.1499999999999999</v>
      </c>
      <c r="H5337" t="s">
        <v>47</v>
      </c>
      <c r="I5337" t="s">
        <v>48</v>
      </c>
      <c r="J5337" t="s">
        <v>98</v>
      </c>
      <c r="K5337">
        <v>590.95000000000005</v>
      </c>
      <c r="L5337" t="s">
        <v>12562</v>
      </c>
      <c r="M5337">
        <f>VLOOKUP(H5337,'Stage Order'!$A$2:$B$8,2,FALSE)</f>
        <v>4</v>
      </c>
      <c r="N5337" t="str">
        <f t="shared" si="166"/>
        <v>2. 1-24 hours</v>
      </c>
      <c r="O5337" t="str">
        <f t="shared" si="167"/>
        <v>2025-09</v>
      </c>
    </row>
    <row r="5338" spans="1:15" x14ac:dyDescent="0.3">
      <c r="A5338" t="s">
        <v>12563</v>
      </c>
      <c r="B5338" t="s">
        <v>12564</v>
      </c>
      <c r="C5338" t="s">
        <v>37</v>
      </c>
      <c r="D5338" t="s">
        <v>54</v>
      </c>
      <c r="E5338" t="s">
        <v>30</v>
      </c>
      <c r="F5338" t="s">
        <v>78</v>
      </c>
      <c r="G5338">
        <v>1.97</v>
      </c>
      <c r="H5338" t="s">
        <v>41</v>
      </c>
      <c r="I5338" t="s">
        <v>42</v>
      </c>
      <c r="M5338">
        <f>VLOOKUP(H5338,'Stage Order'!$A$2:$B$8,2,FALSE)</f>
        <v>2</v>
      </c>
      <c r="N5338" t="str">
        <f t="shared" si="166"/>
        <v>2. 1-24 hours</v>
      </c>
      <c r="O5338" t="str">
        <f t="shared" si="167"/>
        <v>2026-01</v>
      </c>
    </row>
    <row r="5339" spans="1:15" x14ac:dyDescent="0.3">
      <c r="A5339" t="s">
        <v>12565</v>
      </c>
      <c r="B5339" t="s">
        <v>12566</v>
      </c>
      <c r="C5339" t="s">
        <v>58</v>
      </c>
      <c r="D5339" t="s">
        <v>77</v>
      </c>
      <c r="E5339" t="s">
        <v>30</v>
      </c>
      <c r="F5339" t="s">
        <v>82</v>
      </c>
      <c r="G5339">
        <v>1.66</v>
      </c>
      <c r="H5339" t="s">
        <v>41</v>
      </c>
      <c r="I5339" t="s">
        <v>42</v>
      </c>
      <c r="M5339">
        <f>VLOOKUP(H5339,'Stage Order'!$A$2:$B$8,2,FALSE)</f>
        <v>2</v>
      </c>
      <c r="N5339" t="str">
        <f t="shared" si="166"/>
        <v>2. 1-24 hours</v>
      </c>
      <c r="O5339" t="str">
        <f t="shared" si="167"/>
        <v>2025-10</v>
      </c>
    </row>
    <row r="5340" spans="1:15" x14ac:dyDescent="0.3">
      <c r="A5340" t="s">
        <v>12567</v>
      </c>
      <c r="B5340" t="s">
        <v>12568</v>
      </c>
      <c r="C5340" t="s">
        <v>81</v>
      </c>
      <c r="D5340" t="s">
        <v>77</v>
      </c>
      <c r="E5340" t="s">
        <v>45</v>
      </c>
      <c r="F5340" t="s">
        <v>94</v>
      </c>
      <c r="G5340">
        <v>1.33</v>
      </c>
      <c r="H5340" t="s">
        <v>146</v>
      </c>
      <c r="I5340" t="s">
        <v>48</v>
      </c>
      <c r="J5340" t="s">
        <v>113</v>
      </c>
      <c r="K5340">
        <v>928.73</v>
      </c>
      <c r="L5340" t="s">
        <v>12569</v>
      </c>
      <c r="M5340">
        <f>VLOOKUP(H5340,'Stage Order'!$A$2:$B$8,2,FALSE)</f>
        <v>5</v>
      </c>
      <c r="N5340" t="str">
        <f t="shared" si="166"/>
        <v>2. 1-24 hours</v>
      </c>
      <c r="O5340" t="str">
        <f t="shared" si="167"/>
        <v>2025-07</v>
      </c>
    </row>
    <row r="5341" spans="1:15" x14ac:dyDescent="0.3">
      <c r="A5341" t="s">
        <v>12570</v>
      </c>
      <c r="B5341" t="s">
        <v>12571</v>
      </c>
      <c r="C5341" t="s">
        <v>125</v>
      </c>
      <c r="D5341" t="s">
        <v>77</v>
      </c>
      <c r="E5341" t="s">
        <v>39</v>
      </c>
      <c r="F5341" t="s">
        <v>40</v>
      </c>
      <c r="G5341">
        <v>3.28</v>
      </c>
      <c r="H5341" t="s">
        <v>47</v>
      </c>
      <c r="I5341" t="s">
        <v>48</v>
      </c>
      <c r="J5341" t="s">
        <v>139</v>
      </c>
      <c r="K5341">
        <v>828.63</v>
      </c>
      <c r="L5341" t="s">
        <v>12572</v>
      </c>
      <c r="M5341">
        <f>VLOOKUP(H5341,'Stage Order'!$A$2:$B$8,2,FALSE)</f>
        <v>4</v>
      </c>
      <c r="N5341" t="str">
        <f t="shared" si="166"/>
        <v>2. 1-24 hours</v>
      </c>
      <c r="O5341" t="str">
        <f t="shared" si="167"/>
        <v>2025-08</v>
      </c>
    </row>
    <row r="5342" spans="1:15" x14ac:dyDescent="0.3">
      <c r="A5342" t="s">
        <v>12573</v>
      </c>
      <c r="B5342" t="s">
        <v>12574</v>
      </c>
      <c r="C5342" t="s">
        <v>81</v>
      </c>
      <c r="D5342" t="s">
        <v>77</v>
      </c>
      <c r="E5342" t="s">
        <v>39</v>
      </c>
      <c r="F5342" t="s">
        <v>66</v>
      </c>
      <c r="G5342">
        <v>1.27</v>
      </c>
      <c r="H5342" t="s">
        <v>41</v>
      </c>
      <c r="I5342" t="s">
        <v>42</v>
      </c>
      <c r="M5342">
        <f>VLOOKUP(H5342,'Stage Order'!$A$2:$B$8,2,FALSE)</f>
        <v>2</v>
      </c>
      <c r="N5342" t="str">
        <f t="shared" si="166"/>
        <v>2. 1-24 hours</v>
      </c>
      <c r="O5342" t="str">
        <f t="shared" si="167"/>
        <v>2026-01</v>
      </c>
    </row>
    <row r="5343" spans="1:15" x14ac:dyDescent="0.3">
      <c r="A5343" t="s">
        <v>12575</v>
      </c>
      <c r="B5343" t="s">
        <v>12576</v>
      </c>
      <c r="C5343" t="s">
        <v>53</v>
      </c>
      <c r="D5343" t="s">
        <v>29</v>
      </c>
      <c r="E5343" t="s">
        <v>39</v>
      </c>
      <c r="F5343" t="s">
        <v>66</v>
      </c>
      <c r="G5343">
        <v>6.98</v>
      </c>
      <c r="H5343" t="s">
        <v>41</v>
      </c>
      <c r="I5343" t="s">
        <v>42</v>
      </c>
      <c r="M5343">
        <f>VLOOKUP(H5343,'Stage Order'!$A$2:$B$8,2,FALSE)</f>
        <v>2</v>
      </c>
      <c r="N5343" t="str">
        <f t="shared" si="166"/>
        <v>2. 1-24 hours</v>
      </c>
      <c r="O5343" t="str">
        <f t="shared" si="167"/>
        <v>2025-03</v>
      </c>
    </row>
    <row r="5344" spans="1:15" x14ac:dyDescent="0.3">
      <c r="A5344" t="s">
        <v>12577</v>
      </c>
      <c r="B5344" t="s">
        <v>12578</v>
      </c>
      <c r="C5344" t="s">
        <v>125</v>
      </c>
      <c r="D5344" t="s">
        <v>54</v>
      </c>
      <c r="E5344" t="s">
        <v>59</v>
      </c>
      <c r="F5344" t="s">
        <v>117</v>
      </c>
      <c r="G5344">
        <v>5.0599999999999996</v>
      </c>
      <c r="H5344" t="s">
        <v>61</v>
      </c>
      <c r="I5344" t="s">
        <v>42</v>
      </c>
      <c r="M5344">
        <f>VLOOKUP(H5344,'Stage Order'!$A$2:$B$8,2,FALSE)</f>
        <v>1</v>
      </c>
      <c r="N5344" t="str">
        <f t="shared" si="166"/>
        <v>2. 1-24 hours</v>
      </c>
      <c r="O5344" t="str">
        <f t="shared" si="167"/>
        <v>2025-01</v>
      </c>
    </row>
    <row r="5345" spans="1:15" x14ac:dyDescent="0.3">
      <c r="A5345" t="s">
        <v>12579</v>
      </c>
      <c r="B5345" t="s">
        <v>12580</v>
      </c>
      <c r="C5345" t="s">
        <v>58</v>
      </c>
      <c r="D5345" t="s">
        <v>29</v>
      </c>
      <c r="E5345" t="s">
        <v>39</v>
      </c>
      <c r="F5345" t="s">
        <v>106</v>
      </c>
      <c r="G5345">
        <v>0.76</v>
      </c>
      <c r="H5345" t="s">
        <v>138</v>
      </c>
      <c r="I5345" t="s">
        <v>48</v>
      </c>
      <c r="J5345" t="s">
        <v>98</v>
      </c>
      <c r="K5345">
        <v>614.94000000000005</v>
      </c>
      <c r="L5345" t="s">
        <v>12581</v>
      </c>
      <c r="M5345">
        <f>VLOOKUP(H5345,'Stage Order'!$A$2:$B$8,2,FALSE)</f>
        <v>6</v>
      </c>
      <c r="N5345" t="str">
        <f t="shared" si="166"/>
        <v>1. Under 1 hour</v>
      </c>
      <c r="O5345" t="str">
        <f t="shared" si="167"/>
        <v>2025-08</v>
      </c>
    </row>
    <row r="5346" spans="1:15" x14ac:dyDescent="0.3">
      <c r="A5346" t="s">
        <v>12582</v>
      </c>
      <c r="B5346" t="s">
        <v>12583</v>
      </c>
      <c r="C5346" t="s">
        <v>28</v>
      </c>
      <c r="D5346" t="s">
        <v>29</v>
      </c>
      <c r="E5346" t="s">
        <v>39</v>
      </c>
      <c r="F5346" t="s">
        <v>106</v>
      </c>
      <c r="G5346">
        <v>9.68</v>
      </c>
      <c r="H5346" t="s">
        <v>138</v>
      </c>
      <c r="I5346" t="s">
        <v>48</v>
      </c>
      <c r="J5346" t="s">
        <v>139</v>
      </c>
      <c r="K5346">
        <v>577.57000000000005</v>
      </c>
      <c r="L5346" t="s">
        <v>12584</v>
      </c>
      <c r="M5346">
        <f>VLOOKUP(H5346,'Stage Order'!$A$2:$B$8,2,FALSE)</f>
        <v>6</v>
      </c>
      <c r="N5346" t="str">
        <f t="shared" si="166"/>
        <v>2. 1-24 hours</v>
      </c>
      <c r="O5346" t="str">
        <f t="shared" si="167"/>
        <v>2026-05</v>
      </c>
    </row>
    <row r="5347" spans="1:15" x14ac:dyDescent="0.3">
      <c r="A5347" t="s">
        <v>12585</v>
      </c>
      <c r="B5347" t="s">
        <v>12586</v>
      </c>
      <c r="C5347" t="s">
        <v>37</v>
      </c>
      <c r="D5347" t="s">
        <v>54</v>
      </c>
      <c r="E5347" t="s">
        <v>59</v>
      </c>
      <c r="F5347" t="s">
        <v>137</v>
      </c>
      <c r="G5347">
        <v>3.75</v>
      </c>
      <c r="H5347" t="s">
        <v>41</v>
      </c>
      <c r="I5347" t="s">
        <v>42</v>
      </c>
      <c r="M5347">
        <f>VLOOKUP(H5347,'Stage Order'!$A$2:$B$8,2,FALSE)</f>
        <v>2</v>
      </c>
      <c r="N5347" t="str">
        <f t="shared" si="166"/>
        <v>2. 1-24 hours</v>
      </c>
      <c r="O5347" t="str">
        <f t="shared" si="167"/>
        <v>2025-11</v>
      </c>
    </row>
    <row r="5348" spans="1:15" x14ac:dyDescent="0.3">
      <c r="A5348" t="s">
        <v>12587</v>
      </c>
      <c r="B5348" t="s">
        <v>12588</v>
      </c>
      <c r="C5348" t="s">
        <v>76</v>
      </c>
      <c r="D5348" t="s">
        <v>77</v>
      </c>
      <c r="E5348" t="s">
        <v>59</v>
      </c>
      <c r="F5348" t="s">
        <v>137</v>
      </c>
      <c r="G5348">
        <v>7.9</v>
      </c>
      <c r="H5348" t="s">
        <v>47</v>
      </c>
      <c r="I5348" t="s">
        <v>48</v>
      </c>
      <c r="J5348" t="s">
        <v>113</v>
      </c>
      <c r="K5348">
        <v>872.08</v>
      </c>
      <c r="L5348" t="s">
        <v>12589</v>
      </c>
      <c r="M5348">
        <f>VLOOKUP(H5348,'Stage Order'!$A$2:$B$8,2,FALSE)</f>
        <v>4</v>
      </c>
      <c r="N5348" t="str">
        <f t="shared" si="166"/>
        <v>2. 1-24 hours</v>
      </c>
      <c r="O5348" t="str">
        <f t="shared" si="167"/>
        <v>2026-02</v>
      </c>
    </row>
    <row r="5349" spans="1:15" x14ac:dyDescent="0.3">
      <c r="A5349" t="s">
        <v>12590</v>
      </c>
      <c r="B5349" t="s">
        <v>12591</v>
      </c>
      <c r="C5349" t="s">
        <v>58</v>
      </c>
      <c r="D5349" t="s">
        <v>29</v>
      </c>
      <c r="E5349" t="s">
        <v>45</v>
      </c>
      <c r="F5349" t="s">
        <v>55</v>
      </c>
      <c r="G5349">
        <v>2.96</v>
      </c>
      <c r="H5349" t="s">
        <v>41</v>
      </c>
      <c r="I5349" t="s">
        <v>42</v>
      </c>
      <c r="M5349">
        <f>VLOOKUP(H5349,'Stage Order'!$A$2:$B$8,2,FALSE)</f>
        <v>2</v>
      </c>
      <c r="N5349" t="str">
        <f t="shared" si="166"/>
        <v>2. 1-24 hours</v>
      </c>
      <c r="O5349" t="str">
        <f t="shared" si="167"/>
        <v>2025-01</v>
      </c>
    </row>
    <row r="5350" spans="1:15" x14ac:dyDescent="0.3">
      <c r="A5350" t="s">
        <v>12592</v>
      </c>
      <c r="B5350" t="s">
        <v>12593</v>
      </c>
      <c r="C5350" t="s">
        <v>53</v>
      </c>
      <c r="D5350" t="s">
        <v>97</v>
      </c>
      <c r="E5350" t="s">
        <v>45</v>
      </c>
      <c r="F5350" t="s">
        <v>55</v>
      </c>
      <c r="G5350">
        <v>1.45</v>
      </c>
      <c r="H5350" t="s">
        <v>41</v>
      </c>
      <c r="I5350" t="s">
        <v>42</v>
      </c>
      <c r="M5350">
        <f>VLOOKUP(H5350,'Stage Order'!$A$2:$B$8,2,FALSE)</f>
        <v>2</v>
      </c>
      <c r="N5350" t="str">
        <f t="shared" si="166"/>
        <v>2. 1-24 hours</v>
      </c>
      <c r="O5350" t="str">
        <f t="shared" si="167"/>
        <v>2025-10</v>
      </c>
    </row>
    <row r="5351" spans="1:15" x14ac:dyDescent="0.3">
      <c r="A5351" t="s">
        <v>12594</v>
      </c>
      <c r="B5351" t="s">
        <v>12595</v>
      </c>
      <c r="C5351" t="s">
        <v>58</v>
      </c>
      <c r="D5351" t="s">
        <v>97</v>
      </c>
      <c r="E5351" t="s">
        <v>59</v>
      </c>
      <c r="F5351" t="s">
        <v>117</v>
      </c>
      <c r="G5351">
        <v>2.34</v>
      </c>
      <c r="H5351" t="s">
        <v>47</v>
      </c>
      <c r="I5351" t="s">
        <v>48</v>
      </c>
      <c r="J5351" t="s">
        <v>113</v>
      </c>
      <c r="K5351">
        <v>1617.41</v>
      </c>
      <c r="L5351" t="s">
        <v>12596</v>
      </c>
      <c r="M5351">
        <f>VLOOKUP(H5351,'Stage Order'!$A$2:$B$8,2,FALSE)</f>
        <v>4</v>
      </c>
      <c r="N5351" t="str">
        <f t="shared" si="166"/>
        <v>2. 1-24 hours</v>
      </c>
      <c r="O5351" t="str">
        <f t="shared" si="167"/>
        <v>2025-06</v>
      </c>
    </row>
    <row r="5352" spans="1:15" x14ac:dyDescent="0.3">
      <c r="A5352" t="s">
        <v>12597</v>
      </c>
      <c r="B5352" t="s">
        <v>12598</v>
      </c>
      <c r="C5352" t="s">
        <v>37</v>
      </c>
      <c r="D5352" t="s">
        <v>77</v>
      </c>
      <c r="E5352" t="s">
        <v>45</v>
      </c>
      <c r="F5352" t="s">
        <v>46</v>
      </c>
      <c r="G5352">
        <v>5.87</v>
      </c>
      <c r="H5352" t="s">
        <v>47</v>
      </c>
      <c r="I5352" t="s">
        <v>48</v>
      </c>
      <c r="J5352" t="s">
        <v>98</v>
      </c>
      <c r="K5352">
        <v>1128.17</v>
      </c>
      <c r="L5352" t="s">
        <v>12599</v>
      </c>
      <c r="M5352">
        <f>VLOOKUP(H5352,'Stage Order'!$A$2:$B$8,2,FALSE)</f>
        <v>4</v>
      </c>
      <c r="N5352" t="str">
        <f t="shared" si="166"/>
        <v>2. 1-24 hours</v>
      </c>
      <c r="O5352" t="str">
        <f t="shared" si="167"/>
        <v>2025-10</v>
      </c>
    </row>
    <row r="5353" spans="1:15" x14ac:dyDescent="0.3">
      <c r="A5353" t="s">
        <v>12600</v>
      </c>
      <c r="B5353" t="s">
        <v>12601</v>
      </c>
      <c r="C5353" t="s">
        <v>125</v>
      </c>
      <c r="D5353" t="s">
        <v>77</v>
      </c>
      <c r="E5353" t="s">
        <v>45</v>
      </c>
      <c r="F5353" t="s">
        <v>55</v>
      </c>
      <c r="G5353">
        <v>0.73</v>
      </c>
      <c r="H5353" t="s">
        <v>41</v>
      </c>
      <c r="I5353" t="s">
        <v>42</v>
      </c>
      <c r="M5353">
        <f>VLOOKUP(H5353,'Stage Order'!$A$2:$B$8,2,FALSE)</f>
        <v>2</v>
      </c>
      <c r="N5353" t="str">
        <f t="shared" si="166"/>
        <v>1. Under 1 hour</v>
      </c>
      <c r="O5353" t="str">
        <f t="shared" si="167"/>
        <v>2025-10</v>
      </c>
    </row>
    <row r="5354" spans="1:15" x14ac:dyDescent="0.3">
      <c r="A5354" t="s">
        <v>12602</v>
      </c>
      <c r="B5354" t="s">
        <v>12603</v>
      </c>
      <c r="C5354" t="s">
        <v>53</v>
      </c>
      <c r="D5354" t="s">
        <v>77</v>
      </c>
      <c r="E5354" t="s">
        <v>39</v>
      </c>
      <c r="F5354" t="s">
        <v>66</v>
      </c>
      <c r="G5354">
        <v>4.92</v>
      </c>
      <c r="H5354" t="s">
        <v>61</v>
      </c>
      <c r="I5354" t="s">
        <v>42</v>
      </c>
      <c r="M5354">
        <f>VLOOKUP(H5354,'Stage Order'!$A$2:$B$8,2,FALSE)</f>
        <v>1</v>
      </c>
      <c r="N5354" t="str">
        <f t="shared" si="166"/>
        <v>2. 1-24 hours</v>
      </c>
      <c r="O5354" t="str">
        <f t="shared" si="167"/>
        <v>2025-06</v>
      </c>
    </row>
    <row r="5355" spans="1:15" x14ac:dyDescent="0.3">
      <c r="A5355" t="s">
        <v>12604</v>
      </c>
      <c r="B5355" t="s">
        <v>12605</v>
      </c>
      <c r="C5355" t="s">
        <v>37</v>
      </c>
      <c r="D5355" t="s">
        <v>54</v>
      </c>
      <c r="E5355" t="s">
        <v>59</v>
      </c>
      <c r="F5355" t="s">
        <v>117</v>
      </c>
      <c r="G5355">
        <v>1.0900000000000001</v>
      </c>
      <c r="H5355" t="s">
        <v>41</v>
      </c>
      <c r="I5355" t="s">
        <v>42</v>
      </c>
      <c r="M5355">
        <f>VLOOKUP(H5355,'Stage Order'!$A$2:$B$8,2,FALSE)</f>
        <v>2</v>
      </c>
      <c r="N5355" t="str">
        <f t="shared" si="166"/>
        <v>2. 1-24 hours</v>
      </c>
      <c r="O5355" t="str">
        <f t="shared" si="167"/>
        <v>2025-03</v>
      </c>
    </row>
    <row r="5356" spans="1:15" x14ac:dyDescent="0.3">
      <c r="A5356" t="s">
        <v>12606</v>
      </c>
      <c r="B5356" t="s">
        <v>12607</v>
      </c>
      <c r="C5356" t="s">
        <v>37</v>
      </c>
      <c r="D5356" t="s">
        <v>77</v>
      </c>
      <c r="E5356" t="s">
        <v>45</v>
      </c>
      <c r="F5356" t="s">
        <v>46</v>
      </c>
      <c r="G5356">
        <v>1.06</v>
      </c>
      <c r="H5356" t="s">
        <v>41</v>
      </c>
      <c r="I5356" t="s">
        <v>42</v>
      </c>
      <c r="M5356">
        <f>VLOOKUP(H5356,'Stage Order'!$A$2:$B$8,2,FALSE)</f>
        <v>2</v>
      </c>
      <c r="N5356" t="str">
        <f t="shared" si="166"/>
        <v>2. 1-24 hours</v>
      </c>
      <c r="O5356" t="str">
        <f t="shared" si="167"/>
        <v>2026-06</v>
      </c>
    </row>
    <row r="5357" spans="1:15" x14ac:dyDescent="0.3">
      <c r="A5357" t="s">
        <v>12608</v>
      </c>
      <c r="B5357" t="s">
        <v>12609</v>
      </c>
      <c r="C5357" t="s">
        <v>58</v>
      </c>
      <c r="D5357" t="s">
        <v>77</v>
      </c>
      <c r="E5357" t="s">
        <v>90</v>
      </c>
      <c r="F5357" t="s">
        <v>145</v>
      </c>
      <c r="G5357">
        <v>10</v>
      </c>
      <c r="H5357" t="s">
        <v>41</v>
      </c>
      <c r="I5357" t="s">
        <v>42</v>
      </c>
      <c r="M5357">
        <f>VLOOKUP(H5357,'Stage Order'!$A$2:$B$8,2,FALSE)</f>
        <v>2</v>
      </c>
      <c r="N5357" t="str">
        <f t="shared" si="166"/>
        <v>2. 1-24 hours</v>
      </c>
      <c r="O5357" t="str">
        <f t="shared" si="167"/>
        <v>2026-06</v>
      </c>
    </row>
    <row r="5358" spans="1:15" x14ac:dyDescent="0.3">
      <c r="A5358" t="s">
        <v>12610</v>
      </c>
      <c r="B5358" t="s">
        <v>12611</v>
      </c>
      <c r="C5358" t="s">
        <v>76</v>
      </c>
      <c r="D5358" t="s">
        <v>77</v>
      </c>
      <c r="E5358" t="s">
        <v>39</v>
      </c>
      <c r="F5358" t="s">
        <v>106</v>
      </c>
      <c r="G5358">
        <v>0.7</v>
      </c>
      <c r="H5358" t="s">
        <v>41</v>
      </c>
      <c r="I5358" t="s">
        <v>42</v>
      </c>
      <c r="M5358">
        <f>VLOOKUP(H5358,'Stage Order'!$A$2:$B$8,2,FALSE)</f>
        <v>2</v>
      </c>
      <c r="N5358" t="str">
        <f t="shared" si="166"/>
        <v>1. Under 1 hour</v>
      </c>
      <c r="O5358" t="str">
        <f t="shared" si="167"/>
        <v>2026-05</v>
      </c>
    </row>
    <row r="5359" spans="1:15" x14ac:dyDescent="0.3">
      <c r="A5359" t="s">
        <v>12612</v>
      </c>
      <c r="B5359" t="s">
        <v>12613</v>
      </c>
      <c r="C5359" t="s">
        <v>37</v>
      </c>
      <c r="D5359" t="s">
        <v>97</v>
      </c>
      <c r="E5359" t="s">
        <v>90</v>
      </c>
      <c r="F5359" t="s">
        <v>145</v>
      </c>
      <c r="G5359">
        <v>2.9</v>
      </c>
      <c r="H5359" t="s">
        <v>41</v>
      </c>
      <c r="I5359" t="s">
        <v>42</v>
      </c>
      <c r="M5359">
        <f>VLOOKUP(H5359,'Stage Order'!$A$2:$B$8,2,FALSE)</f>
        <v>2</v>
      </c>
      <c r="N5359" t="str">
        <f t="shared" si="166"/>
        <v>2. 1-24 hours</v>
      </c>
      <c r="O5359" t="str">
        <f t="shared" si="167"/>
        <v>2025-09</v>
      </c>
    </row>
    <row r="5360" spans="1:15" x14ac:dyDescent="0.3">
      <c r="A5360" t="s">
        <v>12614</v>
      </c>
      <c r="B5360" t="s">
        <v>12615</v>
      </c>
      <c r="C5360" t="s">
        <v>125</v>
      </c>
      <c r="D5360" t="s">
        <v>54</v>
      </c>
      <c r="E5360" t="s">
        <v>30</v>
      </c>
      <c r="F5360" t="s">
        <v>78</v>
      </c>
      <c r="G5360">
        <v>3.25</v>
      </c>
      <c r="H5360" t="s">
        <v>47</v>
      </c>
      <c r="I5360" t="s">
        <v>48</v>
      </c>
      <c r="J5360" t="s">
        <v>742</v>
      </c>
      <c r="K5360">
        <v>563.54</v>
      </c>
      <c r="L5360" t="s">
        <v>12616</v>
      </c>
      <c r="M5360">
        <f>VLOOKUP(H5360,'Stage Order'!$A$2:$B$8,2,FALSE)</f>
        <v>4</v>
      </c>
      <c r="N5360" t="str">
        <f t="shared" si="166"/>
        <v>2. 1-24 hours</v>
      </c>
      <c r="O5360" t="str">
        <f t="shared" si="167"/>
        <v>2025-08</v>
      </c>
    </row>
    <row r="5361" spans="1:15" x14ac:dyDescent="0.3">
      <c r="A5361" t="s">
        <v>12617</v>
      </c>
      <c r="B5361" t="s">
        <v>12618</v>
      </c>
      <c r="C5361" t="s">
        <v>28</v>
      </c>
      <c r="D5361" t="s">
        <v>97</v>
      </c>
      <c r="E5361" t="s">
        <v>45</v>
      </c>
      <c r="F5361" t="s">
        <v>46</v>
      </c>
      <c r="G5361">
        <v>7.01</v>
      </c>
      <c r="H5361" t="s">
        <v>41</v>
      </c>
      <c r="I5361" t="s">
        <v>42</v>
      </c>
      <c r="M5361">
        <f>VLOOKUP(H5361,'Stage Order'!$A$2:$B$8,2,FALSE)</f>
        <v>2</v>
      </c>
      <c r="N5361" t="str">
        <f t="shared" si="166"/>
        <v>2. 1-24 hours</v>
      </c>
      <c r="O5361" t="str">
        <f t="shared" si="167"/>
        <v>2026-03</v>
      </c>
    </row>
    <row r="5362" spans="1:15" x14ac:dyDescent="0.3">
      <c r="A5362" t="s">
        <v>12619</v>
      </c>
      <c r="B5362" t="s">
        <v>12620</v>
      </c>
      <c r="C5362" t="s">
        <v>125</v>
      </c>
      <c r="D5362" t="s">
        <v>29</v>
      </c>
      <c r="E5362" t="s">
        <v>59</v>
      </c>
      <c r="F5362" t="s">
        <v>137</v>
      </c>
      <c r="G5362">
        <v>15.39</v>
      </c>
      <c r="H5362" t="s">
        <v>61</v>
      </c>
      <c r="I5362" t="s">
        <v>42</v>
      </c>
      <c r="M5362">
        <f>VLOOKUP(H5362,'Stage Order'!$A$2:$B$8,2,FALSE)</f>
        <v>1</v>
      </c>
      <c r="N5362" t="str">
        <f t="shared" si="166"/>
        <v>2. 1-24 hours</v>
      </c>
      <c r="O5362" t="str">
        <f t="shared" si="167"/>
        <v>2025-07</v>
      </c>
    </row>
    <row r="5363" spans="1:15" x14ac:dyDescent="0.3">
      <c r="A5363" t="s">
        <v>12621</v>
      </c>
      <c r="B5363" t="s">
        <v>2311</v>
      </c>
      <c r="C5363" t="s">
        <v>58</v>
      </c>
      <c r="D5363" t="s">
        <v>54</v>
      </c>
      <c r="E5363" t="s">
        <v>45</v>
      </c>
      <c r="F5363" t="s">
        <v>46</v>
      </c>
      <c r="G5363">
        <v>4.6900000000000004</v>
      </c>
      <c r="H5363" t="s">
        <v>41</v>
      </c>
      <c r="I5363" t="s">
        <v>42</v>
      </c>
      <c r="M5363">
        <f>VLOOKUP(H5363,'Stage Order'!$A$2:$B$8,2,FALSE)</f>
        <v>2</v>
      </c>
      <c r="N5363" t="str">
        <f t="shared" si="166"/>
        <v>2. 1-24 hours</v>
      </c>
      <c r="O5363" t="str">
        <f t="shared" si="167"/>
        <v>2026-06</v>
      </c>
    </row>
    <row r="5364" spans="1:15" x14ac:dyDescent="0.3">
      <c r="A5364" t="s">
        <v>12622</v>
      </c>
      <c r="B5364" t="s">
        <v>12623</v>
      </c>
      <c r="C5364" t="s">
        <v>37</v>
      </c>
      <c r="D5364" t="s">
        <v>54</v>
      </c>
      <c r="E5364" t="s">
        <v>90</v>
      </c>
      <c r="F5364" t="s">
        <v>91</v>
      </c>
      <c r="G5364">
        <v>26.38</v>
      </c>
      <c r="H5364" t="s">
        <v>61</v>
      </c>
      <c r="I5364" t="s">
        <v>42</v>
      </c>
      <c r="M5364">
        <f>VLOOKUP(H5364,'Stage Order'!$A$2:$B$8,2,FALSE)</f>
        <v>1</v>
      </c>
      <c r="N5364" t="str">
        <f t="shared" si="166"/>
        <v>3. 1-3 days</v>
      </c>
      <c r="O5364" t="str">
        <f t="shared" si="167"/>
        <v>2026-05</v>
      </c>
    </row>
    <row r="5365" spans="1:15" x14ac:dyDescent="0.3">
      <c r="A5365" t="s">
        <v>12624</v>
      </c>
      <c r="B5365" t="s">
        <v>12625</v>
      </c>
      <c r="C5365" t="s">
        <v>58</v>
      </c>
      <c r="D5365" t="s">
        <v>77</v>
      </c>
      <c r="E5365" t="s">
        <v>59</v>
      </c>
      <c r="F5365" t="s">
        <v>117</v>
      </c>
      <c r="G5365">
        <v>1.57</v>
      </c>
      <c r="H5365" t="s">
        <v>61</v>
      </c>
      <c r="I5365" t="s">
        <v>42</v>
      </c>
      <c r="M5365">
        <f>VLOOKUP(H5365,'Stage Order'!$A$2:$B$8,2,FALSE)</f>
        <v>1</v>
      </c>
      <c r="N5365" t="str">
        <f t="shared" si="166"/>
        <v>2. 1-24 hours</v>
      </c>
      <c r="O5365" t="str">
        <f t="shared" si="167"/>
        <v>2025-02</v>
      </c>
    </row>
    <row r="5366" spans="1:15" x14ac:dyDescent="0.3">
      <c r="A5366" t="s">
        <v>12626</v>
      </c>
      <c r="B5366" t="s">
        <v>12627</v>
      </c>
      <c r="C5366" t="s">
        <v>76</v>
      </c>
      <c r="D5366" t="s">
        <v>38</v>
      </c>
      <c r="E5366" t="s">
        <v>90</v>
      </c>
      <c r="F5366" t="s">
        <v>112</v>
      </c>
      <c r="G5366">
        <v>15.33</v>
      </c>
      <c r="H5366" t="s">
        <v>32</v>
      </c>
      <c r="I5366" t="s">
        <v>33</v>
      </c>
      <c r="K5366">
        <v>374.41</v>
      </c>
      <c r="L5366" t="s">
        <v>12628</v>
      </c>
      <c r="M5366">
        <f>VLOOKUP(H5366,'Stage Order'!$A$2:$B$8,2,FALSE)</f>
        <v>7</v>
      </c>
      <c r="N5366" t="str">
        <f t="shared" si="166"/>
        <v>2. 1-24 hours</v>
      </c>
      <c r="O5366" t="str">
        <f t="shared" si="167"/>
        <v>2026-04</v>
      </c>
    </row>
    <row r="5367" spans="1:15" x14ac:dyDescent="0.3">
      <c r="A5367" t="s">
        <v>12629</v>
      </c>
      <c r="B5367" t="s">
        <v>12630</v>
      </c>
      <c r="C5367" t="s">
        <v>125</v>
      </c>
      <c r="D5367" t="s">
        <v>77</v>
      </c>
      <c r="E5367" t="s">
        <v>90</v>
      </c>
      <c r="F5367" t="s">
        <v>112</v>
      </c>
      <c r="G5367">
        <v>5.7</v>
      </c>
      <c r="H5367" t="s">
        <v>61</v>
      </c>
      <c r="I5367" t="s">
        <v>42</v>
      </c>
      <c r="M5367">
        <f>VLOOKUP(H5367,'Stage Order'!$A$2:$B$8,2,FALSE)</f>
        <v>1</v>
      </c>
      <c r="N5367" t="str">
        <f t="shared" si="166"/>
        <v>2. 1-24 hours</v>
      </c>
      <c r="O5367" t="str">
        <f t="shared" si="167"/>
        <v>2025-10</v>
      </c>
    </row>
    <row r="5368" spans="1:15" x14ac:dyDescent="0.3">
      <c r="A5368" t="s">
        <v>12631</v>
      </c>
      <c r="B5368" t="s">
        <v>12632</v>
      </c>
      <c r="C5368" t="s">
        <v>58</v>
      </c>
      <c r="D5368" t="s">
        <v>54</v>
      </c>
      <c r="E5368" t="s">
        <v>45</v>
      </c>
      <c r="F5368" t="s">
        <v>94</v>
      </c>
      <c r="G5368">
        <v>15.47</v>
      </c>
      <c r="H5368" t="s">
        <v>41</v>
      </c>
      <c r="I5368" t="s">
        <v>42</v>
      </c>
      <c r="M5368">
        <f>VLOOKUP(H5368,'Stage Order'!$A$2:$B$8,2,FALSE)</f>
        <v>2</v>
      </c>
      <c r="N5368" t="str">
        <f t="shared" si="166"/>
        <v>2. 1-24 hours</v>
      </c>
      <c r="O5368" t="str">
        <f t="shared" si="167"/>
        <v>2025-03</v>
      </c>
    </row>
    <row r="5369" spans="1:15" x14ac:dyDescent="0.3">
      <c r="A5369" t="s">
        <v>12633</v>
      </c>
      <c r="B5369" t="s">
        <v>12634</v>
      </c>
      <c r="C5369" t="s">
        <v>58</v>
      </c>
      <c r="D5369" t="s">
        <v>38</v>
      </c>
      <c r="E5369" t="s">
        <v>39</v>
      </c>
      <c r="F5369" t="s">
        <v>106</v>
      </c>
      <c r="G5369">
        <v>5.75</v>
      </c>
      <c r="H5369" t="s">
        <v>61</v>
      </c>
      <c r="I5369" t="s">
        <v>42</v>
      </c>
      <c r="M5369">
        <f>VLOOKUP(H5369,'Stage Order'!$A$2:$B$8,2,FALSE)</f>
        <v>1</v>
      </c>
      <c r="N5369" t="str">
        <f t="shared" si="166"/>
        <v>2. 1-24 hours</v>
      </c>
      <c r="O5369" t="str">
        <f t="shared" si="167"/>
        <v>2026-02</v>
      </c>
    </row>
    <row r="5370" spans="1:15" x14ac:dyDescent="0.3">
      <c r="A5370" t="s">
        <v>12635</v>
      </c>
      <c r="B5370" t="s">
        <v>12636</v>
      </c>
      <c r="C5370" t="s">
        <v>37</v>
      </c>
      <c r="D5370" t="s">
        <v>38</v>
      </c>
      <c r="E5370" t="s">
        <v>45</v>
      </c>
      <c r="F5370" t="s">
        <v>46</v>
      </c>
      <c r="G5370">
        <v>0.6</v>
      </c>
      <c r="H5370" t="s">
        <v>32</v>
      </c>
      <c r="I5370" t="s">
        <v>33</v>
      </c>
      <c r="K5370">
        <v>303.54000000000002</v>
      </c>
      <c r="L5370" t="s">
        <v>12637</v>
      </c>
      <c r="M5370">
        <f>VLOOKUP(H5370,'Stage Order'!$A$2:$B$8,2,FALSE)</f>
        <v>7</v>
      </c>
      <c r="N5370" t="str">
        <f t="shared" si="166"/>
        <v>1. Under 1 hour</v>
      </c>
      <c r="O5370" t="str">
        <f t="shared" si="167"/>
        <v>2026-03</v>
      </c>
    </row>
    <row r="5371" spans="1:15" x14ac:dyDescent="0.3">
      <c r="A5371" t="s">
        <v>12638</v>
      </c>
      <c r="B5371" t="s">
        <v>12639</v>
      </c>
      <c r="C5371" t="s">
        <v>81</v>
      </c>
      <c r="D5371" t="s">
        <v>29</v>
      </c>
      <c r="E5371" t="s">
        <v>59</v>
      </c>
      <c r="F5371" t="s">
        <v>137</v>
      </c>
      <c r="G5371">
        <v>3.44</v>
      </c>
      <c r="H5371" t="s">
        <v>41</v>
      </c>
      <c r="I5371" t="s">
        <v>42</v>
      </c>
      <c r="M5371">
        <f>VLOOKUP(H5371,'Stage Order'!$A$2:$B$8,2,FALSE)</f>
        <v>2</v>
      </c>
      <c r="N5371" t="str">
        <f t="shared" si="166"/>
        <v>2. 1-24 hours</v>
      </c>
      <c r="O5371" t="str">
        <f t="shared" si="167"/>
        <v>2025-06</v>
      </c>
    </row>
    <row r="5372" spans="1:15" x14ac:dyDescent="0.3">
      <c r="A5372" t="s">
        <v>12640</v>
      </c>
      <c r="B5372" t="s">
        <v>12641</v>
      </c>
      <c r="C5372" t="s">
        <v>28</v>
      </c>
      <c r="D5372" t="s">
        <v>54</v>
      </c>
      <c r="E5372" t="s">
        <v>30</v>
      </c>
      <c r="F5372" t="s">
        <v>78</v>
      </c>
      <c r="G5372">
        <v>2.09</v>
      </c>
      <c r="H5372" t="s">
        <v>41</v>
      </c>
      <c r="I5372" t="s">
        <v>42</v>
      </c>
      <c r="M5372">
        <f>VLOOKUP(H5372,'Stage Order'!$A$2:$B$8,2,FALSE)</f>
        <v>2</v>
      </c>
      <c r="N5372" t="str">
        <f t="shared" si="166"/>
        <v>2. 1-24 hours</v>
      </c>
      <c r="O5372" t="str">
        <f t="shared" si="167"/>
        <v>2026-01</v>
      </c>
    </row>
    <row r="5373" spans="1:15" x14ac:dyDescent="0.3">
      <c r="A5373" t="s">
        <v>12642</v>
      </c>
      <c r="B5373" t="s">
        <v>12643</v>
      </c>
      <c r="C5373" t="s">
        <v>125</v>
      </c>
      <c r="D5373" t="s">
        <v>54</v>
      </c>
      <c r="E5373" t="s">
        <v>45</v>
      </c>
      <c r="F5373" t="s">
        <v>46</v>
      </c>
      <c r="G5373">
        <v>1.06</v>
      </c>
      <c r="H5373" t="s">
        <v>41</v>
      </c>
      <c r="I5373" t="s">
        <v>42</v>
      </c>
      <c r="M5373">
        <f>VLOOKUP(H5373,'Stage Order'!$A$2:$B$8,2,FALSE)</f>
        <v>2</v>
      </c>
      <c r="N5373" t="str">
        <f t="shared" si="166"/>
        <v>2. 1-24 hours</v>
      </c>
      <c r="O5373" t="str">
        <f t="shared" si="167"/>
        <v>2026-05</v>
      </c>
    </row>
    <row r="5374" spans="1:15" x14ac:dyDescent="0.3">
      <c r="A5374" t="s">
        <v>12644</v>
      </c>
      <c r="B5374" t="s">
        <v>12645</v>
      </c>
      <c r="C5374" t="s">
        <v>37</v>
      </c>
      <c r="D5374" t="s">
        <v>54</v>
      </c>
      <c r="E5374" t="s">
        <v>39</v>
      </c>
      <c r="F5374" t="s">
        <v>106</v>
      </c>
      <c r="G5374">
        <v>2.58</v>
      </c>
      <c r="H5374" t="s">
        <v>146</v>
      </c>
      <c r="I5374" t="s">
        <v>48</v>
      </c>
      <c r="J5374" t="s">
        <v>98</v>
      </c>
      <c r="K5374">
        <v>580.97</v>
      </c>
      <c r="L5374" t="s">
        <v>12646</v>
      </c>
      <c r="M5374">
        <f>VLOOKUP(H5374,'Stage Order'!$A$2:$B$8,2,FALSE)</f>
        <v>5</v>
      </c>
      <c r="N5374" t="str">
        <f t="shared" si="166"/>
        <v>2. 1-24 hours</v>
      </c>
      <c r="O5374" t="str">
        <f t="shared" si="167"/>
        <v>2025-11</v>
      </c>
    </row>
    <row r="5375" spans="1:15" x14ac:dyDescent="0.3">
      <c r="A5375" t="s">
        <v>12647</v>
      </c>
      <c r="B5375" t="s">
        <v>12648</v>
      </c>
      <c r="C5375" t="s">
        <v>125</v>
      </c>
      <c r="D5375" t="s">
        <v>38</v>
      </c>
      <c r="E5375" t="s">
        <v>45</v>
      </c>
      <c r="F5375" t="s">
        <v>94</v>
      </c>
      <c r="G5375">
        <v>4.8499999999999996</v>
      </c>
      <c r="H5375" t="s">
        <v>41</v>
      </c>
      <c r="I5375" t="s">
        <v>42</v>
      </c>
      <c r="M5375">
        <f>VLOOKUP(H5375,'Stage Order'!$A$2:$B$8,2,FALSE)</f>
        <v>2</v>
      </c>
      <c r="N5375" t="str">
        <f t="shared" si="166"/>
        <v>2. 1-24 hours</v>
      </c>
      <c r="O5375" t="str">
        <f t="shared" si="167"/>
        <v>2025-10</v>
      </c>
    </row>
    <row r="5376" spans="1:15" x14ac:dyDescent="0.3">
      <c r="A5376" t="s">
        <v>12649</v>
      </c>
      <c r="B5376" t="s">
        <v>12650</v>
      </c>
      <c r="C5376" t="s">
        <v>81</v>
      </c>
      <c r="D5376" t="s">
        <v>97</v>
      </c>
      <c r="E5376" t="s">
        <v>45</v>
      </c>
      <c r="F5376" t="s">
        <v>55</v>
      </c>
      <c r="G5376">
        <v>2.59</v>
      </c>
      <c r="H5376" t="s">
        <v>61</v>
      </c>
      <c r="I5376" t="s">
        <v>42</v>
      </c>
      <c r="M5376">
        <f>VLOOKUP(H5376,'Stage Order'!$A$2:$B$8,2,FALSE)</f>
        <v>1</v>
      </c>
      <c r="N5376" t="str">
        <f t="shared" si="166"/>
        <v>2. 1-24 hours</v>
      </c>
      <c r="O5376" t="str">
        <f t="shared" si="167"/>
        <v>2026-02</v>
      </c>
    </row>
    <row r="5377" spans="1:15" x14ac:dyDescent="0.3">
      <c r="A5377" t="s">
        <v>12651</v>
      </c>
      <c r="B5377" t="s">
        <v>12652</v>
      </c>
      <c r="C5377" t="s">
        <v>58</v>
      </c>
      <c r="D5377" t="s">
        <v>54</v>
      </c>
      <c r="E5377" t="s">
        <v>45</v>
      </c>
      <c r="F5377" t="s">
        <v>55</v>
      </c>
      <c r="G5377">
        <v>1.41</v>
      </c>
      <c r="H5377" t="s">
        <v>41</v>
      </c>
      <c r="I5377" t="s">
        <v>42</v>
      </c>
      <c r="M5377">
        <f>VLOOKUP(H5377,'Stage Order'!$A$2:$B$8,2,FALSE)</f>
        <v>2</v>
      </c>
      <c r="N5377" t="str">
        <f t="shared" si="166"/>
        <v>2. 1-24 hours</v>
      </c>
      <c r="O5377" t="str">
        <f t="shared" si="167"/>
        <v>2025-03</v>
      </c>
    </row>
    <row r="5378" spans="1:15" x14ac:dyDescent="0.3">
      <c r="A5378" t="s">
        <v>12653</v>
      </c>
      <c r="B5378" t="s">
        <v>12654</v>
      </c>
      <c r="C5378" t="s">
        <v>37</v>
      </c>
      <c r="D5378" t="s">
        <v>77</v>
      </c>
      <c r="E5378" t="s">
        <v>45</v>
      </c>
      <c r="F5378" t="s">
        <v>46</v>
      </c>
      <c r="G5378">
        <v>0.22</v>
      </c>
      <c r="H5378" t="s">
        <v>41</v>
      </c>
      <c r="I5378" t="s">
        <v>42</v>
      </c>
      <c r="M5378">
        <f>VLOOKUP(H5378,'Stage Order'!$A$2:$B$8,2,FALSE)</f>
        <v>2</v>
      </c>
      <c r="N5378" t="str">
        <f t="shared" ref="N5378:N5441" si="168">IF(G5378&lt;=1,"1. Under 1 hour",IF(G5378&lt;=24,"2. 1-24 hours",IF(G5378&lt;=72,"3. 1-3 days","4. Over 3 days")))</f>
        <v>1. Under 1 hour</v>
      </c>
      <c r="O5378" t="str">
        <f t="shared" ref="O5378:O5441" si="169">TEXT(B5378,"YYYY-MM")</f>
        <v>2025-02</v>
      </c>
    </row>
    <row r="5379" spans="1:15" x14ac:dyDescent="0.3">
      <c r="A5379" t="s">
        <v>12655</v>
      </c>
      <c r="B5379" t="s">
        <v>12656</v>
      </c>
      <c r="C5379" t="s">
        <v>37</v>
      </c>
      <c r="D5379" t="s">
        <v>29</v>
      </c>
      <c r="E5379" t="s">
        <v>90</v>
      </c>
      <c r="F5379" t="s">
        <v>91</v>
      </c>
      <c r="G5379">
        <v>2.85</v>
      </c>
      <c r="H5379" t="s">
        <v>41</v>
      </c>
      <c r="I5379" t="s">
        <v>42</v>
      </c>
      <c r="M5379">
        <f>VLOOKUP(H5379,'Stage Order'!$A$2:$B$8,2,FALSE)</f>
        <v>2</v>
      </c>
      <c r="N5379" t="str">
        <f t="shared" si="168"/>
        <v>2. 1-24 hours</v>
      </c>
      <c r="O5379" t="str">
        <f t="shared" si="169"/>
        <v>2026-04</v>
      </c>
    </row>
    <row r="5380" spans="1:15" x14ac:dyDescent="0.3">
      <c r="A5380" t="s">
        <v>12657</v>
      </c>
      <c r="B5380" t="s">
        <v>12658</v>
      </c>
      <c r="C5380" t="s">
        <v>28</v>
      </c>
      <c r="D5380" t="s">
        <v>77</v>
      </c>
      <c r="E5380" t="s">
        <v>45</v>
      </c>
      <c r="F5380" t="s">
        <v>94</v>
      </c>
      <c r="G5380">
        <v>12.99</v>
      </c>
      <c r="H5380" t="s">
        <v>138</v>
      </c>
      <c r="I5380" t="s">
        <v>48</v>
      </c>
      <c r="J5380" t="s">
        <v>139</v>
      </c>
      <c r="K5380">
        <v>955.78</v>
      </c>
      <c r="L5380" t="s">
        <v>12659</v>
      </c>
      <c r="M5380">
        <f>VLOOKUP(H5380,'Stage Order'!$A$2:$B$8,2,FALSE)</f>
        <v>6</v>
      </c>
      <c r="N5380" t="str">
        <f t="shared" si="168"/>
        <v>2. 1-24 hours</v>
      </c>
      <c r="O5380" t="str">
        <f t="shared" si="169"/>
        <v>2025-03</v>
      </c>
    </row>
    <row r="5381" spans="1:15" x14ac:dyDescent="0.3">
      <c r="A5381" t="s">
        <v>12660</v>
      </c>
      <c r="B5381" t="s">
        <v>12661</v>
      </c>
      <c r="C5381" t="s">
        <v>125</v>
      </c>
      <c r="D5381" t="s">
        <v>38</v>
      </c>
      <c r="E5381" t="s">
        <v>30</v>
      </c>
      <c r="F5381" t="s">
        <v>82</v>
      </c>
      <c r="G5381">
        <v>0.51</v>
      </c>
      <c r="H5381" t="s">
        <v>128</v>
      </c>
      <c r="I5381" t="s">
        <v>42</v>
      </c>
      <c r="M5381">
        <f>VLOOKUP(H5381,'Stage Order'!$A$2:$B$8,2,FALSE)</f>
        <v>3</v>
      </c>
      <c r="N5381" t="str">
        <f t="shared" si="168"/>
        <v>1. Under 1 hour</v>
      </c>
      <c r="O5381" t="str">
        <f t="shared" si="169"/>
        <v>2025-10</v>
      </c>
    </row>
    <row r="5382" spans="1:15" x14ac:dyDescent="0.3">
      <c r="A5382" t="s">
        <v>12662</v>
      </c>
      <c r="B5382" t="s">
        <v>12663</v>
      </c>
      <c r="C5382" t="s">
        <v>37</v>
      </c>
      <c r="D5382" t="s">
        <v>54</v>
      </c>
      <c r="E5382" t="s">
        <v>45</v>
      </c>
      <c r="F5382" t="s">
        <v>94</v>
      </c>
      <c r="G5382">
        <v>2.37</v>
      </c>
      <c r="H5382" t="s">
        <v>138</v>
      </c>
      <c r="I5382" t="s">
        <v>48</v>
      </c>
      <c r="J5382" t="s">
        <v>98</v>
      </c>
      <c r="K5382">
        <v>592.11</v>
      </c>
      <c r="L5382" t="s">
        <v>12664</v>
      </c>
      <c r="M5382">
        <f>VLOOKUP(H5382,'Stage Order'!$A$2:$B$8,2,FALSE)</f>
        <v>6</v>
      </c>
      <c r="N5382" t="str">
        <f t="shared" si="168"/>
        <v>2. 1-24 hours</v>
      </c>
      <c r="O5382" t="str">
        <f t="shared" si="169"/>
        <v>2025-08</v>
      </c>
    </row>
    <row r="5383" spans="1:15" x14ac:dyDescent="0.3">
      <c r="A5383" t="s">
        <v>12665</v>
      </c>
      <c r="B5383" t="s">
        <v>12666</v>
      </c>
      <c r="C5383" t="s">
        <v>125</v>
      </c>
      <c r="D5383" t="s">
        <v>54</v>
      </c>
      <c r="E5383" t="s">
        <v>90</v>
      </c>
      <c r="F5383" t="s">
        <v>91</v>
      </c>
      <c r="G5383">
        <v>3.56</v>
      </c>
      <c r="H5383" t="s">
        <v>61</v>
      </c>
      <c r="I5383" t="s">
        <v>42</v>
      </c>
      <c r="M5383">
        <f>VLOOKUP(H5383,'Stage Order'!$A$2:$B$8,2,FALSE)</f>
        <v>1</v>
      </c>
      <c r="N5383" t="str">
        <f t="shared" si="168"/>
        <v>2. 1-24 hours</v>
      </c>
      <c r="O5383" t="str">
        <f t="shared" si="169"/>
        <v>2026-02</v>
      </c>
    </row>
    <row r="5384" spans="1:15" x14ac:dyDescent="0.3">
      <c r="A5384" t="s">
        <v>12667</v>
      </c>
      <c r="B5384" t="s">
        <v>12668</v>
      </c>
      <c r="C5384" t="s">
        <v>125</v>
      </c>
      <c r="D5384" t="s">
        <v>97</v>
      </c>
      <c r="E5384" t="s">
        <v>30</v>
      </c>
      <c r="F5384" t="s">
        <v>31</v>
      </c>
      <c r="G5384">
        <v>2.04</v>
      </c>
      <c r="H5384" t="s">
        <v>61</v>
      </c>
      <c r="I5384" t="s">
        <v>42</v>
      </c>
      <c r="M5384">
        <f>VLOOKUP(H5384,'Stage Order'!$A$2:$B$8,2,FALSE)</f>
        <v>1</v>
      </c>
      <c r="N5384" t="str">
        <f t="shared" si="168"/>
        <v>2. 1-24 hours</v>
      </c>
      <c r="O5384" t="str">
        <f t="shared" si="169"/>
        <v>2025-10</v>
      </c>
    </row>
    <row r="5385" spans="1:15" x14ac:dyDescent="0.3">
      <c r="A5385" t="s">
        <v>12669</v>
      </c>
      <c r="B5385" t="s">
        <v>12670</v>
      </c>
      <c r="C5385" t="s">
        <v>58</v>
      </c>
      <c r="D5385" t="s">
        <v>77</v>
      </c>
      <c r="E5385" t="s">
        <v>90</v>
      </c>
      <c r="F5385" t="s">
        <v>145</v>
      </c>
      <c r="G5385">
        <v>2.75</v>
      </c>
      <c r="H5385" t="s">
        <v>41</v>
      </c>
      <c r="I5385" t="s">
        <v>42</v>
      </c>
      <c r="M5385">
        <f>VLOOKUP(H5385,'Stage Order'!$A$2:$B$8,2,FALSE)</f>
        <v>2</v>
      </c>
      <c r="N5385" t="str">
        <f t="shared" si="168"/>
        <v>2. 1-24 hours</v>
      </c>
      <c r="O5385" t="str">
        <f t="shared" si="169"/>
        <v>2025-08</v>
      </c>
    </row>
    <row r="5386" spans="1:15" x14ac:dyDescent="0.3">
      <c r="A5386" t="s">
        <v>12671</v>
      </c>
      <c r="B5386" t="s">
        <v>12672</v>
      </c>
      <c r="C5386" t="s">
        <v>125</v>
      </c>
      <c r="D5386" t="s">
        <v>97</v>
      </c>
      <c r="E5386" t="s">
        <v>45</v>
      </c>
      <c r="F5386" t="s">
        <v>46</v>
      </c>
      <c r="G5386">
        <v>3.71</v>
      </c>
      <c r="H5386" t="s">
        <v>32</v>
      </c>
      <c r="I5386" t="s">
        <v>33</v>
      </c>
      <c r="K5386">
        <v>1717.38</v>
      </c>
      <c r="L5386" t="s">
        <v>12673</v>
      </c>
      <c r="M5386">
        <f>VLOOKUP(H5386,'Stage Order'!$A$2:$B$8,2,FALSE)</f>
        <v>7</v>
      </c>
      <c r="N5386" t="str">
        <f t="shared" si="168"/>
        <v>2. 1-24 hours</v>
      </c>
      <c r="O5386" t="str">
        <f t="shared" si="169"/>
        <v>2026-04</v>
      </c>
    </row>
    <row r="5387" spans="1:15" x14ac:dyDescent="0.3">
      <c r="A5387" t="s">
        <v>12674</v>
      </c>
      <c r="B5387" t="s">
        <v>12675</v>
      </c>
      <c r="C5387" t="s">
        <v>125</v>
      </c>
      <c r="D5387" t="s">
        <v>54</v>
      </c>
      <c r="E5387" t="s">
        <v>45</v>
      </c>
      <c r="F5387" t="s">
        <v>55</v>
      </c>
      <c r="G5387">
        <v>4.75</v>
      </c>
      <c r="H5387" t="s">
        <v>47</v>
      </c>
      <c r="I5387" t="s">
        <v>48</v>
      </c>
      <c r="J5387" t="s">
        <v>139</v>
      </c>
      <c r="K5387">
        <v>444.25</v>
      </c>
      <c r="L5387" t="s">
        <v>12676</v>
      </c>
      <c r="M5387">
        <f>VLOOKUP(H5387,'Stage Order'!$A$2:$B$8,2,FALSE)</f>
        <v>4</v>
      </c>
      <c r="N5387" t="str">
        <f t="shared" si="168"/>
        <v>2. 1-24 hours</v>
      </c>
      <c r="O5387" t="str">
        <f t="shared" si="169"/>
        <v>2026-04</v>
      </c>
    </row>
    <row r="5388" spans="1:15" x14ac:dyDescent="0.3">
      <c r="A5388" t="s">
        <v>12677</v>
      </c>
      <c r="B5388" t="s">
        <v>12678</v>
      </c>
      <c r="C5388" t="s">
        <v>37</v>
      </c>
      <c r="D5388" t="s">
        <v>29</v>
      </c>
      <c r="E5388" t="s">
        <v>45</v>
      </c>
      <c r="F5388" t="s">
        <v>94</v>
      </c>
      <c r="G5388">
        <v>5.09</v>
      </c>
      <c r="H5388" t="s">
        <v>41</v>
      </c>
      <c r="I5388" t="s">
        <v>42</v>
      </c>
      <c r="M5388">
        <f>VLOOKUP(H5388,'Stage Order'!$A$2:$B$8,2,FALSE)</f>
        <v>2</v>
      </c>
      <c r="N5388" t="str">
        <f t="shared" si="168"/>
        <v>2. 1-24 hours</v>
      </c>
      <c r="O5388" t="str">
        <f t="shared" si="169"/>
        <v>2025-01</v>
      </c>
    </row>
    <row r="5389" spans="1:15" x14ac:dyDescent="0.3">
      <c r="A5389" t="s">
        <v>12679</v>
      </c>
      <c r="B5389" t="s">
        <v>12680</v>
      </c>
      <c r="C5389" t="s">
        <v>81</v>
      </c>
      <c r="D5389" t="s">
        <v>54</v>
      </c>
      <c r="E5389" t="s">
        <v>30</v>
      </c>
      <c r="F5389" t="s">
        <v>82</v>
      </c>
      <c r="G5389">
        <v>4.58</v>
      </c>
      <c r="H5389" t="s">
        <v>61</v>
      </c>
      <c r="I5389" t="s">
        <v>42</v>
      </c>
      <c r="M5389">
        <f>VLOOKUP(H5389,'Stage Order'!$A$2:$B$8,2,FALSE)</f>
        <v>1</v>
      </c>
      <c r="N5389" t="str">
        <f t="shared" si="168"/>
        <v>2. 1-24 hours</v>
      </c>
      <c r="O5389" t="str">
        <f t="shared" si="169"/>
        <v>2026-05</v>
      </c>
    </row>
    <row r="5390" spans="1:15" x14ac:dyDescent="0.3">
      <c r="A5390" t="s">
        <v>12681</v>
      </c>
      <c r="B5390" t="s">
        <v>12682</v>
      </c>
      <c r="C5390" t="s">
        <v>125</v>
      </c>
      <c r="D5390" t="s">
        <v>54</v>
      </c>
      <c r="E5390" t="s">
        <v>90</v>
      </c>
      <c r="F5390" t="s">
        <v>112</v>
      </c>
      <c r="G5390">
        <v>3.99</v>
      </c>
      <c r="H5390" t="s">
        <v>41</v>
      </c>
      <c r="I5390" t="s">
        <v>42</v>
      </c>
      <c r="M5390">
        <f>VLOOKUP(H5390,'Stage Order'!$A$2:$B$8,2,FALSE)</f>
        <v>2</v>
      </c>
      <c r="N5390" t="str">
        <f t="shared" si="168"/>
        <v>2. 1-24 hours</v>
      </c>
      <c r="O5390" t="str">
        <f t="shared" si="169"/>
        <v>2026-01</v>
      </c>
    </row>
    <row r="5391" spans="1:15" x14ac:dyDescent="0.3">
      <c r="A5391" t="s">
        <v>12683</v>
      </c>
      <c r="B5391" t="s">
        <v>12684</v>
      </c>
      <c r="C5391" t="s">
        <v>53</v>
      </c>
      <c r="D5391" t="s">
        <v>54</v>
      </c>
      <c r="E5391" t="s">
        <v>90</v>
      </c>
      <c r="F5391" t="s">
        <v>112</v>
      </c>
      <c r="G5391">
        <v>5.78</v>
      </c>
      <c r="H5391" t="s">
        <v>41</v>
      </c>
      <c r="I5391" t="s">
        <v>42</v>
      </c>
      <c r="M5391">
        <f>VLOOKUP(H5391,'Stage Order'!$A$2:$B$8,2,FALSE)</f>
        <v>2</v>
      </c>
      <c r="N5391" t="str">
        <f t="shared" si="168"/>
        <v>2. 1-24 hours</v>
      </c>
      <c r="O5391" t="str">
        <f t="shared" si="169"/>
        <v>2025-10</v>
      </c>
    </row>
    <row r="5392" spans="1:15" x14ac:dyDescent="0.3">
      <c r="A5392" t="s">
        <v>12685</v>
      </c>
      <c r="B5392" t="s">
        <v>12686</v>
      </c>
      <c r="C5392" t="s">
        <v>37</v>
      </c>
      <c r="D5392" t="s">
        <v>29</v>
      </c>
      <c r="E5392" t="s">
        <v>45</v>
      </c>
      <c r="F5392" t="s">
        <v>46</v>
      </c>
      <c r="G5392">
        <v>1.28</v>
      </c>
      <c r="H5392" t="s">
        <v>47</v>
      </c>
      <c r="I5392" t="s">
        <v>48</v>
      </c>
      <c r="J5392" t="s">
        <v>49</v>
      </c>
      <c r="K5392">
        <v>736.77</v>
      </c>
      <c r="L5392" t="s">
        <v>12687</v>
      </c>
      <c r="M5392">
        <f>VLOOKUP(H5392,'Stage Order'!$A$2:$B$8,2,FALSE)</f>
        <v>4</v>
      </c>
      <c r="N5392" t="str">
        <f t="shared" si="168"/>
        <v>2. 1-24 hours</v>
      </c>
      <c r="O5392" t="str">
        <f t="shared" si="169"/>
        <v>2026-02</v>
      </c>
    </row>
    <row r="5393" spans="1:15" x14ac:dyDescent="0.3">
      <c r="A5393" t="s">
        <v>12688</v>
      </c>
      <c r="B5393" t="s">
        <v>12689</v>
      </c>
      <c r="C5393" t="s">
        <v>81</v>
      </c>
      <c r="D5393" t="s">
        <v>77</v>
      </c>
      <c r="E5393" t="s">
        <v>45</v>
      </c>
      <c r="F5393" t="s">
        <v>46</v>
      </c>
      <c r="G5393">
        <v>4.33</v>
      </c>
      <c r="H5393" t="s">
        <v>41</v>
      </c>
      <c r="I5393" t="s">
        <v>42</v>
      </c>
      <c r="M5393">
        <f>VLOOKUP(H5393,'Stage Order'!$A$2:$B$8,2,FALSE)</f>
        <v>2</v>
      </c>
      <c r="N5393" t="str">
        <f t="shared" si="168"/>
        <v>2. 1-24 hours</v>
      </c>
      <c r="O5393" t="str">
        <f t="shared" si="169"/>
        <v>2025-07</v>
      </c>
    </row>
    <row r="5394" spans="1:15" x14ac:dyDescent="0.3">
      <c r="A5394" t="s">
        <v>12690</v>
      </c>
      <c r="B5394" t="s">
        <v>12691</v>
      </c>
      <c r="C5394" t="s">
        <v>58</v>
      </c>
      <c r="D5394" t="s">
        <v>54</v>
      </c>
      <c r="E5394" t="s">
        <v>45</v>
      </c>
      <c r="F5394" t="s">
        <v>46</v>
      </c>
      <c r="G5394">
        <v>0.76</v>
      </c>
      <c r="H5394" t="s">
        <v>146</v>
      </c>
      <c r="I5394" t="s">
        <v>48</v>
      </c>
      <c r="J5394" t="s">
        <v>139</v>
      </c>
      <c r="K5394">
        <v>469.5</v>
      </c>
      <c r="L5394" t="s">
        <v>12692</v>
      </c>
      <c r="M5394">
        <f>VLOOKUP(H5394,'Stage Order'!$A$2:$B$8,2,FALSE)</f>
        <v>5</v>
      </c>
      <c r="N5394" t="str">
        <f t="shared" si="168"/>
        <v>1. Under 1 hour</v>
      </c>
      <c r="O5394" t="str">
        <f t="shared" si="169"/>
        <v>2025-09</v>
      </c>
    </row>
    <row r="5395" spans="1:15" x14ac:dyDescent="0.3">
      <c r="A5395" t="s">
        <v>12693</v>
      </c>
      <c r="B5395" t="s">
        <v>12694</v>
      </c>
      <c r="C5395" t="s">
        <v>37</v>
      </c>
      <c r="D5395" t="s">
        <v>97</v>
      </c>
      <c r="E5395" t="s">
        <v>59</v>
      </c>
      <c r="F5395" t="s">
        <v>117</v>
      </c>
      <c r="G5395">
        <v>1.29</v>
      </c>
      <c r="H5395" t="s">
        <v>41</v>
      </c>
      <c r="I5395" t="s">
        <v>42</v>
      </c>
      <c r="M5395">
        <f>VLOOKUP(H5395,'Stage Order'!$A$2:$B$8,2,FALSE)</f>
        <v>2</v>
      </c>
      <c r="N5395" t="str">
        <f t="shared" si="168"/>
        <v>2. 1-24 hours</v>
      </c>
      <c r="O5395" t="str">
        <f t="shared" si="169"/>
        <v>2025-09</v>
      </c>
    </row>
    <row r="5396" spans="1:15" x14ac:dyDescent="0.3">
      <c r="A5396" t="s">
        <v>12695</v>
      </c>
      <c r="B5396" t="s">
        <v>10438</v>
      </c>
      <c r="C5396" t="s">
        <v>53</v>
      </c>
      <c r="D5396" t="s">
        <v>54</v>
      </c>
      <c r="E5396" t="s">
        <v>59</v>
      </c>
      <c r="F5396" t="s">
        <v>60</v>
      </c>
      <c r="G5396">
        <v>1.01</v>
      </c>
      <c r="H5396" t="s">
        <v>32</v>
      </c>
      <c r="I5396" t="s">
        <v>33</v>
      </c>
      <c r="K5396">
        <v>596.04</v>
      </c>
      <c r="L5396" t="s">
        <v>12696</v>
      </c>
      <c r="M5396">
        <f>VLOOKUP(H5396,'Stage Order'!$A$2:$B$8,2,FALSE)</f>
        <v>7</v>
      </c>
      <c r="N5396" t="str">
        <f t="shared" si="168"/>
        <v>2. 1-24 hours</v>
      </c>
      <c r="O5396" t="str">
        <f t="shared" si="169"/>
        <v>2025-11</v>
      </c>
    </row>
    <row r="5397" spans="1:15" x14ac:dyDescent="0.3">
      <c r="A5397" t="s">
        <v>12697</v>
      </c>
      <c r="B5397" t="s">
        <v>12698</v>
      </c>
      <c r="C5397" t="s">
        <v>125</v>
      </c>
      <c r="D5397" t="s">
        <v>54</v>
      </c>
      <c r="E5397" t="s">
        <v>59</v>
      </c>
      <c r="F5397" t="s">
        <v>60</v>
      </c>
      <c r="G5397">
        <v>3.62</v>
      </c>
      <c r="H5397" t="s">
        <v>128</v>
      </c>
      <c r="I5397" t="s">
        <v>42</v>
      </c>
      <c r="M5397">
        <f>VLOOKUP(H5397,'Stage Order'!$A$2:$B$8,2,FALSE)</f>
        <v>3</v>
      </c>
      <c r="N5397" t="str">
        <f t="shared" si="168"/>
        <v>2. 1-24 hours</v>
      </c>
      <c r="O5397" t="str">
        <f t="shared" si="169"/>
        <v>2025-10</v>
      </c>
    </row>
    <row r="5398" spans="1:15" x14ac:dyDescent="0.3">
      <c r="A5398" t="s">
        <v>12699</v>
      </c>
      <c r="B5398" t="s">
        <v>12700</v>
      </c>
      <c r="C5398" t="s">
        <v>53</v>
      </c>
      <c r="D5398" t="s">
        <v>97</v>
      </c>
      <c r="E5398" t="s">
        <v>30</v>
      </c>
      <c r="F5398" t="s">
        <v>82</v>
      </c>
      <c r="G5398">
        <v>1.04</v>
      </c>
      <c r="H5398" t="s">
        <v>32</v>
      </c>
      <c r="I5398" t="s">
        <v>33</v>
      </c>
      <c r="K5398">
        <v>1456.6</v>
      </c>
      <c r="L5398" t="s">
        <v>12701</v>
      </c>
      <c r="M5398">
        <f>VLOOKUP(H5398,'Stage Order'!$A$2:$B$8,2,FALSE)</f>
        <v>7</v>
      </c>
      <c r="N5398" t="str">
        <f t="shared" si="168"/>
        <v>2. 1-24 hours</v>
      </c>
      <c r="O5398" t="str">
        <f t="shared" si="169"/>
        <v>2026-06</v>
      </c>
    </row>
    <row r="5399" spans="1:15" x14ac:dyDescent="0.3">
      <c r="A5399" t="s">
        <v>12702</v>
      </c>
      <c r="B5399" t="s">
        <v>12703</v>
      </c>
      <c r="C5399" t="s">
        <v>81</v>
      </c>
      <c r="D5399" t="s">
        <v>54</v>
      </c>
      <c r="E5399" t="s">
        <v>45</v>
      </c>
      <c r="F5399" t="s">
        <v>94</v>
      </c>
      <c r="G5399">
        <v>27.91</v>
      </c>
      <c r="H5399" t="s">
        <v>128</v>
      </c>
      <c r="I5399" t="s">
        <v>42</v>
      </c>
      <c r="M5399">
        <f>VLOOKUP(H5399,'Stage Order'!$A$2:$B$8,2,FALSE)</f>
        <v>3</v>
      </c>
      <c r="N5399" t="str">
        <f t="shared" si="168"/>
        <v>3. 1-3 days</v>
      </c>
      <c r="O5399" t="str">
        <f t="shared" si="169"/>
        <v>2025-08</v>
      </c>
    </row>
    <row r="5400" spans="1:15" x14ac:dyDescent="0.3">
      <c r="A5400" t="s">
        <v>12704</v>
      </c>
      <c r="B5400" t="s">
        <v>12705</v>
      </c>
      <c r="C5400" t="s">
        <v>81</v>
      </c>
      <c r="D5400" t="s">
        <v>54</v>
      </c>
      <c r="E5400" t="s">
        <v>45</v>
      </c>
      <c r="F5400" t="s">
        <v>55</v>
      </c>
      <c r="G5400">
        <v>1.74</v>
      </c>
      <c r="H5400" t="s">
        <v>41</v>
      </c>
      <c r="I5400" t="s">
        <v>42</v>
      </c>
      <c r="M5400">
        <f>VLOOKUP(H5400,'Stage Order'!$A$2:$B$8,2,FALSE)</f>
        <v>2</v>
      </c>
      <c r="N5400" t="str">
        <f t="shared" si="168"/>
        <v>2. 1-24 hours</v>
      </c>
      <c r="O5400" t="str">
        <f t="shared" si="169"/>
        <v>2026-02</v>
      </c>
    </row>
    <row r="5401" spans="1:15" x14ac:dyDescent="0.3">
      <c r="A5401" t="s">
        <v>12706</v>
      </c>
      <c r="B5401" t="s">
        <v>12707</v>
      </c>
      <c r="C5401" t="s">
        <v>37</v>
      </c>
      <c r="D5401" t="s">
        <v>97</v>
      </c>
      <c r="E5401" t="s">
        <v>90</v>
      </c>
      <c r="F5401" t="s">
        <v>91</v>
      </c>
      <c r="G5401">
        <v>5.34</v>
      </c>
      <c r="H5401" t="s">
        <v>41</v>
      </c>
      <c r="I5401" t="s">
        <v>42</v>
      </c>
      <c r="M5401">
        <f>VLOOKUP(H5401,'Stage Order'!$A$2:$B$8,2,FALSE)</f>
        <v>2</v>
      </c>
      <c r="N5401" t="str">
        <f t="shared" si="168"/>
        <v>2. 1-24 hours</v>
      </c>
      <c r="O5401" t="str">
        <f t="shared" si="169"/>
        <v>2025-01</v>
      </c>
    </row>
    <row r="5402" spans="1:15" x14ac:dyDescent="0.3">
      <c r="A5402" t="s">
        <v>12708</v>
      </c>
      <c r="B5402" t="s">
        <v>12709</v>
      </c>
      <c r="C5402" t="s">
        <v>37</v>
      </c>
      <c r="D5402" t="s">
        <v>29</v>
      </c>
      <c r="E5402" t="s">
        <v>39</v>
      </c>
      <c r="F5402" t="s">
        <v>40</v>
      </c>
      <c r="G5402">
        <v>1.25</v>
      </c>
      <c r="H5402" t="s">
        <v>47</v>
      </c>
      <c r="I5402" t="s">
        <v>48</v>
      </c>
      <c r="J5402" t="s">
        <v>98</v>
      </c>
      <c r="K5402">
        <v>638.37</v>
      </c>
      <c r="L5402" t="s">
        <v>12710</v>
      </c>
      <c r="M5402">
        <f>VLOOKUP(H5402,'Stage Order'!$A$2:$B$8,2,FALSE)</f>
        <v>4</v>
      </c>
      <c r="N5402" t="str">
        <f t="shared" si="168"/>
        <v>2. 1-24 hours</v>
      </c>
      <c r="O5402" t="str">
        <f t="shared" si="169"/>
        <v>2025-03</v>
      </c>
    </row>
    <row r="5403" spans="1:15" x14ac:dyDescent="0.3">
      <c r="A5403" t="s">
        <v>12711</v>
      </c>
      <c r="B5403" t="s">
        <v>12712</v>
      </c>
      <c r="C5403" t="s">
        <v>53</v>
      </c>
      <c r="D5403" t="s">
        <v>54</v>
      </c>
      <c r="E5403" t="s">
        <v>45</v>
      </c>
      <c r="F5403" t="s">
        <v>46</v>
      </c>
      <c r="G5403">
        <v>2.72</v>
      </c>
      <c r="H5403" t="s">
        <v>32</v>
      </c>
      <c r="I5403" t="s">
        <v>33</v>
      </c>
      <c r="K5403">
        <v>412.63</v>
      </c>
      <c r="L5403" t="s">
        <v>12713</v>
      </c>
      <c r="M5403">
        <f>VLOOKUP(H5403,'Stage Order'!$A$2:$B$8,2,FALSE)</f>
        <v>7</v>
      </c>
      <c r="N5403" t="str">
        <f t="shared" si="168"/>
        <v>2. 1-24 hours</v>
      </c>
      <c r="O5403" t="str">
        <f t="shared" si="169"/>
        <v>2025-07</v>
      </c>
    </row>
    <row r="5404" spans="1:15" x14ac:dyDescent="0.3">
      <c r="A5404" t="s">
        <v>12714</v>
      </c>
      <c r="B5404" t="s">
        <v>12715</v>
      </c>
      <c r="C5404" t="s">
        <v>125</v>
      </c>
      <c r="D5404" t="s">
        <v>77</v>
      </c>
      <c r="E5404" t="s">
        <v>45</v>
      </c>
      <c r="F5404" t="s">
        <v>94</v>
      </c>
      <c r="G5404">
        <v>4.76</v>
      </c>
      <c r="H5404" t="s">
        <v>41</v>
      </c>
      <c r="I5404" t="s">
        <v>42</v>
      </c>
      <c r="M5404">
        <f>VLOOKUP(H5404,'Stage Order'!$A$2:$B$8,2,FALSE)</f>
        <v>2</v>
      </c>
      <c r="N5404" t="str">
        <f t="shared" si="168"/>
        <v>2. 1-24 hours</v>
      </c>
      <c r="O5404" t="str">
        <f t="shared" si="169"/>
        <v>2025-07</v>
      </c>
    </row>
    <row r="5405" spans="1:15" x14ac:dyDescent="0.3">
      <c r="A5405" t="s">
        <v>12716</v>
      </c>
      <c r="B5405" t="s">
        <v>12717</v>
      </c>
      <c r="C5405" t="s">
        <v>37</v>
      </c>
      <c r="D5405" t="s">
        <v>29</v>
      </c>
      <c r="E5405" t="s">
        <v>90</v>
      </c>
      <c r="F5405" t="s">
        <v>145</v>
      </c>
      <c r="G5405">
        <v>0.95</v>
      </c>
      <c r="H5405" t="s">
        <v>32</v>
      </c>
      <c r="I5405" t="s">
        <v>33</v>
      </c>
      <c r="K5405">
        <v>650.92999999999995</v>
      </c>
      <c r="L5405" t="s">
        <v>12718</v>
      </c>
      <c r="M5405">
        <f>VLOOKUP(H5405,'Stage Order'!$A$2:$B$8,2,FALSE)</f>
        <v>7</v>
      </c>
      <c r="N5405" t="str">
        <f t="shared" si="168"/>
        <v>1. Under 1 hour</v>
      </c>
      <c r="O5405" t="str">
        <f t="shared" si="169"/>
        <v>2025-03</v>
      </c>
    </row>
    <row r="5406" spans="1:15" x14ac:dyDescent="0.3">
      <c r="A5406" t="s">
        <v>12719</v>
      </c>
      <c r="B5406" t="s">
        <v>12720</v>
      </c>
      <c r="C5406" t="s">
        <v>76</v>
      </c>
      <c r="D5406" t="s">
        <v>77</v>
      </c>
      <c r="E5406" t="s">
        <v>45</v>
      </c>
      <c r="F5406" t="s">
        <v>46</v>
      </c>
      <c r="G5406">
        <v>2.31</v>
      </c>
      <c r="H5406" t="s">
        <v>41</v>
      </c>
      <c r="I5406" t="s">
        <v>42</v>
      </c>
      <c r="M5406">
        <f>VLOOKUP(H5406,'Stage Order'!$A$2:$B$8,2,FALSE)</f>
        <v>2</v>
      </c>
      <c r="N5406" t="str">
        <f t="shared" si="168"/>
        <v>2. 1-24 hours</v>
      </c>
      <c r="O5406" t="str">
        <f t="shared" si="169"/>
        <v>2026-02</v>
      </c>
    </row>
    <row r="5407" spans="1:15" x14ac:dyDescent="0.3">
      <c r="A5407" t="s">
        <v>12721</v>
      </c>
      <c r="B5407" t="s">
        <v>12722</v>
      </c>
      <c r="C5407" t="s">
        <v>53</v>
      </c>
      <c r="D5407" t="s">
        <v>77</v>
      </c>
      <c r="E5407" t="s">
        <v>45</v>
      </c>
      <c r="F5407" t="s">
        <v>55</v>
      </c>
      <c r="G5407">
        <v>12.47</v>
      </c>
      <c r="H5407" t="s">
        <v>138</v>
      </c>
      <c r="I5407" t="s">
        <v>48</v>
      </c>
      <c r="J5407" t="s">
        <v>113</v>
      </c>
      <c r="K5407">
        <v>946.14</v>
      </c>
      <c r="L5407" t="s">
        <v>12723</v>
      </c>
      <c r="M5407">
        <f>VLOOKUP(H5407,'Stage Order'!$A$2:$B$8,2,FALSE)</f>
        <v>6</v>
      </c>
      <c r="N5407" t="str">
        <f t="shared" si="168"/>
        <v>2. 1-24 hours</v>
      </c>
      <c r="O5407" t="str">
        <f t="shared" si="169"/>
        <v>2025-05</v>
      </c>
    </row>
    <row r="5408" spans="1:15" x14ac:dyDescent="0.3">
      <c r="A5408" t="s">
        <v>12724</v>
      </c>
      <c r="B5408" t="s">
        <v>12725</v>
      </c>
      <c r="C5408" t="s">
        <v>81</v>
      </c>
      <c r="D5408" t="s">
        <v>54</v>
      </c>
      <c r="E5408" t="s">
        <v>45</v>
      </c>
      <c r="F5408" t="s">
        <v>94</v>
      </c>
      <c r="G5408">
        <v>2.08</v>
      </c>
      <c r="H5408" t="s">
        <v>41</v>
      </c>
      <c r="I5408" t="s">
        <v>42</v>
      </c>
      <c r="M5408">
        <f>VLOOKUP(H5408,'Stage Order'!$A$2:$B$8,2,FALSE)</f>
        <v>2</v>
      </c>
      <c r="N5408" t="str">
        <f t="shared" si="168"/>
        <v>2. 1-24 hours</v>
      </c>
      <c r="O5408" t="str">
        <f t="shared" si="169"/>
        <v>2025-12</v>
      </c>
    </row>
    <row r="5409" spans="1:15" x14ac:dyDescent="0.3">
      <c r="A5409" t="s">
        <v>12726</v>
      </c>
      <c r="B5409" t="s">
        <v>12727</v>
      </c>
      <c r="C5409" t="s">
        <v>76</v>
      </c>
      <c r="D5409" t="s">
        <v>38</v>
      </c>
      <c r="E5409" t="s">
        <v>45</v>
      </c>
      <c r="F5409" t="s">
        <v>94</v>
      </c>
      <c r="G5409">
        <v>5.35</v>
      </c>
      <c r="H5409" t="s">
        <v>41</v>
      </c>
      <c r="I5409" t="s">
        <v>42</v>
      </c>
      <c r="M5409">
        <f>VLOOKUP(H5409,'Stage Order'!$A$2:$B$8,2,FALSE)</f>
        <v>2</v>
      </c>
      <c r="N5409" t="str">
        <f t="shared" si="168"/>
        <v>2. 1-24 hours</v>
      </c>
      <c r="O5409" t="str">
        <f t="shared" si="169"/>
        <v>2025-10</v>
      </c>
    </row>
    <row r="5410" spans="1:15" x14ac:dyDescent="0.3">
      <c r="A5410" t="s">
        <v>12728</v>
      </c>
      <c r="B5410" t="s">
        <v>12729</v>
      </c>
      <c r="C5410" t="s">
        <v>37</v>
      </c>
      <c r="D5410" t="s">
        <v>29</v>
      </c>
      <c r="E5410" t="s">
        <v>39</v>
      </c>
      <c r="F5410" t="s">
        <v>40</v>
      </c>
      <c r="G5410">
        <v>1.1399999999999999</v>
      </c>
      <c r="H5410" t="s">
        <v>41</v>
      </c>
      <c r="I5410" t="s">
        <v>42</v>
      </c>
      <c r="M5410">
        <f>VLOOKUP(H5410,'Stage Order'!$A$2:$B$8,2,FALSE)</f>
        <v>2</v>
      </c>
      <c r="N5410" t="str">
        <f t="shared" si="168"/>
        <v>2. 1-24 hours</v>
      </c>
      <c r="O5410" t="str">
        <f t="shared" si="169"/>
        <v>2025-10</v>
      </c>
    </row>
    <row r="5411" spans="1:15" x14ac:dyDescent="0.3">
      <c r="A5411" t="s">
        <v>12730</v>
      </c>
      <c r="B5411" t="s">
        <v>12731</v>
      </c>
      <c r="C5411" t="s">
        <v>58</v>
      </c>
      <c r="D5411" t="s">
        <v>54</v>
      </c>
      <c r="E5411" t="s">
        <v>39</v>
      </c>
      <c r="F5411" t="s">
        <v>40</v>
      </c>
      <c r="G5411">
        <v>11.95</v>
      </c>
      <c r="H5411" t="s">
        <v>146</v>
      </c>
      <c r="I5411" t="s">
        <v>48</v>
      </c>
      <c r="J5411" t="s">
        <v>98</v>
      </c>
      <c r="K5411">
        <v>552.14</v>
      </c>
      <c r="L5411" t="s">
        <v>12732</v>
      </c>
      <c r="M5411">
        <f>VLOOKUP(H5411,'Stage Order'!$A$2:$B$8,2,FALSE)</f>
        <v>5</v>
      </c>
      <c r="N5411" t="str">
        <f t="shared" si="168"/>
        <v>2. 1-24 hours</v>
      </c>
      <c r="O5411" t="str">
        <f t="shared" si="169"/>
        <v>2025-12</v>
      </c>
    </row>
    <row r="5412" spans="1:15" x14ac:dyDescent="0.3">
      <c r="A5412" t="s">
        <v>12733</v>
      </c>
      <c r="B5412" t="s">
        <v>12734</v>
      </c>
      <c r="C5412" t="s">
        <v>28</v>
      </c>
      <c r="D5412" t="s">
        <v>38</v>
      </c>
      <c r="E5412" t="s">
        <v>59</v>
      </c>
      <c r="F5412" t="s">
        <v>117</v>
      </c>
      <c r="G5412">
        <v>11</v>
      </c>
      <c r="H5412" t="s">
        <v>41</v>
      </c>
      <c r="I5412" t="s">
        <v>42</v>
      </c>
      <c r="M5412">
        <f>VLOOKUP(H5412,'Stage Order'!$A$2:$B$8,2,FALSE)</f>
        <v>2</v>
      </c>
      <c r="N5412" t="str">
        <f t="shared" si="168"/>
        <v>2. 1-24 hours</v>
      </c>
      <c r="O5412" t="str">
        <f t="shared" si="169"/>
        <v>2025-07</v>
      </c>
    </row>
    <row r="5413" spans="1:15" x14ac:dyDescent="0.3">
      <c r="A5413" t="s">
        <v>12735</v>
      </c>
      <c r="B5413" t="s">
        <v>12736</v>
      </c>
      <c r="C5413" t="s">
        <v>37</v>
      </c>
      <c r="D5413" t="s">
        <v>97</v>
      </c>
      <c r="E5413" t="s">
        <v>45</v>
      </c>
      <c r="F5413" t="s">
        <v>94</v>
      </c>
      <c r="G5413">
        <v>1.73</v>
      </c>
      <c r="H5413" t="s">
        <v>138</v>
      </c>
      <c r="I5413" t="s">
        <v>48</v>
      </c>
      <c r="J5413" t="s">
        <v>98</v>
      </c>
      <c r="K5413">
        <v>1377.54</v>
      </c>
      <c r="L5413" t="s">
        <v>12737</v>
      </c>
      <c r="M5413">
        <f>VLOOKUP(H5413,'Stage Order'!$A$2:$B$8,2,FALSE)</f>
        <v>6</v>
      </c>
      <c r="N5413" t="str">
        <f t="shared" si="168"/>
        <v>2. 1-24 hours</v>
      </c>
      <c r="O5413" t="str">
        <f t="shared" si="169"/>
        <v>2026-05</v>
      </c>
    </row>
    <row r="5414" spans="1:15" x14ac:dyDescent="0.3">
      <c r="A5414" t="s">
        <v>12738</v>
      </c>
      <c r="B5414" t="s">
        <v>12739</v>
      </c>
      <c r="C5414" t="s">
        <v>81</v>
      </c>
      <c r="D5414" t="s">
        <v>77</v>
      </c>
      <c r="E5414" t="s">
        <v>59</v>
      </c>
      <c r="F5414" t="s">
        <v>117</v>
      </c>
      <c r="G5414">
        <v>2.59</v>
      </c>
      <c r="H5414" t="s">
        <v>128</v>
      </c>
      <c r="I5414" t="s">
        <v>42</v>
      </c>
      <c r="M5414">
        <f>VLOOKUP(H5414,'Stage Order'!$A$2:$B$8,2,FALSE)</f>
        <v>3</v>
      </c>
      <c r="N5414" t="str">
        <f t="shared" si="168"/>
        <v>2. 1-24 hours</v>
      </c>
      <c r="O5414" t="str">
        <f t="shared" si="169"/>
        <v>2025-05</v>
      </c>
    </row>
    <row r="5415" spans="1:15" x14ac:dyDescent="0.3">
      <c r="A5415" t="s">
        <v>12740</v>
      </c>
      <c r="B5415" t="s">
        <v>12741</v>
      </c>
      <c r="C5415" t="s">
        <v>81</v>
      </c>
      <c r="D5415" t="s">
        <v>29</v>
      </c>
      <c r="E5415" t="s">
        <v>39</v>
      </c>
      <c r="F5415" t="s">
        <v>40</v>
      </c>
      <c r="G5415">
        <v>12.93</v>
      </c>
      <c r="H5415" t="s">
        <v>41</v>
      </c>
      <c r="I5415" t="s">
        <v>42</v>
      </c>
      <c r="M5415">
        <f>VLOOKUP(H5415,'Stage Order'!$A$2:$B$8,2,FALSE)</f>
        <v>2</v>
      </c>
      <c r="N5415" t="str">
        <f t="shared" si="168"/>
        <v>2. 1-24 hours</v>
      </c>
      <c r="O5415" t="str">
        <f t="shared" si="169"/>
        <v>2025-01</v>
      </c>
    </row>
    <row r="5416" spans="1:15" x14ac:dyDescent="0.3">
      <c r="A5416" t="s">
        <v>12742</v>
      </c>
      <c r="B5416" t="s">
        <v>12743</v>
      </c>
      <c r="C5416" t="s">
        <v>81</v>
      </c>
      <c r="D5416" t="s">
        <v>54</v>
      </c>
      <c r="E5416" t="s">
        <v>90</v>
      </c>
      <c r="F5416" t="s">
        <v>145</v>
      </c>
      <c r="G5416">
        <v>2.5299999999999998</v>
      </c>
      <c r="H5416" t="s">
        <v>61</v>
      </c>
      <c r="I5416" t="s">
        <v>42</v>
      </c>
      <c r="M5416">
        <f>VLOOKUP(H5416,'Stage Order'!$A$2:$B$8,2,FALSE)</f>
        <v>1</v>
      </c>
      <c r="N5416" t="str">
        <f t="shared" si="168"/>
        <v>2. 1-24 hours</v>
      </c>
      <c r="O5416" t="str">
        <f t="shared" si="169"/>
        <v>2025-03</v>
      </c>
    </row>
    <row r="5417" spans="1:15" x14ac:dyDescent="0.3">
      <c r="A5417" t="s">
        <v>12744</v>
      </c>
      <c r="B5417" t="s">
        <v>12745</v>
      </c>
      <c r="C5417" t="s">
        <v>28</v>
      </c>
      <c r="D5417" t="s">
        <v>29</v>
      </c>
      <c r="E5417" t="s">
        <v>39</v>
      </c>
      <c r="F5417" t="s">
        <v>66</v>
      </c>
      <c r="G5417">
        <v>2.02</v>
      </c>
      <c r="H5417" t="s">
        <v>61</v>
      </c>
      <c r="I5417" t="s">
        <v>42</v>
      </c>
      <c r="M5417">
        <f>VLOOKUP(H5417,'Stage Order'!$A$2:$B$8,2,FALSE)</f>
        <v>1</v>
      </c>
      <c r="N5417" t="str">
        <f t="shared" si="168"/>
        <v>2. 1-24 hours</v>
      </c>
      <c r="O5417" t="str">
        <f t="shared" si="169"/>
        <v>2026-06</v>
      </c>
    </row>
    <row r="5418" spans="1:15" x14ac:dyDescent="0.3">
      <c r="A5418" t="s">
        <v>12746</v>
      </c>
      <c r="B5418" t="s">
        <v>12747</v>
      </c>
      <c r="C5418" t="s">
        <v>125</v>
      </c>
      <c r="D5418" t="s">
        <v>54</v>
      </c>
      <c r="E5418" t="s">
        <v>45</v>
      </c>
      <c r="F5418" t="s">
        <v>46</v>
      </c>
      <c r="G5418">
        <v>7.76</v>
      </c>
      <c r="H5418" t="s">
        <v>41</v>
      </c>
      <c r="I5418" t="s">
        <v>42</v>
      </c>
      <c r="M5418">
        <f>VLOOKUP(H5418,'Stage Order'!$A$2:$B$8,2,FALSE)</f>
        <v>2</v>
      </c>
      <c r="N5418" t="str">
        <f t="shared" si="168"/>
        <v>2. 1-24 hours</v>
      </c>
      <c r="O5418" t="str">
        <f t="shared" si="169"/>
        <v>2025-10</v>
      </c>
    </row>
    <row r="5419" spans="1:15" x14ac:dyDescent="0.3">
      <c r="A5419" t="s">
        <v>12748</v>
      </c>
      <c r="B5419" t="s">
        <v>12749</v>
      </c>
      <c r="C5419" t="s">
        <v>125</v>
      </c>
      <c r="D5419" t="s">
        <v>54</v>
      </c>
      <c r="E5419" t="s">
        <v>45</v>
      </c>
      <c r="F5419" t="s">
        <v>55</v>
      </c>
      <c r="G5419">
        <v>2.15</v>
      </c>
      <c r="H5419" t="s">
        <v>128</v>
      </c>
      <c r="I5419" t="s">
        <v>42</v>
      </c>
      <c r="M5419">
        <f>VLOOKUP(H5419,'Stage Order'!$A$2:$B$8,2,FALSE)</f>
        <v>3</v>
      </c>
      <c r="N5419" t="str">
        <f t="shared" si="168"/>
        <v>2. 1-24 hours</v>
      </c>
      <c r="O5419" t="str">
        <f t="shared" si="169"/>
        <v>2025-11</v>
      </c>
    </row>
    <row r="5420" spans="1:15" x14ac:dyDescent="0.3">
      <c r="A5420" t="s">
        <v>12750</v>
      </c>
      <c r="B5420" t="s">
        <v>12751</v>
      </c>
      <c r="C5420" t="s">
        <v>76</v>
      </c>
      <c r="D5420" t="s">
        <v>38</v>
      </c>
      <c r="E5420" t="s">
        <v>39</v>
      </c>
      <c r="F5420" t="s">
        <v>106</v>
      </c>
      <c r="G5420">
        <v>17.239999999999998</v>
      </c>
      <c r="H5420" t="s">
        <v>41</v>
      </c>
      <c r="I5420" t="s">
        <v>42</v>
      </c>
      <c r="M5420">
        <f>VLOOKUP(H5420,'Stage Order'!$A$2:$B$8,2,FALSE)</f>
        <v>2</v>
      </c>
      <c r="N5420" t="str">
        <f t="shared" si="168"/>
        <v>2. 1-24 hours</v>
      </c>
      <c r="O5420" t="str">
        <f t="shared" si="169"/>
        <v>2025-10</v>
      </c>
    </row>
    <row r="5421" spans="1:15" x14ac:dyDescent="0.3">
      <c r="A5421" t="s">
        <v>12752</v>
      </c>
      <c r="B5421" t="s">
        <v>12753</v>
      </c>
      <c r="C5421" t="s">
        <v>125</v>
      </c>
      <c r="D5421" t="s">
        <v>38</v>
      </c>
      <c r="E5421" t="s">
        <v>39</v>
      </c>
      <c r="F5421" t="s">
        <v>106</v>
      </c>
      <c r="G5421">
        <v>14.69</v>
      </c>
      <c r="H5421" t="s">
        <v>41</v>
      </c>
      <c r="I5421" t="s">
        <v>42</v>
      </c>
      <c r="M5421">
        <f>VLOOKUP(H5421,'Stage Order'!$A$2:$B$8,2,FALSE)</f>
        <v>2</v>
      </c>
      <c r="N5421" t="str">
        <f t="shared" si="168"/>
        <v>2. 1-24 hours</v>
      </c>
      <c r="O5421" t="str">
        <f t="shared" si="169"/>
        <v>2026-01</v>
      </c>
    </row>
    <row r="5422" spans="1:15" x14ac:dyDescent="0.3">
      <c r="A5422" t="s">
        <v>12754</v>
      </c>
      <c r="B5422" t="s">
        <v>12755</v>
      </c>
      <c r="C5422" t="s">
        <v>58</v>
      </c>
      <c r="D5422" t="s">
        <v>97</v>
      </c>
      <c r="E5422" t="s">
        <v>45</v>
      </c>
      <c r="F5422" t="s">
        <v>46</v>
      </c>
      <c r="G5422">
        <v>4.46</v>
      </c>
      <c r="H5422" t="s">
        <v>32</v>
      </c>
      <c r="I5422" t="s">
        <v>33</v>
      </c>
      <c r="K5422">
        <v>1644.77</v>
      </c>
      <c r="L5422" t="s">
        <v>12756</v>
      </c>
      <c r="M5422">
        <f>VLOOKUP(H5422,'Stage Order'!$A$2:$B$8,2,FALSE)</f>
        <v>7</v>
      </c>
      <c r="N5422" t="str">
        <f t="shared" si="168"/>
        <v>2. 1-24 hours</v>
      </c>
      <c r="O5422" t="str">
        <f t="shared" si="169"/>
        <v>2025-05</v>
      </c>
    </row>
    <row r="5423" spans="1:15" x14ac:dyDescent="0.3">
      <c r="A5423" t="s">
        <v>12757</v>
      </c>
      <c r="B5423" t="s">
        <v>12758</v>
      </c>
      <c r="C5423" t="s">
        <v>58</v>
      </c>
      <c r="D5423" t="s">
        <v>54</v>
      </c>
      <c r="E5423" t="s">
        <v>39</v>
      </c>
      <c r="F5423" t="s">
        <v>66</v>
      </c>
      <c r="G5423">
        <v>6.16</v>
      </c>
      <c r="H5423" t="s">
        <v>41</v>
      </c>
      <c r="I5423" t="s">
        <v>42</v>
      </c>
      <c r="M5423">
        <f>VLOOKUP(H5423,'Stage Order'!$A$2:$B$8,2,FALSE)</f>
        <v>2</v>
      </c>
      <c r="N5423" t="str">
        <f t="shared" si="168"/>
        <v>2. 1-24 hours</v>
      </c>
      <c r="O5423" t="str">
        <f t="shared" si="169"/>
        <v>2025-06</v>
      </c>
    </row>
    <row r="5424" spans="1:15" x14ac:dyDescent="0.3">
      <c r="A5424" t="s">
        <v>12759</v>
      </c>
      <c r="B5424" t="s">
        <v>12760</v>
      </c>
      <c r="C5424" t="s">
        <v>125</v>
      </c>
      <c r="D5424" t="s">
        <v>29</v>
      </c>
      <c r="E5424" t="s">
        <v>90</v>
      </c>
      <c r="F5424" t="s">
        <v>112</v>
      </c>
      <c r="G5424">
        <v>0.3</v>
      </c>
      <c r="H5424" t="s">
        <v>41</v>
      </c>
      <c r="I5424" t="s">
        <v>42</v>
      </c>
      <c r="M5424">
        <f>VLOOKUP(H5424,'Stage Order'!$A$2:$B$8,2,FALSE)</f>
        <v>2</v>
      </c>
      <c r="N5424" t="str">
        <f t="shared" si="168"/>
        <v>1. Under 1 hour</v>
      </c>
      <c r="O5424" t="str">
        <f t="shared" si="169"/>
        <v>2026-02</v>
      </c>
    </row>
    <row r="5425" spans="1:15" x14ac:dyDescent="0.3">
      <c r="A5425" t="s">
        <v>12761</v>
      </c>
      <c r="B5425" t="s">
        <v>12762</v>
      </c>
      <c r="C5425" t="s">
        <v>58</v>
      </c>
      <c r="D5425" t="s">
        <v>54</v>
      </c>
      <c r="E5425" t="s">
        <v>59</v>
      </c>
      <c r="F5425" t="s">
        <v>137</v>
      </c>
      <c r="G5425">
        <v>13.33</v>
      </c>
      <c r="H5425" t="s">
        <v>41</v>
      </c>
      <c r="I5425" t="s">
        <v>42</v>
      </c>
      <c r="M5425">
        <f>VLOOKUP(H5425,'Stage Order'!$A$2:$B$8,2,FALSE)</f>
        <v>2</v>
      </c>
      <c r="N5425" t="str">
        <f t="shared" si="168"/>
        <v>2. 1-24 hours</v>
      </c>
      <c r="O5425" t="str">
        <f t="shared" si="169"/>
        <v>2025-01</v>
      </c>
    </row>
    <row r="5426" spans="1:15" x14ac:dyDescent="0.3">
      <c r="A5426" t="s">
        <v>12763</v>
      </c>
      <c r="B5426" t="s">
        <v>12764</v>
      </c>
      <c r="C5426" t="s">
        <v>53</v>
      </c>
      <c r="D5426" t="s">
        <v>97</v>
      </c>
      <c r="E5426" t="s">
        <v>45</v>
      </c>
      <c r="F5426" t="s">
        <v>46</v>
      </c>
      <c r="G5426">
        <v>4.5999999999999996</v>
      </c>
      <c r="H5426" t="s">
        <v>32</v>
      </c>
      <c r="I5426" t="s">
        <v>33</v>
      </c>
      <c r="K5426">
        <v>1604.82</v>
      </c>
      <c r="L5426" t="s">
        <v>12765</v>
      </c>
      <c r="M5426">
        <f>VLOOKUP(H5426,'Stage Order'!$A$2:$B$8,2,FALSE)</f>
        <v>7</v>
      </c>
      <c r="N5426" t="str">
        <f t="shared" si="168"/>
        <v>2. 1-24 hours</v>
      </c>
      <c r="O5426" t="str">
        <f t="shared" si="169"/>
        <v>2026-04</v>
      </c>
    </row>
    <row r="5427" spans="1:15" x14ac:dyDescent="0.3">
      <c r="A5427" t="s">
        <v>12766</v>
      </c>
      <c r="B5427" t="s">
        <v>12767</v>
      </c>
      <c r="C5427" t="s">
        <v>53</v>
      </c>
      <c r="D5427" t="s">
        <v>97</v>
      </c>
      <c r="E5427" t="s">
        <v>90</v>
      </c>
      <c r="F5427" t="s">
        <v>91</v>
      </c>
      <c r="G5427">
        <v>49.76</v>
      </c>
      <c r="H5427" t="s">
        <v>41</v>
      </c>
      <c r="I5427" t="s">
        <v>42</v>
      </c>
      <c r="M5427">
        <f>VLOOKUP(H5427,'Stage Order'!$A$2:$B$8,2,FALSE)</f>
        <v>2</v>
      </c>
      <c r="N5427" t="str">
        <f t="shared" si="168"/>
        <v>3. 1-3 days</v>
      </c>
      <c r="O5427" t="str">
        <f t="shared" si="169"/>
        <v>2026-02</v>
      </c>
    </row>
    <row r="5428" spans="1:15" x14ac:dyDescent="0.3">
      <c r="A5428" t="s">
        <v>12768</v>
      </c>
      <c r="B5428" t="s">
        <v>12769</v>
      </c>
      <c r="C5428" t="s">
        <v>125</v>
      </c>
      <c r="D5428" t="s">
        <v>29</v>
      </c>
      <c r="E5428" t="s">
        <v>45</v>
      </c>
      <c r="F5428" t="s">
        <v>55</v>
      </c>
      <c r="G5428">
        <v>2.84</v>
      </c>
      <c r="H5428" t="s">
        <v>146</v>
      </c>
      <c r="I5428" t="s">
        <v>48</v>
      </c>
      <c r="J5428" t="s">
        <v>742</v>
      </c>
      <c r="K5428">
        <v>756.48</v>
      </c>
      <c r="L5428" t="s">
        <v>12770</v>
      </c>
      <c r="M5428">
        <f>VLOOKUP(H5428,'Stage Order'!$A$2:$B$8,2,FALSE)</f>
        <v>5</v>
      </c>
      <c r="N5428" t="str">
        <f t="shared" si="168"/>
        <v>2. 1-24 hours</v>
      </c>
      <c r="O5428" t="str">
        <f t="shared" si="169"/>
        <v>2025-03</v>
      </c>
    </row>
    <row r="5429" spans="1:15" x14ac:dyDescent="0.3">
      <c r="A5429" t="s">
        <v>12771</v>
      </c>
      <c r="B5429" t="s">
        <v>12772</v>
      </c>
      <c r="C5429" t="s">
        <v>58</v>
      </c>
      <c r="D5429" t="s">
        <v>77</v>
      </c>
      <c r="E5429" t="s">
        <v>59</v>
      </c>
      <c r="F5429" t="s">
        <v>137</v>
      </c>
      <c r="G5429">
        <v>1.56</v>
      </c>
      <c r="H5429" t="s">
        <v>47</v>
      </c>
      <c r="I5429" t="s">
        <v>48</v>
      </c>
      <c r="J5429" t="s">
        <v>98</v>
      </c>
      <c r="K5429">
        <v>961.83</v>
      </c>
      <c r="L5429" t="s">
        <v>12773</v>
      </c>
      <c r="M5429">
        <f>VLOOKUP(H5429,'Stage Order'!$A$2:$B$8,2,FALSE)</f>
        <v>4</v>
      </c>
      <c r="N5429" t="str">
        <f t="shared" si="168"/>
        <v>2. 1-24 hours</v>
      </c>
      <c r="O5429" t="str">
        <f t="shared" si="169"/>
        <v>2025-09</v>
      </c>
    </row>
    <row r="5430" spans="1:15" x14ac:dyDescent="0.3">
      <c r="A5430" t="s">
        <v>12774</v>
      </c>
      <c r="B5430" t="s">
        <v>12775</v>
      </c>
      <c r="C5430" t="s">
        <v>58</v>
      </c>
      <c r="D5430" t="s">
        <v>54</v>
      </c>
      <c r="E5430" t="s">
        <v>59</v>
      </c>
      <c r="F5430" t="s">
        <v>117</v>
      </c>
      <c r="G5430">
        <v>4.67</v>
      </c>
      <c r="H5430" t="s">
        <v>41</v>
      </c>
      <c r="I5430" t="s">
        <v>42</v>
      </c>
      <c r="M5430">
        <f>VLOOKUP(H5430,'Stage Order'!$A$2:$B$8,2,FALSE)</f>
        <v>2</v>
      </c>
      <c r="N5430" t="str">
        <f t="shared" si="168"/>
        <v>2. 1-24 hours</v>
      </c>
      <c r="O5430" t="str">
        <f t="shared" si="169"/>
        <v>2026-04</v>
      </c>
    </row>
    <row r="5431" spans="1:15" x14ac:dyDescent="0.3">
      <c r="A5431" t="s">
        <v>12776</v>
      </c>
      <c r="B5431" t="s">
        <v>12777</v>
      </c>
      <c r="C5431" t="s">
        <v>76</v>
      </c>
      <c r="D5431" t="s">
        <v>77</v>
      </c>
      <c r="E5431" t="s">
        <v>45</v>
      </c>
      <c r="F5431" t="s">
        <v>55</v>
      </c>
      <c r="G5431">
        <v>1.26</v>
      </c>
      <c r="H5431" t="s">
        <v>138</v>
      </c>
      <c r="I5431" t="s">
        <v>48</v>
      </c>
      <c r="J5431" t="s">
        <v>98</v>
      </c>
      <c r="K5431">
        <v>1021.23</v>
      </c>
      <c r="L5431" t="s">
        <v>12778</v>
      </c>
      <c r="M5431">
        <f>VLOOKUP(H5431,'Stage Order'!$A$2:$B$8,2,FALSE)</f>
        <v>6</v>
      </c>
      <c r="N5431" t="str">
        <f t="shared" si="168"/>
        <v>2. 1-24 hours</v>
      </c>
      <c r="O5431" t="str">
        <f t="shared" si="169"/>
        <v>2025-07</v>
      </c>
    </row>
    <row r="5432" spans="1:15" x14ac:dyDescent="0.3">
      <c r="A5432" t="s">
        <v>12779</v>
      </c>
      <c r="B5432" t="s">
        <v>12780</v>
      </c>
      <c r="C5432" t="s">
        <v>53</v>
      </c>
      <c r="D5432" t="s">
        <v>54</v>
      </c>
      <c r="E5432" t="s">
        <v>59</v>
      </c>
      <c r="F5432" t="s">
        <v>117</v>
      </c>
      <c r="G5432">
        <v>1.31</v>
      </c>
      <c r="H5432" t="s">
        <v>32</v>
      </c>
      <c r="I5432" t="s">
        <v>33</v>
      </c>
      <c r="K5432">
        <v>580.79</v>
      </c>
      <c r="L5432" t="s">
        <v>12781</v>
      </c>
      <c r="M5432">
        <f>VLOOKUP(H5432,'Stage Order'!$A$2:$B$8,2,FALSE)</f>
        <v>7</v>
      </c>
      <c r="N5432" t="str">
        <f t="shared" si="168"/>
        <v>2. 1-24 hours</v>
      </c>
      <c r="O5432" t="str">
        <f t="shared" si="169"/>
        <v>2025-05</v>
      </c>
    </row>
    <row r="5433" spans="1:15" x14ac:dyDescent="0.3">
      <c r="A5433" t="s">
        <v>12782</v>
      </c>
      <c r="B5433" t="s">
        <v>12783</v>
      </c>
      <c r="C5433" t="s">
        <v>76</v>
      </c>
      <c r="D5433" t="s">
        <v>77</v>
      </c>
      <c r="E5433" t="s">
        <v>45</v>
      </c>
      <c r="F5433" t="s">
        <v>94</v>
      </c>
      <c r="G5433">
        <v>4.2</v>
      </c>
      <c r="H5433" t="s">
        <v>41</v>
      </c>
      <c r="I5433" t="s">
        <v>42</v>
      </c>
      <c r="M5433">
        <f>VLOOKUP(H5433,'Stage Order'!$A$2:$B$8,2,FALSE)</f>
        <v>2</v>
      </c>
      <c r="N5433" t="str">
        <f t="shared" si="168"/>
        <v>2. 1-24 hours</v>
      </c>
      <c r="O5433" t="str">
        <f t="shared" si="169"/>
        <v>2025-12</v>
      </c>
    </row>
    <row r="5434" spans="1:15" x14ac:dyDescent="0.3">
      <c r="A5434" t="s">
        <v>12784</v>
      </c>
      <c r="B5434" t="s">
        <v>12785</v>
      </c>
      <c r="C5434" t="s">
        <v>58</v>
      </c>
      <c r="D5434" t="s">
        <v>29</v>
      </c>
      <c r="E5434" t="s">
        <v>45</v>
      </c>
      <c r="F5434" t="s">
        <v>55</v>
      </c>
      <c r="G5434">
        <v>6.17</v>
      </c>
      <c r="H5434" t="s">
        <v>41</v>
      </c>
      <c r="I5434" t="s">
        <v>42</v>
      </c>
      <c r="M5434">
        <f>VLOOKUP(H5434,'Stage Order'!$A$2:$B$8,2,FALSE)</f>
        <v>2</v>
      </c>
      <c r="N5434" t="str">
        <f t="shared" si="168"/>
        <v>2. 1-24 hours</v>
      </c>
      <c r="O5434" t="str">
        <f t="shared" si="169"/>
        <v>2026-06</v>
      </c>
    </row>
    <row r="5435" spans="1:15" x14ac:dyDescent="0.3">
      <c r="A5435" t="s">
        <v>12786</v>
      </c>
      <c r="B5435" t="s">
        <v>12787</v>
      </c>
      <c r="C5435" t="s">
        <v>81</v>
      </c>
      <c r="D5435" t="s">
        <v>54</v>
      </c>
      <c r="E5435" t="s">
        <v>30</v>
      </c>
      <c r="F5435" t="s">
        <v>31</v>
      </c>
      <c r="G5435">
        <v>2.61</v>
      </c>
      <c r="H5435" t="s">
        <v>41</v>
      </c>
      <c r="I5435" t="s">
        <v>42</v>
      </c>
      <c r="M5435">
        <f>VLOOKUP(H5435,'Stage Order'!$A$2:$B$8,2,FALSE)</f>
        <v>2</v>
      </c>
      <c r="N5435" t="str">
        <f t="shared" si="168"/>
        <v>2. 1-24 hours</v>
      </c>
      <c r="O5435" t="str">
        <f t="shared" si="169"/>
        <v>2026-05</v>
      </c>
    </row>
    <row r="5436" spans="1:15" x14ac:dyDescent="0.3">
      <c r="A5436" t="s">
        <v>12788</v>
      </c>
      <c r="B5436" t="s">
        <v>12789</v>
      </c>
      <c r="C5436" t="s">
        <v>58</v>
      </c>
      <c r="D5436" t="s">
        <v>29</v>
      </c>
      <c r="E5436" t="s">
        <v>59</v>
      </c>
      <c r="F5436" t="s">
        <v>137</v>
      </c>
      <c r="G5436">
        <v>9.11</v>
      </c>
      <c r="H5436" t="s">
        <v>146</v>
      </c>
      <c r="I5436" t="s">
        <v>48</v>
      </c>
      <c r="J5436" t="s">
        <v>139</v>
      </c>
      <c r="K5436">
        <v>698.84</v>
      </c>
      <c r="L5436" t="s">
        <v>12790</v>
      </c>
      <c r="M5436">
        <f>VLOOKUP(H5436,'Stage Order'!$A$2:$B$8,2,FALSE)</f>
        <v>5</v>
      </c>
      <c r="N5436" t="str">
        <f t="shared" si="168"/>
        <v>2. 1-24 hours</v>
      </c>
      <c r="O5436" t="str">
        <f t="shared" si="169"/>
        <v>2025-09</v>
      </c>
    </row>
    <row r="5437" spans="1:15" x14ac:dyDescent="0.3">
      <c r="A5437" t="s">
        <v>12791</v>
      </c>
      <c r="B5437" t="s">
        <v>12792</v>
      </c>
      <c r="C5437" t="s">
        <v>37</v>
      </c>
      <c r="D5437" t="s">
        <v>38</v>
      </c>
      <c r="E5437" t="s">
        <v>45</v>
      </c>
      <c r="F5437" t="s">
        <v>46</v>
      </c>
      <c r="G5437">
        <v>7.68</v>
      </c>
      <c r="H5437" t="s">
        <v>146</v>
      </c>
      <c r="I5437" t="s">
        <v>48</v>
      </c>
      <c r="J5437" t="s">
        <v>742</v>
      </c>
      <c r="K5437">
        <v>327.91</v>
      </c>
      <c r="L5437" t="s">
        <v>12793</v>
      </c>
      <c r="M5437">
        <f>VLOOKUP(H5437,'Stage Order'!$A$2:$B$8,2,FALSE)</f>
        <v>5</v>
      </c>
      <c r="N5437" t="str">
        <f t="shared" si="168"/>
        <v>2. 1-24 hours</v>
      </c>
      <c r="O5437" t="str">
        <f t="shared" si="169"/>
        <v>2026-04</v>
      </c>
    </row>
    <row r="5438" spans="1:15" x14ac:dyDescent="0.3">
      <c r="A5438" t="s">
        <v>12794</v>
      </c>
      <c r="B5438" t="s">
        <v>12795</v>
      </c>
      <c r="C5438" t="s">
        <v>125</v>
      </c>
      <c r="D5438" t="s">
        <v>77</v>
      </c>
      <c r="E5438" t="s">
        <v>39</v>
      </c>
      <c r="F5438" t="s">
        <v>40</v>
      </c>
      <c r="G5438">
        <v>0.76</v>
      </c>
      <c r="H5438" t="s">
        <v>146</v>
      </c>
      <c r="I5438" t="s">
        <v>48</v>
      </c>
      <c r="J5438" t="s">
        <v>113</v>
      </c>
      <c r="K5438">
        <v>1066.43</v>
      </c>
      <c r="L5438" t="s">
        <v>12796</v>
      </c>
      <c r="M5438">
        <f>VLOOKUP(H5438,'Stage Order'!$A$2:$B$8,2,FALSE)</f>
        <v>5</v>
      </c>
      <c r="N5438" t="str">
        <f t="shared" si="168"/>
        <v>1. Under 1 hour</v>
      </c>
      <c r="O5438" t="str">
        <f t="shared" si="169"/>
        <v>2026-01</v>
      </c>
    </row>
    <row r="5439" spans="1:15" x14ac:dyDescent="0.3">
      <c r="A5439" t="s">
        <v>12797</v>
      </c>
      <c r="B5439" t="s">
        <v>12798</v>
      </c>
      <c r="C5439" t="s">
        <v>53</v>
      </c>
      <c r="D5439" t="s">
        <v>77</v>
      </c>
      <c r="E5439" t="s">
        <v>45</v>
      </c>
      <c r="F5439" t="s">
        <v>46</v>
      </c>
      <c r="G5439">
        <v>0.16</v>
      </c>
      <c r="H5439" t="s">
        <v>32</v>
      </c>
      <c r="I5439" t="s">
        <v>33</v>
      </c>
      <c r="K5439">
        <v>959.28</v>
      </c>
      <c r="L5439" t="s">
        <v>12799</v>
      </c>
      <c r="M5439">
        <f>VLOOKUP(H5439,'Stage Order'!$A$2:$B$8,2,FALSE)</f>
        <v>7</v>
      </c>
      <c r="N5439" t="str">
        <f t="shared" si="168"/>
        <v>1. Under 1 hour</v>
      </c>
      <c r="O5439" t="str">
        <f t="shared" si="169"/>
        <v>2026-02</v>
      </c>
    </row>
    <row r="5440" spans="1:15" x14ac:dyDescent="0.3">
      <c r="A5440" t="s">
        <v>12800</v>
      </c>
      <c r="B5440" t="s">
        <v>12801</v>
      </c>
      <c r="C5440" t="s">
        <v>58</v>
      </c>
      <c r="D5440" t="s">
        <v>77</v>
      </c>
      <c r="E5440" t="s">
        <v>45</v>
      </c>
      <c r="F5440" t="s">
        <v>94</v>
      </c>
      <c r="G5440">
        <v>3.96</v>
      </c>
      <c r="H5440" t="s">
        <v>41</v>
      </c>
      <c r="I5440" t="s">
        <v>42</v>
      </c>
      <c r="M5440">
        <f>VLOOKUP(H5440,'Stage Order'!$A$2:$B$8,2,FALSE)</f>
        <v>2</v>
      </c>
      <c r="N5440" t="str">
        <f t="shared" si="168"/>
        <v>2. 1-24 hours</v>
      </c>
      <c r="O5440" t="str">
        <f t="shared" si="169"/>
        <v>2026-06</v>
      </c>
    </row>
    <row r="5441" spans="1:15" x14ac:dyDescent="0.3">
      <c r="A5441" t="s">
        <v>12802</v>
      </c>
      <c r="B5441" t="s">
        <v>12803</v>
      </c>
      <c r="C5441" t="s">
        <v>125</v>
      </c>
      <c r="D5441" t="s">
        <v>77</v>
      </c>
      <c r="E5441" t="s">
        <v>45</v>
      </c>
      <c r="F5441" t="s">
        <v>46</v>
      </c>
      <c r="G5441">
        <v>4.57</v>
      </c>
      <c r="H5441" t="s">
        <v>41</v>
      </c>
      <c r="I5441" t="s">
        <v>42</v>
      </c>
      <c r="M5441">
        <f>VLOOKUP(H5441,'Stage Order'!$A$2:$B$8,2,FALSE)</f>
        <v>2</v>
      </c>
      <c r="N5441" t="str">
        <f t="shared" si="168"/>
        <v>2. 1-24 hours</v>
      </c>
      <c r="O5441" t="str">
        <f t="shared" si="169"/>
        <v>2025-12</v>
      </c>
    </row>
    <row r="5442" spans="1:15" x14ac:dyDescent="0.3">
      <c r="A5442" t="s">
        <v>12804</v>
      </c>
      <c r="B5442" t="s">
        <v>12805</v>
      </c>
      <c r="C5442" t="s">
        <v>76</v>
      </c>
      <c r="D5442" t="s">
        <v>38</v>
      </c>
      <c r="E5442" t="s">
        <v>90</v>
      </c>
      <c r="F5442" t="s">
        <v>112</v>
      </c>
      <c r="G5442">
        <v>1.5</v>
      </c>
      <c r="H5442" t="s">
        <v>41</v>
      </c>
      <c r="I5442" t="s">
        <v>42</v>
      </c>
      <c r="M5442">
        <f>VLOOKUP(H5442,'Stage Order'!$A$2:$B$8,2,FALSE)</f>
        <v>2</v>
      </c>
      <c r="N5442" t="str">
        <f t="shared" ref="N5442:N5505" si="170">IF(G5442&lt;=1,"1. Under 1 hour",IF(G5442&lt;=24,"2. 1-24 hours",IF(G5442&lt;=72,"3. 1-3 days","4. Over 3 days")))</f>
        <v>2. 1-24 hours</v>
      </c>
      <c r="O5442" t="str">
        <f t="shared" ref="O5442:O5505" si="171">TEXT(B5442,"YYYY-MM")</f>
        <v>2026-04</v>
      </c>
    </row>
    <row r="5443" spans="1:15" x14ac:dyDescent="0.3">
      <c r="A5443" t="s">
        <v>12806</v>
      </c>
      <c r="B5443" t="s">
        <v>12807</v>
      </c>
      <c r="C5443" t="s">
        <v>58</v>
      </c>
      <c r="D5443" t="s">
        <v>38</v>
      </c>
      <c r="E5443" t="s">
        <v>45</v>
      </c>
      <c r="F5443" t="s">
        <v>55</v>
      </c>
      <c r="G5443">
        <v>10.210000000000001</v>
      </c>
      <c r="H5443" t="s">
        <v>41</v>
      </c>
      <c r="I5443" t="s">
        <v>42</v>
      </c>
      <c r="M5443">
        <f>VLOOKUP(H5443,'Stage Order'!$A$2:$B$8,2,FALSE)</f>
        <v>2</v>
      </c>
      <c r="N5443" t="str">
        <f t="shared" si="170"/>
        <v>2. 1-24 hours</v>
      </c>
      <c r="O5443" t="str">
        <f t="shared" si="171"/>
        <v>2025-08</v>
      </c>
    </row>
    <row r="5444" spans="1:15" x14ac:dyDescent="0.3">
      <c r="A5444" t="s">
        <v>12808</v>
      </c>
      <c r="B5444" t="s">
        <v>12809</v>
      </c>
      <c r="C5444" t="s">
        <v>37</v>
      </c>
      <c r="D5444" t="s">
        <v>29</v>
      </c>
      <c r="E5444" t="s">
        <v>39</v>
      </c>
      <c r="F5444" t="s">
        <v>66</v>
      </c>
      <c r="G5444">
        <v>6.68</v>
      </c>
      <c r="H5444" t="s">
        <v>41</v>
      </c>
      <c r="I5444" t="s">
        <v>42</v>
      </c>
      <c r="M5444">
        <f>VLOOKUP(H5444,'Stage Order'!$A$2:$B$8,2,FALSE)</f>
        <v>2</v>
      </c>
      <c r="N5444" t="str">
        <f t="shared" si="170"/>
        <v>2. 1-24 hours</v>
      </c>
      <c r="O5444" t="str">
        <f t="shared" si="171"/>
        <v>2026-06</v>
      </c>
    </row>
    <row r="5445" spans="1:15" x14ac:dyDescent="0.3">
      <c r="A5445" t="s">
        <v>12810</v>
      </c>
      <c r="B5445" t="s">
        <v>12811</v>
      </c>
      <c r="C5445" t="s">
        <v>37</v>
      </c>
      <c r="D5445" t="s">
        <v>77</v>
      </c>
      <c r="E5445" t="s">
        <v>39</v>
      </c>
      <c r="F5445" t="s">
        <v>40</v>
      </c>
      <c r="G5445">
        <v>1.76</v>
      </c>
      <c r="H5445" t="s">
        <v>41</v>
      </c>
      <c r="I5445" t="s">
        <v>42</v>
      </c>
      <c r="M5445">
        <f>VLOOKUP(H5445,'Stage Order'!$A$2:$B$8,2,FALSE)</f>
        <v>2</v>
      </c>
      <c r="N5445" t="str">
        <f t="shared" si="170"/>
        <v>2. 1-24 hours</v>
      </c>
      <c r="O5445" t="str">
        <f t="shared" si="171"/>
        <v>2025-05</v>
      </c>
    </row>
    <row r="5446" spans="1:15" x14ac:dyDescent="0.3">
      <c r="A5446" t="s">
        <v>12812</v>
      </c>
      <c r="B5446" t="s">
        <v>12813</v>
      </c>
      <c r="C5446" t="s">
        <v>28</v>
      </c>
      <c r="D5446" t="s">
        <v>38</v>
      </c>
      <c r="E5446" t="s">
        <v>59</v>
      </c>
      <c r="F5446" t="s">
        <v>137</v>
      </c>
      <c r="G5446">
        <v>1.77</v>
      </c>
      <c r="H5446" t="s">
        <v>41</v>
      </c>
      <c r="I5446" t="s">
        <v>42</v>
      </c>
      <c r="M5446">
        <f>VLOOKUP(H5446,'Stage Order'!$A$2:$B$8,2,FALSE)</f>
        <v>2</v>
      </c>
      <c r="N5446" t="str">
        <f t="shared" si="170"/>
        <v>2. 1-24 hours</v>
      </c>
      <c r="O5446" t="str">
        <f t="shared" si="171"/>
        <v>2026-06</v>
      </c>
    </row>
    <row r="5447" spans="1:15" x14ac:dyDescent="0.3">
      <c r="A5447" t="s">
        <v>12814</v>
      </c>
      <c r="B5447" t="s">
        <v>12815</v>
      </c>
      <c r="C5447" t="s">
        <v>58</v>
      </c>
      <c r="D5447" t="s">
        <v>29</v>
      </c>
      <c r="E5447" t="s">
        <v>59</v>
      </c>
      <c r="F5447" t="s">
        <v>60</v>
      </c>
      <c r="G5447">
        <v>3.59</v>
      </c>
      <c r="H5447" t="s">
        <v>146</v>
      </c>
      <c r="I5447" t="s">
        <v>48</v>
      </c>
      <c r="J5447" t="s">
        <v>139</v>
      </c>
      <c r="K5447">
        <v>560.66</v>
      </c>
      <c r="L5447" t="s">
        <v>12816</v>
      </c>
      <c r="M5447">
        <f>VLOOKUP(H5447,'Stage Order'!$A$2:$B$8,2,FALSE)</f>
        <v>5</v>
      </c>
      <c r="N5447" t="str">
        <f t="shared" si="170"/>
        <v>2. 1-24 hours</v>
      </c>
      <c r="O5447" t="str">
        <f t="shared" si="171"/>
        <v>2026-06</v>
      </c>
    </row>
    <row r="5448" spans="1:15" x14ac:dyDescent="0.3">
      <c r="A5448" t="s">
        <v>12817</v>
      </c>
      <c r="B5448" t="s">
        <v>12818</v>
      </c>
      <c r="C5448" t="s">
        <v>58</v>
      </c>
      <c r="D5448" t="s">
        <v>77</v>
      </c>
      <c r="E5448" t="s">
        <v>30</v>
      </c>
      <c r="F5448" t="s">
        <v>31</v>
      </c>
      <c r="G5448">
        <v>1.18</v>
      </c>
      <c r="H5448" t="s">
        <v>41</v>
      </c>
      <c r="I5448" t="s">
        <v>42</v>
      </c>
      <c r="M5448">
        <f>VLOOKUP(H5448,'Stage Order'!$A$2:$B$8,2,FALSE)</f>
        <v>2</v>
      </c>
      <c r="N5448" t="str">
        <f t="shared" si="170"/>
        <v>2. 1-24 hours</v>
      </c>
      <c r="O5448" t="str">
        <f t="shared" si="171"/>
        <v>2026-01</v>
      </c>
    </row>
    <row r="5449" spans="1:15" x14ac:dyDescent="0.3">
      <c r="A5449" t="s">
        <v>12819</v>
      </c>
      <c r="B5449" t="s">
        <v>12820</v>
      </c>
      <c r="C5449" t="s">
        <v>37</v>
      </c>
      <c r="D5449" t="s">
        <v>97</v>
      </c>
      <c r="E5449" t="s">
        <v>39</v>
      </c>
      <c r="F5449" t="s">
        <v>106</v>
      </c>
      <c r="G5449">
        <v>2.5299999999999998</v>
      </c>
      <c r="H5449" t="s">
        <v>138</v>
      </c>
      <c r="I5449" t="s">
        <v>48</v>
      </c>
      <c r="J5449" t="s">
        <v>139</v>
      </c>
      <c r="K5449">
        <v>1472.86</v>
      </c>
      <c r="L5449" t="s">
        <v>12821</v>
      </c>
      <c r="M5449">
        <f>VLOOKUP(H5449,'Stage Order'!$A$2:$B$8,2,FALSE)</f>
        <v>6</v>
      </c>
      <c r="N5449" t="str">
        <f t="shared" si="170"/>
        <v>2. 1-24 hours</v>
      </c>
      <c r="O5449" t="str">
        <f t="shared" si="171"/>
        <v>2025-11</v>
      </c>
    </row>
    <row r="5450" spans="1:15" x14ac:dyDescent="0.3">
      <c r="A5450" t="s">
        <v>12822</v>
      </c>
      <c r="B5450" t="s">
        <v>12823</v>
      </c>
      <c r="C5450" t="s">
        <v>53</v>
      </c>
      <c r="D5450" t="s">
        <v>54</v>
      </c>
      <c r="E5450" t="s">
        <v>39</v>
      </c>
      <c r="F5450" t="s">
        <v>106</v>
      </c>
      <c r="G5450">
        <v>2.88</v>
      </c>
      <c r="H5450" t="s">
        <v>61</v>
      </c>
      <c r="I5450" t="s">
        <v>42</v>
      </c>
      <c r="M5450">
        <f>VLOOKUP(H5450,'Stage Order'!$A$2:$B$8,2,FALSE)</f>
        <v>1</v>
      </c>
      <c r="N5450" t="str">
        <f t="shared" si="170"/>
        <v>2. 1-24 hours</v>
      </c>
      <c r="O5450" t="str">
        <f t="shared" si="171"/>
        <v>2026-04</v>
      </c>
    </row>
    <row r="5451" spans="1:15" x14ac:dyDescent="0.3">
      <c r="A5451" t="s">
        <v>12824</v>
      </c>
      <c r="B5451" t="s">
        <v>2139</v>
      </c>
      <c r="C5451" t="s">
        <v>125</v>
      </c>
      <c r="D5451" t="s">
        <v>29</v>
      </c>
      <c r="E5451" t="s">
        <v>90</v>
      </c>
      <c r="F5451" t="s">
        <v>145</v>
      </c>
      <c r="G5451">
        <v>0.66</v>
      </c>
      <c r="H5451" t="s">
        <v>61</v>
      </c>
      <c r="I5451" t="s">
        <v>42</v>
      </c>
      <c r="M5451">
        <f>VLOOKUP(H5451,'Stage Order'!$A$2:$B$8,2,FALSE)</f>
        <v>1</v>
      </c>
      <c r="N5451" t="str">
        <f t="shared" si="170"/>
        <v>1. Under 1 hour</v>
      </c>
      <c r="O5451" t="str">
        <f t="shared" si="171"/>
        <v>2025-02</v>
      </c>
    </row>
    <row r="5452" spans="1:15" x14ac:dyDescent="0.3">
      <c r="A5452" t="s">
        <v>12825</v>
      </c>
      <c r="B5452" t="s">
        <v>12826</v>
      </c>
      <c r="C5452" t="s">
        <v>58</v>
      </c>
      <c r="D5452" t="s">
        <v>29</v>
      </c>
      <c r="E5452" t="s">
        <v>45</v>
      </c>
      <c r="F5452" t="s">
        <v>46</v>
      </c>
      <c r="G5452">
        <v>1.48</v>
      </c>
      <c r="H5452" t="s">
        <v>32</v>
      </c>
      <c r="I5452" t="s">
        <v>33</v>
      </c>
      <c r="K5452">
        <v>595.32000000000005</v>
      </c>
      <c r="L5452" t="s">
        <v>12827</v>
      </c>
      <c r="M5452">
        <f>VLOOKUP(H5452,'Stage Order'!$A$2:$B$8,2,FALSE)</f>
        <v>7</v>
      </c>
      <c r="N5452" t="str">
        <f t="shared" si="170"/>
        <v>2. 1-24 hours</v>
      </c>
      <c r="O5452" t="str">
        <f t="shared" si="171"/>
        <v>2026-02</v>
      </c>
    </row>
    <row r="5453" spans="1:15" x14ac:dyDescent="0.3">
      <c r="A5453" t="s">
        <v>12828</v>
      </c>
      <c r="B5453" t="s">
        <v>12829</v>
      </c>
      <c r="C5453" t="s">
        <v>28</v>
      </c>
      <c r="D5453" t="s">
        <v>54</v>
      </c>
      <c r="E5453" t="s">
        <v>39</v>
      </c>
      <c r="F5453" t="s">
        <v>40</v>
      </c>
      <c r="G5453">
        <v>0.83</v>
      </c>
      <c r="H5453" t="s">
        <v>41</v>
      </c>
      <c r="I5453" t="s">
        <v>42</v>
      </c>
      <c r="M5453">
        <f>VLOOKUP(H5453,'Stage Order'!$A$2:$B$8,2,FALSE)</f>
        <v>2</v>
      </c>
      <c r="N5453" t="str">
        <f t="shared" si="170"/>
        <v>1. Under 1 hour</v>
      </c>
      <c r="O5453" t="str">
        <f t="shared" si="171"/>
        <v>2025-12</v>
      </c>
    </row>
    <row r="5454" spans="1:15" x14ac:dyDescent="0.3">
      <c r="A5454" t="s">
        <v>12830</v>
      </c>
      <c r="B5454" t="s">
        <v>12831</v>
      </c>
      <c r="C5454" t="s">
        <v>28</v>
      </c>
      <c r="D5454" t="s">
        <v>29</v>
      </c>
      <c r="E5454" t="s">
        <v>90</v>
      </c>
      <c r="F5454" t="s">
        <v>91</v>
      </c>
      <c r="G5454">
        <v>1.1200000000000001</v>
      </c>
      <c r="H5454" t="s">
        <v>47</v>
      </c>
      <c r="I5454" t="s">
        <v>48</v>
      </c>
      <c r="J5454" t="s">
        <v>113</v>
      </c>
      <c r="K5454">
        <v>570.41999999999996</v>
      </c>
      <c r="L5454" t="s">
        <v>12832</v>
      </c>
      <c r="M5454">
        <f>VLOOKUP(H5454,'Stage Order'!$A$2:$B$8,2,FALSE)</f>
        <v>4</v>
      </c>
      <c r="N5454" t="str">
        <f t="shared" si="170"/>
        <v>2. 1-24 hours</v>
      </c>
      <c r="O5454" t="str">
        <f t="shared" si="171"/>
        <v>2025-02</v>
      </c>
    </row>
    <row r="5455" spans="1:15" x14ac:dyDescent="0.3">
      <c r="A5455" t="s">
        <v>12833</v>
      </c>
      <c r="B5455" t="s">
        <v>12834</v>
      </c>
      <c r="C5455" t="s">
        <v>125</v>
      </c>
      <c r="D5455" t="s">
        <v>54</v>
      </c>
      <c r="E5455" t="s">
        <v>45</v>
      </c>
      <c r="F5455" t="s">
        <v>94</v>
      </c>
      <c r="G5455">
        <v>1.31</v>
      </c>
      <c r="H5455" t="s">
        <v>41</v>
      </c>
      <c r="I5455" t="s">
        <v>42</v>
      </c>
      <c r="M5455">
        <f>VLOOKUP(H5455,'Stage Order'!$A$2:$B$8,2,FALSE)</f>
        <v>2</v>
      </c>
      <c r="N5455" t="str">
        <f t="shared" si="170"/>
        <v>2. 1-24 hours</v>
      </c>
      <c r="O5455" t="str">
        <f t="shared" si="171"/>
        <v>2026-02</v>
      </c>
    </row>
    <row r="5456" spans="1:15" x14ac:dyDescent="0.3">
      <c r="A5456" t="s">
        <v>12835</v>
      </c>
      <c r="B5456" t="s">
        <v>12836</v>
      </c>
      <c r="C5456" t="s">
        <v>58</v>
      </c>
      <c r="D5456" t="s">
        <v>97</v>
      </c>
      <c r="E5456" t="s">
        <v>90</v>
      </c>
      <c r="F5456" t="s">
        <v>145</v>
      </c>
      <c r="G5456">
        <v>1</v>
      </c>
      <c r="H5456" t="s">
        <v>41</v>
      </c>
      <c r="I5456" t="s">
        <v>42</v>
      </c>
      <c r="M5456">
        <f>VLOOKUP(H5456,'Stage Order'!$A$2:$B$8,2,FALSE)</f>
        <v>2</v>
      </c>
      <c r="N5456" t="str">
        <f t="shared" si="170"/>
        <v>1. Under 1 hour</v>
      </c>
      <c r="O5456" t="str">
        <f t="shared" si="171"/>
        <v>2026-06</v>
      </c>
    </row>
    <row r="5457" spans="1:15" x14ac:dyDescent="0.3">
      <c r="A5457" t="s">
        <v>12837</v>
      </c>
      <c r="B5457" t="s">
        <v>12838</v>
      </c>
      <c r="C5457" t="s">
        <v>58</v>
      </c>
      <c r="D5457" t="s">
        <v>38</v>
      </c>
      <c r="E5457" t="s">
        <v>39</v>
      </c>
      <c r="F5457" t="s">
        <v>66</v>
      </c>
      <c r="G5457">
        <v>6.16</v>
      </c>
      <c r="H5457" t="s">
        <v>61</v>
      </c>
      <c r="I5457" t="s">
        <v>42</v>
      </c>
      <c r="M5457">
        <f>VLOOKUP(H5457,'Stage Order'!$A$2:$B$8,2,FALSE)</f>
        <v>1</v>
      </c>
      <c r="N5457" t="str">
        <f t="shared" si="170"/>
        <v>2. 1-24 hours</v>
      </c>
      <c r="O5457" t="str">
        <f t="shared" si="171"/>
        <v>2025-05</v>
      </c>
    </row>
    <row r="5458" spans="1:15" x14ac:dyDescent="0.3">
      <c r="A5458" t="s">
        <v>12839</v>
      </c>
      <c r="B5458" t="s">
        <v>12840</v>
      </c>
      <c r="C5458" t="s">
        <v>125</v>
      </c>
      <c r="D5458" t="s">
        <v>54</v>
      </c>
      <c r="E5458" t="s">
        <v>59</v>
      </c>
      <c r="F5458" t="s">
        <v>60</v>
      </c>
      <c r="G5458">
        <v>1.81</v>
      </c>
      <c r="H5458" t="s">
        <v>41</v>
      </c>
      <c r="I5458" t="s">
        <v>42</v>
      </c>
      <c r="M5458">
        <f>VLOOKUP(H5458,'Stage Order'!$A$2:$B$8,2,FALSE)</f>
        <v>2</v>
      </c>
      <c r="N5458" t="str">
        <f t="shared" si="170"/>
        <v>2. 1-24 hours</v>
      </c>
      <c r="O5458" t="str">
        <f t="shared" si="171"/>
        <v>2025-05</v>
      </c>
    </row>
    <row r="5459" spans="1:15" x14ac:dyDescent="0.3">
      <c r="A5459" t="s">
        <v>12841</v>
      </c>
      <c r="B5459" t="s">
        <v>12842</v>
      </c>
      <c r="C5459" t="s">
        <v>37</v>
      </c>
      <c r="D5459" t="s">
        <v>54</v>
      </c>
      <c r="E5459" t="s">
        <v>45</v>
      </c>
      <c r="F5459" t="s">
        <v>55</v>
      </c>
      <c r="G5459">
        <v>1.54</v>
      </c>
      <c r="H5459" t="s">
        <v>47</v>
      </c>
      <c r="I5459" t="s">
        <v>48</v>
      </c>
      <c r="J5459" t="s">
        <v>113</v>
      </c>
      <c r="K5459">
        <v>462.17</v>
      </c>
      <c r="L5459" t="s">
        <v>12843</v>
      </c>
      <c r="M5459">
        <f>VLOOKUP(H5459,'Stage Order'!$A$2:$B$8,2,FALSE)</f>
        <v>4</v>
      </c>
      <c r="N5459" t="str">
        <f t="shared" si="170"/>
        <v>2. 1-24 hours</v>
      </c>
      <c r="O5459" t="str">
        <f t="shared" si="171"/>
        <v>2025-07</v>
      </c>
    </row>
    <row r="5460" spans="1:15" x14ac:dyDescent="0.3">
      <c r="A5460" t="s">
        <v>12844</v>
      </c>
      <c r="B5460" t="s">
        <v>12845</v>
      </c>
      <c r="C5460" t="s">
        <v>58</v>
      </c>
      <c r="D5460" t="s">
        <v>54</v>
      </c>
      <c r="E5460" t="s">
        <v>45</v>
      </c>
      <c r="F5460" t="s">
        <v>46</v>
      </c>
      <c r="G5460">
        <v>1.19</v>
      </c>
      <c r="H5460" t="s">
        <v>32</v>
      </c>
      <c r="I5460" t="s">
        <v>33</v>
      </c>
      <c r="K5460">
        <v>442.74</v>
      </c>
      <c r="L5460" t="s">
        <v>12846</v>
      </c>
      <c r="M5460">
        <f>VLOOKUP(H5460,'Stage Order'!$A$2:$B$8,2,FALSE)</f>
        <v>7</v>
      </c>
      <c r="N5460" t="str">
        <f t="shared" si="170"/>
        <v>2. 1-24 hours</v>
      </c>
      <c r="O5460" t="str">
        <f t="shared" si="171"/>
        <v>2025-11</v>
      </c>
    </row>
    <row r="5461" spans="1:15" x14ac:dyDescent="0.3">
      <c r="A5461" t="s">
        <v>12847</v>
      </c>
      <c r="B5461" t="s">
        <v>12848</v>
      </c>
      <c r="C5461" t="s">
        <v>37</v>
      </c>
      <c r="D5461" t="s">
        <v>29</v>
      </c>
      <c r="E5461" t="s">
        <v>45</v>
      </c>
      <c r="F5461" t="s">
        <v>94</v>
      </c>
      <c r="G5461">
        <v>0.82</v>
      </c>
      <c r="H5461" t="s">
        <v>41</v>
      </c>
      <c r="I5461" t="s">
        <v>42</v>
      </c>
      <c r="M5461">
        <f>VLOOKUP(H5461,'Stage Order'!$A$2:$B$8,2,FALSE)</f>
        <v>2</v>
      </c>
      <c r="N5461" t="str">
        <f t="shared" si="170"/>
        <v>1. Under 1 hour</v>
      </c>
      <c r="O5461" t="str">
        <f t="shared" si="171"/>
        <v>2025-03</v>
      </c>
    </row>
    <row r="5462" spans="1:15" x14ac:dyDescent="0.3">
      <c r="A5462" t="s">
        <v>12849</v>
      </c>
      <c r="B5462" t="s">
        <v>12850</v>
      </c>
      <c r="C5462" t="s">
        <v>76</v>
      </c>
      <c r="D5462" t="s">
        <v>54</v>
      </c>
      <c r="E5462" t="s">
        <v>59</v>
      </c>
      <c r="F5462" t="s">
        <v>137</v>
      </c>
      <c r="G5462">
        <v>7.45</v>
      </c>
      <c r="H5462" t="s">
        <v>47</v>
      </c>
      <c r="I5462" t="s">
        <v>48</v>
      </c>
      <c r="J5462" t="s">
        <v>139</v>
      </c>
      <c r="K5462">
        <v>555.75</v>
      </c>
      <c r="L5462" t="s">
        <v>12851</v>
      </c>
      <c r="M5462">
        <f>VLOOKUP(H5462,'Stage Order'!$A$2:$B$8,2,FALSE)</f>
        <v>4</v>
      </c>
      <c r="N5462" t="str">
        <f t="shared" si="170"/>
        <v>2. 1-24 hours</v>
      </c>
      <c r="O5462" t="str">
        <f t="shared" si="171"/>
        <v>2025-07</v>
      </c>
    </row>
    <row r="5463" spans="1:15" x14ac:dyDescent="0.3">
      <c r="A5463" t="s">
        <v>12852</v>
      </c>
      <c r="B5463" t="s">
        <v>12853</v>
      </c>
      <c r="C5463" t="s">
        <v>58</v>
      </c>
      <c r="D5463" t="s">
        <v>38</v>
      </c>
      <c r="E5463" t="s">
        <v>30</v>
      </c>
      <c r="F5463" t="s">
        <v>78</v>
      </c>
      <c r="G5463">
        <v>4.3600000000000003</v>
      </c>
      <c r="H5463" t="s">
        <v>146</v>
      </c>
      <c r="I5463" t="s">
        <v>48</v>
      </c>
      <c r="J5463" t="s">
        <v>742</v>
      </c>
      <c r="K5463">
        <v>374.16</v>
      </c>
      <c r="L5463" t="s">
        <v>12854</v>
      </c>
      <c r="M5463">
        <f>VLOOKUP(H5463,'Stage Order'!$A$2:$B$8,2,FALSE)</f>
        <v>5</v>
      </c>
      <c r="N5463" t="str">
        <f t="shared" si="170"/>
        <v>2. 1-24 hours</v>
      </c>
      <c r="O5463" t="str">
        <f t="shared" si="171"/>
        <v>2025-06</v>
      </c>
    </row>
    <row r="5464" spans="1:15" x14ac:dyDescent="0.3">
      <c r="A5464" t="s">
        <v>12855</v>
      </c>
      <c r="B5464" t="s">
        <v>12856</v>
      </c>
      <c r="C5464" t="s">
        <v>58</v>
      </c>
      <c r="D5464" t="s">
        <v>54</v>
      </c>
      <c r="E5464" t="s">
        <v>90</v>
      </c>
      <c r="F5464" t="s">
        <v>91</v>
      </c>
      <c r="G5464">
        <v>4.74</v>
      </c>
      <c r="H5464" t="s">
        <v>41</v>
      </c>
      <c r="I5464" t="s">
        <v>42</v>
      </c>
      <c r="M5464">
        <f>VLOOKUP(H5464,'Stage Order'!$A$2:$B$8,2,FALSE)</f>
        <v>2</v>
      </c>
      <c r="N5464" t="str">
        <f t="shared" si="170"/>
        <v>2. 1-24 hours</v>
      </c>
      <c r="O5464" t="str">
        <f t="shared" si="171"/>
        <v>2026-01</v>
      </c>
    </row>
    <row r="5465" spans="1:15" x14ac:dyDescent="0.3">
      <c r="A5465" t="s">
        <v>12857</v>
      </c>
      <c r="B5465" t="s">
        <v>12858</v>
      </c>
      <c r="C5465" t="s">
        <v>53</v>
      </c>
      <c r="D5465" t="s">
        <v>29</v>
      </c>
      <c r="E5465" t="s">
        <v>45</v>
      </c>
      <c r="F5465" t="s">
        <v>46</v>
      </c>
      <c r="G5465">
        <v>1.64</v>
      </c>
      <c r="H5465" t="s">
        <v>32</v>
      </c>
      <c r="I5465" t="s">
        <v>33</v>
      </c>
      <c r="K5465">
        <v>703.08</v>
      </c>
      <c r="L5465" t="s">
        <v>12859</v>
      </c>
      <c r="M5465">
        <f>VLOOKUP(H5465,'Stage Order'!$A$2:$B$8,2,FALSE)</f>
        <v>7</v>
      </c>
      <c r="N5465" t="str">
        <f t="shared" si="170"/>
        <v>2. 1-24 hours</v>
      </c>
      <c r="O5465" t="str">
        <f t="shared" si="171"/>
        <v>2026-01</v>
      </c>
    </row>
    <row r="5466" spans="1:15" x14ac:dyDescent="0.3">
      <c r="A5466" t="s">
        <v>12860</v>
      </c>
      <c r="B5466" t="s">
        <v>12861</v>
      </c>
      <c r="C5466" t="s">
        <v>58</v>
      </c>
      <c r="D5466" t="s">
        <v>77</v>
      </c>
      <c r="E5466" t="s">
        <v>45</v>
      </c>
      <c r="F5466" t="s">
        <v>46</v>
      </c>
      <c r="G5466">
        <v>3.76</v>
      </c>
      <c r="H5466" t="s">
        <v>61</v>
      </c>
      <c r="I5466" t="s">
        <v>42</v>
      </c>
      <c r="M5466">
        <f>VLOOKUP(H5466,'Stage Order'!$A$2:$B$8,2,FALSE)</f>
        <v>1</v>
      </c>
      <c r="N5466" t="str">
        <f t="shared" si="170"/>
        <v>2. 1-24 hours</v>
      </c>
      <c r="O5466" t="str">
        <f t="shared" si="171"/>
        <v>2025-10</v>
      </c>
    </row>
    <row r="5467" spans="1:15" x14ac:dyDescent="0.3">
      <c r="A5467" t="s">
        <v>12862</v>
      </c>
      <c r="B5467" t="s">
        <v>12863</v>
      </c>
      <c r="C5467" t="s">
        <v>53</v>
      </c>
      <c r="D5467" t="s">
        <v>77</v>
      </c>
      <c r="E5467" t="s">
        <v>39</v>
      </c>
      <c r="F5467" t="s">
        <v>66</v>
      </c>
      <c r="G5467">
        <v>1.51</v>
      </c>
      <c r="H5467" t="s">
        <v>138</v>
      </c>
      <c r="I5467" t="s">
        <v>48</v>
      </c>
      <c r="J5467" t="s">
        <v>139</v>
      </c>
      <c r="K5467">
        <v>914.98</v>
      </c>
      <c r="L5467" t="s">
        <v>12864</v>
      </c>
      <c r="M5467">
        <f>VLOOKUP(H5467,'Stage Order'!$A$2:$B$8,2,FALSE)</f>
        <v>6</v>
      </c>
      <c r="N5467" t="str">
        <f t="shared" si="170"/>
        <v>2. 1-24 hours</v>
      </c>
      <c r="O5467" t="str">
        <f t="shared" si="171"/>
        <v>2025-08</v>
      </c>
    </row>
    <row r="5468" spans="1:15" x14ac:dyDescent="0.3">
      <c r="A5468" t="s">
        <v>12865</v>
      </c>
      <c r="B5468" t="s">
        <v>12866</v>
      </c>
      <c r="C5468" t="s">
        <v>76</v>
      </c>
      <c r="D5468" t="s">
        <v>77</v>
      </c>
      <c r="E5468" t="s">
        <v>30</v>
      </c>
      <c r="F5468" t="s">
        <v>82</v>
      </c>
      <c r="G5468">
        <v>7.15</v>
      </c>
      <c r="H5468" t="s">
        <v>41</v>
      </c>
      <c r="I5468" t="s">
        <v>42</v>
      </c>
      <c r="M5468">
        <f>VLOOKUP(H5468,'Stage Order'!$A$2:$B$8,2,FALSE)</f>
        <v>2</v>
      </c>
      <c r="N5468" t="str">
        <f t="shared" si="170"/>
        <v>2. 1-24 hours</v>
      </c>
      <c r="O5468" t="str">
        <f t="shared" si="171"/>
        <v>2025-03</v>
      </c>
    </row>
    <row r="5469" spans="1:15" x14ac:dyDescent="0.3">
      <c r="A5469" t="s">
        <v>12867</v>
      </c>
      <c r="B5469" t="s">
        <v>12868</v>
      </c>
      <c r="C5469" t="s">
        <v>76</v>
      </c>
      <c r="D5469" t="s">
        <v>54</v>
      </c>
      <c r="E5469" t="s">
        <v>39</v>
      </c>
      <c r="F5469" t="s">
        <v>66</v>
      </c>
      <c r="G5469">
        <v>2.92</v>
      </c>
      <c r="H5469" t="s">
        <v>41</v>
      </c>
      <c r="I5469" t="s">
        <v>42</v>
      </c>
      <c r="M5469">
        <f>VLOOKUP(H5469,'Stage Order'!$A$2:$B$8,2,FALSE)</f>
        <v>2</v>
      </c>
      <c r="N5469" t="str">
        <f t="shared" si="170"/>
        <v>2. 1-24 hours</v>
      </c>
      <c r="O5469" t="str">
        <f t="shared" si="171"/>
        <v>2025-02</v>
      </c>
    </row>
    <row r="5470" spans="1:15" x14ac:dyDescent="0.3">
      <c r="A5470" t="s">
        <v>12869</v>
      </c>
      <c r="B5470" t="s">
        <v>12870</v>
      </c>
      <c r="C5470" t="s">
        <v>58</v>
      </c>
      <c r="D5470" t="s">
        <v>54</v>
      </c>
      <c r="E5470" t="s">
        <v>30</v>
      </c>
      <c r="F5470" t="s">
        <v>31</v>
      </c>
      <c r="G5470">
        <v>0.79</v>
      </c>
      <c r="H5470" t="s">
        <v>41</v>
      </c>
      <c r="I5470" t="s">
        <v>42</v>
      </c>
      <c r="M5470">
        <f>VLOOKUP(H5470,'Stage Order'!$A$2:$B$8,2,FALSE)</f>
        <v>2</v>
      </c>
      <c r="N5470" t="str">
        <f t="shared" si="170"/>
        <v>1. Under 1 hour</v>
      </c>
      <c r="O5470" t="str">
        <f t="shared" si="171"/>
        <v>2025-05</v>
      </c>
    </row>
    <row r="5471" spans="1:15" x14ac:dyDescent="0.3">
      <c r="A5471" t="s">
        <v>12871</v>
      </c>
      <c r="B5471" t="s">
        <v>12872</v>
      </c>
      <c r="C5471" t="s">
        <v>37</v>
      </c>
      <c r="D5471" t="s">
        <v>97</v>
      </c>
      <c r="E5471" t="s">
        <v>39</v>
      </c>
      <c r="F5471" t="s">
        <v>40</v>
      </c>
      <c r="G5471">
        <v>3.6</v>
      </c>
      <c r="H5471" t="s">
        <v>41</v>
      </c>
      <c r="I5471" t="s">
        <v>42</v>
      </c>
      <c r="M5471">
        <f>VLOOKUP(H5471,'Stage Order'!$A$2:$B$8,2,FALSE)</f>
        <v>2</v>
      </c>
      <c r="N5471" t="str">
        <f t="shared" si="170"/>
        <v>2. 1-24 hours</v>
      </c>
      <c r="O5471" t="str">
        <f t="shared" si="171"/>
        <v>2025-04</v>
      </c>
    </row>
    <row r="5472" spans="1:15" x14ac:dyDescent="0.3">
      <c r="A5472" t="s">
        <v>12873</v>
      </c>
      <c r="B5472" t="s">
        <v>12874</v>
      </c>
      <c r="C5472" t="s">
        <v>76</v>
      </c>
      <c r="D5472" t="s">
        <v>38</v>
      </c>
      <c r="E5472" t="s">
        <v>39</v>
      </c>
      <c r="F5472" t="s">
        <v>106</v>
      </c>
      <c r="G5472">
        <v>1.17</v>
      </c>
      <c r="H5472" t="s">
        <v>138</v>
      </c>
      <c r="I5472" t="s">
        <v>48</v>
      </c>
      <c r="J5472" t="s">
        <v>139</v>
      </c>
      <c r="K5472">
        <v>380.59</v>
      </c>
      <c r="L5472" t="s">
        <v>12875</v>
      </c>
      <c r="M5472">
        <f>VLOOKUP(H5472,'Stage Order'!$A$2:$B$8,2,FALSE)</f>
        <v>6</v>
      </c>
      <c r="N5472" t="str">
        <f t="shared" si="170"/>
        <v>2. 1-24 hours</v>
      </c>
      <c r="O5472" t="str">
        <f t="shared" si="171"/>
        <v>2025-11</v>
      </c>
    </row>
    <row r="5473" spans="1:15" x14ac:dyDescent="0.3">
      <c r="A5473" t="s">
        <v>12876</v>
      </c>
      <c r="B5473" t="s">
        <v>12877</v>
      </c>
      <c r="C5473" t="s">
        <v>53</v>
      </c>
      <c r="D5473" t="s">
        <v>77</v>
      </c>
      <c r="E5473" t="s">
        <v>39</v>
      </c>
      <c r="F5473" t="s">
        <v>106</v>
      </c>
      <c r="G5473">
        <v>2.38</v>
      </c>
      <c r="H5473" t="s">
        <v>41</v>
      </c>
      <c r="I5473" t="s">
        <v>42</v>
      </c>
      <c r="M5473">
        <f>VLOOKUP(H5473,'Stage Order'!$A$2:$B$8,2,FALSE)</f>
        <v>2</v>
      </c>
      <c r="N5473" t="str">
        <f t="shared" si="170"/>
        <v>2. 1-24 hours</v>
      </c>
      <c r="O5473" t="str">
        <f t="shared" si="171"/>
        <v>2026-02</v>
      </c>
    </row>
    <row r="5474" spans="1:15" x14ac:dyDescent="0.3">
      <c r="A5474" t="s">
        <v>12878</v>
      </c>
      <c r="B5474" t="s">
        <v>12879</v>
      </c>
      <c r="C5474" t="s">
        <v>53</v>
      </c>
      <c r="D5474" t="s">
        <v>29</v>
      </c>
      <c r="E5474" t="s">
        <v>45</v>
      </c>
      <c r="F5474" t="s">
        <v>46</v>
      </c>
      <c r="G5474">
        <v>9.14</v>
      </c>
      <c r="H5474" t="s">
        <v>146</v>
      </c>
      <c r="I5474" t="s">
        <v>48</v>
      </c>
      <c r="J5474" t="s">
        <v>98</v>
      </c>
      <c r="K5474">
        <v>731.82</v>
      </c>
      <c r="L5474" t="s">
        <v>12880</v>
      </c>
      <c r="M5474">
        <f>VLOOKUP(H5474,'Stage Order'!$A$2:$B$8,2,FALSE)</f>
        <v>5</v>
      </c>
      <c r="N5474" t="str">
        <f t="shared" si="170"/>
        <v>2. 1-24 hours</v>
      </c>
      <c r="O5474" t="str">
        <f t="shared" si="171"/>
        <v>2025-09</v>
      </c>
    </row>
    <row r="5475" spans="1:15" x14ac:dyDescent="0.3">
      <c r="A5475" t="s">
        <v>12881</v>
      </c>
      <c r="B5475" t="s">
        <v>12882</v>
      </c>
      <c r="C5475" t="s">
        <v>58</v>
      </c>
      <c r="D5475" t="s">
        <v>54</v>
      </c>
      <c r="E5475" t="s">
        <v>59</v>
      </c>
      <c r="F5475" t="s">
        <v>60</v>
      </c>
      <c r="G5475">
        <v>1.62</v>
      </c>
      <c r="H5475" t="s">
        <v>41</v>
      </c>
      <c r="I5475" t="s">
        <v>42</v>
      </c>
      <c r="M5475">
        <f>VLOOKUP(H5475,'Stage Order'!$A$2:$B$8,2,FALSE)</f>
        <v>2</v>
      </c>
      <c r="N5475" t="str">
        <f t="shared" si="170"/>
        <v>2. 1-24 hours</v>
      </c>
      <c r="O5475" t="str">
        <f t="shared" si="171"/>
        <v>2025-05</v>
      </c>
    </row>
    <row r="5476" spans="1:15" x14ac:dyDescent="0.3">
      <c r="A5476" t="s">
        <v>12883</v>
      </c>
      <c r="B5476" t="s">
        <v>12884</v>
      </c>
      <c r="C5476" t="s">
        <v>81</v>
      </c>
      <c r="D5476" t="s">
        <v>29</v>
      </c>
      <c r="E5476" t="s">
        <v>90</v>
      </c>
      <c r="F5476" t="s">
        <v>145</v>
      </c>
      <c r="G5476">
        <v>6.68</v>
      </c>
      <c r="H5476" t="s">
        <v>41</v>
      </c>
      <c r="I5476" t="s">
        <v>42</v>
      </c>
      <c r="M5476">
        <f>VLOOKUP(H5476,'Stage Order'!$A$2:$B$8,2,FALSE)</f>
        <v>2</v>
      </c>
      <c r="N5476" t="str">
        <f t="shared" si="170"/>
        <v>2. 1-24 hours</v>
      </c>
      <c r="O5476" t="str">
        <f t="shared" si="171"/>
        <v>2025-09</v>
      </c>
    </row>
    <row r="5477" spans="1:15" x14ac:dyDescent="0.3">
      <c r="A5477" t="s">
        <v>12885</v>
      </c>
      <c r="B5477" t="s">
        <v>12886</v>
      </c>
      <c r="C5477" t="s">
        <v>28</v>
      </c>
      <c r="D5477" t="s">
        <v>54</v>
      </c>
      <c r="E5477" t="s">
        <v>39</v>
      </c>
      <c r="F5477" t="s">
        <v>40</v>
      </c>
      <c r="G5477">
        <v>1.1000000000000001</v>
      </c>
      <c r="H5477" t="s">
        <v>41</v>
      </c>
      <c r="I5477" t="s">
        <v>42</v>
      </c>
      <c r="M5477">
        <f>VLOOKUP(H5477,'Stage Order'!$A$2:$B$8,2,FALSE)</f>
        <v>2</v>
      </c>
      <c r="N5477" t="str">
        <f t="shared" si="170"/>
        <v>2. 1-24 hours</v>
      </c>
      <c r="O5477" t="str">
        <f t="shared" si="171"/>
        <v>2026-02</v>
      </c>
    </row>
    <row r="5478" spans="1:15" x14ac:dyDescent="0.3">
      <c r="A5478" t="s">
        <v>12887</v>
      </c>
      <c r="B5478" t="s">
        <v>12888</v>
      </c>
      <c r="C5478" t="s">
        <v>53</v>
      </c>
      <c r="D5478" t="s">
        <v>77</v>
      </c>
      <c r="E5478" t="s">
        <v>45</v>
      </c>
      <c r="F5478" t="s">
        <v>94</v>
      </c>
      <c r="G5478">
        <v>3.14</v>
      </c>
      <c r="H5478" t="s">
        <v>146</v>
      </c>
      <c r="I5478" t="s">
        <v>48</v>
      </c>
      <c r="J5478" t="s">
        <v>49</v>
      </c>
      <c r="K5478">
        <v>1134.67</v>
      </c>
      <c r="L5478" t="s">
        <v>12889</v>
      </c>
      <c r="M5478">
        <f>VLOOKUP(H5478,'Stage Order'!$A$2:$B$8,2,FALSE)</f>
        <v>5</v>
      </c>
      <c r="N5478" t="str">
        <f t="shared" si="170"/>
        <v>2. 1-24 hours</v>
      </c>
      <c r="O5478" t="str">
        <f t="shared" si="171"/>
        <v>2026-03</v>
      </c>
    </row>
    <row r="5479" spans="1:15" x14ac:dyDescent="0.3">
      <c r="A5479" t="s">
        <v>12890</v>
      </c>
      <c r="B5479" t="s">
        <v>12891</v>
      </c>
      <c r="C5479" t="s">
        <v>37</v>
      </c>
      <c r="D5479" t="s">
        <v>38</v>
      </c>
      <c r="E5479" t="s">
        <v>90</v>
      </c>
      <c r="F5479" t="s">
        <v>145</v>
      </c>
      <c r="G5479">
        <v>0.51</v>
      </c>
      <c r="H5479" t="s">
        <v>61</v>
      </c>
      <c r="I5479" t="s">
        <v>42</v>
      </c>
      <c r="M5479">
        <f>VLOOKUP(H5479,'Stage Order'!$A$2:$B$8,2,FALSE)</f>
        <v>1</v>
      </c>
      <c r="N5479" t="str">
        <f t="shared" si="170"/>
        <v>1. Under 1 hour</v>
      </c>
      <c r="O5479" t="str">
        <f t="shared" si="171"/>
        <v>2026-02</v>
      </c>
    </row>
    <row r="5480" spans="1:15" x14ac:dyDescent="0.3">
      <c r="A5480" t="s">
        <v>12892</v>
      </c>
      <c r="B5480" t="s">
        <v>12893</v>
      </c>
      <c r="C5480" t="s">
        <v>125</v>
      </c>
      <c r="D5480" t="s">
        <v>29</v>
      </c>
      <c r="E5480" t="s">
        <v>39</v>
      </c>
      <c r="F5480" t="s">
        <v>66</v>
      </c>
      <c r="G5480">
        <v>0.41</v>
      </c>
      <c r="H5480" t="s">
        <v>41</v>
      </c>
      <c r="I5480" t="s">
        <v>42</v>
      </c>
      <c r="M5480">
        <f>VLOOKUP(H5480,'Stage Order'!$A$2:$B$8,2,FALSE)</f>
        <v>2</v>
      </c>
      <c r="N5480" t="str">
        <f t="shared" si="170"/>
        <v>1. Under 1 hour</v>
      </c>
      <c r="O5480" t="str">
        <f t="shared" si="171"/>
        <v>2026-04</v>
      </c>
    </row>
    <row r="5481" spans="1:15" x14ac:dyDescent="0.3">
      <c r="A5481" t="s">
        <v>12894</v>
      </c>
      <c r="B5481" t="s">
        <v>12895</v>
      </c>
      <c r="C5481" t="s">
        <v>37</v>
      </c>
      <c r="D5481" t="s">
        <v>97</v>
      </c>
      <c r="E5481" t="s">
        <v>90</v>
      </c>
      <c r="F5481" t="s">
        <v>145</v>
      </c>
      <c r="G5481">
        <v>6.28</v>
      </c>
      <c r="H5481" t="s">
        <v>61</v>
      </c>
      <c r="I5481" t="s">
        <v>42</v>
      </c>
      <c r="M5481">
        <f>VLOOKUP(H5481,'Stage Order'!$A$2:$B$8,2,FALSE)</f>
        <v>1</v>
      </c>
      <c r="N5481" t="str">
        <f t="shared" si="170"/>
        <v>2. 1-24 hours</v>
      </c>
      <c r="O5481" t="str">
        <f t="shared" si="171"/>
        <v>2025-12</v>
      </c>
    </row>
    <row r="5482" spans="1:15" x14ac:dyDescent="0.3">
      <c r="A5482" t="s">
        <v>12896</v>
      </c>
      <c r="B5482" t="s">
        <v>12897</v>
      </c>
      <c r="C5482" t="s">
        <v>125</v>
      </c>
      <c r="D5482" t="s">
        <v>29</v>
      </c>
      <c r="E5482" t="s">
        <v>59</v>
      </c>
      <c r="F5482" t="s">
        <v>117</v>
      </c>
      <c r="G5482">
        <v>5.38</v>
      </c>
      <c r="H5482" t="s">
        <v>41</v>
      </c>
      <c r="I5482" t="s">
        <v>42</v>
      </c>
      <c r="M5482">
        <f>VLOOKUP(H5482,'Stage Order'!$A$2:$B$8,2,FALSE)</f>
        <v>2</v>
      </c>
      <c r="N5482" t="str">
        <f t="shared" si="170"/>
        <v>2. 1-24 hours</v>
      </c>
      <c r="O5482" t="str">
        <f t="shared" si="171"/>
        <v>2026-05</v>
      </c>
    </row>
    <row r="5483" spans="1:15" x14ac:dyDescent="0.3">
      <c r="A5483" t="s">
        <v>12898</v>
      </c>
      <c r="B5483" t="s">
        <v>12899</v>
      </c>
      <c r="C5483" t="s">
        <v>37</v>
      </c>
      <c r="D5483" t="s">
        <v>29</v>
      </c>
      <c r="E5483" t="s">
        <v>39</v>
      </c>
      <c r="F5483" t="s">
        <v>106</v>
      </c>
      <c r="G5483">
        <v>10.17</v>
      </c>
      <c r="H5483" t="s">
        <v>146</v>
      </c>
      <c r="I5483" t="s">
        <v>48</v>
      </c>
      <c r="J5483" t="s">
        <v>113</v>
      </c>
      <c r="K5483">
        <v>689.61</v>
      </c>
      <c r="L5483" t="s">
        <v>12900</v>
      </c>
      <c r="M5483">
        <f>VLOOKUP(H5483,'Stage Order'!$A$2:$B$8,2,FALSE)</f>
        <v>5</v>
      </c>
      <c r="N5483" t="str">
        <f t="shared" si="170"/>
        <v>2. 1-24 hours</v>
      </c>
      <c r="O5483" t="str">
        <f t="shared" si="171"/>
        <v>2025-07</v>
      </c>
    </row>
    <row r="5484" spans="1:15" x14ac:dyDescent="0.3">
      <c r="A5484" t="s">
        <v>12901</v>
      </c>
      <c r="B5484" t="s">
        <v>12902</v>
      </c>
      <c r="C5484" t="s">
        <v>53</v>
      </c>
      <c r="D5484" t="s">
        <v>97</v>
      </c>
      <c r="E5484" t="s">
        <v>39</v>
      </c>
      <c r="F5484" t="s">
        <v>106</v>
      </c>
      <c r="G5484">
        <v>1.27</v>
      </c>
      <c r="H5484" t="s">
        <v>138</v>
      </c>
      <c r="I5484" t="s">
        <v>48</v>
      </c>
      <c r="J5484" t="s">
        <v>139</v>
      </c>
      <c r="K5484">
        <v>1472.1</v>
      </c>
      <c r="L5484" t="s">
        <v>12903</v>
      </c>
      <c r="M5484">
        <f>VLOOKUP(H5484,'Stage Order'!$A$2:$B$8,2,FALSE)</f>
        <v>6</v>
      </c>
      <c r="N5484" t="str">
        <f t="shared" si="170"/>
        <v>2. 1-24 hours</v>
      </c>
      <c r="O5484" t="str">
        <f t="shared" si="171"/>
        <v>2025-11</v>
      </c>
    </row>
    <row r="5485" spans="1:15" x14ac:dyDescent="0.3">
      <c r="A5485" t="s">
        <v>12904</v>
      </c>
      <c r="B5485" t="s">
        <v>12905</v>
      </c>
      <c r="C5485" t="s">
        <v>37</v>
      </c>
      <c r="D5485" t="s">
        <v>77</v>
      </c>
      <c r="E5485" t="s">
        <v>39</v>
      </c>
      <c r="F5485" t="s">
        <v>106</v>
      </c>
      <c r="G5485">
        <v>24.38</v>
      </c>
      <c r="H5485" t="s">
        <v>41</v>
      </c>
      <c r="I5485" t="s">
        <v>42</v>
      </c>
      <c r="M5485">
        <f>VLOOKUP(H5485,'Stage Order'!$A$2:$B$8,2,FALSE)</f>
        <v>2</v>
      </c>
      <c r="N5485" t="str">
        <f t="shared" si="170"/>
        <v>3. 1-3 days</v>
      </c>
      <c r="O5485" t="str">
        <f t="shared" si="171"/>
        <v>2025-10</v>
      </c>
    </row>
    <row r="5486" spans="1:15" x14ac:dyDescent="0.3">
      <c r="A5486" t="s">
        <v>12906</v>
      </c>
      <c r="B5486" t="s">
        <v>12907</v>
      </c>
      <c r="C5486" t="s">
        <v>125</v>
      </c>
      <c r="D5486" t="s">
        <v>38</v>
      </c>
      <c r="E5486" t="s">
        <v>59</v>
      </c>
      <c r="F5486" t="s">
        <v>137</v>
      </c>
      <c r="G5486">
        <v>0.94</v>
      </c>
      <c r="H5486" t="s">
        <v>128</v>
      </c>
      <c r="I5486" t="s">
        <v>42</v>
      </c>
      <c r="M5486">
        <f>VLOOKUP(H5486,'Stage Order'!$A$2:$B$8,2,FALSE)</f>
        <v>3</v>
      </c>
      <c r="N5486" t="str">
        <f t="shared" si="170"/>
        <v>1. Under 1 hour</v>
      </c>
      <c r="O5486" t="str">
        <f t="shared" si="171"/>
        <v>2025-08</v>
      </c>
    </row>
    <row r="5487" spans="1:15" x14ac:dyDescent="0.3">
      <c r="A5487" t="s">
        <v>12908</v>
      </c>
      <c r="B5487" t="s">
        <v>12909</v>
      </c>
      <c r="C5487" t="s">
        <v>76</v>
      </c>
      <c r="D5487" t="s">
        <v>97</v>
      </c>
      <c r="E5487" t="s">
        <v>45</v>
      </c>
      <c r="F5487" t="s">
        <v>94</v>
      </c>
      <c r="G5487">
        <v>6.95</v>
      </c>
      <c r="H5487" t="s">
        <v>41</v>
      </c>
      <c r="I5487" t="s">
        <v>42</v>
      </c>
      <c r="M5487">
        <f>VLOOKUP(H5487,'Stage Order'!$A$2:$B$8,2,FALSE)</f>
        <v>2</v>
      </c>
      <c r="N5487" t="str">
        <f t="shared" si="170"/>
        <v>2. 1-24 hours</v>
      </c>
      <c r="O5487" t="str">
        <f t="shared" si="171"/>
        <v>2025-07</v>
      </c>
    </row>
    <row r="5488" spans="1:15" x14ac:dyDescent="0.3">
      <c r="A5488" t="s">
        <v>12910</v>
      </c>
      <c r="B5488" t="s">
        <v>12911</v>
      </c>
      <c r="C5488" t="s">
        <v>37</v>
      </c>
      <c r="D5488" t="s">
        <v>97</v>
      </c>
      <c r="E5488" t="s">
        <v>45</v>
      </c>
      <c r="F5488" t="s">
        <v>94</v>
      </c>
      <c r="G5488">
        <v>1.66</v>
      </c>
      <c r="H5488" t="s">
        <v>41</v>
      </c>
      <c r="I5488" t="s">
        <v>42</v>
      </c>
      <c r="M5488">
        <f>VLOOKUP(H5488,'Stage Order'!$A$2:$B$8,2,FALSE)</f>
        <v>2</v>
      </c>
      <c r="N5488" t="str">
        <f t="shared" si="170"/>
        <v>2. 1-24 hours</v>
      </c>
      <c r="O5488" t="str">
        <f t="shared" si="171"/>
        <v>2025-03</v>
      </c>
    </row>
    <row r="5489" spans="1:15" x14ac:dyDescent="0.3">
      <c r="A5489" t="s">
        <v>12912</v>
      </c>
      <c r="B5489" t="s">
        <v>12913</v>
      </c>
      <c r="C5489" t="s">
        <v>58</v>
      </c>
      <c r="D5489" t="s">
        <v>77</v>
      </c>
      <c r="E5489" t="s">
        <v>30</v>
      </c>
      <c r="F5489" t="s">
        <v>82</v>
      </c>
      <c r="G5489">
        <v>3.86</v>
      </c>
      <c r="H5489" t="s">
        <v>41</v>
      </c>
      <c r="I5489" t="s">
        <v>42</v>
      </c>
      <c r="M5489">
        <f>VLOOKUP(H5489,'Stage Order'!$A$2:$B$8,2,FALSE)</f>
        <v>2</v>
      </c>
      <c r="N5489" t="str">
        <f t="shared" si="170"/>
        <v>2. 1-24 hours</v>
      </c>
      <c r="O5489" t="str">
        <f t="shared" si="171"/>
        <v>2025-03</v>
      </c>
    </row>
    <row r="5490" spans="1:15" x14ac:dyDescent="0.3">
      <c r="A5490" t="s">
        <v>12914</v>
      </c>
      <c r="B5490" t="s">
        <v>12915</v>
      </c>
      <c r="C5490" t="s">
        <v>28</v>
      </c>
      <c r="D5490" t="s">
        <v>97</v>
      </c>
      <c r="E5490" t="s">
        <v>45</v>
      </c>
      <c r="F5490" t="s">
        <v>94</v>
      </c>
      <c r="G5490">
        <v>5.53</v>
      </c>
      <c r="H5490" t="s">
        <v>41</v>
      </c>
      <c r="I5490" t="s">
        <v>42</v>
      </c>
      <c r="M5490">
        <f>VLOOKUP(H5490,'Stage Order'!$A$2:$B$8,2,FALSE)</f>
        <v>2</v>
      </c>
      <c r="N5490" t="str">
        <f t="shared" si="170"/>
        <v>2. 1-24 hours</v>
      </c>
      <c r="O5490" t="str">
        <f t="shared" si="171"/>
        <v>2026-04</v>
      </c>
    </row>
    <row r="5491" spans="1:15" x14ac:dyDescent="0.3">
      <c r="A5491" t="s">
        <v>12916</v>
      </c>
      <c r="B5491" t="s">
        <v>12917</v>
      </c>
      <c r="C5491" t="s">
        <v>58</v>
      </c>
      <c r="D5491" t="s">
        <v>54</v>
      </c>
      <c r="E5491" t="s">
        <v>39</v>
      </c>
      <c r="F5491" t="s">
        <v>66</v>
      </c>
      <c r="G5491">
        <v>2.3199999999999998</v>
      </c>
      <c r="H5491" t="s">
        <v>41</v>
      </c>
      <c r="I5491" t="s">
        <v>42</v>
      </c>
      <c r="M5491">
        <f>VLOOKUP(H5491,'Stage Order'!$A$2:$B$8,2,FALSE)</f>
        <v>2</v>
      </c>
      <c r="N5491" t="str">
        <f t="shared" si="170"/>
        <v>2. 1-24 hours</v>
      </c>
      <c r="O5491" t="str">
        <f t="shared" si="171"/>
        <v>2026-04</v>
      </c>
    </row>
    <row r="5492" spans="1:15" x14ac:dyDescent="0.3">
      <c r="A5492" t="s">
        <v>12918</v>
      </c>
      <c r="B5492" t="s">
        <v>12919</v>
      </c>
      <c r="C5492" t="s">
        <v>125</v>
      </c>
      <c r="D5492" t="s">
        <v>77</v>
      </c>
      <c r="E5492" t="s">
        <v>30</v>
      </c>
      <c r="F5492" t="s">
        <v>78</v>
      </c>
      <c r="G5492">
        <v>4.55</v>
      </c>
      <c r="H5492" t="s">
        <v>41</v>
      </c>
      <c r="I5492" t="s">
        <v>42</v>
      </c>
      <c r="M5492">
        <f>VLOOKUP(H5492,'Stage Order'!$A$2:$B$8,2,FALSE)</f>
        <v>2</v>
      </c>
      <c r="N5492" t="str">
        <f t="shared" si="170"/>
        <v>2. 1-24 hours</v>
      </c>
      <c r="O5492" t="str">
        <f t="shared" si="171"/>
        <v>2025-05</v>
      </c>
    </row>
    <row r="5493" spans="1:15" x14ac:dyDescent="0.3">
      <c r="A5493" t="s">
        <v>12920</v>
      </c>
      <c r="B5493" t="s">
        <v>12921</v>
      </c>
      <c r="C5493" t="s">
        <v>76</v>
      </c>
      <c r="D5493" t="s">
        <v>77</v>
      </c>
      <c r="E5493" t="s">
        <v>39</v>
      </c>
      <c r="F5493" t="s">
        <v>66</v>
      </c>
      <c r="G5493">
        <v>2.5099999999999998</v>
      </c>
      <c r="H5493" t="s">
        <v>41</v>
      </c>
      <c r="I5493" t="s">
        <v>42</v>
      </c>
      <c r="M5493">
        <f>VLOOKUP(H5493,'Stage Order'!$A$2:$B$8,2,FALSE)</f>
        <v>2</v>
      </c>
      <c r="N5493" t="str">
        <f t="shared" si="170"/>
        <v>2. 1-24 hours</v>
      </c>
      <c r="O5493" t="str">
        <f t="shared" si="171"/>
        <v>2026-03</v>
      </c>
    </row>
    <row r="5494" spans="1:15" x14ac:dyDescent="0.3">
      <c r="A5494" t="s">
        <v>12922</v>
      </c>
      <c r="B5494" t="s">
        <v>12923</v>
      </c>
      <c r="C5494" t="s">
        <v>81</v>
      </c>
      <c r="D5494" t="s">
        <v>97</v>
      </c>
      <c r="E5494" t="s">
        <v>59</v>
      </c>
      <c r="F5494" t="s">
        <v>60</v>
      </c>
      <c r="G5494">
        <v>3.53</v>
      </c>
      <c r="H5494" t="s">
        <v>41</v>
      </c>
      <c r="I5494" t="s">
        <v>42</v>
      </c>
      <c r="M5494">
        <f>VLOOKUP(H5494,'Stage Order'!$A$2:$B$8,2,FALSE)</f>
        <v>2</v>
      </c>
      <c r="N5494" t="str">
        <f t="shared" si="170"/>
        <v>2. 1-24 hours</v>
      </c>
      <c r="O5494" t="str">
        <f t="shared" si="171"/>
        <v>2025-01</v>
      </c>
    </row>
    <row r="5495" spans="1:15" x14ac:dyDescent="0.3">
      <c r="A5495" t="s">
        <v>12924</v>
      </c>
      <c r="B5495" t="s">
        <v>12925</v>
      </c>
      <c r="C5495" t="s">
        <v>28</v>
      </c>
      <c r="D5495" t="s">
        <v>29</v>
      </c>
      <c r="E5495" t="s">
        <v>39</v>
      </c>
      <c r="F5495" t="s">
        <v>40</v>
      </c>
      <c r="G5495">
        <v>4.7</v>
      </c>
      <c r="H5495" t="s">
        <v>32</v>
      </c>
      <c r="I5495" t="s">
        <v>33</v>
      </c>
      <c r="K5495">
        <v>675.16</v>
      </c>
      <c r="L5495" t="s">
        <v>12926</v>
      </c>
      <c r="M5495">
        <f>VLOOKUP(H5495,'Stage Order'!$A$2:$B$8,2,FALSE)</f>
        <v>7</v>
      </c>
      <c r="N5495" t="str">
        <f t="shared" si="170"/>
        <v>2. 1-24 hours</v>
      </c>
      <c r="O5495" t="str">
        <f t="shared" si="171"/>
        <v>2025-10</v>
      </c>
    </row>
    <row r="5496" spans="1:15" x14ac:dyDescent="0.3">
      <c r="A5496" t="s">
        <v>12927</v>
      </c>
      <c r="B5496" t="s">
        <v>12928</v>
      </c>
      <c r="C5496" t="s">
        <v>37</v>
      </c>
      <c r="D5496" t="s">
        <v>29</v>
      </c>
      <c r="E5496" t="s">
        <v>45</v>
      </c>
      <c r="F5496" t="s">
        <v>94</v>
      </c>
      <c r="G5496">
        <v>4.13</v>
      </c>
      <c r="H5496" t="s">
        <v>41</v>
      </c>
      <c r="I5496" t="s">
        <v>42</v>
      </c>
      <c r="M5496">
        <f>VLOOKUP(H5496,'Stage Order'!$A$2:$B$8,2,FALSE)</f>
        <v>2</v>
      </c>
      <c r="N5496" t="str">
        <f t="shared" si="170"/>
        <v>2. 1-24 hours</v>
      </c>
      <c r="O5496" t="str">
        <f t="shared" si="171"/>
        <v>2025-09</v>
      </c>
    </row>
    <row r="5497" spans="1:15" x14ac:dyDescent="0.3">
      <c r="A5497" t="s">
        <v>12929</v>
      </c>
      <c r="B5497" t="s">
        <v>12930</v>
      </c>
      <c r="C5497" t="s">
        <v>28</v>
      </c>
      <c r="D5497" t="s">
        <v>38</v>
      </c>
      <c r="E5497" t="s">
        <v>59</v>
      </c>
      <c r="F5497" t="s">
        <v>137</v>
      </c>
      <c r="G5497">
        <v>1.19</v>
      </c>
      <c r="H5497" t="s">
        <v>41</v>
      </c>
      <c r="I5497" t="s">
        <v>42</v>
      </c>
      <c r="M5497">
        <f>VLOOKUP(H5497,'Stage Order'!$A$2:$B$8,2,FALSE)</f>
        <v>2</v>
      </c>
      <c r="N5497" t="str">
        <f t="shared" si="170"/>
        <v>2. 1-24 hours</v>
      </c>
      <c r="O5497" t="str">
        <f t="shared" si="171"/>
        <v>2026-04</v>
      </c>
    </row>
    <row r="5498" spans="1:15" x14ac:dyDescent="0.3">
      <c r="A5498" t="s">
        <v>12931</v>
      </c>
      <c r="B5498" t="s">
        <v>12932</v>
      </c>
      <c r="C5498" t="s">
        <v>37</v>
      </c>
      <c r="D5498" t="s">
        <v>54</v>
      </c>
      <c r="E5498" t="s">
        <v>45</v>
      </c>
      <c r="F5498" t="s">
        <v>55</v>
      </c>
      <c r="G5498">
        <v>7.77</v>
      </c>
      <c r="H5498" t="s">
        <v>32</v>
      </c>
      <c r="I5498" t="s">
        <v>33</v>
      </c>
      <c r="K5498">
        <v>557.46</v>
      </c>
      <c r="L5498" t="s">
        <v>12933</v>
      </c>
      <c r="M5498">
        <f>VLOOKUP(H5498,'Stage Order'!$A$2:$B$8,2,FALSE)</f>
        <v>7</v>
      </c>
      <c r="N5498" t="str">
        <f t="shared" si="170"/>
        <v>2. 1-24 hours</v>
      </c>
      <c r="O5498" t="str">
        <f t="shared" si="171"/>
        <v>2025-02</v>
      </c>
    </row>
    <row r="5499" spans="1:15" x14ac:dyDescent="0.3">
      <c r="A5499" t="s">
        <v>12934</v>
      </c>
      <c r="B5499" t="s">
        <v>12935</v>
      </c>
      <c r="C5499" t="s">
        <v>28</v>
      </c>
      <c r="D5499" t="s">
        <v>54</v>
      </c>
      <c r="E5499" t="s">
        <v>30</v>
      </c>
      <c r="F5499" t="s">
        <v>82</v>
      </c>
      <c r="G5499">
        <v>1.64</v>
      </c>
      <c r="H5499" t="s">
        <v>32</v>
      </c>
      <c r="I5499" t="s">
        <v>33</v>
      </c>
      <c r="K5499">
        <v>521.70000000000005</v>
      </c>
      <c r="L5499" t="s">
        <v>12936</v>
      </c>
      <c r="M5499">
        <f>VLOOKUP(H5499,'Stage Order'!$A$2:$B$8,2,FALSE)</f>
        <v>7</v>
      </c>
      <c r="N5499" t="str">
        <f t="shared" si="170"/>
        <v>2. 1-24 hours</v>
      </c>
      <c r="O5499" t="str">
        <f t="shared" si="171"/>
        <v>2026-02</v>
      </c>
    </row>
    <row r="5500" spans="1:15" x14ac:dyDescent="0.3">
      <c r="A5500" t="s">
        <v>12937</v>
      </c>
      <c r="B5500" t="s">
        <v>12938</v>
      </c>
      <c r="C5500" t="s">
        <v>58</v>
      </c>
      <c r="D5500" t="s">
        <v>77</v>
      </c>
      <c r="E5500" t="s">
        <v>39</v>
      </c>
      <c r="F5500" t="s">
        <v>66</v>
      </c>
      <c r="G5500">
        <v>17.95</v>
      </c>
      <c r="H5500" t="s">
        <v>61</v>
      </c>
      <c r="I5500" t="s">
        <v>42</v>
      </c>
      <c r="M5500">
        <f>VLOOKUP(H5500,'Stage Order'!$A$2:$B$8,2,FALSE)</f>
        <v>1</v>
      </c>
      <c r="N5500" t="str">
        <f t="shared" si="170"/>
        <v>2. 1-24 hours</v>
      </c>
      <c r="O5500" t="str">
        <f t="shared" si="171"/>
        <v>2025-07</v>
      </c>
    </row>
    <row r="5501" spans="1:15" x14ac:dyDescent="0.3">
      <c r="A5501" t="s">
        <v>12939</v>
      </c>
      <c r="B5501" t="s">
        <v>12940</v>
      </c>
      <c r="C5501" t="s">
        <v>53</v>
      </c>
      <c r="D5501" t="s">
        <v>29</v>
      </c>
      <c r="E5501" t="s">
        <v>39</v>
      </c>
      <c r="F5501" t="s">
        <v>66</v>
      </c>
      <c r="G5501">
        <v>0.85</v>
      </c>
      <c r="H5501" t="s">
        <v>41</v>
      </c>
      <c r="I5501" t="s">
        <v>42</v>
      </c>
      <c r="M5501">
        <f>VLOOKUP(H5501,'Stage Order'!$A$2:$B$8,2,FALSE)</f>
        <v>2</v>
      </c>
      <c r="N5501" t="str">
        <f t="shared" si="170"/>
        <v>1. Under 1 hour</v>
      </c>
      <c r="O5501" t="str">
        <f t="shared" si="171"/>
        <v>2026-05</v>
      </c>
    </row>
    <row r="5502" spans="1:15" x14ac:dyDescent="0.3">
      <c r="A5502" t="s">
        <v>12941</v>
      </c>
      <c r="B5502" t="s">
        <v>12942</v>
      </c>
      <c r="C5502" t="s">
        <v>37</v>
      </c>
      <c r="D5502" t="s">
        <v>29</v>
      </c>
      <c r="E5502" t="s">
        <v>45</v>
      </c>
      <c r="F5502" t="s">
        <v>94</v>
      </c>
      <c r="G5502">
        <v>0.94</v>
      </c>
      <c r="H5502" t="s">
        <v>32</v>
      </c>
      <c r="I5502" t="s">
        <v>33</v>
      </c>
      <c r="K5502">
        <v>751.72</v>
      </c>
      <c r="L5502" t="s">
        <v>12943</v>
      </c>
      <c r="M5502">
        <f>VLOOKUP(H5502,'Stage Order'!$A$2:$B$8,2,FALSE)</f>
        <v>7</v>
      </c>
      <c r="N5502" t="str">
        <f t="shared" si="170"/>
        <v>1. Under 1 hour</v>
      </c>
      <c r="O5502" t="str">
        <f t="shared" si="171"/>
        <v>2026-06</v>
      </c>
    </row>
    <row r="5503" spans="1:15" x14ac:dyDescent="0.3">
      <c r="A5503" t="s">
        <v>12944</v>
      </c>
      <c r="B5503" t="s">
        <v>12945</v>
      </c>
      <c r="C5503" t="s">
        <v>125</v>
      </c>
      <c r="D5503" t="s">
        <v>97</v>
      </c>
      <c r="E5503" t="s">
        <v>39</v>
      </c>
      <c r="F5503" t="s">
        <v>66</v>
      </c>
      <c r="G5503">
        <v>5.96</v>
      </c>
      <c r="H5503" t="s">
        <v>61</v>
      </c>
      <c r="I5503" t="s">
        <v>42</v>
      </c>
      <c r="M5503">
        <f>VLOOKUP(H5503,'Stage Order'!$A$2:$B$8,2,FALSE)</f>
        <v>1</v>
      </c>
      <c r="N5503" t="str">
        <f t="shared" si="170"/>
        <v>2. 1-24 hours</v>
      </c>
      <c r="O5503" t="str">
        <f t="shared" si="171"/>
        <v>2026-01</v>
      </c>
    </row>
    <row r="5504" spans="1:15" x14ac:dyDescent="0.3">
      <c r="A5504" t="s">
        <v>12946</v>
      </c>
      <c r="B5504" t="s">
        <v>12947</v>
      </c>
      <c r="C5504" t="s">
        <v>53</v>
      </c>
      <c r="D5504" t="s">
        <v>54</v>
      </c>
      <c r="E5504" t="s">
        <v>45</v>
      </c>
      <c r="F5504" t="s">
        <v>55</v>
      </c>
      <c r="G5504">
        <v>3.11</v>
      </c>
      <c r="H5504" t="s">
        <v>138</v>
      </c>
      <c r="I5504" t="s">
        <v>48</v>
      </c>
      <c r="J5504" t="s">
        <v>98</v>
      </c>
      <c r="K5504">
        <v>590.72</v>
      </c>
      <c r="L5504" t="s">
        <v>12948</v>
      </c>
      <c r="M5504">
        <f>VLOOKUP(H5504,'Stage Order'!$A$2:$B$8,2,FALSE)</f>
        <v>6</v>
      </c>
      <c r="N5504" t="str">
        <f t="shared" si="170"/>
        <v>2. 1-24 hours</v>
      </c>
      <c r="O5504" t="str">
        <f t="shared" si="171"/>
        <v>2025-11</v>
      </c>
    </row>
    <row r="5505" spans="1:15" x14ac:dyDescent="0.3">
      <c r="A5505" t="s">
        <v>12949</v>
      </c>
      <c r="B5505" t="s">
        <v>12950</v>
      </c>
      <c r="C5505" t="s">
        <v>28</v>
      </c>
      <c r="D5505" t="s">
        <v>77</v>
      </c>
      <c r="E5505" t="s">
        <v>45</v>
      </c>
      <c r="F5505" t="s">
        <v>46</v>
      </c>
      <c r="G5505">
        <v>1.7</v>
      </c>
      <c r="H5505" t="s">
        <v>41</v>
      </c>
      <c r="I5505" t="s">
        <v>42</v>
      </c>
      <c r="M5505">
        <f>VLOOKUP(H5505,'Stage Order'!$A$2:$B$8,2,FALSE)</f>
        <v>2</v>
      </c>
      <c r="N5505" t="str">
        <f t="shared" si="170"/>
        <v>2. 1-24 hours</v>
      </c>
      <c r="O5505" t="str">
        <f t="shared" si="171"/>
        <v>2025-08</v>
      </c>
    </row>
    <row r="5506" spans="1:15" x14ac:dyDescent="0.3">
      <c r="A5506" t="s">
        <v>12951</v>
      </c>
      <c r="B5506" t="s">
        <v>12952</v>
      </c>
      <c r="C5506" t="s">
        <v>58</v>
      </c>
      <c r="D5506" t="s">
        <v>38</v>
      </c>
      <c r="E5506" t="s">
        <v>59</v>
      </c>
      <c r="F5506" t="s">
        <v>137</v>
      </c>
      <c r="G5506">
        <v>1.08</v>
      </c>
      <c r="H5506" t="s">
        <v>61</v>
      </c>
      <c r="I5506" t="s">
        <v>42</v>
      </c>
      <c r="M5506">
        <f>VLOOKUP(H5506,'Stage Order'!$A$2:$B$8,2,FALSE)</f>
        <v>1</v>
      </c>
      <c r="N5506" t="str">
        <f t="shared" ref="N5506:N5569" si="172">IF(G5506&lt;=1,"1. Under 1 hour",IF(G5506&lt;=24,"2. 1-24 hours",IF(G5506&lt;=72,"3. 1-3 days","4. Over 3 days")))</f>
        <v>2. 1-24 hours</v>
      </c>
      <c r="O5506" t="str">
        <f t="shared" ref="O5506:O5569" si="173">TEXT(B5506,"YYYY-MM")</f>
        <v>2025-09</v>
      </c>
    </row>
    <row r="5507" spans="1:15" x14ac:dyDescent="0.3">
      <c r="A5507" t="s">
        <v>12953</v>
      </c>
      <c r="B5507" t="s">
        <v>12954</v>
      </c>
      <c r="C5507" t="s">
        <v>28</v>
      </c>
      <c r="D5507" t="s">
        <v>77</v>
      </c>
      <c r="E5507" t="s">
        <v>59</v>
      </c>
      <c r="F5507" t="s">
        <v>137</v>
      </c>
      <c r="G5507">
        <v>2.52</v>
      </c>
      <c r="H5507" t="s">
        <v>41</v>
      </c>
      <c r="I5507" t="s">
        <v>42</v>
      </c>
      <c r="M5507">
        <f>VLOOKUP(H5507,'Stage Order'!$A$2:$B$8,2,FALSE)</f>
        <v>2</v>
      </c>
      <c r="N5507" t="str">
        <f t="shared" si="172"/>
        <v>2. 1-24 hours</v>
      </c>
      <c r="O5507" t="str">
        <f t="shared" si="173"/>
        <v>2025-12</v>
      </c>
    </row>
    <row r="5508" spans="1:15" x14ac:dyDescent="0.3">
      <c r="A5508" t="s">
        <v>12955</v>
      </c>
      <c r="B5508" t="s">
        <v>12956</v>
      </c>
      <c r="C5508" t="s">
        <v>58</v>
      </c>
      <c r="D5508" t="s">
        <v>77</v>
      </c>
      <c r="E5508" t="s">
        <v>90</v>
      </c>
      <c r="F5508" t="s">
        <v>145</v>
      </c>
      <c r="G5508">
        <v>3.4</v>
      </c>
      <c r="H5508" t="s">
        <v>128</v>
      </c>
      <c r="I5508" t="s">
        <v>42</v>
      </c>
      <c r="M5508">
        <f>VLOOKUP(H5508,'Stage Order'!$A$2:$B$8,2,FALSE)</f>
        <v>3</v>
      </c>
      <c r="N5508" t="str">
        <f t="shared" si="172"/>
        <v>2. 1-24 hours</v>
      </c>
      <c r="O5508" t="str">
        <f t="shared" si="173"/>
        <v>2025-12</v>
      </c>
    </row>
    <row r="5509" spans="1:15" x14ac:dyDescent="0.3">
      <c r="A5509" t="s">
        <v>12957</v>
      </c>
      <c r="B5509" t="s">
        <v>12958</v>
      </c>
      <c r="C5509" t="s">
        <v>53</v>
      </c>
      <c r="D5509" t="s">
        <v>54</v>
      </c>
      <c r="E5509" t="s">
        <v>45</v>
      </c>
      <c r="F5509" t="s">
        <v>94</v>
      </c>
      <c r="G5509">
        <v>4.46</v>
      </c>
      <c r="H5509" t="s">
        <v>138</v>
      </c>
      <c r="I5509" t="s">
        <v>48</v>
      </c>
      <c r="J5509" t="s">
        <v>49</v>
      </c>
      <c r="K5509">
        <v>586.47</v>
      </c>
      <c r="L5509" t="s">
        <v>12959</v>
      </c>
      <c r="M5509">
        <f>VLOOKUP(H5509,'Stage Order'!$A$2:$B$8,2,FALSE)</f>
        <v>6</v>
      </c>
      <c r="N5509" t="str">
        <f t="shared" si="172"/>
        <v>2. 1-24 hours</v>
      </c>
      <c r="O5509" t="str">
        <f t="shared" si="173"/>
        <v>2026-06</v>
      </c>
    </row>
    <row r="5510" spans="1:15" x14ac:dyDescent="0.3">
      <c r="A5510" t="s">
        <v>12960</v>
      </c>
      <c r="B5510" t="s">
        <v>12961</v>
      </c>
      <c r="C5510" t="s">
        <v>76</v>
      </c>
      <c r="D5510" t="s">
        <v>38</v>
      </c>
      <c r="E5510" t="s">
        <v>39</v>
      </c>
      <c r="F5510" t="s">
        <v>106</v>
      </c>
      <c r="G5510">
        <v>6.46</v>
      </c>
      <c r="H5510" t="s">
        <v>47</v>
      </c>
      <c r="I5510" t="s">
        <v>48</v>
      </c>
      <c r="J5510" t="s">
        <v>113</v>
      </c>
      <c r="K5510">
        <v>350.44</v>
      </c>
      <c r="L5510" t="s">
        <v>12962</v>
      </c>
      <c r="M5510">
        <f>VLOOKUP(H5510,'Stage Order'!$A$2:$B$8,2,FALSE)</f>
        <v>4</v>
      </c>
      <c r="N5510" t="str">
        <f t="shared" si="172"/>
        <v>2. 1-24 hours</v>
      </c>
      <c r="O5510" t="str">
        <f t="shared" si="173"/>
        <v>2025-05</v>
      </c>
    </row>
    <row r="5511" spans="1:15" x14ac:dyDescent="0.3">
      <c r="A5511" t="s">
        <v>12963</v>
      </c>
      <c r="B5511" t="s">
        <v>12964</v>
      </c>
      <c r="C5511" t="s">
        <v>81</v>
      </c>
      <c r="D5511" t="s">
        <v>77</v>
      </c>
      <c r="E5511" t="s">
        <v>59</v>
      </c>
      <c r="F5511" t="s">
        <v>60</v>
      </c>
      <c r="G5511">
        <v>1.93</v>
      </c>
      <c r="H5511" t="s">
        <v>128</v>
      </c>
      <c r="I5511" t="s">
        <v>42</v>
      </c>
      <c r="M5511">
        <f>VLOOKUP(H5511,'Stage Order'!$A$2:$B$8,2,FALSE)</f>
        <v>3</v>
      </c>
      <c r="N5511" t="str">
        <f t="shared" si="172"/>
        <v>2. 1-24 hours</v>
      </c>
      <c r="O5511" t="str">
        <f t="shared" si="173"/>
        <v>2025-12</v>
      </c>
    </row>
    <row r="5512" spans="1:15" x14ac:dyDescent="0.3">
      <c r="A5512" t="s">
        <v>12965</v>
      </c>
      <c r="B5512" t="s">
        <v>12966</v>
      </c>
      <c r="C5512" t="s">
        <v>37</v>
      </c>
      <c r="D5512" t="s">
        <v>29</v>
      </c>
      <c r="E5512" t="s">
        <v>39</v>
      </c>
      <c r="F5512" t="s">
        <v>40</v>
      </c>
      <c r="G5512">
        <v>1.0900000000000001</v>
      </c>
      <c r="H5512" t="s">
        <v>41</v>
      </c>
      <c r="I5512" t="s">
        <v>42</v>
      </c>
      <c r="M5512">
        <f>VLOOKUP(H5512,'Stage Order'!$A$2:$B$8,2,FALSE)</f>
        <v>2</v>
      </c>
      <c r="N5512" t="str">
        <f t="shared" si="172"/>
        <v>2. 1-24 hours</v>
      </c>
      <c r="O5512" t="str">
        <f t="shared" si="173"/>
        <v>2025-10</v>
      </c>
    </row>
    <row r="5513" spans="1:15" x14ac:dyDescent="0.3">
      <c r="A5513" t="s">
        <v>12967</v>
      </c>
      <c r="B5513" t="s">
        <v>12968</v>
      </c>
      <c r="C5513" t="s">
        <v>37</v>
      </c>
      <c r="D5513" t="s">
        <v>77</v>
      </c>
      <c r="E5513" t="s">
        <v>45</v>
      </c>
      <c r="F5513" t="s">
        <v>94</v>
      </c>
      <c r="G5513">
        <v>4.91</v>
      </c>
      <c r="H5513" t="s">
        <v>41</v>
      </c>
      <c r="I5513" t="s">
        <v>42</v>
      </c>
      <c r="M5513">
        <f>VLOOKUP(H5513,'Stage Order'!$A$2:$B$8,2,FALSE)</f>
        <v>2</v>
      </c>
      <c r="N5513" t="str">
        <f t="shared" si="172"/>
        <v>2. 1-24 hours</v>
      </c>
      <c r="O5513" t="str">
        <f t="shared" si="173"/>
        <v>2026-05</v>
      </c>
    </row>
    <row r="5514" spans="1:15" x14ac:dyDescent="0.3">
      <c r="A5514" t="s">
        <v>12969</v>
      </c>
      <c r="B5514" t="s">
        <v>12970</v>
      </c>
      <c r="C5514" t="s">
        <v>125</v>
      </c>
      <c r="D5514" t="s">
        <v>38</v>
      </c>
      <c r="E5514" t="s">
        <v>45</v>
      </c>
      <c r="F5514" t="s">
        <v>55</v>
      </c>
      <c r="G5514">
        <v>5.2</v>
      </c>
      <c r="H5514" t="s">
        <v>47</v>
      </c>
      <c r="I5514" t="s">
        <v>48</v>
      </c>
      <c r="J5514" t="s">
        <v>49</v>
      </c>
      <c r="K5514">
        <v>408.89</v>
      </c>
      <c r="L5514" t="s">
        <v>12971</v>
      </c>
      <c r="M5514">
        <f>VLOOKUP(H5514,'Stage Order'!$A$2:$B$8,2,FALSE)</f>
        <v>4</v>
      </c>
      <c r="N5514" t="str">
        <f t="shared" si="172"/>
        <v>2. 1-24 hours</v>
      </c>
      <c r="O5514" t="str">
        <f t="shared" si="173"/>
        <v>2025-06</v>
      </c>
    </row>
    <row r="5515" spans="1:15" x14ac:dyDescent="0.3">
      <c r="A5515" t="s">
        <v>12972</v>
      </c>
      <c r="B5515" t="s">
        <v>12973</v>
      </c>
      <c r="C5515" t="s">
        <v>125</v>
      </c>
      <c r="D5515" t="s">
        <v>77</v>
      </c>
      <c r="E5515" t="s">
        <v>45</v>
      </c>
      <c r="F5515" t="s">
        <v>94</v>
      </c>
      <c r="G5515">
        <v>1.04</v>
      </c>
      <c r="H5515" t="s">
        <v>41</v>
      </c>
      <c r="I5515" t="s">
        <v>42</v>
      </c>
      <c r="M5515">
        <f>VLOOKUP(H5515,'Stage Order'!$A$2:$B$8,2,FALSE)</f>
        <v>2</v>
      </c>
      <c r="N5515" t="str">
        <f t="shared" si="172"/>
        <v>2. 1-24 hours</v>
      </c>
      <c r="O5515" t="str">
        <f t="shared" si="173"/>
        <v>2025-01</v>
      </c>
    </row>
    <row r="5516" spans="1:15" x14ac:dyDescent="0.3">
      <c r="A5516" t="s">
        <v>12974</v>
      </c>
      <c r="B5516" t="s">
        <v>5768</v>
      </c>
      <c r="C5516" t="s">
        <v>58</v>
      </c>
      <c r="D5516" t="s">
        <v>77</v>
      </c>
      <c r="E5516" t="s">
        <v>39</v>
      </c>
      <c r="F5516" t="s">
        <v>66</v>
      </c>
      <c r="G5516">
        <v>1.19</v>
      </c>
      <c r="H5516" t="s">
        <v>61</v>
      </c>
      <c r="I5516" t="s">
        <v>42</v>
      </c>
      <c r="M5516">
        <f>VLOOKUP(H5516,'Stage Order'!$A$2:$B$8,2,FALSE)</f>
        <v>1</v>
      </c>
      <c r="N5516" t="str">
        <f t="shared" si="172"/>
        <v>2. 1-24 hours</v>
      </c>
      <c r="O5516" t="str">
        <f t="shared" si="173"/>
        <v>2025-01</v>
      </c>
    </row>
    <row r="5517" spans="1:15" x14ac:dyDescent="0.3">
      <c r="A5517" t="s">
        <v>12975</v>
      </c>
      <c r="B5517" t="s">
        <v>12976</v>
      </c>
      <c r="C5517" t="s">
        <v>28</v>
      </c>
      <c r="D5517" t="s">
        <v>77</v>
      </c>
      <c r="E5517" t="s">
        <v>90</v>
      </c>
      <c r="F5517" t="s">
        <v>112</v>
      </c>
      <c r="G5517">
        <v>16.52</v>
      </c>
      <c r="H5517" t="s">
        <v>41</v>
      </c>
      <c r="I5517" t="s">
        <v>42</v>
      </c>
      <c r="M5517">
        <f>VLOOKUP(H5517,'Stage Order'!$A$2:$B$8,2,FALSE)</f>
        <v>2</v>
      </c>
      <c r="N5517" t="str">
        <f t="shared" si="172"/>
        <v>2. 1-24 hours</v>
      </c>
      <c r="O5517" t="str">
        <f t="shared" si="173"/>
        <v>2025-10</v>
      </c>
    </row>
    <row r="5518" spans="1:15" x14ac:dyDescent="0.3">
      <c r="A5518" t="s">
        <v>12977</v>
      </c>
      <c r="B5518" t="s">
        <v>12978</v>
      </c>
      <c r="C5518" t="s">
        <v>28</v>
      </c>
      <c r="D5518" t="s">
        <v>54</v>
      </c>
      <c r="E5518" t="s">
        <v>39</v>
      </c>
      <c r="F5518" t="s">
        <v>66</v>
      </c>
      <c r="G5518">
        <v>4.12</v>
      </c>
      <c r="H5518" t="s">
        <v>41</v>
      </c>
      <c r="I5518" t="s">
        <v>42</v>
      </c>
      <c r="M5518">
        <f>VLOOKUP(H5518,'Stage Order'!$A$2:$B$8,2,FALSE)</f>
        <v>2</v>
      </c>
      <c r="N5518" t="str">
        <f t="shared" si="172"/>
        <v>2. 1-24 hours</v>
      </c>
      <c r="O5518" t="str">
        <f t="shared" si="173"/>
        <v>2025-12</v>
      </c>
    </row>
    <row r="5519" spans="1:15" x14ac:dyDescent="0.3">
      <c r="A5519" t="s">
        <v>12979</v>
      </c>
      <c r="B5519" t="s">
        <v>12980</v>
      </c>
      <c r="C5519" t="s">
        <v>37</v>
      </c>
      <c r="D5519" t="s">
        <v>38</v>
      </c>
      <c r="E5519" t="s">
        <v>45</v>
      </c>
      <c r="F5519" t="s">
        <v>46</v>
      </c>
      <c r="G5519">
        <v>11.9</v>
      </c>
      <c r="H5519" t="s">
        <v>61</v>
      </c>
      <c r="I5519" t="s">
        <v>42</v>
      </c>
      <c r="M5519">
        <f>VLOOKUP(H5519,'Stage Order'!$A$2:$B$8,2,FALSE)</f>
        <v>1</v>
      </c>
      <c r="N5519" t="str">
        <f t="shared" si="172"/>
        <v>2. 1-24 hours</v>
      </c>
      <c r="O5519" t="str">
        <f t="shared" si="173"/>
        <v>2025-06</v>
      </c>
    </row>
    <row r="5520" spans="1:15" x14ac:dyDescent="0.3">
      <c r="A5520" t="s">
        <v>12981</v>
      </c>
      <c r="B5520" t="s">
        <v>12982</v>
      </c>
      <c r="C5520" t="s">
        <v>58</v>
      </c>
      <c r="D5520" t="s">
        <v>54</v>
      </c>
      <c r="E5520" t="s">
        <v>30</v>
      </c>
      <c r="F5520" t="s">
        <v>78</v>
      </c>
      <c r="G5520">
        <v>13.96</v>
      </c>
      <c r="H5520" t="s">
        <v>61</v>
      </c>
      <c r="I5520" t="s">
        <v>42</v>
      </c>
      <c r="M5520">
        <f>VLOOKUP(H5520,'Stage Order'!$A$2:$B$8,2,FALSE)</f>
        <v>1</v>
      </c>
      <c r="N5520" t="str">
        <f t="shared" si="172"/>
        <v>2. 1-24 hours</v>
      </c>
      <c r="O5520" t="str">
        <f t="shared" si="173"/>
        <v>2026-03</v>
      </c>
    </row>
    <row r="5521" spans="1:15" x14ac:dyDescent="0.3">
      <c r="A5521" t="s">
        <v>12983</v>
      </c>
      <c r="B5521" t="s">
        <v>12984</v>
      </c>
      <c r="C5521" t="s">
        <v>58</v>
      </c>
      <c r="D5521" t="s">
        <v>29</v>
      </c>
      <c r="E5521" t="s">
        <v>45</v>
      </c>
      <c r="F5521" t="s">
        <v>94</v>
      </c>
      <c r="G5521">
        <v>10.58</v>
      </c>
      <c r="H5521" t="s">
        <v>61</v>
      </c>
      <c r="I5521" t="s">
        <v>42</v>
      </c>
      <c r="M5521">
        <f>VLOOKUP(H5521,'Stage Order'!$A$2:$B$8,2,FALSE)</f>
        <v>1</v>
      </c>
      <c r="N5521" t="str">
        <f t="shared" si="172"/>
        <v>2. 1-24 hours</v>
      </c>
      <c r="O5521" t="str">
        <f t="shared" si="173"/>
        <v>2025-06</v>
      </c>
    </row>
    <row r="5522" spans="1:15" x14ac:dyDescent="0.3">
      <c r="A5522" t="s">
        <v>12985</v>
      </c>
      <c r="B5522" t="s">
        <v>12986</v>
      </c>
      <c r="C5522" t="s">
        <v>28</v>
      </c>
      <c r="D5522" t="s">
        <v>38</v>
      </c>
      <c r="E5522" t="s">
        <v>90</v>
      </c>
      <c r="F5522" t="s">
        <v>145</v>
      </c>
      <c r="G5522">
        <v>9.0299999999999994</v>
      </c>
      <c r="H5522" t="s">
        <v>41</v>
      </c>
      <c r="I5522" t="s">
        <v>42</v>
      </c>
      <c r="M5522">
        <f>VLOOKUP(H5522,'Stage Order'!$A$2:$B$8,2,FALSE)</f>
        <v>2</v>
      </c>
      <c r="N5522" t="str">
        <f t="shared" si="172"/>
        <v>2. 1-24 hours</v>
      </c>
      <c r="O5522" t="str">
        <f t="shared" si="173"/>
        <v>2026-04</v>
      </c>
    </row>
    <row r="5523" spans="1:15" x14ac:dyDescent="0.3">
      <c r="A5523" t="s">
        <v>12987</v>
      </c>
      <c r="B5523" t="s">
        <v>12988</v>
      </c>
      <c r="C5523" t="s">
        <v>37</v>
      </c>
      <c r="D5523" t="s">
        <v>38</v>
      </c>
      <c r="E5523" t="s">
        <v>39</v>
      </c>
      <c r="F5523" t="s">
        <v>106</v>
      </c>
      <c r="G5523">
        <v>0.82</v>
      </c>
      <c r="H5523" t="s">
        <v>32</v>
      </c>
      <c r="I5523" t="s">
        <v>33</v>
      </c>
      <c r="K5523">
        <v>357.41</v>
      </c>
      <c r="L5523" t="s">
        <v>12989</v>
      </c>
      <c r="M5523">
        <f>VLOOKUP(H5523,'Stage Order'!$A$2:$B$8,2,FALSE)</f>
        <v>7</v>
      </c>
      <c r="N5523" t="str">
        <f t="shared" si="172"/>
        <v>1. Under 1 hour</v>
      </c>
      <c r="O5523" t="str">
        <f t="shared" si="173"/>
        <v>2025-01</v>
      </c>
    </row>
    <row r="5524" spans="1:15" x14ac:dyDescent="0.3">
      <c r="A5524" t="s">
        <v>12990</v>
      </c>
      <c r="B5524" t="s">
        <v>12991</v>
      </c>
      <c r="C5524" t="s">
        <v>81</v>
      </c>
      <c r="D5524" t="s">
        <v>38</v>
      </c>
      <c r="E5524" t="s">
        <v>39</v>
      </c>
      <c r="F5524" t="s">
        <v>40</v>
      </c>
      <c r="G5524">
        <v>3.02</v>
      </c>
      <c r="H5524" t="s">
        <v>61</v>
      </c>
      <c r="I5524" t="s">
        <v>42</v>
      </c>
      <c r="M5524">
        <f>VLOOKUP(H5524,'Stage Order'!$A$2:$B$8,2,FALSE)</f>
        <v>1</v>
      </c>
      <c r="N5524" t="str">
        <f t="shared" si="172"/>
        <v>2. 1-24 hours</v>
      </c>
      <c r="O5524" t="str">
        <f t="shared" si="173"/>
        <v>2026-02</v>
      </c>
    </row>
    <row r="5525" spans="1:15" x14ac:dyDescent="0.3">
      <c r="A5525" t="s">
        <v>12992</v>
      </c>
      <c r="B5525" t="s">
        <v>12993</v>
      </c>
      <c r="C5525" t="s">
        <v>53</v>
      </c>
      <c r="D5525" t="s">
        <v>54</v>
      </c>
      <c r="E5525" t="s">
        <v>39</v>
      </c>
      <c r="F5525" t="s">
        <v>40</v>
      </c>
      <c r="G5525">
        <v>4.13</v>
      </c>
      <c r="H5525" t="s">
        <v>41</v>
      </c>
      <c r="I5525" t="s">
        <v>42</v>
      </c>
      <c r="M5525">
        <f>VLOOKUP(H5525,'Stage Order'!$A$2:$B$8,2,FALSE)</f>
        <v>2</v>
      </c>
      <c r="N5525" t="str">
        <f t="shared" si="172"/>
        <v>2. 1-24 hours</v>
      </c>
      <c r="O5525" t="str">
        <f t="shared" si="173"/>
        <v>2025-04</v>
      </c>
    </row>
    <row r="5526" spans="1:15" x14ac:dyDescent="0.3">
      <c r="A5526" t="s">
        <v>12994</v>
      </c>
      <c r="B5526" t="s">
        <v>12995</v>
      </c>
      <c r="C5526" t="s">
        <v>53</v>
      </c>
      <c r="D5526" t="s">
        <v>54</v>
      </c>
      <c r="E5526" t="s">
        <v>45</v>
      </c>
      <c r="F5526" t="s">
        <v>46</v>
      </c>
      <c r="G5526">
        <v>5.47</v>
      </c>
      <c r="H5526" t="s">
        <v>32</v>
      </c>
      <c r="I5526" t="s">
        <v>33</v>
      </c>
      <c r="K5526">
        <v>554.62</v>
      </c>
      <c r="L5526" t="s">
        <v>12996</v>
      </c>
      <c r="M5526">
        <f>VLOOKUP(H5526,'Stage Order'!$A$2:$B$8,2,FALSE)</f>
        <v>7</v>
      </c>
      <c r="N5526" t="str">
        <f t="shared" si="172"/>
        <v>2. 1-24 hours</v>
      </c>
      <c r="O5526" t="str">
        <f t="shared" si="173"/>
        <v>2025-11</v>
      </c>
    </row>
    <row r="5527" spans="1:15" x14ac:dyDescent="0.3">
      <c r="A5527" t="s">
        <v>12997</v>
      </c>
      <c r="B5527" t="s">
        <v>12998</v>
      </c>
      <c r="C5527" t="s">
        <v>37</v>
      </c>
      <c r="D5527" t="s">
        <v>77</v>
      </c>
      <c r="E5527" t="s">
        <v>90</v>
      </c>
      <c r="F5527" t="s">
        <v>91</v>
      </c>
      <c r="G5527">
        <v>29.69</v>
      </c>
      <c r="H5527" t="s">
        <v>47</v>
      </c>
      <c r="I5527" t="s">
        <v>48</v>
      </c>
      <c r="J5527" t="s">
        <v>98</v>
      </c>
      <c r="K5527">
        <v>1055.05</v>
      </c>
      <c r="L5527" t="s">
        <v>12999</v>
      </c>
      <c r="M5527">
        <f>VLOOKUP(H5527,'Stage Order'!$A$2:$B$8,2,FALSE)</f>
        <v>4</v>
      </c>
      <c r="N5527" t="str">
        <f t="shared" si="172"/>
        <v>3. 1-3 days</v>
      </c>
      <c r="O5527" t="str">
        <f t="shared" si="173"/>
        <v>2025-10</v>
      </c>
    </row>
    <row r="5528" spans="1:15" x14ac:dyDescent="0.3">
      <c r="A5528" t="s">
        <v>13000</v>
      </c>
      <c r="B5528" t="s">
        <v>13001</v>
      </c>
      <c r="C5528" t="s">
        <v>58</v>
      </c>
      <c r="D5528" t="s">
        <v>77</v>
      </c>
      <c r="E5528" t="s">
        <v>45</v>
      </c>
      <c r="F5528" t="s">
        <v>94</v>
      </c>
      <c r="G5528">
        <v>1.86</v>
      </c>
      <c r="H5528" t="s">
        <v>61</v>
      </c>
      <c r="I5528" t="s">
        <v>42</v>
      </c>
      <c r="M5528">
        <f>VLOOKUP(H5528,'Stage Order'!$A$2:$B$8,2,FALSE)</f>
        <v>1</v>
      </c>
      <c r="N5528" t="str">
        <f t="shared" si="172"/>
        <v>2. 1-24 hours</v>
      </c>
      <c r="O5528" t="str">
        <f t="shared" si="173"/>
        <v>2026-04</v>
      </c>
    </row>
    <row r="5529" spans="1:15" x14ac:dyDescent="0.3">
      <c r="A5529" t="s">
        <v>13002</v>
      </c>
      <c r="B5529" t="s">
        <v>13003</v>
      </c>
      <c r="C5529" t="s">
        <v>53</v>
      </c>
      <c r="D5529" t="s">
        <v>29</v>
      </c>
      <c r="E5529" t="s">
        <v>39</v>
      </c>
      <c r="F5529" t="s">
        <v>66</v>
      </c>
      <c r="G5529">
        <v>3.06</v>
      </c>
      <c r="H5529" t="s">
        <v>32</v>
      </c>
      <c r="I5529" t="s">
        <v>33</v>
      </c>
      <c r="K5529">
        <v>604.64</v>
      </c>
      <c r="L5529" t="s">
        <v>13004</v>
      </c>
      <c r="M5529">
        <f>VLOOKUP(H5529,'Stage Order'!$A$2:$B$8,2,FALSE)</f>
        <v>7</v>
      </c>
      <c r="N5529" t="str">
        <f t="shared" si="172"/>
        <v>2. 1-24 hours</v>
      </c>
      <c r="O5529" t="str">
        <f t="shared" si="173"/>
        <v>2025-10</v>
      </c>
    </row>
    <row r="5530" spans="1:15" x14ac:dyDescent="0.3">
      <c r="A5530" t="s">
        <v>13005</v>
      </c>
      <c r="B5530" t="s">
        <v>13006</v>
      </c>
      <c r="C5530" t="s">
        <v>81</v>
      </c>
      <c r="D5530" t="s">
        <v>97</v>
      </c>
      <c r="E5530" t="s">
        <v>30</v>
      </c>
      <c r="F5530" t="s">
        <v>78</v>
      </c>
      <c r="G5530">
        <v>11.11</v>
      </c>
      <c r="H5530" t="s">
        <v>61</v>
      </c>
      <c r="I5530" t="s">
        <v>42</v>
      </c>
      <c r="M5530">
        <f>VLOOKUP(H5530,'Stage Order'!$A$2:$B$8,2,FALSE)</f>
        <v>1</v>
      </c>
      <c r="N5530" t="str">
        <f t="shared" si="172"/>
        <v>2. 1-24 hours</v>
      </c>
      <c r="O5530" t="str">
        <f t="shared" si="173"/>
        <v>2025-11</v>
      </c>
    </row>
    <row r="5531" spans="1:15" x14ac:dyDescent="0.3">
      <c r="A5531" t="s">
        <v>13007</v>
      </c>
      <c r="B5531" t="s">
        <v>13008</v>
      </c>
      <c r="C5531" t="s">
        <v>37</v>
      </c>
      <c r="D5531" t="s">
        <v>97</v>
      </c>
      <c r="E5531" t="s">
        <v>39</v>
      </c>
      <c r="F5531" t="s">
        <v>66</v>
      </c>
      <c r="G5531">
        <v>5.14</v>
      </c>
      <c r="H5531" t="s">
        <v>32</v>
      </c>
      <c r="I5531" t="s">
        <v>33</v>
      </c>
      <c r="K5531">
        <v>1426.72</v>
      </c>
      <c r="L5531" t="s">
        <v>13009</v>
      </c>
      <c r="M5531">
        <f>VLOOKUP(H5531,'Stage Order'!$A$2:$B$8,2,FALSE)</f>
        <v>7</v>
      </c>
      <c r="N5531" t="str">
        <f t="shared" si="172"/>
        <v>2. 1-24 hours</v>
      </c>
      <c r="O5531" t="str">
        <f t="shared" si="173"/>
        <v>2025-01</v>
      </c>
    </row>
    <row r="5532" spans="1:15" x14ac:dyDescent="0.3">
      <c r="A5532" t="s">
        <v>13010</v>
      </c>
      <c r="B5532" t="s">
        <v>13011</v>
      </c>
      <c r="C5532" t="s">
        <v>58</v>
      </c>
      <c r="D5532" t="s">
        <v>77</v>
      </c>
      <c r="E5532" t="s">
        <v>45</v>
      </c>
      <c r="F5532" t="s">
        <v>46</v>
      </c>
      <c r="G5532">
        <v>1.69</v>
      </c>
      <c r="H5532" t="s">
        <v>61</v>
      </c>
      <c r="I5532" t="s">
        <v>42</v>
      </c>
      <c r="M5532">
        <f>VLOOKUP(H5532,'Stage Order'!$A$2:$B$8,2,FALSE)</f>
        <v>1</v>
      </c>
      <c r="N5532" t="str">
        <f t="shared" si="172"/>
        <v>2. 1-24 hours</v>
      </c>
      <c r="O5532" t="str">
        <f t="shared" si="173"/>
        <v>2025-09</v>
      </c>
    </row>
    <row r="5533" spans="1:15" x14ac:dyDescent="0.3">
      <c r="A5533" t="s">
        <v>13012</v>
      </c>
      <c r="B5533" t="s">
        <v>13013</v>
      </c>
      <c r="C5533" t="s">
        <v>125</v>
      </c>
      <c r="D5533" t="s">
        <v>54</v>
      </c>
      <c r="E5533" t="s">
        <v>39</v>
      </c>
      <c r="F5533" t="s">
        <v>40</v>
      </c>
      <c r="G5533">
        <v>2.52</v>
      </c>
      <c r="H5533" t="s">
        <v>61</v>
      </c>
      <c r="I5533" t="s">
        <v>42</v>
      </c>
      <c r="M5533">
        <f>VLOOKUP(H5533,'Stage Order'!$A$2:$B$8,2,FALSE)</f>
        <v>1</v>
      </c>
      <c r="N5533" t="str">
        <f t="shared" si="172"/>
        <v>2. 1-24 hours</v>
      </c>
      <c r="O5533" t="str">
        <f t="shared" si="173"/>
        <v>2026-05</v>
      </c>
    </row>
    <row r="5534" spans="1:15" x14ac:dyDescent="0.3">
      <c r="A5534" t="s">
        <v>13014</v>
      </c>
      <c r="B5534" t="s">
        <v>13015</v>
      </c>
      <c r="C5534" t="s">
        <v>37</v>
      </c>
      <c r="D5534" t="s">
        <v>97</v>
      </c>
      <c r="E5534" t="s">
        <v>45</v>
      </c>
      <c r="F5534" t="s">
        <v>94</v>
      </c>
      <c r="G5534">
        <v>4.25</v>
      </c>
      <c r="H5534" t="s">
        <v>138</v>
      </c>
      <c r="I5534" t="s">
        <v>48</v>
      </c>
      <c r="J5534" t="s">
        <v>742</v>
      </c>
      <c r="K5534">
        <v>1376.18</v>
      </c>
      <c r="L5534" t="s">
        <v>13016</v>
      </c>
      <c r="M5534">
        <f>VLOOKUP(H5534,'Stage Order'!$A$2:$B$8,2,FALSE)</f>
        <v>6</v>
      </c>
      <c r="N5534" t="str">
        <f t="shared" si="172"/>
        <v>2. 1-24 hours</v>
      </c>
      <c r="O5534" t="str">
        <f t="shared" si="173"/>
        <v>2026-04</v>
      </c>
    </row>
    <row r="5535" spans="1:15" x14ac:dyDescent="0.3">
      <c r="A5535" t="s">
        <v>13017</v>
      </c>
      <c r="B5535" t="s">
        <v>13018</v>
      </c>
      <c r="C5535" t="s">
        <v>53</v>
      </c>
      <c r="D5535" t="s">
        <v>29</v>
      </c>
      <c r="E5535" t="s">
        <v>39</v>
      </c>
      <c r="F5535" t="s">
        <v>40</v>
      </c>
      <c r="G5535">
        <v>2.2599999999999998</v>
      </c>
      <c r="H5535" t="s">
        <v>32</v>
      </c>
      <c r="I5535" t="s">
        <v>33</v>
      </c>
      <c r="K5535">
        <v>676.22</v>
      </c>
      <c r="L5535" t="s">
        <v>13019</v>
      </c>
      <c r="M5535">
        <f>VLOOKUP(H5535,'Stage Order'!$A$2:$B$8,2,FALSE)</f>
        <v>7</v>
      </c>
      <c r="N5535" t="str">
        <f t="shared" si="172"/>
        <v>2. 1-24 hours</v>
      </c>
      <c r="O5535" t="str">
        <f t="shared" si="173"/>
        <v>2025-11</v>
      </c>
    </row>
    <row r="5536" spans="1:15" x14ac:dyDescent="0.3">
      <c r="A5536" t="s">
        <v>13020</v>
      </c>
      <c r="B5536" t="s">
        <v>13021</v>
      </c>
      <c r="C5536" t="s">
        <v>37</v>
      </c>
      <c r="D5536" t="s">
        <v>29</v>
      </c>
      <c r="E5536" t="s">
        <v>45</v>
      </c>
      <c r="F5536" t="s">
        <v>55</v>
      </c>
      <c r="G5536">
        <v>6.58</v>
      </c>
      <c r="H5536" t="s">
        <v>41</v>
      </c>
      <c r="I5536" t="s">
        <v>42</v>
      </c>
      <c r="M5536">
        <f>VLOOKUP(H5536,'Stage Order'!$A$2:$B$8,2,FALSE)</f>
        <v>2</v>
      </c>
      <c r="N5536" t="str">
        <f t="shared" si="172"/>
        <v>2. 1-24 hours</v>
      </c>
      <c r="O5536" t="str">
        <f t="shared" si="173"/>
        <v>2025-09</v>
      </c>
    </row>
    <row r="5537" spans="1:15" x14ac:dyDescent="0.3">
      <c r="A5537" t="s">
        <v>13022</v>
      </c>
      <c r="B5537" t="s">
        <v>13023</v>
      </c>
      <c r="C5537" t="s">
        <v>53</v>
      </c>
      <c r="D5537" t="s">
        <v>97</v>
      </c>
      <c r="E5537" t="s">
        <v>45</v>
      </c>
      <c r="F5537" t="s">
        <v>46</v>
      </c>
      <c r="G5537">
        <v>0.88</v>
      </c>
      <c r="H5537" t="s">
        <v>41</v>
      </c>
      <c r="I5537" t="s">
        <v>42</v>
      </c>
      <c r="M5537">
        <f>VLOOKUP(H5537,'Stage Order'!$A$2:$B$8,2,FALSE)</f>
        <v>2</v>
      </c>
      <c r="N5537" t="str">
        <f t="shared" si="172"/>
        <v>1. Under 1 hour</v>
      </c>
      <c r="O5537" t="str">
        <f t="shared" si="173"/>
        <v>2025-03</v>
      </c>
    </row>
    <row r="5538" spans="1:15" x14ac:dyDescent="0.3">
      <c r="A5538" t="s">
        <v>13024</v>
      </c>
      <c r="B5538" t="s">
        <v>13025</v>
      </c>
      <c r="C5538" t="s">
        <v>37</v>
      </c>
      <c r="D5538" t="s">
        <v>54</v>
      </c>
      <c r="E5538" t="s">
        <v>45</v>
      </c>
      <c r="F5538" t="s">
        <v>94</v>
      </c>
      <c r="G5538">
        <v>5.09</v>
      </c>
      <c r="H5538" t="s">
        <v>138</v>
      </c>
      <c r="I5538" t="s">
        <v>48</v>
      </c>
      <c r="J5538" t="s">
        <v>49</v>
      </c>
      <c r="K5538">
        <v>522.53</v>
      </c>
      <c r="L5538" t="s">
        <v>13026</v>
      </c>
      <c r="M5538">
        <f>VLOOKUP(H5538,'Stage Order'!$A$2:$B$8,2,FALSE)</f>
        <v>6</v>
      </c>
      <c r="N5538" t="str">
        <f t="shared" si="172"/>
        <v>2. 1-24 hours</v>
      </c>
      <c r="O5538" t="str">
        <f t="shared" si="173"/>
        <v>2025-07</v>
      </c>
    </row>
    <row r="5539" spans="1:15" x14ac:dyDescent="0.3">
      <c r="A5539" t="s">
        <v>13027</v>
      </c>
      <c r="B5539" t="s">
        <v>13028</v>
      </c>
      <c r="C5539" t="s">
        <v>53</v>
      </c>
      <c r="D5539" t="s">
        <v>38</v>
      </c>
      <c r="E5539" t="s">
        <v>45</v>
      </c>
      <c r="F5539" t="s">
        <v>94</v>
      </c>
      <c r="G5539">
        <v>0.49</v>
      </c>
      <c r="H5539" t="s">
        <v>41</v>
      </c>
      <c r="I5539" t="s">
        <v>42</v>
      </c>
      <c r="M5539">
        <f>VLOOKUP(H5539,'Stage Order'!$A$2:$B$8,2,FALSE)</f>
        <v>2</v>
      </c>
      <c r="N5539" t="str">
        <f t="shared" si="172"/>
        <v>1. Under 1 hour</v>
      </c>
      <c r="O5539" t="str">
        <f t="shared" si="173"/>
        <v>2025-12</v>
      </c>
    </row>
    <row r="5540" spans="1:15" x14ac:dyDescent="0.3">
      <c r="A5540" t="s">
        <v>13029</v>
      </c>
      <c r="B5540" t="s">
        <v>13030</v>
      </c>
      <c r="C5540" t="s">
        <v>28</v>
      </c>
      <c r="D5540" t="s">
        <v>54</v>
      </c>
      <c r="E5540" t="s">
        <v>39</v>
      </c>
      <c r="F5540" t="s">
        <v>66</v>
      </c>
      <c r="G5540">
        <v>1.23</v>
      </c>
      <c r="H5540" t="s">
        <v>32</v>
      </c>
      <c r="I5540" t="s">
        <v>33</v>
      </c>
      <c r="K5540">
        <v>492.26</v>
      </c>
      <c r="L5540" t="s">
        <v>13031</v>
      </c>
      <c r="M5540">
        <f>VLOOKUP(H5540,'Stage Order'!$A$2:$B$8,2,FALSE)</f>
        <v>7</v>
      </c>
      <c r="N5540" t="str">
        <f t="shared" si="172"/>
        <v>2. 1-24 hours</v>
      </c>
      <c r="O5540" t="str">
        <f t="shared" si="173"/>
        <v>2025-06</v>
      </c>
    </row>
    <row r="5541" spans="1:15" x14ac:dyDescent="0.3">
      <c r="A5541" t="s">
        <v>13032</v>
      </c>
      <c r="B5541" t="s">
        <v>13033</v>
      </c>
      <c r="C5541" t="s">
        <v>81</v>
      </c>
      <c r="D5541" t="s">
        <v>77</v>
      </c>
      <c r="E5541" t="s">
        <v>90</v>
      </c>
      <c r="F5541" t="s">
        <v>145</v>
      </c>
      <c r="G5541">
        <v>0.9</v>
      </c>
      <c r="H5541" t="s">
        <v>61</v>
      </c>
      <c r="I5541" t="s">
        <v>42</v>
      </c>
      <c r="M5541">
        <f>VLOOKUP(H5541,'Stage Order'!$A$2:$B$8,2,FALSE)</f>
        <v>1</v>
      </c>
      <c r="N5541" t="str">
        <f t="shared" si="172"/>
        <v>1. Under 1 hour</v>
      </c>
      <c r="O5541" t="str">
        <f t="shared" si="173"/>
        <v>2026-03</v>
      </c>
    </row>
    <row r="5542" spans="1:15" x14ac:dyDescent="0.3">
      <c r="A5542" t="s">
        <v>13034</v>
      </c>
      <c r="B5542" t="s">
        <v>13035</v>
      </c>
      <c r="C5542" t="s">
        <v>53</v>
      </c>
      <c r="D5542" t="s">
        <v>38</v>
      </c>
      <c r="E5542" t="s">
        <v>45</v>
      </c>
      <c r="F5542" t="s">
        <v>94</v>
      </c>
      <c r="G5542">
        <v>4.38</v>
      </c>
      <c r="H5542" t="s">
        <v>138</v>
      </c>
      <c r="I5542" t="s">
        <v>48</v>
      </c>
      <c r="J5542" t="s">
        <v>98</v>
      </c>
      <c r="K5542">
        <v>362.7</v>
      </c>
      <c r="L5542" t="s">
        <v>13036</v>
      </c>
      <c r="M5542">
        <f>VLOOKUP(H5542,'Stage Order'!$A$2:$B$8,2,FALSE)</f>
        <v>6</v>
      </c>
      <c r="N5542" t="str">
        <f t="shared" si="172"/>
        <v>2. 1-24 hours</v>
      </c>
      <c r="O5542" t="str">
        <f t="shared" si="173"/>
        <v>2026-01</v>
      </c>
    </row>
    <row r="5543" spans="1:15" x14ac:dyDescent="0.3">
      <c r="A5543" t="s">
        <v>13037</v>
      </c>
      <c r="B5543" t="s">
        <v>13038</v>
      </c>
      <c r="C5543" t="s">
        <v>37</v>
      </c>
      <c r="D5543" t="s">
        <v>29</v>
      </c>
      <c r="E5543" t="s">
        <v>90</v>
      </c>
      <c r="F5543" t="s">
        <v>145</v>
      </c>
      <c r="G5543">
        <v>1</v>
      </c>
      <c r="H5543" t="s">
        <v>47</v>
      </c>
      <c r="I5543" t="s">
        <v>48</v>
      </c>
      <c r="J5543" t="s">
        <v>49</v>
      </c>
      <c r="K5543">
        <v>756.22</v>
      </c>
      <c r="L5543" t="s">
        <v>13039</v>
      </c>
      <c r="M5543">
        <f>VLOOKUP(H5543,'Stage Order'!$A$2:$B$8,2,FALSE)</f>
        <v>4</v>
      </c>
      <c r="N5543" t="str">
        <f t="shared" si="172"/>
        <v>1. Under 1 hour</v>
      </c>
      <c r="O5543" t="str">
        <f t="shared" si="173"/>
        <v>2025-02</v>
      </c>
    </row>
    <row r="5544" spans="1:15" x14ac:dyDescent="0.3">
      <c r="A5544" t="s">
        <v>13040</v>
      </c>
      <c r="B5544" t="s">
        <v>13041</v>
      </c>
      <c r="C5544" t="s">
        <v>53</v>
      </c>
      <c r="D5544" t="s">
        <v>77</v>
      </c>
      <c r="E5544" t="s">
        <v>90</v>
      </c>
      <c r="F5544" t="s">
        <v>145</v>
      </c>
      <c r="G5544">
        <v>4.1399999999999997</v>
      </c>
      <c r="H5544" t="s">
        <v>138</v>
      </c>
      <c r="I5544" t="s">
        <v>48</v>
      </c>
      <c r="J5544" t="s">
        <v>98</v>
      </c>
      <c r="K5544">
        <v>907.52</v>
      </c>
      <c r="L5544" t="s">
        <v>13042</v>
      </c>
      <c r="M5544">
        <f>VLOOKUP(H5544,'Stage Order'!$A$2:$B$8,2,FALSE)</f>
        <v>6</v>
      </c>
      <c r="N5544" t="str">
        <f t="shared" si="172"/>
        <v>2. 1-24 hours</v>
      </c>
      <c r="O5544" t="str">
        <f t="shared" si="173"/>
        <v>2025-04</v>
      </c>
    </row>
    <row r="5545" spans="1:15" x14ac:dyDescent="0.3">
      <c r="A5545" t="s">
        <v>13043</v>
      </c>
      <c r="B5545" t="s">
        <v>13044</v>
      </c>
      <c r="C5545" t="s">
        <v>28</v>
      </c>
      <c r="D5545" t="s">
        <v>77</v>
      </c>
      <c r="E5545" t="s">
        <v>59</v>
      </c>
      <c r="F5545" t="s">
        <v>117</v>
      </c>
      <c r="G5545">
        <v>17.14</v>
      </c>
      <c r="H5545" t="s">
        <v>41</v>
      </c>
      <c r="I5545" t="s">
        <v>42</v>
      </c>
      <c r="M5545">
        <f>VLOOKUP(H5545,'Stage Order'!$A$2:$B$8,2,FALSE)</f>
        <v>2</v>
      </c>
      <c r="N5545" t="str">
        <f t="shared" si="172"/>
        <v>2. 1-24 hours</v>
      </c>
      <c r="O5545" t="str">
        <f t="shared" si="173"/>
        <v>2026-01</v>
      </c>
    </row>
    <row r="5546" spans="1:15" x14ac:dyDescent="0.3">
      <c r="A5546" t="s">
        <v>13045</v>
      </c>
      <c r="B5546" t="s">
        <v>13046</v>
      </c>
      <c r="C5546" t="s">
        <v>37</v>
      </c>
      <c r="D5546" t="s">
        <v>54</v>
      </c>
      <c r="E5546" t="s">
        <v>30</v>
      </c>
      <c r="F5546" t="s">
        <v>78</v>
      </c>
      <c r="G5546">
        <v>4.45</v>
      </c>
      <c r="H5546" t="s">
        <v>61</v>
      </c>
      <c r="I5546" t="s">
        <v>42</v>
      </c>
      <c r="M5546">
        <f>VLOOKUP(H5546,'Stage Order'!$A$2:$B$8,2,FALSE)</f>
        <v>1</v>
      </c>
      <c r="N5546" t="str">
        <f t="shared" si="172"/>
        <v>2. 1-24 hours</v>
      </c>
      <c r="O5546" t="str">
        <f t="shared" si="173"/>
        <v>2025-09</v>
      </c>
    </row>
    <row r="5547" spans="1:15" x14ac:dyDescent="0.3">
      <c r="A5547" t="s">
        <v>13047</v>
      </c>
      <c r="B5547" t="s">
        <v>13048</v>
      </c>
      <c r="C5547" t="s">
        <v>58</v>
      </c>
      <c r="D5547" t="s">
        <v>38</v>
      </c>
      <c r="E5547" t="s">
        <v>45</v>
      </c>
      <c r="F5547" t="s">
        <v>55</v>
      </c>
      <c r="G5547">
        <v>0.57999999999999996</v>
      </c>
      <c r="H5547" t="s">
        <v>41</v>
      </c>
      <c r="I5547" t="s">
        <v>42</v>
      </c>
      <c r="M5547">
        <f>VLOOKUP(H5547,'Stage Order'!$A$2:$B$8,2,FALSE)</f>
        <v>2</v>
      </c>
      <c r="N5547" t="str">
        <f t="shared" si="172"/>
        <v>1. Under 1 hour</v>
      </c>
      <c r="O5547" t="str">
        <f t="shared" si="173"/>
        <v>2025-06</v>
      </c>
    </row>
    <row r="5548" spans="1:15" x14ac:dyDescent="0.3">
      <c r="A5548" t="s">
        <v>13049</v>
      </c>
      <c r="B5548" t="s">
        <v>13050</v>
      </c>
      <c r="C5548" t="s">
        <v>81</v>
      </c>
      <c r="D5548" t="s">
        <v>29</v>
      </c>
      <c r="E5548" t="s">
        <v>59</v>
      </c>
      <c r="F5548" t="s">
        <v>137</v>
      </c>
      <c r="G5548">
        <v>5.18</v>
      </c>
      <c r="H5548" t="s">
        <v>41</v>
      </c>
      <c r="I5548" t="s">
        <v>42</v>
      </c>
      <c r="M5548">
        <f>VLOOKUP(H5548,'Stage Order'!$A$2:$B$8,2,FALSE)</f>
        <v>2</v>
      </c>
      <c r="N5548" t="str">
        <f t="shared" si="172"/>
        <v>2. 1-24 hours</v>
      </c>
      <c r="O5548" t="str">
        <f t="shared" si="173"/>
        <v>2026-05</v>
      </c>
    </row>
    <row r="5549" spans="1:15" x14ac:dyDescent="0.3">
      <c r="A5549" t="s">
        <v>13051</v>
      </c>
      <c r="B5549" t="s">
        <v>13052</v>
      </c>
      <c r="C5549" t="s">
        <v>81</v>
      </c>
      <c r="D5549" t="s">
        <v>29</v>
      </c>
      <c r="E5549" t="s">
        <v>30</v>
      </c>
      <c r="F5549" t="s">
        <v>78</v>
      </c>
      <c r="G5549">
        <v>3.67</v>
      </c>
      <c r="H5549" t="s">
        <v>61</v>
      </c>
      <c r="I5549" t="s">
        <v>42</v>
      </c>
      <c r="M5549">
        <f>VLOOKUP(H5549,'Stage Order'!$A$2:$B$8,2,FALSE)</f>
        <v>1</v>
      </c>
      <c r="N5549" t="str">
        <f t="shared" si="172"/>
        <v>2. 1-24 hours</v>
      </c>
      <c r="O5549" t="str">
        <f t="shared" si="173"/>
        <v>2026-03</v>
      </c>
    </row>
    <row r="5550" spans="1:15" x14ac:dyDescent="0.3">
      <c r="A5550" t="s">
        <v>13053</v>
      </c>
      <c r="B5550" t="s">
        <v>13054</v>
      </c>
      <c r="C5550" t="s">
        <v>81</v>
      </c>
      <c r="D5550" t="s">
        <v>29</v>
      </c>
      <c r="E5550" t="s">
        <v>30</v>
      </c>
      <c r="F5550" t="s">
        <v>78</v>
      </c>
      <c r="G5550">
        <v>2.13</v>
      </c>
      <c r="H5550" t="s">
        <v>61</v>
      </c>
      <c r="I5550" t="s">
        <v>42</v>
      </c>
      <c r="M5550">
        <f>VLOOKUP(H5550,'Stage Order'!$A$2:$B$8,2,FALSE)</f>
        <v>1</v>
      </c>
      <c r="N5550" t="str">
        <f t="shared" si="172"/>
        <v>2. 1-24 hours</v>
      </c>
      <c r="O5550" t="str">
        <f t="shared" si="173"/>
        <v>2025-06</v>
      </c>
    </row>
    <row r="5551" spans="1:15" x14ac:dyDescent="0.3">
      <c r="A5551" t="s">
        <v>13055</v>
      </c>
      <c r="B5551" t="s">
        <v>13056</v>
      </c>
      <c r="C5551" t="s">
        <v>53</v>
      </c>
      <c r="D5551" t="s">
        <v>38</v>
      </c>
      <c r="E5551" t="s">
        <v>30</v>
      </c>
      <c r="F5551" t="s">
        <v>78</v>
      </c>
      <c r="G5551">
        <v>0.49</v>
      </c>
      <c r="H5551" t="s">
        <v>41</v>
      </c>
      <c r="I5551" t="s">
        <v>42</v>
      </c>
      <c r="M5551">
        <f>VLOOKUP(H5551,'Stage Order'!$A$2:$B$8,2,FALSE)</f>
        <v>2</v>
      </c>
      <c r="N5551" t="str">
        <f t="shared" si="172"/>
        <v>1. Under 1 hour</v>
      </c>
      <c r="O5551" t="str">
        <f t="shared" si="173"/>
        <v>2025-05</v>
      </c>
    </row>
    <row r="5552" spans="1:15" x14ac:dyDescent="0.3">
      <c r="A5552" t="s">
        <v>13057</v>
      </c>
      <c r="B5552" t="s">
        <v>13058</v>
      </c>
      <c r="C5552" t="s">
        <v>37</v>
      </c>
      <c r="D5552" t="s">
        <v>97</v>
      </c>
      <c r="E5552" t="s">
        <v>45</v>
      </c>
      <c r="F5552" t="s">
        <v>46</v>
      </c>
      <c r="G5552">
        <v>9.4600000000000009</v>
      </c>
      <c r="H5552" t="s">
        <v>47</v>
      </c>
      <c r="I5552" t="s">
        <v>48</v>
      </c>
      <c r="J5552" t="s">
        <v>139</v>
      </c>
      <c r="K5552">
        <v>1694.58</v>
      </c>
      <c r="L5552" t="s">
        <v>13059</v>
      </c>
      <c r="M5552">
        <f>VLOOKUP(H5552,'Stage Order'!$A$2:$B$8,2,FALSE)</f>
        <v>4</v>
      </c>
      <c r="N5552" t="str">
        <f t="shared" si="172"/>
        <v>2. 1-24 hours</v>
      </c>
      <c r="O5552" t="str">
        <f t="shared" si="173"/>
        <v>2026-01</v>
      </c>
    </row>
    <row r="5553" spans="1:15" x14ac:dyDescent="0.3">
      <c r="A5553" t="s">
        <v>13060</v>
      </c>
      <c r="B5553" t="s">
        <v>13061</v>
      </c>
      <c r="C5553" t="s">
        <v>37</v>
      </c>
      <c r="D5553" t="s">
        <v>29</v>
      </c>
      <c r="E5553" t="s">
        <v>45</v>
      </c>
      <c r="F5553" t="s">
        <v>46</v>
      </c>
      <c r="G5553">
        <v>1.6</v>
      </c>
      <c r="H5553" t="s">
        <v>138</v>
      </c>
      <c r="I5553" t="s">
        <v>48</v>
      </c>
      <c r="J5553" t="s">
        <v>742</v>
      </c>
      <c r="K5553">
        <v>533.33000000000004</v>
      </c>
      <c r="L5553" t="s">
        <v>13062</v>
      </c>
      <c r="M5553">
        <f>VLOOKUP(H5553,'Stage Order'!$A$2:$B$8,2,FALSE)</f>
        <v>6</v>
      </c>
      <c r="N5553" t="str">
        <f t="shared" si="172"/>
        <v>2. 1-24 hours</v>
      </c>
      <c r="O5553" t="str">
        <f t="shared" si="173"/>
        <v>2026-03</v>
      </c>
    </row>
    <row r="5554" spans="1:15" x14ac:dyDescent="0.3">
      <c r="A5554" t="s">
        <v>13063</v>
      </c>
      <c r="B5554" t="s">
        <v>13064</v>
      </c>
      <c r="C5554" t="s">
        <v>28</v>
      </c>
      <c r="D5554" t="s">
        <v>97</v>
      </c>
      <c r="E5554" t="s">
        <v>39</v>
      </c>
      <c r="F5554" t="s">
        <v>106</v>
      </c>
      <c r="G5554">
        <v>1.29</v>
      </c>
      <c r="H5554" t="s">
        <v>32</v>
      </c>
      <c r="I5554" t="s">
        <v>33</v>
      </c>
      <c r="K5554">
        <v>1405.08</v>
      </c>
      <c r="L5554" t="s">
        <v>13065</v>
      </c>
      <c r="M5554">
        <f>VLOOKUP(H5554,'Stage Order'!$A$2:$B$8,2,FALSE)</f>
        <v>7</v>
      </c>
      <c r="N5554" t="str">
        <f t="shared" si="172"/>
        <v>2. 1-24 hours</v>
      </c>
      <c r="O5554" t="str">
        <f t="shared" si="173"/>
        <v>2026-04</v>
      </c>
    </row>
    <row r="5555" spans="1:15" x14ac:dyDescent="0.3">
      <c r="A5555" t="s">
        <v>13066</v>
      </c>
      <c r="B5555" t="s">
        <v>13067</v>
      </c>
      <c r="C5555" t="s">
        <v>37</v>
      </c>
      <c r="D5555" t="s">
        <v>54</v>
      </c>
      <c r="E5555" t="s">
        <v>30</v>
      </c>
      <c r="F5555" t="s">
        <v>82</v>
      </c>
      <c r="G5555">
        <v>3.66</v>
      </c>
      <c r="H5555" t="s">
        <v>41</v>
      </c>
      <c r="I5555" t="s">
        <v>42</v>
      </c>
      <c r="M5555">
        <f>VLOOKUP(H5555,'Stage Order'!$A$2:$B$8,2,FALSE)</f>
        <v>2</v>
      </c>
      <c r="N5555" t="str">
        <f t="shared" si="172"/>
        <v>2. 1-24 hours</v>
      </c>
      <c r="O5555" t="str">
        <f t="shared" si="173"/>
        <v>2025-02</v>
      </c>
    </row>
    <row r="5556" spans="1:15" x14ac:dyDescent="0.3">
      <c r="A5556" t="s">
        <v>13068</v>
      </c>
      <c r="B5556" t="s">
        <v>13069</v>
      </c>
      <c r="C5556" t="s">
        <v>28</v>
      </c>
      <c r="D5556" t="s">
        <v>77</v>
      </c>
      <c r="E5556" t="s">
        <v>59</v>
      </c>
      <c r="F5556" t="s">
        <v>137</v>
      </c>
      <c r="G5556">
        <v>18.57</v>
      </c>
      <c r="H5556" t="s">
        <v>41</v>
      </c>
      <c r="I5556" t="s">
        <v>42</v>
      </c>
      <c r="M5556">
        <f>VLOOKUP(H5556,'Stage Order'!$A$2:$B$8,2,FALSE)</f>
        <v>2</v>
      </c>
      <c r="N5556" t="str">
        <f t="shared" si="172"/>
        <v>2. 1-24 hours</v>
      </c>
      <c r="O5556" t="str">
        <f t="shared" si="173"/>
        <v>2026-02</v>
      </c>
    </row>
    <row r="5557" spans="1:15" x14ac:dyDescent="0.3">
      <c r="A5557" t="s">
        <v>13070</v>
      </c>
      <c r="B5557" t="s">
        <v>13071</v>
      </c>
      <c r="C5557" t="s">
        <v>53</v>
      </c>
      <c r="D5557" t="s">
        <v>77</v>
      </c>
      <c r="E5557" t="s">
        <v>45</v>
      </c>
      <c r="F5557" t="s">
        <v>46</v>
      </c>
      <c r="G5557">
        <v>10.09</v>
      </c>
      <c r="H5557" t="s">
        <v>32</v>
      </c>
      <c r="I5557" t="s">
        <v>33</v>
      </c>
      <c r="K5557">
        <v>1010.64</v>
      </c>
      <c r="L5557" t="s">
        <v>13072</v>
      </c>
      <c r="M5557">
        <f>VLOOKUP(H5557,'Stage Order'!$A$2:$B$8,2,FALSE)</f>
        <v>7</v>
      </c>
      <c r="N5557" t="str">
        <f t="shared" si="172"/>
        <v>2. 1-24 hours</v>
      </c>
      <c r="O5557" t="str">
        <f t="shared" si="173"/>
        <v>2025-06</v>
      </c>
    </row>
    <row r="5558" spans="1:15" x14ac:dyDescent="0.3">
      <c r="A5558" t="s">
        <v>13073</v>
      </c>
      <c r="B5558" t="s">
        <v>13074</v>
      </c>
      <c r="C5558" t="s">
        <v>37</v>
      </c>
      <c r="D5558" t="s">
        <v>29</v>
      </c>
      <c r="E5558" t="s">
        <v>39</v>
      </c>
      <c r="F5558" t="s">
        <v>66</v>
      </c>
      <c r="G5558">
        <v>2.35</v>
      </c>
      <c r="H5558" t="s">
        <v>138</v>
      </c>
      <c r="I5558" t="s">
        <v>48</v>
      </c>
      <c r="J5558" t="s">
        <v>113</v>
      </c>
      <c r="K5558">
        <v>698.16</v>
      </c>
      <c r="L5558" t="s">
        <v>13075</v>
      </c>
      <c r="M5558">
        <f>VLOOKUP(H5558,'Stage Order'!$A$2:$B$8,2,FALSE)</f>
        <v>6</v>
      </c>
      <c r="N5558" t="str">
        <f t="shared" si="172"/>
        <v>2. 1-24 hours</v>
      </c>
      <c r="O5558" t="str">
        <f t="shared" si="173"/>
        <v>2026-06</v>
      </c>
    </row>
    <row r="5559" spans="1:15" x14ac:dyDescent="0.3">
      <c r="A5559" t="s">
        <v>13076</v>
      </c>
      <c r="B5559" t="s">
        <v>13077</v>
      </c>
      <c r="C5559" t="s">
        <v>125</v>
      </c>
      <c r="D5559" t="s">
        <v>77</v>
      </c>
      <c r="E5559" t="s">
        <v>45</v>
      </c>
      <c r="F5559" t="s">
        <v>46</v>
      </c>
      <c r="G5559">
        <v>1.04</v>
      </c>
      <c r="H5559" t="s">
        <v>128</v>
      </c>
      <c r="I5559" t="s">
        <v>42</v>
      </c>
      <c r="M5559">
        <f>VLOOKUP(H5559,'Stage Order'!$A$2:$B$8,2,FALSE)</f>
        <v>3</v>
      </c>
      <c r="N5559" t="str">
        <f t="shared" si="172"/>
        <v>2. 1-24 hours</v>
      </c>
      <c r="O5559" t="str">
        <f t="shared" si="173"/>
        <v>2025-04</v>
      </c>
    </row>
    <row r="5560" spans="1:15" x14ac:dyDescent="0.3">
      <c r="A5560" t="s">
        <v>13078</v>
      </c>
      <c r="B5560" t="s">
        <v>13079</v>
      </c>
      <c r="C5560" t="s">
        <v>58</v>
      </c>
      <c r="D5560" t="s">
        <v>77</v>
      </c>
      <c r="E5560" t="s">
        <v>59</v>
      </c>
      <c r="F5560" t="s">
        <v>117</v>
      </c>
      <c r="G5560">
        <v>1.25</v>
      </c>
      <c r="H5560" t="s">
        <v>41</v>
      </c>
      <c r="I5560" t="s">
        <v>42</v>
      </c>
      <c r="M5560">
        <f>VLOOKUP(H5560,'Stage Order'!$A$2:$B$8,2,FALSE)</f>
        <v>2</v>
      </c>
      <c r="N5560" t="str">
        <f t="shared" si="172"/>
        <v>2. 1-24 hours</v>
      </c>
      <c r="O5560" t="str">
        <f t="shared" si="173"/>
        <v>2025-09</v>
      </c>
    </row>
    <row r="5561" spans="1:15" x14ac:dyDescent="0.3">
      <c r="A5561" t="s">
        <v>13080</v>
      </c>
      <c r="B5561" t="s">
        <v>13081</v>
      </c>
      <c r="C5561" t="s">
        <v>53</v>
      </c>
      <c r="D5561" t="s">
        <v>77</v>
      </c>
      <c r="E5561" t="s">
        <v>39</v>
      </c>
      <c r="F5561" t="s">
        <v>106</v>
      </c>
      <c r="G5561">
        <v>5.84</v>
      </c>
      <c r="H5561" t="s">
        <v>128</v>
      </c>
      <c r="I5561" t="s">
        <v>42</v>
      </c>
      <c r="M5561">
        <f>VLOOKUP(H5561,'Stage Order'!$A$2:$B$8,2,FALSE)</f>
        <v>3</v>
      </c>
      <c r="N5561" t="str">
        <f t="shared" si="172"/>
        <v>2. 1-24 hours</v>
      </c>
      <c r="O5561" t="str">
        <f t="shared" si="173"/>
        <v>2026-04</v>
      </c>
    </row>
    <row r="5562" spans="1:15" x14ac:dyDescent="0.3">
      <c r="A5562" t="s">
        <v>13082</v>
      </c>
      <c r="B5562" t="s">
        <v>13083</v>
      </c>
      <c r="C5562" t="s">
        <v>125</v>
      </c>
      <c r="D5562" t="s">
        <v>29</v>
      </c>
      <c r="E5562" t="s">
        <v>30</v>
      </c>
      <c r="F5562" t="s">
        <v>31</v>
      </c>
      <c r="G5562">
        <v>4.59</v>
      </c>
      <c r="H5562" t="s">
        <v>41</v>
      </c>
      <c r="I5562" t="s">
        <v>42</v>
      </c>
      <c r="M5562">
        <f>VLOOKUP(H5562,'Stage Order'!$A$2:$B$8,2,FALSE)</f>
        <v>2</v>
      </c>
      <c r="N5562" t="str">
        <f t="shared" si="172"/>
        <v>2. 1-24 hours</v>
      </c>
      <c r="O5562" t="str">
        <f t="shared" si="173"/>
        <v>2026-03</v>
      </c>
    </row>
    <row r="5563" spans="1:15" x14ac:dyDescent="0.3">
      <c r="A5563" t="s">
        <v>13084</v>
      </c>
      <c r="B5563" t="s">
        <v>13085</v>
      </c>
      <c r="C5563" t="s">
        <v>81</v>
      </c>
      <c r="D5563" t="s">
        <v>77</v>
      </c>
      <c r="E5563" t="s">
        <v>59</v>
      </c>
      <c r="F5563" t="s">
        <v>137</v>
      </c>
      <c r="G5563">
        <v>0.97</v>
      </c>
      <c r="H5563" t="s">
        <v>41</v>
      </c>
      <c r="I5563" t="s">
        <v>42</v>
      </c>
      <c r="M5563">
        <f>VLOOKUP(H5563,'Stage Order'!$A$2:$B$8,2,FALSE)</f>
        <v>2</v>
      </c>
      <c r="N5563" t="str">
        <f t="shared" si="172"/>
        <v>1. Under 1 hour</v>
      </c>
      <c r="O5563" t="str">
        <f t="shared" si="173"/>
        <v>2025-07</v>
      </c>
    </row>
    <row r="5564" spans="1:15" x14ac:dyDescent="0.3">
      <c r="A5564" t="s">
        <v>13086</v>
      </c>
      <c r="B5564" t="s">
        <v>13087</v>
      </c>
      <c r="C5564" t="s">
        <v>58</v>
      </c>
      <c r="D5564" t="s">
        <v>29</v>
      </c>
      <c r="E5564" t="s">
        <v>59</v>
      </c>
      <c r="F5564" t="s">
        <v>117</v>
      </c>
      <c r="G5564">
        <v>0.76</v>
      </c>
      <c r="H5564" t="s">
        <v>146</v>
      </c>
      <c r="I5564" t="s">
        <v>48</v>
      </c>
      <c r="J5564" t="s">
        <v>113</v>
      </c>
      <c r="K5564">
        <v>661.36</v>
      </c>
      <c r="L5564" t="s">
        <v>13088</v>
      </c>
      <c r="M5564">
        <f>VLOOKUP(H5564,'Stage Order'!$A$2:$B$8,2,FALSE)</f>
        <v>5</v>
      </c>
      <c r="N5564" t="str">
        <f t="shared" si="172"/>
        <v>1. Under 1 hour</v>
      </c>
      <c r="O5564" t="str">
        <f t="shared" si="173"/>
        <v>2025-05</v>
      </c>
    </row>
    <row r="5565" spans="1:15" x14ac:dyDescent="0.3">
      <c r="A5565" t="s">
        <v>13089</v>
      </c>
      <c r="B5565" t="s">
        <v>13090</v>
      </c>
      <c r="C5565" t="s">
        <v>58</v>
      </c>
      <c r="D5565" t="s">
        <v>38</v>
      </c>
      <c r="E5565" t="s">
        <v>39</v>
      </c>
      <c r="F5565" t="s">
        <v>40</v>
      </c>
      <c r="G5565">
        <v>5.61</v>
      </c>
      <c r="H5565" t="s">
        <v>146</v>
      </c>
      <c r="I5565" t="s">
        <v>48</v>
      </c>
      <c r="J5565" t="s">
        <v>113</v>
      </c>
      <c r="K5565">
        <v>355.88</v>
      </c>
      <c r="L5565" t="s">
        <v>13091</v>
      </c>
      <c r="M5565">
        <f>VLOOKUP(H5565,'Stage Order'!$A$2:$B$8,2,FALSE)</f>
        <v>5</v>
      </c>
      <c r="N5565" t="str">
        <f t="shared" si="172"/>
        <v>2. 1-24 hours</v>
      </c>
      <c r="O5565" t="str">
        <f t="shared" si="173"/>
        <v>2025-07</v>
      </c>
    </row>
    <row r="5566" spans="1:15" x14ac:dyDescent="0.3">
      <c r="A5566" t="s">
        <v>13092</v>
      </c>
      <c r="B5566" t="s">
        <v>13093</v>
      </c>
      <c r="C5566" t="s">
        <v>125</v>
      </c>
      <c r="D5566" t="s">
        <v>77</v>
      </c>
      <c r="E5566" t="s">
        <v>39</v>
      </c>
      <c r="F5566" t="s">
        <v>106</v>
      </c>
      <c r="G5566">
        <v>3.38</v>
      </c>
      <c r="H5566" t="s">
        <v>146</v>
      </c>
      <c r="I5566" t="s">
        <v>48</v>
      </c>
      <c r="J5566" t="s">
        <v>98</v>
      </c>
      <c r="K5566">
        <v>907.51</v>
      </c>
      <c r="L5566" t="s">
        <v>13094</v>
      </c>
      <c r="M5566">
        <f>VLOOKUP(H5566,'Stage Order'!$A$2:$B$8,2,FALSE)</f>
        <v>5</v>
      </c>
      <c r="N5566" t="str">
        <f t="shared" si="172"/>
        <v>2. 1-24 hours</v>
      </c>
      <c r="O5566" t="str">
        <f t="shared" si="173"/>
        <v>2025-06</v>
      </c>
    </row>
    <row r="5567" spans="1:15" x14ac:dyDescent="0.3">
      <c r="A5567" t="s">
        <v>13095</v>
      </c>
      <c r="B5567" t="s">
        <v>13096</v>
      </c>
      <c r="C5567" t="s">
        <v>28</v>
      </c>
      <c r="D5567" t="s">
        <v>29</v>
      </c>
      <c r="E5567" t="s">
        <v>59</v>
      </c>
      <c r="F5567" t="s">
        <v>137</v>
      </c>
      <c r="G5567">
        <v>0.41</v>
      </c>
      <c r="H5567" t="s">
        <v>41</v>
      </c>
      <c r="I5567" t="s">
        <v>42</v>
      </c>
      <c r="M5567">
        <f>VLOOKUP(H5567,'Stage Order'!$A$2:$B$8,2,FALSE)</f>
        <v>2</v>
      </c>
      <c r="N5567" t="str">
        <f t="shared" si="172"/>
        <v>1. Under 1 hour</v>
      </c>
      <c r="O5567" t="str">
        <f t="shared" si="173"/>
        <v>2026-03</v>
      </c>
    </row>
    <row r="5568" spans="1:15" x14ac:dyDescent="0.3">
      <c r="A5568" t="s">
        <v>13097</v>
      </c>
      <c r="B5568" t="s">
        <v>13098</v>
      </c>
      <c r="C5568" t="s">
        <v>37</v>
      </c>
      <c r="D5568" t="s">
        <v>38</v>
      </c>
      <c r="E5568" t="s">
        <v>30</v>
      </c>
      <c r="F5568" t="s">
        <v>78</v>
      </c>
      <c r="G5568">
        <v>4.58</v>
      </c>
      <c r="H5568" t="s">
        <v>138</v>
      </c>
      <c r="I5568" t="s">
        <v>48</v>
      </c>
      <c r="J5568" t="s">
        <v>139</v>
      </c>
      <c r="K5568">
        <v>337.57</v>
      </c>
      <c r="L5568" t="s">
        <v>13099</v>
      </c>
      <c r="M5568">
        <f>VLOOKUP(H5568,'Stage Order'!$A$2:$B$8,2,FALSE)</f>
        <v>6</v>
      </c>
      <c r="N5568" t="str">
        <f t="shared" si="172"/>
        <v>2. 1-24 hours</v>
      </c>
      <c r="O5568" t="str">
        <f t="shared" si="173"/>
        <v>2025-12</v>
      </c>
    </row>
    <row r="5569" spans="1:15" x14ac:dyDescent="0.3">
      <c r="A5569" t="s">
        <v>13100</v>
      </c>
      <c r="B5569" t="s">
        <v>13101</v>
      </c>
      <c r="C5569" t="s">
        <v>53</v>
      </c>
      <c r="D5569" t="s">
        <v>77</v>
      </c>
      <c r="E5569" t="s">
        <v>59</v>
      </c>
      <c r="F5569" t="s">
        <v>137</v>
      </c>
      <c r="G5569">
        <v>1.79</v>
      </c>
      <c r="H5569" t="s">
        <v>32</v>
      </c>
      <c r="I5569" t="s">
        <v>33</v>
      </c>
      <c r="K5569">
        <v>823.23</v>
      </c>
      <c r="L5569" t="s">
        <v>13102</v>
      </c>
      <c r="M5569">
        <f>VLOOKUP(H5569,'Stage Order'!$A$2:$B$8,2,FALSE)</f>
        <v>7</v>
      </c>
      <c r="N5569" t="str">
        <f t="shared" si="172"/>
        <v>2. 1-24 hours</v>
      </c>
      <c r="O5569" t="str">
        <f t="shared" si="173"/>
        <v>2025-10</v>
      </c>
    </row>
    <row r="5570" spans="1:15" x14ac:dyDescent="0.3">
      <c r="A5570" t="s">
        <v>13103</v>
      </c>
      <c r="B5570" t="s">
        <v>13104</v>
      </c>
      <c r="C5570" t="s">
        <v>28</v>
      </c>
      <c r="D5570" t="s">
        <v>54</v>
      </c>
      <c r="E5570" t="s">
        <v>59</v>
      </c>
      <c r="F5570" t="s">
        <v>137</v>
      </c>
      <c r="G5570">
        <v>1.21</v>
      </c>
      <c r="H5570" t="s">
        <v>41</v>
      </c>
      <c r="I5570" t="s">
        <v>42</v>
      </c>
      <c r="M5570">
        <f>VLOOKUP(H5570,'Stage Order'!$A$2:$B$8,2,FALSE)</f>
        <v>2</v>
      </c>
      <c r="N5570" t="str">
        <f t="shared" ref="N5570:N5633" si="174">IF(G5570&lt;=1,"1. Under 1 hour",IF(G5570&lt;=24,"2. 1-24 hours",IF(G5570&lt;=72,"3. 1-3 days","4. Over 3 days")))</f>
        <v>2. 1-24 hours</v>
      </c>
      <c r="O5570" t="str">
        <f t="shared" ref="O5570:O5633" si="175">TEXT(B5570,"YYYY-MM")</f>
        <v>2025-06</v>
      </c>
    </row>
    <row r="5571" spans="1:15" x14ac:dyDescent="0.3">
      <c r="A5571" t="s">
        <v>13105</v>
      </c>
      <c r="B5571" t="s">
        <v>13106</v>
      </c>
      <c r="C5571" t="s">
        <v>81</v>
      </c>
      <c r="D5571" t="s">
        <v>54</v>
      </c>
      <c r="E5571" t="s">
        <v>39</v>
      </c>
      <c r="F5571" t="s">
        <v>40</v>
      </c>
      <c r="G5571">
        <v>4.0599999999999996</v>
      </c>
      <c r="H5571" t="s">
        <v>41</v>
      </c>
      <c r="I5571" t="s">
        <v>42</v>
      </c>
      <c r="M5571">
        <f>VLOOKUP(H5571,'Stage Order'!$A$2:$B$8,2,FALSE)</f>
        <v>2</v>
      </c>
      <c r="N5571" t="str">
        <f t="shared" si="174"/>
        <v>2. 1-24 hours</v>
      </c>
      <c r="O5571" t="str">
        <f t="shared" si="175"/>
        <v>2025-09</v>
      </c>
    </row>
    <row r="5572" spans="1:15" x14ac:dyDescent="0.3">
      <c r="A5572" t="s">
        <v>13107</v>
      </c>
      <c r="B5572" t="s">
        <v>13108</v>
      </c>
      <c r="C5572" t="s">
        <v>37</v>
      </c>
      <c r="D5572" t="s">
        <v>54</v>
      </c>
      <c r="E5572" t="s">
        <v>39</v>
      </c>
      <c r="F5572" t="s">
        <v>40</v>
      </c>
      <c r="G5572">
        <v>3.1</v>
      </c>
      <c r="H5572" t="s">
        <v>47</v>
      </c>
      <c r="I5572" t="s">
        <v>48</v>
      </c>
      <c r="J5572" t="s">
        <v>139</v>
      </c>
      <c r="K5572">
        <v>487.38</v>
      </c>
      <c r="L5572" t="s">
        <v>13109</v>
      </c>
      <c r="M5572">
        <f>VLOOKUP(H5572,'Stage Order'!$A$2:$B$8,2,FALSE)</f>
        <v>4</v>
      </c>
      <c r="N5572" t="str">
        <f t="shared" si="174"/>
        <v>2. 1-24 hours</v>
      </c>
      <c r="O5572" t="str">
        <f t="shared" si="175"/>
        <v>2025-10</v>
      </c>
    </row>
    <row r="5573" spans="1:15" x14ac:dyDescent="0.3">
      <c r="A5573" t="s">
        <v>13110</v>
      </c>
      <c r="B5573" t="s">
        <v>13111</v>
      </c>
      <c r="C5573" t="s">
        <v>37</v>
      </c>
      <c r="D5573" t="s">
        <v>54</v>
      </c>
      <c r="E5573" t="s">
        <v>59</v>
      </c>
      <c r="F5573" t="s">
        <v>60</v>
      </c>
      <c r="G5573">
        <v>3.63</v>
      </c>
      <c r="H5573" t="s">
        <v>146</v>
      </c>
      <c r="I5573" t="s">
        <v>48</v>
      </c>
      <c r="J5573" t="s">
        <v>113</v>
      </c>
      <c r="K5573">
        <v>474.15</v>
      </c>
      <c r="L5573" t="s">
        <v>13112</v>
      </c>
      <c r="M5573">
        <f>VLOOKUP(H5573,'Stage Order'!$A$2:$B$8,2,FALSE)</f>
        <v>5</v>
      </c>
      <c r="N5573" t="str">
        <f t="shared" si="174"/>
        <v>2. 1-24 hours</v>
      </c>
      <c r="O5573" t="str">
        <f t="shared" si="175"/>
        <v>2025-09</v>
      </c>
    </row>
    <row r="5574" spans="1:15" x14ac:dyDescent="0.3">
      <c r="A5574" t="s">
        <v>13113</v>
      </c>
      <c r="B5574" t="s">
        <v>13114</v>
      </c>
      <c r="C5574" t="s">
        <v>37</v>
      </c>
      <c r="D5574" t="s">
        <v>54</v>
      </c>
      <c r="E5574" t="s">
        <v>45</v>
      </c>
      <c r="F5574" t="s">
        <v>94</v>
      </c>
      <c r="G5574">
        <v>2.14</v>
      </c>
      <c r="H5574" t="s">
        <v>32</v>
      </c>
      <c r="I5574" t="s">
        <v>33</v>
      </c>
      <c r="K5574">
        <v>497.14</v>
      </c>
      <c r="L5574" t="s">
        <v>13115</v>
      </c>
      <c r="M5574">
        <f>VLOOKUP(H5574,'Stage Order'!$A$2:$B$8,2,FALSE)</f>
        <v>7</v>
      </c>
      <c r="N5574" t="str">
        <f t="shared" si="174"/>
        <v>2. 1-24 hours</v>
      </c>
      <c r="O5574" t="str">
        <f t="shared" si="175"/>
        <v>2025-05</v>
      </c>
    </row>
    <row r="5575" spans="1:15" x14ac:dyDescent="0.3">
      <c r="A5575" t="s">
        <v>13116</v>
      </c>
      <c r="B5575" t="s">
        <v>13117</v>
      </c>
      <c r="C5575" t="s">
        <v>125</v>
      </c>
      <c r="D5575" t="s">
        <v>54</v>
      </c>
      <c r="E5575" t="s">
        <v>90</v>
      </c>
      <c r="F5575" t="s">
        <v>145</v>
      </c>
      <c r="G5575">
        <v>1.67</v>
      </c>
      <c r="H5575" t="s">
        <v>41</v>
      </c>
      <c r="I5575" t="s">
        <v>42</v>
      </c>
      <c r="M5575">
        <f>VLOOKUP(H5575,'Stage Order'!$A$2:$B$8,2,FALSE)</f>
        <v>2</v>
      </c>
      <c r="N5575" t="str">
        <f t="shared" si="174"/>
        <v>2. 1-24 hours</v>
      </c>
      <c r="O5575" t="str">
        <f t="shared" si="175"/>
        <v>2025-07</v>
      </c>
    </row>
    <row r="5576" spans="1:15" x14ac:dyDescent="0.3">
      <c r="A5576" t="s">
        <v>13118</v>
      </c>
      <c r="B5576" t="s">
        <v>13119</v>
      </c>
      <c r="C5576" t="s">
        <v>58</v>
      </c>
      <c r="D5576" t="s">
        <v>29</v>
      </c>
      <c r="E5576" t="s">
        <v>45</v>
      </c>
      <c r="F5576" t="s">
        <v>94</v>
      </c>
      <c r="G5576">
        <v>7.05</v>
      </c>
      <c r="H5576" t="s">
        <v>61</v>
      </c>
      <c r="I5576" t="s">
        <v>42</v>
      </c>
      <c r="M5576">
        <f>VLOOKUP(H5576,'Stage Order'!$A$2:$B$8,2,FALSE)</f>
        <v>1</v>
      </c>
      <c r="N5576" t="str">
        <f t="shared" si="174"/>
        <v>2. 1-24 hours</v>
      </c>
      <c r="O5576" t="str">
        <f t="shared" si="175"/>
        <v>2025-06</v>
      </c>
    </row>
    <row r="5577" spans="1:15" x14ac:dyDescent="0.3">
      <c r="A5577" t="s">
        <v>13120</v>
      </c>
      <c r="B5577" t="s">
        <v>13121</v>
      </c>
      <c r="C5577" t="s">
        <v>125</v>
      </c>
      <c r="D5577" t="s">
        <v>29</v>
      </c>
      <c r="E5577" t="s">
        <v>90</v>
      </c>
      <c r="F5577" t="s">
        <v>145</v>
      </c>
      <c r="G5577">
        <v>3.55</v>
      </c>
      <c r="H5577" t="s">
        <v>61</v>
      </c>
      <c r="I5577" t="s">
        <v>42</v>
      </c>
      <c r="M5577">
        <f>VLOOKUP(H5577,'Stage Order'!$A$2:$B$8,2,FALSE)</f>
        <v>1</v>
      </c>
      <c r="N5577" t="str">
        <f t="shared" si="174"/>
        <v>2. 1-24 hours</v>
      </c>
      <c r="O5577" t="str">
        <f t="shared" si="175"/>
        <v>2025-01</v>
      </c>
    </row>
    <row r="5578" spans="1:15" x14ac:dyDescent="0.3">
      <c r="A5578" t="s">
        <v>13122</v>
      </c>
      <c r="B5578" t="s">
        <v>13123</v>
      </c>
      <c r="C5578" t="s">
        <v>37</v>
      </c>
      <c r="D5578" t="s">
        <v>29</v>
      </c>
      <c r="E5578" t="s">
        <v>30</v>
      </c>
      <c r="F5578" t="s">
        <v>82</v>
      </c>
      <c r="G5578">
        <v>5.72</v>
      </c>
      <c r="H5578" t="s">
        <v>41</v>
      </c>
      <c r="I5578" t="s">
        <v>42</v>
      </c>
      <c r="M5578">
        <f>VLOOKUP(H5578,'Stage Order'!$A$2:$B$8,2,FALSE)</f>
        <v>2</v>
      </c>
      <c r="N5578" t="str">
        <f t="shared" si="174"/>
        <v>2. 1-24 hours</v>
      </c>
      <c r="O5578" t="str">
        <f t="shared" si="175"/>
        <v>2025-10</v>
      </c>
    </row>
    <row r="5579" spans="1:15" x14ac:dyDescent="0.3">
      <c r="A5579" t="s">
        <v>13124</v>
      </c>
      <c r="B5579" t="s">
        <v>13125</v>
      </c>
      <c r="C5579" t="s">
        <v>76</v>
      </c>
      <c r="D5579" t="s">
        <v>29</v>
      </c>
      <c r="E5579" t="s">
        <v>90</v>
      </c>
      <c r="F5579" t="s">
        <v>145</v>
      </c>
      <c r="G5579">
        <v>13.95</v>
      </c>
      <c r="H5579" t="s">
        <v>146</v>
      </c>
      <c r="I5579" t="s">
        <v>48</v>
      </c>
      <c r="J5579" t="s">
        <v>139</v>
      </c>
      <c r="K5579">
        <v>704.06</v>
      </c>
      <c r="L5579" t="s">
        <v>13126</v>
      </c>
      <c r="M5579">
        <f>VLOOKUP(H5579,'Stage Order'!$A$2:$B$8,2,FALSE)</f>
        <v>5</v>
      </c>
      <c r="N5579" t="str">
        <f t="shared" si="174"/>
        <v>2. 1-24 hours</v>
      </c>
      <c r="O5579" t="str">
        <f t="shared" si="175"/>
        <v>2025-08</v>
      </c>
    </row>
    <row r="5580" spans="1:15" x14ac:dyDescent="0.3">
      <c r="A5580" t="s">
        <v>13127</v>
      </c>
      <c r="B5580" t="s">
        <v>13128</v>
      </c>
      <c r="C5580" t="s">
        <v>125</v>
      </c>
      <c r="D5580" t="s">
        <v>97</v>
      </c>
      <c r="E5580" t="s">
        <v>59</v>
      </c>
      <c r="F5580" t="s">
        <v>137</v>
      </c>
      <c r="G5580">
        <v>2.78</v>
      </c>
      <c r="H5580" t="s">
        <v>138</v>
      </c>
      <c r="I5580" t="s">
        <v>48</v>
      </c>
      <c r="J5580" t="s">
        <v>139</v>
      </c>
      <c r="K5580">
        <v>1749.51</v>
      </c>
      <c r="L5580" t="s">
        <v>13129</v>
      </c>
      <c r="M5580">
        <f>VLOOKUP(H5580,'Stage Order'!$A$2:$B$8,2,FALSE)</f>
        <v>6</v>
      </c>
      <c r="N5580" t="str">
        <f t="shared" si="174"/>
        <v>2. 1-24 hours</v>
      </c>
      <c r="O5580" t="str">
        <f t="shared" si="175"/>
        <v>2026-04</v>
      </c>
    </row>
    <row r="5581" spans="1:15" x14ac:dyDescent="0.3">
      <c r="A5581" t="s">
        <v>13130</v>
      </c>
      <c r="B5581" t="s">
        <v>13131</v>
      </c>
      <c r="C5581" t="s">
        <v>37</v>
      </c>
      <c r="D5581" t="s">
        <v>29</v>
      </c>
      <c r="E5581" t="s">
        <v>45</v>
      </c>
      <c r="F5581" t="s">
        <v>55</v>
      </c>
      <c r="G5581">
        <v>1.63</v>
      </c>
      <c r="H5581" t="s">
        <v>138</v>
      </c>
      <c r="I5581" t="s">
        <v>48</v>
      </c>
      <c r="J5581" t="s">
        <v>742</v>
      </c>
      <c r="K5581">
        <v>763.43</v>
      </c>
      <c r="L5581" t="s">
        <v>13132</v>
      </c>
      <c r="M5581">
        <f>VLOOKUP(H5581,'Stage Order'!$A$2:$B$8,2,FALSE)</f>
        <v>6</v>
      </c>
      <c r="N5581" t="str">
        <f t="shared" si="174"/>
        <v>2. 1-24 hours</v>
      </c>
      <c r="O5581" t="str">
        <f t="shared" si="175"/>
        <v>2026-04</v>
      </c>
    </row>
    <row r="5582" spans="1:15" x14ac:dyDescent="0.3">
      <c r="A5582" t="s">
        <v>13133</v>
      </c>
      <c r="B5582" t="s">
        <v>13134</v>
      </c>
      <c r="C5582" t="s">
        <v>53</v>
      </c>
      <c r="D5582" t="s">
        <v>54</v>
      </c>
      <c r="E5582" t="s">
        <v>39</v>
      </c>
      <c r="F5582" t="s">
        <v>106</v>
      </c>
      <c r="G5582">
        <v>4.32</v>
      </c>
      <c r="H5582" t="s">
        <v>41</v>
      </c>
      <c r="I5582" t="s">
        <v>42</v>
      </c>
      <c r="M5582">
        <f>VLOOKUP(H5582,'Stage Order'!$A$2:$B$8,2,FALSE)</f>
        <v>2</v>
      </c>
      <c r="N5582" t="str">
        <f t="shared" si="174"/>
        <v>2. 1-24 hours</v>
      </c>
      <c r="O5582" t="str">
        <f t="shared" si="175"/>
        <v>2025-01</v>
      </c>
    </row>
    <row r="5583" spans="1:15" x14ac:dyDescent="0.3">
      <c r="A5583" t="s">
        <v>13135</v>
      </c>
      <c r="B5583" t="s">
        <v>13136</v>
      </c>
      <c r="C5583" t="s">
        <v>58</v>
      </c>
      <c r="D5583" t="s">
        <v>54</v>
      </c>
      <c r="E5583" t="s">
        <v>90</v>
      </c>
      <c r="F5583" t="s">
        <v>91</v>
      </c>
      <c r="G5583">
        <v>1.47</v>
      </c>
      <c r="H5583" t="s">
        <v>61</v>
      </c>
      <c r="I5583" t="s">
        <v>42</v>
      </c>
      <c r="M5583">
        <f>VLOOKUP(H5583,'Stage Order'!$A$2:$B$8,2,FALSE)</f>
        <v>1</v>
      </c>
      <c r="N5583" t="str">
        <f t="shared" si="174"/>
        <v>2. 1-24 hours</v>
      </c>
      <c r="O5583" t="str">
        <f t="shared" si="175"/>
        <v>2025-03</v>
      </c>
    </row>
    <row r="5584" spans="1:15" x14ac:dyDescent="0.3">
      <c r="A5584" t="s">
        <v>13137</v>
      </c>
      <c r="B5584" t="s">
        <v>13138</v>
      </c>
      <c r="C5584" t="s">
        <v>76</v>
      </c>
      <c r="D5584" t="s">
        <v>54</v>
      </c>
      <c r="E5584" t="s">
        <v>59</v>
      </c>
      <c r="F5584" t="s">
        <v>117</v>
      </c>
      <c r="G5584">
        <v>2.46</v>
      </c>
      <c r="H5584" t="s">
        <v>41</v>
      </c>
      <c r="I5584" t="s">
        <v>42</v>
      </c>
      <c r="M5584">
        <f>VLOOKUP(H5584,'Stage Order'!$A$2:$B$8,2,FALSE)</f>
        <v>2</v>
      </c>
      <c r="N5584" t="str">
        <f t="shared" si="174"/>
        <v>2. 1-24 hours</v>
      </c>
      <c r="O5584" t="str">
        <f t="shared" si="175"/>
        <v>2025-04</v>
      </c>
    </row>
    <row r="5585" spans="1:15" x14ac:dyDescent="0.3">
      <c r="A5585" t="s">
        <v>13139</v>
      </c>
      <c r="B5585" t="s">
        <v>13140</v>
      </c>
      <c r="C5585" t="s">
        <v>58</v>
      </c>
      <c r="D5585" t="s">
        <v>29</v>
      </c>
      <c r="E5585" t="s">
        <v>90</v>
      </c>
      <c r="F5585" t="s">
        <v>112</v>
      </c>
      <c r="G5585">
        <v>15.09</v>
      </c>
      <c r="H5585" t="s">
        <v>61</v>
      </c>
      <c r="I5585" t="s">
        <v>42</v>
      </c>
      <c r="M5585">
        <f>VLOOKUP(H5585,'Stage Order'!$A$2:$B$8,2,FALSE)</f>
        <v>1</v>
      </c>
      <c r="N5585" t="str">
        <f t="shared" si="174"/>
        <v>2. 1-24 hours</v>
      </c>
      <c r="O5585" t="str">
        <f t="shared" si="175"/>
        <v>2025-12</v>
      </c>
    </row>
    <row r="5586" spans="1:15" x14ac:dyDescent="0.3">
      <c r="A5586" t="s">
        <v>13141</v>
      </c>
      <c r="B5586" t="s">
        <v>13142</v>
      </c>
      <c r="C5586" t="s">
        <v>125</v>
      </c>
      <c r="D5586" t="s">
        <v>38</v>
      </c>
      <c r="E5586" t="s">
        <v>45</v>
      </c>
      <c r="F5586" t="s">
        <v>94</v>
      </c>
      <c r="G5586">
        <v>3.36</v>
      </c>
      <c r="H5586" t="s">
        <v>41</v>
      </c>
      <c r="I5586" t="s">
        <v>42</v>
      </c>
      <c r="M5586">
        <f>VLOOKUP(H5586,'Stage Order'!$A$2:$B$8,2,FALSE)</f>
        <v>2</v>
      </c>
      <c r="N5586" t="str">
        <f t="shared" si="174"/>
        <v>2. 1-24 hours</v>
      </c>
      <c r="O5586" t="str">
        <f t="shared" si="175"/>
        <v>2025-01</v>
      </c>
    </row>
    <row r="5587" spans="1:15" x14ac:dyDescent="0.3">
      <c r="A5587" t="s">
        <v>13143</v>
      </c>
      <c r="B5587" t="s">
        <v>13144</v>
      </c>
      <c r="C5587" t="s">
        <v>28</v>
      </c>
      <c r="D5587" t="s">
        <v>38</v>
      </c>
      <c r="E5587" t="s">
        <v>39</v>
      </c>
      <c r="F5587" t="s">
        <v>106</v>
      </c>
      <c r="G5587">
        <v>2.81</v>
      </c>
      <c r="H5587" t="s">
        <v>32</v>
      </c>
      <c r="I5587" t="s">
        <v>33</v>
      </c>
      <c r="K5587">
        <v>400.26</v>
      </c>
      <c r="L5587" t="s">
        <v>13145</v>
      </c>
      <c r="M5587">
        <f>VLOOKUP(H5587,'Stage Order'!$A$2:$B$8,2,FALSE)</f>
        <v>7</v>
      </c>
      <c r="N5587" t="str">
        <f t="shared" si="174"/>
        <v>2. 1-24 hours</v>
      </c>
      <c r="O5587" t="str">
        <f t="shared" si="175"/>
        <v>2026-01</v>
      </c>
    </row>
    <row r="5588" spans="1:15" x14ac:dyDescent="0.3">
      <c r="A5588" t="s">
        <v>13146</v>
      </c>
      <c r="B5588" t="s">
        <v>13147</v>
      </c>
      <c r="C5588" t="s">
        <v>58</v>
      </c>
      <c r="D5588" t="s">
        <v>77</v>
      </c>
      <c r="E5588" t="s">
        <v>59</v>
      </c>
      <c r="F5588" t="s">
        <v>117</v>
      </c>
      <c r="G5588">
        <v>3.47</v>
      </c>
      <c r="H5588" t="s">
        <v>138</v>
      </c>
      <c r="I5588" t="s">
        <v>48</v>
      </c>
      <c r="J5588" t="s">
        <v>49</v>
      </c>
      <c r="K5588">
        <v>1009.26</v>
      </c>
      <c r="L5588" t="s">
        <v>13148</v>
      </c>
      <c r="M5588">
        <f>VLOOKUP(H5588,'Stage Order'!$A$2:$B$8,2,FALSE)</f>
        <v>6</v>
      </c>
      <c r="N5588" t="str">
        <f t="shared" si="174"/>
        <v>2. 1-24 hours</v>
      </c>
      <c r="O5588" t="str">
        <f t="shared" si="175"/>
        <v>2025-10</v>
      </c>
    </row>
    <row r="5589" spans="1:15" x14ac:dyDescent="0.3">
      <c r="A5589" t="s">
        <v>13149</v>
      </c>
      <c r="B5589" t="s">
        <v>13150</v>
      </c>
      <c r="C5589" t="s">
        <v>37</v>
      </c>
      <c r="D5589" t="s">
        <v>38</v>
      </c>
      <c r="E5589" t="s">
        <v>39</v>
      </c>
      <c r="F5589" t="s">
        <v>40</v>
      </c>
      <c r="G5589">
        <v>20.02</v>
      </c>
      <c r="H5589" t="s">
        <v>47</v>
      </c>
      <c r="I5589" t="s">
        <v>48</v>
      </c>
      <c r="J5589" t="s">
        <v>139</v>
      </c>
      <c r="K5589">
        <v>314.72000000000003</v>
      </c>
      <c r="L5589" t="s">
        <v>13151</v>
      </c>
      <c r="M5589">
        <f>VLOOKUP(H5589,'Stage Order'!$A$2:$B$8,2,FALSE)</f>
        <v>4</v>
      </c>
      <c r="N5589" t="str">
        <f t="shared" si="174"/>
        <v>2. 1-24 hours</v>
      </c>
      <c r="O5589" t="str">
        <f t="shared" si="175"/>
        <v>2025-07</v>
      </c>
    </row>
    <row r="5590" spans="1:15" x14ac:dyDescent="0.3">
      <c r="A5590" t="s">
        <v>13152</v>
      </c>
      <c r="B5590" t="s">
        <v>13153</v>
      </c>
      <c r="C5590" t="s">
        <v>28</v>
      </c>
      <c r="D5590" t="s">
        <v>77</v>
      </c>
      <c r="E5590" t="s">
        <v>45</v>
      </c>
      <c r="F5590" t="s">
        <v>94</v>
      </c>
      <c r="G5590">
        <v>1.93</v>
      </c>
      <c r="H5590" t="s">
        <v>128</v>
      </c>
      <c r="I5590" t="s">
        <v>42</v>
      </c>
      <c r="M5590">
        <f>VLOOKUP(H5590,'Stage Order'!$A$2:$B$8,2,FALSE)</f>
        <v>3</v>
      </c>
      <c r="N5590" t="str">
        <f t="shared" si="174"/>
        <v>2. 1-24 hours</v>
      </c>
      <c r="O5590" t="str">
        <f t="shared" si="175"/>
        <v>2025-11</v>
      </c>
    </row>
    <row r="5591" spans="1:15" x14ac:dyDescent="0.3">
      <c r="A5591" t="s">
        <v>13154</v>
      </c>
      <c r="B5591" t="s">
        <v>13155</v>
      </c>
      <c r="C5591" t="s">
        <v>125</v>
      </c>
      <c r="D5591" t="s">
        <v>54</v>
      </c>
      <c r="E5591" t="s">
        <v>45</v>
      </c>
      <c r="F5591" t="s">
        <v>94</v>
      </c>
      <c r="G5591">
        <v>0.35</v>
      </c>
      <c r="H5591" t="s">
        <v>41</v>
      </c>
      <c r="I5591" t="s">
        <v>42</v>
      </c>
      <c r="M5591">
        <f>VLOOKUP(H5591,'Stage Order'!$A$2:$B$8,2,FALSE)</f>
        <v>2</v>
      </c>
      <c r="N5591" t="str">
        <f t="shared" si="174"/>
        <v>1. Under 1 hour</v>
      </c>
      <c r="O5591" t="str">
        <f t="shared" si="175"/>
        <v>2025-05</v>
      </c>
    </row>
    <row r="5592" spans="1:15" x14ac:dyDescent="0.3">
      <c r="A5592" t="s">
        <v>13156</v>
      </c>
      <c r="B5592" t="s">
        <v>13157</v>
      </c>
      <c r="C5592" t="s">
        <v>125</v>
      </c>
      <c r="D5592" t="s">
        <v>77</v>
      </c>
      <c r="E5592" t="s">
        <v>39</v>
      </c>
      <c r="F5592" t="s">
        <v>106</v>
      </c>
      <c r="G5592">
        <v>2.81</v>
      </c>
      <c r="H5592" t="s">
        <v>41</v>
      </c>
      <c r="I5592" t="s">
        <v>42</v>
      </c>
      <c r="M5592">
        <f>VLOOKUP(H5592,'Stage Order'!$A$2:$B$8,2,FALSE)</f>
        <v>2</v>
      </c>
      <c r="N5592" t="str">
        <f t="shared" si="174"/>
        <v>2. 1-24 hours</v>
      </c>
      <c r="O5592" t="str">
        <f t="shared" si="175"/>
        <v>2026-02</v>
      </c>
    </row>
    <row r="5593" spans="1:15" x14ac:dyDescent="0.3">
      <c r="A5593" t="s">
        <v>13158</v>
      </c>
      <c r="B5593" t="s">
        <v>13159</v>
      </c>
      <c r="C5593" t="s">
        <v>53</v>
      </c>
      <c r="D5593" t="s">
        <v>38</v>
      </c>
      <c r="E5593" t="s">
        <v>45</v>
      </c>
      <c r="F5593" t="s">
        <v>94</v>
      </c>
      <c r="G5593">
        <v>0.31</v>
      </c>
      <c r="H5593" t="s">
        <v>32</v>
      </c>
      <c r="I5593" t="s">
        <v>33</v>
      </c>
      <c r="K5593">
        <v>385.2</v>
      </c>
      <c r="L5593" t="s">
        <v>13160</v>
      </c>
      <c r="M5593">
        <f>VLOOKUP(H5593,'Stage Order'!$A$2:$B$8,2,FALSE)</f>
        <v>7</v>
      </c>
      <c r="N5593" t="str">
        <f t="shared" si="174"/>
        <v>1. Under 1 hour</v>
      </c>
      <c r="O5593" t="str">
        <f t="shared" si="175"/>
        <v>2025-05</v>
      </c>
    </row>
    <row r="5594" spans="1:15" x14ac:dyDescent="0.3">
      <c r="A5594" t="s">
        <v>13161</v>
      </c>
      <c r="B5594" t="s">
        <v>13162</v>
      </c>
      <c r="C5594" t="s">
        <v>37</v>
      </c>
      <c r="D5594" t="s">
        <v>38</v>
      </c>
      <c r="E5594" t="s">
        <v>59</v>
      </c>
      <c r="F5594" t="s">
        <v>117</v>
      </c>
      <c r="G5594">
        <v>0.52</v>
      </c>
      <c r="H5594" t="s">
        <v>47</v>
      </c>
      <c r="I5594" t="s">
        <v>48</v>
      </c>
      <c r="J5594" t="s">
        <v>49</v>
      </c>
      <c r="K5594">
        <v>306.95</v>
      </c>
      <c r="L5594" t="s">
        <v>13163</v>
      </c>
      <c r="M5594">
        <f>VLOOKUP(H5594,'Stage Order'!$A$2:$B$8,2,FALSE)</f>
        <v>4</v>
      </c>
      <c r="N5594" t="str">
        <f t="shared" si="174"/>
        <v>1. Under 1 hour</v>
      </c>
      <c r="O5594" t="str">
        <f t="shared" si="175"/>
        <v>2026-06</v>
      </c>
    </row>
    <row r="5595" spans="1:15" x14ac:dyDescent="0.3">
      <c r="A5595" t="s">
        <v>13164</v>
      </c>
      <c r="B5595" t="s">
        <v>13165</v>
      </c>
      <c r="C5595" t="s">
        <v>125</v>
      </c>
      <c r="D5595" t="s">
        <v>54</v>
      </c>
      <c r="E5595" t="s">
        <v>45</v>
      </c>
      <c r="F5595" t="s">
        <v>55</v>
      </c>
      <c r="G5595">
        <v>7.92</v>
      </c>
      <c r="H5595" t="s">
        <v>41</v>
      </c>
      <c r="I5595" t="s">
        <v>42</v>
      </c>
      <c r="M5595">
        <f>VLOOKUP(H5595,'Stage Order'!$A$2:$B$8,2,FALSE)</f>
        <v>2</v>
      </c>
      <c r="N5595" t="str">
        <f t="shared" si="174"/>
        <v>2. 1-24 hours</v>
      </c>
      <c r="O5595" t="str">
        <f t="shared" si="175"/>
        <v>2026-02</v>
      </c>
    </row>
    <row r="5596" spans="1:15" x14ac:dyDescent="0.3">
      <c r="A5596" t="s">
        <v>13166</v>
      </c>
      <c r="B5596" t="s">
        <v>13167</v>
      </c>
      <c r="C5596" t="s">
        <v>28</v>
      </c>
      <c r="D5596" t="s">
        <v>54</v>
      </c>
      <c r="E5596" t="s">
        <v>39</v>
      </c>
      <c r="F5596" t="s">
        <v>40</v>
      </c>
      <c r="G5596">
        <v>2.81</v>
      </c>
      <c r="H5596" t="s">
        <v>41</v>
      </c>
      <c r="I5596" t="s">
        <v>42</v>
      </c>
      <c r="M5596">
        <f>VLOOKUP(H5596,'Stage Order'!$A$2:$B$8,2,FALSE)</f>
        <v>2</v>
      </c>
      <c r="N5596" t="str">
        <f t="shared" si="174"/>
        <v>2. 1-24 hours</v>
      </c>
      <c r="O5596" t="str">
        <f t="shared" si="175"/>
        <v>2025-01</v>
      </c>
    </row>
    <row r="5597" spans="1:15" x14ac:dyDescent="0.3">
      <c r="A5597" t="s">
        <v>13168</v>
      </c>
      <c r="B5597" t="s">
        <v>13169</v>
      </c>
      <c r="C5597" t="s">
        <v>81</v>
      </c>
      <c r="D5597" t="s">
        <v>29</v>
      </c>
      <c r="E5597" t="s">
        <v>45</v>
      </c>
      <c r="F5597" t="s">
        <v>94</v>
      </c>
      <c r="G5597">
        <v>1.42</v>
      </c>
      <c r="H5597" t="s">
        <v>128</v>
      </c>
      <c r="I5597" t="s">
        <v>42</v>
      </c>
      <c r="M5597">
        <f>VLOOKUP(H5597,'Stage Order'!$A$2:$B$8,2,FALSE)</f>
        <v>3</v>
      </c>
      <c r="N5597" t="str">
        <f t="shared" si="174"/>
        <v>2. 1-24 hours</v>
      </c>
      <c r="O5597" t="str">
        <f t="shared" si="175"/>
        <v>2026-03</v>
      </c>
    </row>
    <row r="5598" spans="1:15" x14ac:dyDescent="0.3">
      <c r="A5598" t="s">
        <v>13170</v>
      </c>
      <c r="B5598" t="s">
        <v>13171</v>
      </c>
      <c r="C5598" t="s">
        <v>53</v>
      </c>
      <c r="D5598" t="s">
        <v>97</v>
      </c>
      <c r="E5598" t="s">
        <v>39</v>
      </c>
      <c r="F5598" t="s">
        <v>106</v>
      </c>
      <c r="G5598">
        <v>1</v>
      </c>
      <c r="H5598" t="s">
        <v>138</v>
      </c>
      <c r="I5598" t="s">
        <v>48</v>
      </c>
      <c r="J5598" t="s">
        <v>49</v>
      </c>
      <c r="K5598">
        <v>1288.2</v>
      </c>
      <c r="L5598" t="s">
        <v>13172</v>
      </c>
      <c r="M5598">
        <f>VLOOKUP(H5598,'Stage Order'!$A$2:$B$8,2,FALSE)</f>
        <v>6</v>
      </c>
      <c r="N5598" t="str">
        <f t="shared" si="174"/>
        <v>1. Under 1 hour</v>
      </c>
      <c r="O5598" t="str">
        <f t="shared" si="175"/>
        <v>2025-01</v>
      </c>
    </row>
    <row r="5599" spans="1:15" x14ac:dyDescent="0.3">
      <c r="A5599" t="s">
        <v>13173</v>
      </c>
      <c r="B5599" t="s">
        <v>13174</v>
      </c>
      <c r="C5599" t="s">
        <v>37</v>
      </c>
      <c r="D5599" t="s">
        <v>77</v>
      </c>
      <c r="E5599" t="s">
        <v>45</v>
      </c>
      <c r="F5599" t="s">
        <v>94</v>
      </c>
      <c r="G5599">
        <v>6.45</v>
      </c>
      <c r="H5599" t="s">
        <v>138</v>
      </c>
      <c r="I5599" t="s">
        <v>48</v>
      </c>
      <c r="J5599" t="s">
        <v>139</v>
      </c>
      <c r="K5599">
        <v>1184.48</v>
      </c>
      <c r="L5599" t="s">
        <v>13175</v>
      </c>
      <c r="M5599">
        <f>VLOOKUP(H5599,'Stage Order'!$A$2:$B$8,2,FALSE)</f>
        <v>6</v>
      </c>
      <c r="N5599" t="str">
        <f t="shared" si="174"/>
        <v>2. 1-24 hours</v>
      </c>
      <c r="O5599" t="str">
        <f t="shared" si="175"/>
        <v>2025-02</v>
      </c>
    </row>
    <row r="5600" spans="1:15" x14ac:dyDescent="0.3">
      <c r="A5600" t="s">
        <v>13176</v>
      </c>
      <c r="B5600" t="s">
        <v>13177</v>
      </c>
      <c r="C5600" t="s">
        <v>28</v>
      </c>
      <c r="D5600" t="s">
        <v>38</v>
      </c>
      <c r="E5600" t="s">
        <v>59</v>
      </c>
      <c r="F5600" t="s">
        <v>137</v>
      </c>
      <c r="G5600">
        <v>5.85</v>
      </c>
      <c r="H5600" t="s">
        <v>138</v>
      </c>
      <c r="I5600" t="s">
        <v>48</v>
      </c>
      <c r="J5600" t="s">
        <v>49</v>
      </c>
      <c r="K5600">
        <v>372.21</v>
      </c>
      <c r="L5600" t="s">
        <v>13178</v>
      </c>
      <c r="M5600">
        <f>VLOOKUP(H5600,'Stage Order'!$A$2:$B$8,2,FALSE)</f>
        <v>6</v>
      </c>
      <c r="N5600" t="str">
        <f t="shared" si="174"/>
        <v>2. 1-24 hours</v>
      </c>
      <c r="O5600" t="str">
        <f t="shared" si="175"/>
        <v>2025-11</v>
      </c>
    </row>
    <row r="5601" spans="1:15" x14ac:dyDescent="0.3">
      <c r="A5601" t="s">
        <v>13179</v>
      </c>
      <c r="B5601" t="s">
        <v>13180</v>
      </c>
      <c r="C5601" t="s">
        <v>58</v>
      </c>
      <c r="D5601" t="s">
        <v>38</v>
      </c>
      <c r="E5601" t="s">
        <v>90</v>
      </c>
      <c r="F5601" t="s">
        <v>112</v>
      </c>
      <c r="G5601">
        <v>1.8</v>
      </c>
      <c r="H5601" t="s">
        <v>41</v>
      </c>
      <c r="I5601" t="s">
        <v>42</v>
      </c>
      <c r="M5601">
        <f>VLOOKUP(H5601,'Stage Order'!$A$2:$B$8,2,FALSE)</f>
        <v>2</v>
      </c>
      <c r="N5601" t="str">
        <f t="shared" si="174"/>
        <v>2. 1-24 hours</v>
      </c>
      <c r="O5601" t="str">
        <f t="shared" si="175"/>
        <v>2025-01</v>
      </c>
    </row>
    <row r="5602" spans="1:15" x14ac:dyDescent="0.3">
      <c r="A5602" t="s">
        <v>13181</v>
      </c>
      <c r="B5602" t="s">
        <v>13182</v>
      </c>
      <c r="C5602" t="s">
        <v>53</v>
      </c>
      <c r="D5602" t="s">
        <v>54</v>
      </c>
      <c r="E5602" t="s">
        <v>90</v>
      </c>
      <c r="F5602" t="s">
        <v>145</v>
      </c>
      <c r="G5602">
        <v>4.9800000000000004</v>
      </c>
      <c r="H5602" t="s">
        <v>41</v>
      </c>
      <c r="I5602" t="s">
        <v>42</v>
      </c>
      <c r="M5602">
        <f>VLOOKUP(H5602,'Stage Order'!$A$2:$B$8,2,FALSE)</f>
        <v>2</v>
      </c>
      <c r="N5602" t="str">
        <f t="shared" si="174"/>
        <v>2. 1-24 hours</v>
      </c>
      <c r="O5602" t="str">
        <f t="shared" si="175"/>
        <v>2026-05</v>
      </c>
    </row>
    <row r="5603" spans="1:15" x14ac:dyDescent="0.3">
      <c r="A5603" t="s">
        <v>13183</v>
      </c>
      <c r="B5603" t="s">
        <v>13184</v>
      </c>
      <c r="C5603" t="s">
        <v>58</v>
      </c>
      <c r="D5603" t="s">
        <v>54</v>
      </c>
      <c r="E5603" t="s">
        <v>39</v>
      </c>
      <c r="F5603" t="s">
        <v>66</v>
      </c>
      <c r="G5603">
        <v>1.05</v>
      </c>
      <c r="H5603" t="s">
        <v>61</v>
      </c>
      <c r="I5603" t="s">
        <v>42</v>
      </c>
      <c r="M5603">
        <f>VLOOKUP(H5603,'Stage Order'!$A$2:$B$8,2,FALSE)</f>
        <v>1</v>
      </c>
      <c r="N5603" t="str">
        <f t="shared" si="174"/>
        <v>2. 1-24 hours</v>
      </c>
      <c r="O5603" t="str">
        <f t="shared" si="175"/>
        <v>2026-05</v>
      </c>
    </row>
    <row r="5604" spans="1:15" x14ac:dyDescent="0.3">
      <c r="A5604" t="s">
        <v>13185</v>
      </c>
      <c r="B5604" t="s">
        <v>13186</v>
      </c>
      <c r="C5604" t="s">
        <v>37</v>
      </c>
      <c r="D5604" t="s">
        <v>29</v>
      </c>
      <c r="E5604" t="s">
        <v>39</v>
      </c>
      <c r="F5604" t="s">
        <v>40</v>
      </c>
      <c r="G5604">
        <v>5.69</v>
      </c>
      <c r="H5604" t="s">
        <v>41</v>
      </c>
      <c r="I5604" t="s">
        <v>42</v>
      </c>
      <c r="M5604">
        <f>VLOOKUP(H5604,'Stage Order'!$A$2:$B$8,2,FALSE)</f>
        <v>2</v>
      </c>
      <c r="N5604" t="str">
        <f t="shared" si="174"/>
        <v>2. 1-24 hours</v>
      </c>
      <c r="O5604" t="str">
        <f t="shared" si="175"/>
        <v>2025-01</v>
      </c>
    </row>
    <row r="5605" spans="1:15" x14ac:dyDescent="0.3">
      <c r="A5605" t="s">
        <v>13187</v>
      </c>
      <c r="B5605" t="s">
        <v>13188</v>
      </c>
      <c r="C5605" t="s">
        <v>125</v>
      </c>
      <c r="D5605" t="s">
        <v>77</v>
      </c>
      <c r="E5605" t="s">
        <v>59</v>
      </c>
      <c r="F5605" t="s">
        <v>137</v>
      </c>
      <c r="G5605">
        <v>1.1399999999999999</v>
      </c>
      <c r="H5605" t="s">
        <v>138</v>
      </c>
      <c r="I5605" t="s">
        <v>48</v>
      </c>
      <c r="J5605" t="s">
        <v>98</v>
      </c>
      <c r="K5605">
        <v>1040.98</v>
      </c>
      <c r="L5605" t="s">
        <v>13189</v>
      </c>
      <c r="M5605">
        <f>VLOOKUP(H5605,'Stage Order'!$A$2:$B$8,2,FALSE)</f>
        <v>6</v>
      </c>
      <c r="N5605" t="str">
        <f t="shared" si="174"/>
        <v>2. 1-24 hours</v>
      </c>
      <c r="O5605" t="str">
        <f t="shared" si="175"/>
        <v>2026-06</v>
      </c>
    </row>
    <row r="5606" spans="1:15" x14ac:dyDescent="0.3">
      <c r="A5606" t="s">
        <v>13190</v>
      </c>
      <c r="B5606" t="s">
        <v>13191</v>
      </c>
      <c r="C5606" t="s">
        <v>81</v>
      </c>
      <c r="D5606" t="s">
        <v>77</v>
      </c>
      <c r="E5606" t="s">
        <v>59</v>
      </c>
      <c r="F5606" t="s">
        <v>117</v>
      </c>
      <c r="G5606">
        <v>9.81</v>
      </c>
      <c r="H5606" t="s">
        <v>47</v>
      </c>
      <c r="I5606" t="s">
        <v>48</v>
      </c>
      <c r="J5606" t="s">
        <v>139</v>
      </c>
      <c r="K5606">
        <v>808.26</v>
      </c>
      <c r="L5606" t="s">
        <v>13192</v>
      </c>
      <c r="M5606">
        <f>VLOOKUP(H5606,'Stage Order'!$A$2:$B$8,2,FALSE)</f>
        <v>4</v>
      </c>
      <c r="N5606" t="str">
        <f t="shared" si="174"/>
        <v>2. 1-24 hours</v>
      </c>
      <c r="O5606" t="str">
        <f t="shared" si="175"/>
        <v>2025-03</v>
      </c>
    </row>
    <row r="5607" spans="1:15" x14ac:dyDescent="0.3">
      <c r="A5607" t="s">
        <v>13193</v>
      </c>
      <c r="B5607" t="s">
        <v>13194</v>
      </c>
      <c r="C5607" t="s">
        <v>76</v>
      </c>
      <c r="D5607" t="s">
        <v>38</v>
      </c>
      <c r="E5607" t="s">
        <v>45</v>
      </c>
      <c r="F5607" t="s">
        <v>46</v>
      </c>
      <c r="G5607">
        <v>1.88</v>
      </c>
      <c r="H5607" t="s">
        <v>41</v>
      </c>
      <c r="I5607" t="s">
        <v>42</v>
      </c>
      <c r="M5607">
        <f>VLOOKUP(H5607,'Stage Order'!$A$2:$B$8,2,FALSE)</f>
        <v>2</v>
      </c>
      <c r="N5607" t="str">
        <f t="shared" si="174"/>
        <v>2. 1-24 hours</v>
      </c>
      <c r="O5607" t="str">
        <f t="shared" si="175"/>
        <v>2025-10</v>
      </c>
    </row>
    <row r="5608" spans="1:15" x14ac:dyDescent="0.3">
      <c r="A5608" t="s">
        <v>13195</v>
      </c>
      <c r="B5608" t="s">
        <v>13196</v>
      </c>
      <c r="C5608" t="s">
        <v>37</v>
      </c>
      <c r="D5608" t="s">
        <v>29</v>
      </c>
      <c r="E5608" t="s">
        <v>39</v>
      </c>
      <c r="F5608" t="s">
        <v>106</v>
      </c>
      <c r="G5608">
        <v>7.66</v>
      </c>
      <c r="H5608" t="s">
        <v>32</v>
      </c>
      <c r="I5608" t="s">
        <v>33</v>
      </c>
      <c r="K5608">
        <v>710.18</v>
      </c>
      <c r="L5608" t="s">
        <v>13197</v>
      </c>
      <c r="M5608">
        <f>VLOOKUP(H5608,'Stage Order'!$A$2:$B$8,2,FALSE)</f>
        <v>7</v>
      </c>
      <c r="N5608" t="str">
        <f t="shared" si="174"/>
        <v>2. 1-24 hours</v>
      </c>
      <c r="O5608" t="str">
        <f t="shared" si="175"/>
        <v>2025-08</v>
      </c>
    </row>
    <row r="5609" spans="1:15" x14ac:dyDescent="0.3">
      <c r="A5609" t="s">
        <v>13198</v>
      </c>
      <c r="B5609" t="s">
        <v>13199</v>
      </c>
      <c r="C5609" t="s">
        <v>125</v>
      </c>
      <c r="D5609" t="s">
        <v>38</v>
      </c>
      <c r="E5609" t="s">
        <v>39</v>
      </c>
      <c r="F5609" t="s">
        <v>40</v>
      </c>
      <c r="G5609">
        <v>7.33</v>
      </c>
      <c r="H5609" t="s">
        <v>41</v>
      </c>
      <c r="I5609" t="s">
        <v>42</v>
      </c>
      <c r="M5609">
        <f>VLOOKUP(H5609,'Stage Order'!$A$2:$B$8,2,FALSE)</f>
        <v>2</v>
      </c>
      <c r="N5609" t="str">
        <f t="shared" si="174"/>
        <v>2. 1-24 hours</v>
      </c>
      <c r="O5609" t="str">
        <f t="shared" si="175"/>
        <v>2026-06</v>
      </c>
    </row>
    <row r="5610" spans="1:15" x14ac:dyDescent="0.3">
      <c r="A5610" t="s">
        <v>13200</v>
      </c>
      <c r="B5610" t="s">
        <v>13201</v>
      </c>
      <c r="C5610" t="s">
        <v>125</v>
      </c>
      <c r="D5610" t="s">
        <v>38</v>
      </c>
      <c r="E5610" t="s">
        <v>39</v>
      </c>
      <c r="F5610" t="s">
        <v>106</v>
      </c>
      <c r="G5610">
        <v>1.27</v>
      </c>
      <c r="H5610" t="s">
        <v>41</v>
      </c>
      <c r="I5610" t="s">
        <v>42</v>
      </c>
      <c r="M5610">
        <f>VLOOKUP(H5610,'Stage Order'!$A$2:$B$8,2,FALSE)</f>
        <v>2</v>
      </c>
      <c r="N5610" t="str">
        <f t="shared" si="174"/>
        <v>2. 1-24 hours</v>
      </c>
      <c r="O5610" t="str">
        <f t="shared" si="175"/>
        <v>2025-06</v>
      </c>
    </row>
    <row r="5611" spans="1:15" x14ac:dyDescent="0.3">
      <c r="A5611" t="s">
        <v>13202</v>
      </c>
      <c r="B5611" t="s">
        <v>13203</v>
      </c>
      <c r="C5611" t="s">
        <v>28</v>
      </c>
      <c r="D5611" t="s">
        <v>77</v>
      </c>
      <c r="E5611" t="s">
        <v>30</v>
      </c>
      <c r="F5611" t="s">
        <v>31</v>
      </c>
      <c r="G5611">
        <v>0.82</v>
      </c>
      <c r="H5611" t="s">
        <v>32</v>
      </c>
      <c r="I5611" t="s">
        <v>33</v>
      </c>
      <c r="K5611">
        <v>1025.1400000000001</v>
      </c>
      <c r="L5611" t="s">
        <v>13204</v>
      </c>
      <c r="M5611">
        <f>VLOOKUP(H5611,'Stage Order'!$A$2:$B$8,2,FALSE)</f>
        <v>7</v>
      </c>
      <c r="N5611" t="str">
        <f t="shared" si="174"/>
        <v>1. Under 1 hour</v>
      </c>
      <c r="O5611" t="str">
        <f t="shared" si="175"/>
        <v>2025-11</v>
      </c>
    </row>
    <row r="5612" spans="1:15" x14ac:dyDescent="0.3">
      <c r="A5612" t="s">
        <v>13205</v>
      </c>
      <c r="B5612" t="s">
        <v>13206</v>
      </c>
      <c r="C5612" t="s">
        <v>53</v>
      </c>
      <c r="D5612" t="s">
        <v>97</v>
      </c>
      <c r="E5612" t="s">
        <v>90</v>
      </c>
      <c r="F5612" t="s">
        <v>145</v>
      </c>
      <c r="G5612">
        <v>3.1</v>
      </c>
      <c r="H5612" t="s">
        <v>41</v>
      </c>
      <c r="I5612" t="s">
        <v>42</v>
      </c>
      <c r="M5612">
        <f>VLOOKUP(H5612,'Stage Order'!$A$2:$B$8,2,FALSE)</f>
        <v>2</v>
      </c>
      <c r="N5612" t="str">
        <f t="shared" si="174"/>
        <v>2. 1-24 hours</v>
      </c>
      <c r="O5612" t="str">
        <f t="shared" si="175"/>
        <v>2025-01</v>
      </c>
    </row>
    <row r="5613" spans="1:15" x14ac:dyDescent="0.3">
      <c r="A5613" t="s">
        <v>13207</v>
      </c>
      <c r="B5613" t="s">
        <v>13208</v>
      </c>
      <c r="C5613" t="s">
        <v>125</v>
      </c>
      <c r="D5613" t="s">
        <v>29</v>
      </c>
      <c r="E5613" t="s">
        <v>45</v>
      </c>
      <c r="F5613" t="s">
        <v>94</v>
      </c>
      <c r="G5613">
        <v>11.68</v>
      </c>
      <c r="H5613" t="s">
        <v>41</v>
      </c>
      <c r="I5613" t="s">
        <v>42</v>
      </c>
      <c r="M5613">
        <f>VLOOKUP(H5613,'Stage Order'!$A$2:$B$8,2,FALSE)</f>
        <v>2</v>
      </c>
      <c r="N5613" t="str">
        <f t="shared" si="174"/>
        <v>2. 1-24 hours</v>
      </c>
      <c r="O5613" t="str">
        <f t="shared" si="175"/>
        <v>2025-10</v>
      </c>
    </row>
    <row r="5614" spans="1:15" x14ac:dyDescent="0.3">
      <c r="A5614" t="s">
        <v>13209</v>
      </c>
      <c r="B5614" t="s">
        <v>13210</v>
      </c>
      <c r="C5614" t="s">
        <v>53</v>
      </c>
      <c r="D5614" t="s">
        <v>29</v>
      </c>
      <c r="E5614" t="s">
        <v>30</v>
      </c>
      <c r="F5614" t="s">
        <v>31</v>
      </c>
      <c r="G5614">
        <v>2.1800000000000002</v>
      </c>
      <c r="H5614" t="s">
        <v>32</v>
      </c>
      <c r="I5614" t="s">
        <v>33</v>
      </c>
      <c r="K5614">
        <v>769.53</v>
      </c>
      <c r="L5614" t="s">
        <v>13211</v>
      </c>
      <c r="M5614">
        <f>VLOOKUP(H5614,'Stage Order'!$A$2:$B$8,2,FALSE)</f>
        <v>7</v>
      </c>
      <c r="N5614" t="str">
        <f t="shared" si="174"/>
        <v>2. 1-24 hours</v>
      </c>
      <c r="O5614" t="str">
        <f t="shared" si="175"/>
        <v>2025-01</v>
      </c>
    </row>
    <row r="5615" spans="1:15" x14ac:dyDescent="0.3">
      <c r="A5615" t="s">
        <v>13212</v>
      </c>
      <c r="B5615" t="s">
        <v>13213</v>
      </c>
      <c r="C5615" t="s">
        <v>37</v>
      </c>
      <c r="D5615" t="s">
        <v>54</v>
      </c>
      <c r="E5615" t="s">
        <v>39</v>
      </c>
      <c r="F5615" t="s">
        <v>40</v>
      </c>
      <c r="G5615">
        <v>2.1800000000000002</v>
      </c>
      <c r="H5615" t="s">
        <v>41</v>
      </c>
      <c r="I5615" t="s">
        <v>42</v>
      </c>
      <c r="M5615">
        <f>VLOOKUP(H5615,'Stage Order'!$A$2:$B$8,2,FALSE)</f>
        <v>2</v>
      </c>
      <c r="N5615" t="str">
        <f t="shared" si="174"/>
        <v>2. 1-24 hours</v>
      </c>
      <c r="O5615" t="str">
        <f t="shared" si="175"/>
        <v>2026-02</v>
      </c>
    </row>
    <row r="5616" spans="1:15" x14ac:dyDescent="0.3">
      <c r="A5616" t="s">
        <v>13214</v>
      </c>
      <c r="B5616" t="s">
        <v>13215</v>
      </c>
      <c r="C5616" t="s">
        <v>58</v>
      </c>
      <c r="D5616" t="s">
        <v>77</v>
      </c>
      <c r="E5616" t="s">
        <v>45</v>
      </c>
      <c r="F5616" t="s">
        <v>94</v>
      </c>
      <c r="G5616">
        <v>7.42</v>
      </c>
      <c r="H5616" t="s">
        <v>47</v>
      </c>
      <c r="I5616" t="s">
        <v>48</v>
      </c>
      <c r="J5616" t="s">
        <v>98</v>
      </c>
      <c r="K5616">
        <v>1142.72</v>
      </c>
      <c r="L5616" t="s">
        <v>13216</v>
      </c>
      <c r="M5616">
        <f>VLOOKUP(H5616,'Stage Order'!$A$2:$B$8,2,FALSE)</f>
        <v>4</v>
      </c>
      <c r="N5616" t="str">
        <f t="shared" si="174"/>
        <v>2. 1-24 hours</v>
      </c>
      <c r="O5616" t="str">
        <f t="shared" si="175"/>
        <v>2025-07</v>
      </c>
    </row>
    <row r="5617" spans="1:15" x14ac:dyDescent="0.3">
      <c r="A5617" t="s">
        <v>13217</v>
      </c>
      <c r="B5617" t="s">
        <v>13218</v>
      </c>
      <c r="C5617" t="s">
        <v>125</v>
      </c>
      <c r="D5617" t="s">
        <v>29</v>
      </c>
      <c r="E5617" t="s">
        <v>59</v>
      </c>
      <c r="F5617" t="s">
        <v>60</v>
      </c>
      <c r="G5617">
        <v>9.8800000000000008</v>
      </c>
      <c r="H5617" t="s">
        <v>138</v>
      </c>
      <c r="I5617" t="s">
        <v>48</v>
      </c>
      <c r="J5617" t="s">
        <v>49</v>
      </c>
      <c r="K5617">
        <v>763.62</v>
      </c>
      <c r="L5617" t="s">
        <v>13219</v>
      </c>
      <c r="M5617">
        <f>VLOOKUP(H5617,'Stage Order'!$A$2:$B$8,2,FALSE)</f>
        <v>6</v>
      </c>
      <c r="N5617" t="str">
        <f t="shared" si="174"/>
        <v>2. 1-24 hours</v>
      </c>
      <c r="O5617" t="str">
        <f t="shared" si="175"/>
        <v>2025-10</v>
      </c>
    </row>
    <row r="5618" spans="1:15" x14ac:dyDescent="0.3">
      <c r="A5618" t="s">
        <v>13220</v>
      </c>
      <c r="B5618" t="s">
        <v>13221</v>
      </c>
      <c r="C5618" t="s">
        <v>58</v>
      </c>
      <c r="D5618" t="s">
        <v>77</v>
      </c>
      <c r="E5618" t="s">
        <v>59</v>
      </c>
      <c r="F5618" t="s">
        <v>60</v>
      </c>
      <c r="G5618">
        <v>0.63</v>
      </c>
      <c r="H5618" t="s">
        <v>32</v>
      </c>
      <c r="I5618" t="s">
        <v>33</v>
      </c>
      <c r="K5618">
        <v>931.44</v>
      </c>
      <c r="L5618" t="s">
        <v>13222</v>
      </c>
      <c r="M5618">
        <f>VLOOKUP(H5618,'Stage Order'!$A$2:$B$8,2,FALSE)</f>
        <v>7</v>
      </c>
      <c r="N5618" t="str">
        <f t="shared" si="174"/>
        <v>1. Under 1 hour</v>
      </c>
      <c r="O5618" t="str">
        <f t="shared" si="175"/>
        <v>2025-09</v>
      </c>
    </row>
    <row r="5619" spans="1:15" x14ac:dyDescent="0.3">
      <c r="A5619" t="s">
        <v>13223</v>
      </c>
      <c r="B5619" t="s">
        <v>13224</v>
      </c>
      <c r="C5619" t="s">
        <v>37</v>
      </c>
      <c r="D5619" t="s">
        <v>54</v>
      </c>
      <c r="E5619" t="s">
        <v>90</v>
      </c>
      <c r="F5619" t="s">
        <v>145</v>
      </c>
      <c r="G5619">
        <v>3.25</v>
      </c>
      <c r="H5619" t="s">
        <v>41</v>
      </c>
      <c r="I5619" t="s">
        <v>42</v>
      </c>
      <c r="M5619">
        <f>VLOOKUP(H5619,'Stage Order'!$A$2:$B$8,2,FALSE)</f>
        <v>2</v>
      </c>
      <c r="N5619" t="str">
        <f t="shared" si="174"/>
        <v>2. 1-24 hours</v>
      </c>
      <c r="O5619" t="str">
        <f t="shared" si="175"/>
        <v>2025-10</v>
      </c>
    </row>
    <row r="5620" spans="1:15" x14ac:dyDescent="0.3">
      <c r="A5620" t="s">
        <v>13225</v>
      </c>
      <c r="B5620" t="s">
        <v>13226</v>
      </c>
      <c r="C5620" t="s">
        <v>28</v>
      </c>
      <c r="D5620" t="s">
        <v>38</v>
      </c>
      <c r="E5620" t="s">
        <v>39</v>
      </c>
      <c r="F5620" t="s">
        <v>106</v>
      </c>
      <c r="G5620">
        <v>10.81</v>
      </c>
      <c r="H5620" t="s">
        <v>138</v>
      </c>
      <c r="I5620" t="s">
        <v>48</v>
      </c>
      <c r="J5620" t="s">
        <v>49</v>
      </c>
      <c r="K5620">
        <v>310.27999999999997</v>
      </c>
      <c r="L5620" t="s">
        <v>13227</v>
      </c>
      <c r="M5620">
        <f>VLOOKUP(H5620,'Stage Order'!$A$2:$B$8,2,FALSE)</f>
        <v>6</v>
      </c>
      <c r="N5620" t="str">
        <f t="shared" si="174"/>
        <v>2. 1-24 hours</v>
      </c>
      <c r="O5620" t="str">
        <f t="shared" si="175"/>
        <v>2025-08</v>
      </c>
    </row>
    <row r="5621" spans="1:15" x14ac:dyDescent="0.3">
      <c r="A5621" t="s">
        <v>13228</v>
      </c>
      <c r="B5621" t="s">
        <v>13229</v>
      </c>
      <c r="C5621" t="s">
        <v>53</v>
      </c>
      <c r="D5621" t="s">
        <v>29</v>
      </c>
      <c r="E5621" t="s">
        <v>30</v>
      </c>
      <c r="F5621" t="s">
        <v>82</v>
      </c>
      <c r="G5621">
        <v>5.64</v>
      </c>
      <c r="H5621" t="s">
        <v>47</v>
      </c>
      <c r="I5621" t="s">
        <v>48</v>
      </c>
      <c r="J5621" t="s">
        <v>139</v>
      </c>
      <c r="K5621">
        <v>624.54999999999995</v>
      </c>
      <c r="L5621" t="s">
        <v>13230</v>
      </c>
      <c r="M5621">
        <f>VLOOKUP(H5621,'Stage Order'!$A$2:$B$8,2,FALSE)</f>
        <v>4</v>
      </c>
      <c r="N5621" t="str">
        <f t="shared" si="174"/>
        <v>2. 1-24 hours</v>
      </c>
      <c r="O5621" t="str">
        <f t="shared" si="175"/>
        <v>2025-07</v>
      </c>
    </row>
    <row r="5622" spans="1:15" x14ac:dyDescent="0.3">
      <c r="A5622" t="s">
        <v>13231</v>
      </c>
      <c r="B5622" t="s">
        <v>13232</v>
      </c>
      <c r="C5622" t="s">
        <v>37</v>
      </c>
      <c r="D5622" t="s">
        <v>29</v>
      </c>
      <c r="E5622" t="s">
        <v>59</v>
      </c>
      <c r="F5622" t="s">
        <v>117</v>
      </c>
      <c r="G5622">
        <v>3.03</v>
      </c>
      <c r="H5622" t="s">
        <v>32</v>
      </c>
      <c r="I5622" t="s">
        <v>33</v>
      </c>
      <c r="K5622">
        <v>629.66999999999996</v>
      </c>
      <c r="L5622" t="s">
        <v>13233</v>
      </c>
      <c r="M5622">
        <f>VLOOKUP(H5622,'Stage Order'!$A$2:$B$8,2,FALSE)</f>
        <v>7</v>
      </c>
      <c r="N5622" t="str">
        <f t="shared" si="174"/>
        <v>2. 1-24 hours</v>
      </c>
      <c r="O5622" t="str">
        <f t="shared" si="175"/>
        <v>2026-06</v>
      </c>
    </row>
    <row r="5623" spans="1:15" x14ac:dyDescent="0.3">
      <c r="A5623" t="s">
        <v>13234</v>
      </c>
      <c r="B5623" t="s">
        <v>13235</v>
      </c>
      <c r="C5623" t="s">
        <v>53</v>
      </c>
      <c r="D5623" t="s">
        <v>97</v>
      </c>
      <c r="E5623" t="s">
        <v>45</v>
      </c>
      <c r="F5623" t="s">
        <v>46</v>
      </c>
      <c r="G5623">
        <v>8.08</v>
      </c>
      <c r="H5623" t="s">
        <v>32</v>
      </c>
      <c r="I5623" t="s">
        <v>33</v>
      </c>
      <c r="K5623">
        <v>1619.21</v>
      </c>
      <c r="L5623" t="s">
        <v>13236</v>
      </c>
      <c r="M5623">
        <f>VLOOKUP(H5623,'Stage Order'!$A$2:$B$8,2,FALSE)</f>
        <v>7</v>
      </c>
      <c r="N5623" t="str">
        <f t="shared" si="174"/>
        <v>2. 1-24 hours</v>
      </c>
      <c r="O5623" t="str">
        <f t="shared" si="175"/>
        <v>2026-01</v>
      </c>
    </row>
    <row r="5624" spans="1:15" x14ac:dyDescent="0.3">
      <c r="A5624" t="s">
        <v>13237</v>
      </c>
      <c r="B5624" t="s">
        <v>13238</v>
      </c>
      <c r="C5624" t="s">
        <v>53</v>
      </c>
      <c r="D5624" t="s">
        <v>54</v>
      </c>
      <c r="E5624" t="s">
        <v>45</v>
      </c>
      <c r="F5624" t="s">
        <v>46</v>
      </c>
      <c r="G5624">
        <v>2.34</v>
      </c>
      <c r="H5624" t="s">
        <v>41</v>
      </c>
      <c r="I5624" t="s">
        <v>42</v>
      </c>
      <c r="M5624">
        <f>VLOOKUP(H5624,'Stage Order'!$A$2:$B$8,2,FALSE)</f>
        <v>2</v>
      </c>
      <c r="N5624" t="str">
        <f t="shared" si="174"/>
        <v>2. 1-24 hours</v>
      </c>
      <c r="O5624" t="str">
        <f t="shared" si="175"/>
        <v>2026-05</v>
      </c>
    </row>
    <row r="5625" spans="1:15" x14ac:dyDescent="0.3">
      <c r="A5625" t="s">
        <v>13239</v>
      </c>
      <c r="B5625" t="s">
        <v>13240</v>
      </c>
      <c r="C5625" t="s">
        <v>37</v>
      </c>
      <c r="D5625" t="s">
        <v>38</v>
      </c>
      <c r="E5625" t="s">
        <v>90</v>
      </c>
      <c r="F5625" t="s">
        <v>112</v>
      </c>
      <c r="G5625">
        <v>3.15</v>
      </c>
      <c r="H5625" t="s">
        <v>41</v>
      </c>
      <c r="I5625" t="s">
        <v>42</v>
      </c>
      <c r="M5625">
        <f>VLOOKUP(H5625,'Stage Order'!$A$2:$B$8,2,FALSE)</f>
        <v>2</v>
      </c>
      <c r="N5625" t="str">
        <f t="shared" si="174"/>
        <v>2. 1-24 hours</v>
      </c>
      <c r="O5625" t="str">
        <f t="shared" si="175"/>
        <v>2025-07</v>
      </c>
    </row>
    <row r="5626" spans="1:15" x14ac:dyDescent="0.3">
      <c r="A5626" t="s">
        <v>13241</v>
      </c>
      <c r="B5626" t="s">
        <v>13242</v>
      </c>
      <c r="C5626" t="s">
        <v>58</v>
      </c>
      <c r="D5626" t="s">
        <v>38</v>
      </c>
      <c r="E5626" t="s">
        <v>59</v>
      </c>
      <c r="F5626" t="s">
        <v>137</v>
      </c>
      <c r="G5626">
        <v>2.0299999999999998</v>
      </c>
      <c r="H5626" t="s">
        <v>61</v>
      </c>
      <c r="I5626" t="s">
        <v>42</v>
      </c>
      <c r="M5626">
        <f>VLOOKUP(H5626,'Stage Order'!$A$2:$B$8,2,FALSE)</f>
        <v>1</v>
      </c>
      <c r="N5626" t="str">
        <f t="shared" si="174"/>
        <v>2. 1-24 hours</v>
      </c>
      <c r="O5626" t="str">
        <f t="shared" si="175"/>
        <v>2025-06</v>
      </c>
    </row>
    <row r="5627" spans="1:15" x14ac:dyDescent="0.3">
      <c r="A5627" t="s">
        <v>13243</v>
      </c>
      <c r="B5627" t="s">
        <v>13244</v>
      </c>
      <c r="C5627" t="s">
        <v>37</v>
      </c>
      <c r="D5627" t="s">
        <v>54</v>
      </c>
      <c r="E5627" t="s">
        <v>39</v>
      </c>
      <c r="F5627" t="s">
        <v>66</v>
      </c>
      <c r="G5627">
        <v>4.49</v>
      </c>
      <c r="H5627" t="s">
        <v>32</v>
      </c>
      <c r="I5627" t="s">
        <v>33</v>
      </c>
      <c r="K5627">
        <v>457.24</v>
      </c>
      <c r="L5627" t="s">
        <v>13245</v>
      </c>
      <c r="M5627">
        <f>VLOOKUP(H5627,'Stage Order'!$A$2:$B$8,2,FALSE)</f>
        <v>7</v>
      </c>
      <c r="N5627" t="str">
        <f t="shared" si="174"/>
        <v>2. 1-24 hours</v>
      </c>
      <c r="O5627" t="str">
        <f t="shared" si="175"/>
        <v>2025-09</v>
      </c>
    </row>
    <row r="5628" spans="1:15" x14ac:dyDescent="0.3">
      <c r="A5628" t="s">
        <v>13246</v>
      </c>
      <c r="B5628" t="s">
        <v>13247</v>
      </c>
      <c r="C5628" t="s">
        <v>53</v>
      </c>
      <c r="D5628" t="s">
        <v>29</v>
      </c>
      <c r="E5628" t="s">
        <v>90</v>
      </c>
      <c r="F5628" t="s">
        <v>145</v>
      </c>
      <c r="G5628">
        <v>1.59</v>
      </c>
      <c r="H5628" t="s">
        <v>41</v>
      </c>
      <c r="I5628" t="s">
        <v>42</v>
      </c>
      <c r="M5628">
        <f>VLOOKUP(H5628,'Stage Order'!$A$2:$B$8,2,FALSE)</f>
        <v>2</v>
      </c>
      <c r="N5628" t="str">
        <f t="shared" si="174"/>
        <v>2. 1-24 hours</v>
      </c>
      <c r="O5628" t="str">
        <f t="shared" si="175"/>
        <v>2025-02</v>
      </c>
    </row>
    <row r="5629" spans="1:15" x14ac:dyDescent="0.3">
      <c r="A5629" t="s">
        <v>13248</v>
      </c>
      <c r="B5629" t="s">
        <v>13249</v>
      </c>
      <c r="C5629" t="s">
        <v>28</v>
      </c>
      <c r="D5629" t="s">
        <v>38</v>
      </c>
      <c r="E5629" t="s">
        <v>90</v>
      </c>
      <c r="F5629" t="s">
        <v>91</v>
      </c>
      <c r="G5629">
        <v>3.46</v>
      </c>
      <c r="H5629" t="s">
        <v>61</v>
      </c>
      <c r="I5629" t="s">
        <v>42</v>
      </c>
      <c r="M5629">
        <f>VLOOKUP(H5629,'Stage Order'!$A$2:$B$8,2,FALSE)</f>
        <v>1</v>
      </c>
      <c r="N5629" t="str">
        <f t="shared" si="174"/>
        <v>2. 1-24 hours</v>
      </c>
      <c r="O5629" t="str">
        <f t="shared" si="175"/>
        <v>2026-04</v>
      </c>
    </row>
    <row r="5630" spans="1:15" x14ac:dyDescent="0.3">
      <c r="A5630" t="s">
        <v>13250</v>
      </c>
      <c r="B5630" t="s">
        <v>13251</v>
      </c>
      <c r="C5630" t="s">
        <v>58</v>
      </c>
      <c r="D5630" t="s">
        <v>77</v>
      </c>
      <c r="E5630" t="s">
        <v>30</v>
      </c>
      <c r="F5630" t="s">
        <v>31</v>
      </c>
      <c r="G5630">
        <v>13.74</v>
      </c>
      <c r="H5630" t="s">
        <v>41</v>
      </c>
      <c r="I5630" t="s">
        <v>42</v>
      </c>
      <c r="M5630">
        <f>VLOOKUP(H5630,'Stage Order'!$A$2:$B$8,2,FALSE)</f>
        <v>2</v>
      </c>
      <c r="N5630" t="str">
        <f t="shared" si="174"/>
        <v>2. 1-24 hours</v>
      </c>
      <c r="O5630" t="str">
        <f t="shared" si="175"/>
        <v>2025-07</v>
      </c>
    </row>
    <row r="5631" spans="1:15" x14ac:dyDescent="0.3">
      <c r="A5631" t="s">
        <v>13252</v>
      </c>
      <c r="B5631" t="s">
        <v>13253</v>
      </c>
      <c r="C5631" t="s">
        <v>76</v>
      </c>
      <c r="D5631" t="s">
        <v>77</v>
      </c>
      <c r="E5631" t="s">
        <v>59</v>
      </c>
      <c r="F5631" t="s">
        <v>117</v>
      </c>
      <c r="G5631">
        <v>18.850000000000001</v>
      </c>
      <c r="H5631" t="s">
        <v>32</v>
      </c>
      <c r="I5631" t="s">
        <v>33</v>
      </c>
      <c r="K5631">
        <v>873.87</v>
      </c>
      <c r="L5631" t="s">
        <v>13254</v>
      </c>
      <c r="M5631">
        <f>VLOOKUP(H5631,'Stage Order'!$A$2:$B$8,2,FALSE)</f>
        <v>7</v>
      </c>
      <c r="N5631" t="str">
        <f t="shared" si="174"/>
        <v>2. 1-24 hours</v>
      </c>
      <c r="O5631" t="str">
        <f t="shared" si="175"/>
        <v>2025-03</v>
      </c>
    </row>
    <row r="5632" spans="1:15" x14ac:dyDescent="0.3">
      <c r="A5632" t="s">
        <v>13255</v>
      </c>
      <c r="B5632" t="s">
        <v>13256</v>
      </c>
      <c r="C5632" t="s">
        <v>37</v>
      </c>
      <c r="D5632" t="s">
        <v>77</v>
      </c>
      <c r="E5632" t="s">
        <v>45</v>
      </c>
      <c r="F5632" t="s">
        <v>55</v>
      </c>
      <c r="G5632">
        <v>5.69</v>
      </c>
      <c r="H5632" t="s">
        <v>47</v>
      </c>
      <c r="I5632" t="s">
        <v>48</v>
      </c>
      <c r="J5632" t="s">
        <v>742</v>
      </c>
      <c r="K5632">
        <v>941</v>
      </c>
      <c r="L5632" t="s">
        <v>13257</v>
      </c>
      <c r="M5632">
        <f>VLOOKUP(H5632,'Stage Order'!$A$2:$B$8,2,FALSE)</f>
        <v>4</v>
      </c>
      <c r="N5632" t="str">
        <f t="shared" si="174"/>
        <v>2. 1-24 hours</v>
      </c>
      <c r="O5632" t="str">
        <f t="shared" si="175"/>
        <v>2025-10</v>
      </c>
    </row>
    <row r="5633" spans="1:15" x14ac:dyDescent="0.3">
      <c r="A5633" t="s">
        <v>13258</v>
      </c>
      <c r="B5633" t="s">
        <v>13259</v>
      </c>
      <c r="C5633" t="s">
        <v>37</v>
      </c>
      <c r="D5633" t="s">
        <v>54</v>
      </c>
      <c r="E5633" t="s">
        <v>90</v>
      </c>
      <c r="F5633" t="s">
        <v>91</v>
      </c>
      <c r="G5633">
        <v>5.95</v>
      </c>
      <c r="H5633" t="s">
        <v>41</v>
      </c>
      <c r="I5633" t="s">
        <v>42</v>
      </c>
      <c r="M5633">
        <f>VLOOKUP(H5633,'Stage Order'!$A$2:$B$8,2,FALSE)</f>
        <v>2</v>
      </c>
      <c r="N5633" t="str">
        <f t="shared" si="174"/>
        <v>2. 1-24 hours</v>
      </c>
      <c r="O5633" t="str">
        <f t="shared" si="175"/>
        <v>2025-01</v>
      </c>
    </row>
    <row r="5634" spans="1:15" x14ac:dyDescent="0.3">
      <c r="A5634" t="s">
        <v>13260</v>
      </c>
      <c r="B5634" t="s">
        <v>13261</v>
      </c>
      <c r="C5634" t="s">
        <v>37</v>
      </c>
      <c r="D5634" t="s">
        <v>29</v>
      </c>
      <c r="E5634" t="s">
        <v>45</v>
      </c>
      <c r="F5634" t="s">
        <v>46</v>
      </c>
      <c r="G5634">
        <v>7.93</v>
      </c>
      <c r="H5634" t="s">
        <v>146</v>
      </c>
      <c r="I5634" t="s">
        <v>48</v>
      </c>
      <c r="J5634" t="s">
        <v>113</v>
      </c>
      <c r="K5634">
        <v>672.43</v>
      </c>
      <c r="L5634" t="s">
        <v>13262</v>
      </c>
      <c r="M5634">
        <f>VLOOKUP(H5634,'Stage Order'!$A$2:$B$8,2,FALSE)</f>
        <v>5</v>
      </c>
      <c r="N5634" t="str">
        <f t="shared" ref="N5634:N5697" si="176">IF(G5634&lt;=1,"1. Under 1 hour",IF(G5634&lt;=24,"2. 1-24 hours",IF(G5634&lt;=72,"3. 1-3 days","4. Over 3 days")))</f>
        <v>2. 1-24 hours</v>
      </c>
      <c r="O5634" t="str">
        <f t="shared" ref="O5634:O5697" si="177">TEXT(B5634,"YYYY-MM")</f>
        <v>2026-02</v>
      </c>
    </row>
    <row r="5635" spans="1:15" x14ac:dyDescent="0.3">
      <c r="A5635" t="s">
        <v>13263</v>
      </c>
      <c r="B5635" t="s">
        <v>13264</v>
      </c>
      <c r="C5635" t="s">
        <v>37</v>
      </c>
      <c r="D5635" t="s">
        <v>38</v>
      </c>
      <c r="E5635" t="s">
        <v>45</v>
      </c>
      <c r="F5635" t="s">
        <v>55</v>
      </c>
      <c r="G5635">
        <v>0.6</v>
      </c>
      <c r="H5635" t="s">
        <v>32</v>
      </c>
      <c r="I5635" t="s">
        <v>33</v>
      </c>
      <c r="K5635">
        <v>409.03</v>
      </c>
      <c r="L5635" t="s">
        <v>13265</v>
      </c>
      <c r="M5635">
        <f>VLOOKUP(H5635,'Stage Order'!$A$2:$B$8,2,FALSE)</f>
        <v>7</v>
      </c>
      <c r="N5635" t="str">
        <f t="shared" si="176"/>
        <v>1. Under 1 hour</v>
      </c>
      <c r="O5635" t="str">
        <f t="shared" si="177"/>
        <v>2026-04</v>
      </c>
    </row>
    <row r="5636" spans="1:15" x14ac:dyDescent="0.3">
      <c r="A5636" t="s">
        <v>13266</v>
      </c>
      <c r="B5636" t="s">
        <v>13267</v>
      </c>
      <c r="C5636" t="s">
        <v>37</v>
      </c>
      <c r="D5636" t="s">
        <v>77</v>
      </c>
      <c r="E5636" t="s">
        <v>90</v>
      </c>
      <c r="F5636" t="s">
        <v>145</v>
      </c>
      <c r="G5636">
        <v>30.32</v>
      </c>
      <c r="H5636" t="s">
        <v>41</v>
      </c>
      <c r="I5636" t="s">
        <v>42</v>
      </c>
      <c r="M5636">
        <f>VLOOKUP(H5636,'Stage Order'!$A$2:$B$8,2,FALSE)</f>
        <v>2</v>
      </c>
      <c r="N5636" t="str">
        <f t="shared" si="176"/>
        <v>3. 1-3 days</v>
      </c>
      <c r="O5636" t="str">
        <f t="shared" si="177"/>
        <v>2025-10</v>
      </c>
    </row>
    <row r="5637" spans="1:15" x14ac:dyDescent="0.3">
      <c r="A5637" t="s">
        <v>13268</v>
      </c>
      <c r="B5637" t="s">
        <v>13269</v>
      </c>
      <c r="C5637" t="s">
        <v>125</v>
      </c>
      <c r="D5637" t="s">
        <v>77</v>
      </c>
      <c r="E5637" t="s">
        <v>39</v>
      </c>
      <c r="F5637" t="s">
        <v>106</v>
      </c>
      <c r="G5637">
        <v>2.23</v>
      </c>
      <c r="H5637" t="s">
        <v>61</v>
      </c>
      <c r="I5637" t="s">
        <v>42</v>
      </c>
      <c r="M5637">
        <f>VLOOKUP(H5637,'Stage Order'!$A$2:$B$8,2,FALSE)</f>
        <v>1</v>
      </c>
      <c r="N5637" t="str">
        <f t="shared" si="176"/>
        <v>2. 1-24 hours</v>
      </c>
      <c r="O5637" t="str">
        <f t="shared" si="177"/>
        <v>2025-08</v>
      </c>
    </row>
    <row r="5638" spans="1:15" x14ac:dyDescent="0.3">
      <c r="A5638" t="s">
        <v>13270</v>
      </c>
      <c r="B5638" t="s">
        <v>13271</v>
      </c>
      <c r="C5638" t="s">
        <v>125</v>
      </c>
      <c r="D5638" t="s">
        <v>77</v>
      </c>
      <c r="E5638" t="s">
        <v>39</v>
      </c>
      <c r="F5638" t="s">
        <v>40</v>
      </c>
      <c r="G5638">
        <v>5.17</v>
      </c>
      <c r="H5638" t="s">
        <v>61</v>
      </c>
      <c r="I5638" t="s">
        <v>42</v>
      </c>
      <c r="M5638">
        <f>VLOOKUP(H5638,'Stage Order'!$A$2:$B$8,2,FALSE)</f>
        <v>1</v>
      </c>
      <c r="N5638" t="str">
        <f t="shared" si="176"/>
        <v>2. 1-24 hours</v>
      </c>
      <c r="O5638" t="str">
        <f t="shared" si="177"/>
        <v>2026-01</v>
      </c>
    </row>
    <row r="5639" spans="1:15" x14ac:dyDescent="0.3">
      <c r="A5639" t="s">
        <v>13272</v>
      </c>
      <c r="B5639" t="s">
        <v>13273</v>
      </c>
      <c r="C5639" t="s">
        <v>53</v>
      </c>
      <c r="D5639" t="s">
        <v>38</v>
      </c>
      <c r="E5639" t="s">
        <v>39</v>
      </c>
      <c r="F5639" t="s">
        <v>40</v>
      </c>
      <c r="G5639">
        <v>2.36</v>
      </c>
      <c r="H5639" t="s">
        <v>41</v>
      </c>
      <c r="I5639" t="s">
        <v>42</v>
      </c>
      <c r="M5639">
        <f>VLOOKUP(H5639,'Stage Order'!$A$2:$B$8,2,FALSE)</f>
        <v>2</v>
      </c>
      <c r="N5639" t="str">
        <f t="shared" si="176"/>
        <v>2. 1-24 hours</v>
      </c>
      <c r="O5639" t="str">
        <f t="shared" si="177"/>
        <v>2026-03</v>
      </c>
    </row>
    <row r="5640" spans="1:15" x14ac:dyDescent="0.3">
      <c r="A5640" t="s">
        <v>13274</v>
      </c>
      <c r="B5640" t="s">
        <v>13275</v>
      </c>
      <c r="C5640" t="s">
        <v>125</v>
      </c>
      <c r="D5640" t="s">
        <v>77</v>
      </c>
      <c r="E5640" t="s">
        <v>90</v>
      </c>
      <c r="F5640" t="s">
        <v>145</v>
      </c>
      <c r="G5640">
        <v>15.66</v>
      </c>
      <c r="H5640" t="s">
        <v>41</v>
      </c>
      <c r="I5640" t="s">
        <v>42</v>
      </c>
      <c r="M5640">
        <f>VLOOKUP(H5640,'Stage Order'!$A$2:$B$8,2,FALSE)</f>
        <v>2</v>
      </c>
      <c r="N5640" t="str">
        <f t="shared" si="176"/>
        <v>2. 1-24 hours</v>
      </c>
      <c r="O5640" t="str">
        <f t="shared" si="177"/>
        <v>2025-09</v>
      </c>
    </row>
    <row r="5641" spans="1:15" x14ac:dyDescent="0.3">
      <c r="A5641" t="s">
        <v>13276</v>
      </c>
      <c r="B5641" t="s">
        <v>13277</v>
      </c>
      <c r="C5641" t="s">
        <v>37</v>
      </c>
      <c r="D5641" t="s">
        <v>29</v>
      </c>
      <c r="E5641" t="s">
        <v>59</v>
      </c>
      <c r="F5641" t="s">
        <v>60</v>
      </c>
      <c r="G5641">
        <v>3.69</v>
      </c>
      <c r="H5641" t="s">
        <v>61</v>
      </c>
      <c r="I5641" t="s">
        <v>42</v>
      </c>
      <c r="M5641">
        <f>VLOOKUP(H5641,'Stage Order'!$A$2:$B$8,2,FALSE)</f>
        <v>1</v>
      </c>
      <c r="N5641" t="str">
        <f t="shared" si="176"/>
        <v>2. 1-24 hours</v>
      </c>
      <c r="O5641" t="str">
        <f t="shared" si="177"/>
        <v>2026-04</v>
      </c>
    </row>
    <row r="5642" spans="1:15" x14ac:dyDescent="0.3">
      <c r="A5642" t="s">
        <v>13278</v>
      </c>
      <c r="B5642" t="s">
        <v>13279</v>
      </c>
      <c r="C5642" t="s">
        <v>28</v>
      </c>
      <c r="D5642" t="s">
        <v>54</v>
      </c>
      <c r="E5642" t="s">
        <v>59</v>
      </c>
      <c r="F5642" t="s">
        <v>137</v>
      </c>
      <c r="G5642">
        <v>0.28999999999999998</v>
      </c>
      <c r="H5642" t="s">
        <v>41</v>
      </c>
      <c r="I5642" t="s">
        <v>42</v>
      </c>
      <c r="M5642">
        <f>VLOOKUP(H5642,'Stage Order'!$A$2:$B$8,2,FALSE)</f>
        <v>2</v>
      </c>
      <c r="N5642" t="str">
        <f t="shared" si="176"/>
        <v>1. Under 1 hour</v>
      </c>
      <c r="O5642" t="str">
        <f t="shared" si="177"/>
        <v>2025-10</v>
      </c>
    </row>
    <row r="5643" spans="1:15" x14ac:dyDescent="0.3">
      <c r="A5643" t="s">
        <v>13280</v>
      </c>
      <c r="B5643" t="s">
        <v>13281</v>
      </c>
      <c r="C5643" t="s">
        <v>53</v>
      </c>
      <c r="D5643" t="s">
        <v>54</v>
      </c>
      <c r="E5643" t="s">
        <v>59</v>
      </c>
      <c r="F5643" t="s">
        <v>117</v>
      </c>
      <c r="G5643">
        <v>1.65</v>
      </c>
      <c r="H5643" t="s">
        <v>32</v>
      </c>
      <c r="I5643" t="s">
        <v>33</v>
      </c>
      <c r="K5643">
        <v>499.11</v>
      </c>
      <c r="L5643" t="s">
        <v>13282</v>
      </c>
      <c r="M5643">
        <f>VLOOKUP(H5643,'Stage Order'!$A$2:$B$8,2,FALSE)</f>
        <v>7</v>
      </c>
      <c r="N5643" t="str">
        <f t="shared" si="176"/>
        <v>2. 1-24 hours</v>
      </c>
      <c r="O5643" t="str">
        <f t="shared" si="177"/>
        <v>2025-09</v>
      </c>
    </row>
    <row r="5644" spans="1:15" x14ac:dyDescent="0.3">
      <c r="A5644" t="s">
        <v>13283</v>
      </c>
      <c r="B5644" t="s">
        <v>13284</v>
      </c>
      <c r="C5644" t="s">
        <v>37</v>
      </c>
      <c r="D5644" t="s">
        <v>38</v>
      </c>
      <c r="E5644" t="s">
        <v>59</v>
      </c>
      <c r="F5644" t="s">
        <v>60</v>
      </c>
      <c r="G5644">
        <v>4.2300000000000004</v>
      </c>
      <c r="H5644" t="s">
        <v>41</v>
      </c>
      <c r="I5644" t="s">
        <v>42</v>
      </c>
      <c r="M5644">
        <f>VLOOKUP(H5644,'Stage Order'!$A$2:$B$8,2,FALSE)</f>
        <v>2</v>
      </c>
      <c r="N5644" t="str">
        <f t="shared" si="176"/>
        <v>2. 1-24 hours</v>
      </c>
      <c r="O5644" t="str">
        <f t="shared" si="177"/>
        <v>2026-03</v>
      </c>
    </row>
    <row r="5645" spans="1:15" x14ac:dyDescent="0.3">
      <c r="A5645" t="s">
        <v>13285</v>
      </c>
      <c r="B5645" t="s">
        <v>13286</v>
      </c>
      <c r="C5645" t="s">
        <v>53</v>
      </c>
      <c r="D5645" t="s">
        <v>29</v>
      </c>
      <c r="E5645" t="s">
        <v>45</v>
      </c>
      <c r="F5645" t="s">
        <v>55</v>
      </c>
      <c r="G5645">
        <v>3.8</v>
      </c>
      <c r="H5645" t="s">
        <v>41</v>
      </c>
      <c r="I5645" t="s">
        <v>42</v>
      </c>
      <c r="M5645">
        <f>VLOOKUP(H5645,'Stage Order'!$A$2:$B$8,2,FALSE)</f>
        <v>2</v>
      </c>
      <c r="N5645" t="str">
        <f t="shared" si="176"/>
        <v>2. 1-24 hours</v>
      </c>
      <c r="O5645" t="str">
        <f t="shared" si="177"/>
        <v>2025-09</v>
      </c>
    </row>
    <row r="5646" spans="1:15" x14ac:dyDescent="0.3">
      <c r="A5646" t="s">
        <v>13287</v>
      </c>
      <c r="B5646" t="s">
        <v>13288</v>
      </c>
      <c r="C5646" t="s">
        <v>125</v>
      </c>
      <c r="D5646" t="s">
        <v>54</v>
      </c>
      <c r="E5646" t="s">
        <v>45</v>
      </c>
      <c r="F5646" t="s">
        <v>55</v>
      </c>
      <c r="G5646">
        <v>0.5</v>
      </c>
      <c r="H5646" t="s">
        <v>146</v>
      </c>
      <c r="I5646" t="s">
        <v>48</v>
      </c>
      <c r="J5646" t="s">
        <v>98</v>
      </c>
      <c r="K5646">
        <v>560.22</v>
      </c>
      <c r="L5646" t="s">
        <v>13289</v>
      </c>
      <c r="M5646">
        <f>VLOOKUP(H5646,'Stage Order'!$A$2:$B$8,2,FALSE)</f>
        <v>5</v>
      </c>
      <c r="N5646" t="str">
        <f t="shared" si="176"/>
        <v>1. Under 1 hour</v>
      </c>
      <c r="O5646" t="str">
        <f t="shared" si="177"/>
        <v>2026-02</v>
      </c>
    </row>
    <row r="5647" spans="1:15" x14ac:dyDescent="0.3">
      <c r="A5647" t="s">
        <v>13290</v>
      </c>
      <c r="B5647" t="s">
        <v>13291</v>
      </c>
      <c r="C5647" t="s">
        <v>81</v>
      </c>
      <c r="D5647" t="s">
        <v>54</v>
      </c>
      <c r="E5647" t="s">
        <v>45</v>
      </c>
      <c r="F5647" t="s">
        <v>46</v>
      </c>
      <c r="G5647">
        <v>7.24</v>
      </c>
      <c r="H5647" t="s">
        <v>41</v>
      </c>
      <c r="I5647" t="s">
        <v>42</v>
      </c>
      <c r="M5647">
        <f>VLOOKUP(H5647,'Stage Order'!$A$2:$B$8,2,FALSE)</f>
        <v>2</v>
      </c>
      <c r="N5647" t="str">
        <f t="shared" si="176"/>
        <v>2. 1-24 hours</v>
      </c>
      <c r="O5647" t="str">
        <f t="shared" si="177"/>
        <v>2025-01</v>
      </c>
    </row>
    <row r="5648" spans="1:15" x14ac:dyDescent="0.3">
      <c r="A5648" t="s">
        <v>13292</v>
      </c>
      <c r="B5648" t="s">
        <v>13293</v>
      </c>
      <c r="C5648" t="s">
        <v>76</v>
      </c>
      <c r="D5648" t="s">
        <v>54</v>
      </c>
      <c r="E5648" t="s">
        <v>45</v>
      </c>
      <c r="F5648" t="s">
        <v>55</v>
      </c>
      <c r="G5648">
        <v>8.7799999999999994</v>
      </c>
      <c r="H5648" t="s">
        <v>138</v>
      </c>
      <c r="I5648" t="s">
        <v>48</v>
      </c>
      <c r="J5648" t="s">
        <v>113</v>
      </c>
      <c r="K5648">
        <v>463.86</v>
      </c>
      <c r="L5648" t="s">
        <v>13294</v>
      </c>
      <c r="M5648">
        <f>VLOOKUP(H5648,'Stage Order'!$A$2:$B$8,2,FALSE)</f>
        <v>6</v>
      </c>
      <c r="N5648" t="str">
        <f t="shared" si="176"/>
        <v>2. 1-24 hours</v>
      </c>
      <c r="O5648" t="str">
        <f t="shared" si="177"/>
        <v>2025-07</v>
      </c>
    </row>
    <row r="5649" spans="1:15" x14ac:dyDescent="0.3">
      <c r="A5649" t="s">
        <v>13295</v>
      </c>
      <c r="B5649" t="s">
        <v>13296</v>
      </c>
      <c r="C5649" t="s">
        <v>81</v>
      </c>
      <c r="D5649" t="s">
        <v>54</v>
      </c>
      <c r="E5649" t="s">
        <v>39</v>
      </c>
      <c r="F5649" t="s">
        <v>40</v>
      </c>
      <c r="G5649">
        <v>1.38</v>
      </c>
      <c r="H5649" t="s">
        <v>128</v>
      </c>
      <c r="I5649" t="s">
        <v>42</v>
      </c>
      <c r="M5649">
        <f>VLOOKUP(H5649,'Stage Order'!$A$2:$B$8,2,FALSE)</f>
        <v>3</v>
      </c>
      <c r="N5649" t="str">
        <f t="shared" si="176"/>
        <v>2. 1-24 hours</v>
      </c>
      <c r="O5649" t="str">
        <f t="shared" si="177"/>
        <v>2025-10</v>
      </c>
    </row>
    <row r="5650" spans="1:15" x14ac:dyDescent="0.3">
      <c r="A5650" t="s">
        <v>13297</v>
      </c>
      <c r="B5650" t="s">
        <v>13298</v>
      </c>
      <c r="C5650" t="s">
        <v>58</v>
      </c>
      <c r="D5650" t="s">
        <v>54</v>
      </c>
      <c r="E5650" t="s">
        <v>90</v>
      </c>
      <c r="F5650" t="s">
        <v>145</v>
      </c>
      <c r="G5650">
        <v>4.95</v>
      </c>
      <c r="H5650" t="s">
        <v>41</v>
      </c>
      <c r="I5650" t="s">
        <v>42</v>
      </c>
      <c r="M5650">
        <f>VLOOKUP(H5650,'Stage Order'!$A$2:$B$8,2,FALSE)</f>
        <v>2</v>
      </c>
      <c r="N5650" t="str">
        <f t="shared" si="176"/>
        <v>2. 1-24 hours</v>
      </c>
      <c r="O5650" t="str">
        <f t="shared" si="177"/>
        <v>2025-08</v>
      </c>
    </row>
    <row r="5651" spans="1:15" x14ac:dyDescent="0.3">
      <c r="A5651" t="s">
        <v>13299</v>
      </c>
      <c r="B5651" t="s">
        <v>8808</v>
      </c>
      <c r="C5651" t="s">
        <v>28</v>
      </c>
      <c r="D5651" t="s">
        <v>38</v>
      </c>
      <c r="E5651" t="s">
        <v>45</v>
      </c>
      <c r="F5651" t="s">
        <v>94</v>
      </c>
      <c r="G5651">
        <v>7.57</v>
      </c>
      <c r="H5651" t="s">
        <v>138</v>
      </c>
      <c r="I5651" t="s">
        <v>48</v>
      </c>
      <c r="J5651" t="s">
        <v>98</v>
      </c>
      <c r="K5651">
        <v>418.59</v>
      </c>
      <c r="L5651" t="s">
        <v>13300</v>
      </c>
      <c r="M5651">
        <f>VLOOKUP(H5651,'Stage Order'!$A$2:$B$8,2,FALSE)</f>
        <v>6</v>
      </c>
      <c r="N5651" t="str">
        <f t="shared" si="176"/>
        <v>2. 1-24 hours</v>
      </c>
      <c r="O5651" t="str">
        <f t="shared" si="177"/>
        <v>2025-11</v>
      </c>
    </row>
    <row r="5652" spans="1:15" x14ac:dyDescent="0.3">
      <c r="A5652" t="s">
        <v>13301</v>
      </c>
      <c r="B5652" t="s">
        <v>13302</v>
      </c>
      <c r="C5652" t="s">
        <v>37</v>
      </c>
      <c r="D5652" t="s">
        <v>54</v>
      </c>
      <c r="E5652" t="s">
        <v>59</v>
      </c>
      <c r="F5652" t="s">
        <v>60</v>
      </c>
      <c r="G5652">
        <v>2.78</v>
      </c>
      <c r="H5652" t="s">
        <v>41</v>
      </c>
      <c r="I5652" t="s">
        <v>42</v>
      </c>
      <c r="M5652">
        <f>VLOOKUP(H5652,'Stage Order'!$A$2:$B$8,2,FALSE)</f>
        <v>2</v>
      </c>
      <c r="N5652" t="str">
        <f t="shared" si="176"/>
        <v>2. 1-24 hours</v>
      </c>
      <c r="O5652" t="str">
        <f t="shared" si="177"/>
        <v>2025-03</v>
      </c>
    </row>
    <row r="5653" spans="1:15" x14ac:dyDescent="0.3">
      <c r="A5653" t="s">
        <v>13303</v>
      </c>
      <c r="B5653" t="s">
        <v>13304</v>
      </c>
      <c r="C5653" t="s">
        <v>37</v>
      </c>
      <c r="D5653" t="s">
        <v>54</v>
      </c>
      <c r="E5653" t="s">
        <v>45</v>
      </c>
      <c r="F5653" t="s">
        <v>94</v>
      </c>
      <c r="G5653">
        <v>3.1</v>
      </c>
      <c r="H5653" t="s">
        <v>41</v>
      </c>
      <c r="I5653" t="s">
        <v>42</v>
      </c>
      <c r="M5653">
        <f>VLOOKUP(H5653,'Stage Order'!$A$2:$B$8,2,FALSE)</f>
        <v>2</v>
      </c>
      <c r="N5653" t="str">
        <f t="shared" si="176"/>
        <v>2. 1-24 hours</v>
      </c>
      <c r="O5653" t="str">
        <f t="shared" si="177"/>
        <v>2026-06</v>
      </c>
    </row>
    <row r="5654" spans="1:15" x14ac:dyDescent="0.3">
      <c r="A5654" t="s">
        <v>13305</v>
      </c>
      <c r="B5654" t="s">
        <v>13306</v>
      </c>
      <c r="C5654" t="s">
        <v>58</v>
      </c>
      <c r="D5654" t="s">
        <v>77</v>
      </c>
      <c r="E5654" t="s">
        <v>45</v>
      </c>
      <c r="F5654" t="s">
        <v>46</v>
      </c>
      <c r="G5654">
        <v>2.86</v>
      </c>
      <c r="H5654" t="s">
        <v>41</v>
      </c>
      <c r="I5654" t="s">
        <v>42</v>
      </c>
      <c r="M5654">
        <f>VLOOKUP(H5654,'Stage Order'!$A$2:$B$8,2,FALSE)</f>
        <v>2</v>
      </c>
      <c r="N5654" t="str">
        <f t="shared" si="176"/>
        <v>2. 1-24 hours</v>
      </c>
      <c r="O5654" t="str">
        <f t="shared" si="177"/>
        <v>2026-06</v>
      </c>
    </row>
    <row r="5655" spans="1:15" x14ac:dyDescent="0.3">
      <c r="A5655" t="s">
        <v>13307</v>
      </c>
      <c r="B5655" t="s">
        <v>13308</v>
      </c>
      <c r="C5655" t="s">
        <v>28</v>
      </c>
      <c r="D5655" t="s">
        <v>29</v>
      </c>
      <c r="E5655" t="s">
        <v>39</v>
      </c>
      <c r="F5655" t="s">
        <v>40</v>
      </c>
      <c r="G5655">
        <v>4.09</v>
      </c>
      <c r="H5655" t="s">
        <v>32</v>
      </c>
      <c r="I5655" t="s">
        <v>33</v>
      </c>
      <c r="K5655">
        <v>538.6</v>
      </c>
      <c r="L5655" t="s">
        <v>13309</v>
      </c>
      <c r="M5655">
        <f>VLOOKUP(H5655,'Stage Order'!$A$2:$B$8,2,FALSE)</f>
        <v>7</v>
      </c>
      <c r="N5655" t="str">
        <f t="shared" si="176"/>
        <v>2. 1-24 hours</v>
      </c>
      <c r="O5655" t="str">
        <f t="shared" si="177"/>
        <v>2025-01</v>
      </c>
    </row>
    <row r="5656" spans="1:15" x14ac:dyDescent="0.3">
      <c r="A5656" t="s">
        <v>13310</v>
      </c>
      <c r="B5656" t="s">
        <v>13311</v>
      </c>
      <c r="C5656" t="s">
        <v>37</v>
      </c>
      <c r="D5656" t="s">
        <v>29</v>
      </c>
      <c r="E5656" t="s">
        <v>59</v>
      </c>
      <c r="F5656" t="s">
        <v>137</v>
      </c>
      <c r="G5656">
        <v>4.75</v>
      </c>
      <c r="H5656" t="s">
        <v>41</v>
      </c>
      <c r="I5656" t="s">
        <v>42</v>
      </c>
      <c r="M5656">
        <f>VLOOKUP(H5656,'Stage Order'!$A$2:$B$8,2,FALSE)</f>
        <v>2</v>
      </c>
      <c r="N5656" t="str">
        <f t="shared" si="176"/>
        <v>2. 1-24 hours</v>
      </c>
      <c r="O5656" t="str">
        <f t="shared" si="177"/>
        <v>2025-10</v>
      </c>
    </row>
    <row r="5657" spans="1:15" x14ac:dyDescent="0.3">
      <c r="A5657" t="s">
        <v>13312</v>
      </c>
      <c r="B5657" t="s">
        <v>13313</v>
      </c>
      <c r="C5657" t="s">
        <v>125</v>
      </c>
      <c r="D5657" t="s">
        <v>97</v>
      </c>
      <c r="E5657" t="s">
        <v>90</v>
      </c>
      <c r="F5657" t="s">
        <v>145</v>
      </c>
      <c r="G5657">
        <v>2.5299999999999998</v>
      </c>
      <c r="H5657" t="s">
        <v>41</v>
      </c>
      <c r="I5657" t="s">
        <v>42</v>
      </c>
      <c r="M5657">
        <f>VLOOKUP(H5657,'Stage Order'!$A$2:$B$8,2,FALSE)</f>
        <v>2</v>
      </c>
      <c r="N5657" t="str">
        <f t="shared" si="176"/>
        <v>2. 1-24 hours</v>
      </c>
      <c r="O5657" t="str">
        <f t="shared" si="177"/>
        <v>2026-05</v>
      </c>
    </row>
    <row r="5658" spans="1:15" x14ac:dyDescent="0.3">
      <c r="A5658" t="s">
        <v>13314</v>
      </c>
      <c r="B5658" t="s">
        <v>13315</v>
      </c>
      <c r="C5658" t="s">
        <v>125</v>
      </c>
      <c r="D5658" t="s">
        <v>38</v>
      </c>
      <c r="E5658" t="s">
        <v>45</v>
      </c>
      <c r="F5658" t="s">
        <v>94</v>
      </c>
      <c r="G5658">
        <v>1.51</v>
      </c>
      <c r="H5658" t="s">
        <v>47</v>
      </c>
      <c r="I5658" t="s">
        <v>48</v>
      </c>
      <c r="J5658" t="s">
        <v>113</v>
      </c>
      <c r="K5658">
        <v>388.26</v>
      </c>
      <c r="L5658" t="s">
        <v>13316</v>
      </c>
      <c r="M5658">
        <f>VLOOKUP(H5658,'Stage Order'!$A$2:$B$8,2,FALSE)</f>
        <v>4</v>
      </c>
      <c r="N5658" t="str">
        <f t="shared" si="176"/>
        <v>2. 1-24 hours</v>
      </c>
      <c r="O5658" t="str">
        <f t="shared" si="177"/>
        <v>2025-06</v>
      </c>
    </row>
    <row r="5659" spans="1:15" x14ac:dyDescent="0.3">
      <c r="A5659" t="s">
        <v>13317</v>
      </c>
      <c r="B5659" t="s">
        <v>13318</v>
      </c>
      <c r="C5659" t="s">
        <v>125</v>
      </c>
      <c r="D5659" t="s">
        <v>54</v>
      </c>
      <c r="E5659" t="s">
        <v>39</v>
      </c>
      <c r="F5659" t="s">
        <v>106</v>
      </c>
      <c r="G5659">
        <v>6.18</v>
      </c>
      <c r="H5659" t="s">
        <v>41</v>
      </c>
      <c r="I5659" t="s">
        <v>42</v>
      </c>
      <c r="M5659">
        <f>VLOOKUP(H5659,'Stage Order'!$A$2:$B$8,2,FALSE)</f>
        <v>2</v>
      </c>
      <c r="N5659" t="str">
        <f t="shared" si="176"/>
        <v>2. 1-24 hours</v>
      </c>
      <c r="O5659" t="str">
        <f t="shared" si="177"/>
        <v>2026-04</v>
      </c>
    </row>
    <row r="5660" spans="1:15" x14ac:dyDescent="0.3">
      <c r="A5660" t="s">
        <v>13319</v>
      </c>
      <c r="B5660" t="s">
        <v>13320</v>
      </c>
      <c r="C5660" t="s">
        <v>53</v>
      </c>
      <c r="D5660" t="s">
        <v>97</v>
      </c>
      <c r="E5660" t="s">
        <v>90</v>
      </c>
      <c r="F5660" t="s">
        <v>91</v>
      </c>
      <c r="G5660">
        <v>0.78</v>
      </c>
      <c r="H5660" t="s">
        <v>32</v>
      </c>
      <c r="I5660" t="s">
        <v>33</v>
      </c>
      <c r="K5660">
        <v>1572.56</v>
      </c>
      <c r="L5660" t="s">
        <v>13321</v>
      </c>
      <c r="M5660">
        <f>VLOOKUP(H5660,'Stage Order'!$A$2:$B$8,2,FALSE)</f>
        <v>7</v>
      </c>
      <c r="N5660" t="str">
        <f t="shared" si="176"/>
        <v>1. Under 1 hour</v>
      </c>
      <c r="O5660" t="str">
        <f t="shared" si="177"/>
        <v>2026-03</v>
      </c>
    </row>
    <row r="5661" spans="1:15" x14ac:dyDescent="0.3">
      <c r="A5661" t="s">
        <v>13322</v>
      </c>
      <c r="B5661" t="s">
        <v>13323</v>
      </c>
      <c r="C5661" t="s">
        <v>76</v>
      </c>
      <c r="D5661" t="s">
        <v>29</v>
      </c>
      <c r="E5661" t="s">
        <v>59</v>
      </c>
      <c r="F5661" t="s">
        <v>117</v>
      </c>
      <c r="G5661">
        <v>2.91</v>
      </c>
      <c r="H5661" t="s">
        <v>41</v>
      </c>
      <c r="I5661" t="s">
        <v>42</v>
      </c>
      <c r="M5661">
        <f>VLOOKUP(H5661,'Stage Order'!$A$2:$B$8,2,FALSE)</f>
        <v>2</v>
      </c>
      <c r="N5661" t="str">
        <f t="shared" si="176"/>
        <v>2. 1-24 hours</v>
      </c>
      <c r="O5661" t="str">
        <f t="shared" si="177"/>
        <v>2025-10</v>
      </c>
    </row>
    <row r="5662" spans="1:15" x14ac:dyDescent="0.3">
      <c r="A5662" t="s">
        <v>13324</v>
      </c>
      <c r="B5662" t="s">
        <v>13325</v>
      </c>
      <c r="C5662" t="s">
        <v>81</v>
      </c>
      <c r="D5662" t="s">
        <v>54</v>
      </c>
      <c r="E5662" t="s">
        <v>30</v>
      </c>
      <c r="F5662" t="s">
        <v>82</v>
      </c>
      <c r="G5662">
        <v>18.399999999999999</v>
      </c>
      <c r="H5662" t="s">
        <v>61</v>
      </c>
      <c r="I5662" t="s">
        <v>42</v>
      </c>
      <c r="M5662">
        <f>VLOOKUP(H5662,'Stage Order'!$A$2:$B$8,2,FALSE)</f>
        <v>1</v>
      </c>
      <c r="N5662" t="str">
        <f t="shared" si="176"/>
        <v>2. 1-24 hours</v>
      </c>
      <c r="O5662" t="str">
        <f t="shared" si="177"/>
        <v>2026-04</v>
      </c>
    </row>
    <row r="5663" spans="1:15" x14ac:dyDescent="0.3">
      <c r="A5663" t="s">
        <v>13326</v>
      </c>
      <c r="B5663" t="s">
        <v>13327</v>
      </c>
      <c r="C5663" t="s">
        <v>125</v>
      </c>
      <c r="D5663" t="s">
        <v>77</v>
      </c>
      <c r="E5663" t="s">
        <v>39</v>
      </c>
      <c r="F5663" t="s">
        <v>106</v>
      </c>
      <c r="G5663">
        <v>10.71</v>
      </c>
      <c r="H5663" t="s">
        <v>32</v>
      </c>
      <c r="I5663" t="s">
        <v>33</v>
      </c>
      <c r="K5663">
        <v>933.63</v>
      </c>
      <c r="L5663" t="s">
        <v>13328</v>
      </c>
      <c r="M5663">
        <f>VLOOKUP(H5663,'Stage Order'!$A$2:$B$8,2,FALSE)</f>
        <v>7</v>
      </c>
      <c r="N5663" t="str">
        <f t="shared" si="176"/>
        <v>2. 1-24 hours</v>
      </c>
      <c r="O5663" t="str">
        <f t="shared" si="177"/>
        <v>2026-04</v>
      </c>
    </row>
    <row r="5664" spans="1:15" x14ac:dyDescent="0.3">
      <c r="A5664" t="s">
        <v>13329</v>
      </c>
      <c r="B5664" t="s">
        <v>13330</v>
      </c>
      <c r="C5664" t="s">
        <v>37</v>
      </c>
      <c r="D5664" t="s">
        <v>77</v>
      </c>
      <c r="E5664" t="s">
        <v>90</v>
      </c>
      <c r="F5664" t="s">
        <v>91</v>
      </c>
      <c r="G5664">
        <v>0.41</v>
      </c>
      <c r="H5664" t="s">
        <v>41</v>
      </c>
      <c r="I5664" t="s">
        <v>42</v>
      </c>
      <c r="M5664">
        <f>VLOOKUP(H5664,'Stage Order'!$A$2:$B$8,2,FALSE)</f>
        <v>2</v>
      </c>
      <c r="N5664" t="str">
        <f t="shared" si="176"/>
        <v>1. Under 1 hour</v>
      </c>
      <c r="O5664" t="str">
        <f t="shared" si="177"/>
        <v>2026-01</v>
      </c>
    </row>
    <row r="5665" spans="1:15" x14ac:dyDescent="0.3">
      <c r="A5665" t="s">
        <v>13331</v>
      </c>
      <c r="B5665" t="s">
        <v>13332</v>
      </c>
      <c r="C5665" t="s">
        <v>76</v>
      </c>
      <c r="D5665" t="s">
        <v>77</v>
      </c>
      <c r="E5665" t="s">
        <v>45</v>
      </c>
      <c r="F5665" t="s">
        <v>94</v>
      </c>
      <c r="G5665">
        <v>1.65</v>
      </c>
      <c r="H5665" t="s">
        <v>146</v>
      </c>
      <c r="I5665" t="s">
        <v>48</v>
      </c>
      <c r="J5665" t="s">
        <v>49</v>
      </c>
      <c r="K5665">
        <v>1056.43</v>
      </c>
      <c r="L5665" t="s">
        <v>13333</v>
      </c>
      <c r="M5665">
        <f>VLOOKUP(H5665,'Stage Order'!$A$2:$B$8,2,FALSE)</f>
        <v>5</v>
      </c>
      <c r="N5665" t="str">
        <f t="shared" si="176"/>
        <v>2. 1-24 hours</v>
      </c>
      <c r="O5665" t="str">
        <f t="shared" si="177"/>
        <v>2025-10</v>
      </c>
    </row>
    <row r="5666" spans="1:15" x14ac:dyDescent="0.3">
      <c r="A5666" t="s">
        <v>13334</v>
      </c>
      <c r="B5666" t="s">
        <v>13335</v>
      </c>
      <c r="C5666" t="s">
        <v>58</v>
      </c>
      <c r="D5666" t="s">
        <v>29</v>
      </c>
      <c r="E5666" t="s">
        <v>59</v>
      </c>
      <c r="F5666" t="s">
        <v>137</v>
      </c>
      <c r="G5666">
        <v>7.76</v>
      </c>
      <c r="H5666" t="s">
        <v>41</v>
      </c>
      <c r="I5666" t="s">
        <v>42</v>
      </c>
      <c r="M5666">
        <f>VLOOKUP(H5666,'Stage Order'!$A$2:$B$8,2,FALSE)</f>
        <v>2</v>
      </c>
      <c r="N5666" t="str">
        <f t="shared" si="176"/>
        <v>2. 1-24 hours</v>
      </c>
      <c r="O5666" t="str">
        <f t="shared" si="177"/>
        <v>2025-03</v>
      </c>
    </row>
    <row r="5667" spans="1:15" x14ac:dyDescent="0.3">
      <c r="A5667" t="s">
        <v>13336</v>
      </c>
      <c r="B5667" t="s">
        <v>13337</v>
      </c>
      <c r="C5667" t="s">
        <v>37</v>
      </c>
      <c r="D5667" t="s">
        <v>77</v>
      </c>
      <c r="E5667" t="s">
        <v>45</v>
      </c>
      <c r="F5667" t="s">
        <v>55</v>
      </c>
      <c r="G5667">
        <v>4.26</v>
      </c>
      <c r="H5667" t="s">
        <v>138</v>
      </c>
      <c r="I5667" t="s">
        <v>48</v>
      </c>
      <c r="J5667" t="s">
        <v>98</v>
      </c>
      <c r="K5667">
        <v>1100.8699999999999</v>
      </c>
      <c r="L5667" t="s">
        <v>13338</v>
      </c>
      <c r="M5667">
        <f>VLOOKUP(H5667,'Stage Order'!$A$2:$B$8,2,FALSE)</f>
        <v>6</v>
      </c>
      <c r="N5667" t="str">
        <f t="shared" si="176"/>
        <v>2. 1-24 hours</v>
      </c>
      <c r="O5667" t="str">
        <f t="shared" si="177"/>
        <v>2026-06</v>
      </c>
    </row>
    <row r="5668" spans="1:15" x14ac:dyDescent="0.3">
      <c r="A5668" t="s">
        <v>13339</v>
      </c>
      <c r="B5668" t="s">
        <v>13340</v>
      </c>
      <c r="C5668" t="s">
        <v>125</v>
      </c>
      <c r="D5668" t="s">
        <v>97</v>
      </c>
      <c r="E5668" t="s">
        <v>45</v>
      </c>
      <c r="F5668" t="s">
        <v>94</v>
      </c>
      <c r="G5668">
        <v>1.67</v>
      </c>
      <c r="H5668" t="s">
        <v>41</v>
      </c>
      <c r="I5668" t="s">
        <v>42</v>
      </c>
      <c r="M5668">
        <f>VLOOKUP(H5668,'Stage Order'!$A$2:$B$8,2,FALSE)</f>
        <v>2</v>
      </c>
      <c r="N5668" t="str">
        <f t="shared" si="176"/>
        <v>2. 1-24 hours</v>
      </c>
      <c r="O5668" t="str">
        <f t="shared" si="177"/>
        <v>2026-05</v>
      </c>
    </row>
    <row r="5669" spans="1:15" x14ac:dyDescent="0.3">
      <c r="A5669" t="s">
        <v>13341</v>
      </c>
      <c r="B5669" t="s">
        <v>13342</v>
      </c>
      <c r="C5669" t="s">
        <v>53</v>
      </c>
      <c r="D5669" t="s">
        <v>38</v>
      </c>
      <c r="E5669" t="s">
        <v>39</v>
      </c>
      <c r="F5669" t="s">
        <v>106</v>
      </c>
      <c r="G5669">
        <v>2.62</v>
      </c>
      <c r="H5669" t="s">
        <v>47</v>
      </c>
      <c r="I5669" t="s">
        <v>48</v>
      </c>
      <c r="J5669" t="s">
        <v>113</v>
      </c>
      <c r="K5669">
        <v>318.63</v>
      </c>
      <c r="L5669" t="s">
        <v>13343</v>
      </c>
      <c r="M5669">
        <f>VLOOKUP(H5669,'Stage Order'!$A$2:$B$8,2,FALSE)</f>
        <v>4</v>
      </c>
      <c r="N5669" t="str">
        <f t="shared" si="176"/>
        <v>2. 1-24 hours</v>
      </c>
      <c r="O5669" t="str">
        <f t="shared" si="177"/>
        <v>2025-03</v>
      </c>
    </row>
    <row r="5670" spans="1:15" x14ac:dyDescent="0.3">
      <c r="A5670" t="s">
        <v>13344</v>
      </c>
      <c r="B5670" t="s">
        <v>13345</v>
      </c>
      <c r="C5670" t="s">
        <v>76</v>
      </c>
      <c r="D5670" t="s">
        <v>54</v>
      </c>
      <c r="E5670" t="s">
        <v>59</v>
      </c>
      <c r="F5670" t="s">
        <v>60</v>
      </c>
      <c r="G5670">
        <v>3.89</v>
      </c>
      <c r="H5670" t="s">
        <v>41</v>
      </c>
      <c r="I5670" t="s">
        <v>42</v>
      </c>
      <c r="M5670">
        <f>VLOOKUP(H5670,'Stage Order'!$A$2:$B$8,2,FALSE)</f>
        <v>2</v>
      </c>
      <c r="N5670" t="str">
        <f t="shared" si="176"/>
        <v>2. 1-24 hours</v>
      </c>
      <c r="O5670" t="str">
        <f t="shared" si="177"/>
        <v>2025-12</v>
      </c>
    </row>
    <row r="5671" spans="1:15" x14ac:dyDescent="0.3">
      <c r="A5671" t="s">
        <v>13346</v>
      </c>
      <c r="B5671" t="s">
        <v>13347</v>
      </c>
      <c r="C5671" t="s">
        <v>37</v>
      </c>
      <c r="D5671" t="s">
        <v>29</v>
      </c>
      <c r="E5671" t="s">
        <v>45</v>
      </c>
      <c r="F5671" t="s">
        <v>94</v>
      </c>
      <c r="G5671">
        <v>2.44</v>
      </c>
      <c r="H5671" t="s">
        <v>41</v>
      </c>
      <c r="I5671" t="s">
        <v>42</v>
      </c>
      <c r="M5671">
        <f>VLOOKUP(H5671,'Stage Order'!$A$2:$B$8,2,FALSE)</f>
        <v>2</v>
      </c>
      <c r="N5671" t="str">
        <f t="shared" si="176"/>
        <v>2. 1-24 hours</v>
      </c>
      <c r="O5671" t="str">
        <f t="shared" si="177"/>
        <v>2026-01</v>
      </c>
    </row>
    <row r="5672" spans="1:15" x14ac:dyDescent="0.3">
      <c r="A5672" t="s">
        <v>13348</v>
      </c>
      <c r="B5672" t="s">
        <v>13349</v>
      </c>
      <c r="C5672" t="s">
        <v>37</v>
      </c>
      <c r="D5672" t="s">
        <v>29</v>
      </c>
      <c r="E5672" t="s">
        <v>45</v>
      </c>
      <c r="F5672" t="s">
        <v>55</v>
      </c>
      <c r="G5672">
        <v>1.31</v>
      </c>
      <c r="H5672" t="s">
        <v>138</v>
      </c>
      <c r="I5672" t="s">
        <v>48</v>
      </c>
      <c r="J5672" t="s">
        <v>113</v>
      </c>
      <c r="K5672">
        <v>711.84</v>
      </c>
      <c r="L5672" t="s">
        <v>13350</v>
      </c>
      <c r="M5672">
        <f>VLOOKUP(H5672,'Stage Order'!$A$2:$B$8,2,FALSE)</f>
        <v>6</v>
      </c>
      <c r="N5672" t="str">
        <f t="shared" si="176"/>
        <v>2. 1-24 hours</v>
      </c>
      <c r="O5672" t="str">
        <f t="shared" si="177"/>
        <v>2025-04</v>
      </c>
    </row>
    <row r="5673" spans="1:15" x14ac:dyDescent="0.3">
      <c r="A5673" t="s">
        <v>13351</v>
      </c>
      <c r="B5673" t="s">
        <v>586</v>
      </c>
      <c r="C5673" t="s">
        <v>76</v>
      </c>
      <c r="D5673" t="s">
        <v>77</v>
      </c>
      <c r="E5673" t="s">
        <v>59</v>
      </c>
      <c r="F5673" t="s">
        <v>117</v>
      </c>
      <c r="G5673">
        <v>12.96</v>
      </c>
      <c r="H5673" t="s">
        <v>41</v>
      </c>
      <c r="I5673" t="s">
        <v>42</v>
      </c>
      <c r="M5673">
        <f>VLOOKUP(H5673,'Stage Order'!$A$2:$B$8,2,FALSE)</f>
        <v>2</v>
      </c>
      <c r="N5673" t="str">
        <f t="shared" si="176"/>
        <v>2. 1-24 hours</v>
      </c>
      <c r="O5673" t="str">
        <f t="shared" si="177"/>
        <v>2025-06</v>
      </c>
    </row>
    <row r="5674" spans="1:15" x14ac:dyDescent="0.3">
      <c r="A5674" t="s">
        <v>13352</v>
      </c>
      <c r="B5674" t="s">
        <v>13353</v>
      </c>
      <c r="C5674" t="s">
        <v>125</v>
      </c>
      <c r="D5674" t="s">
        <v>97</v>
      </c>
      <c r="E5674" t="s">
        <v>45</v>
      </c>
      <c r="F5674" t="s">
        <v>46</v>
      </c>
      <c r="G5674">
        <v>1.94</v>
      </c>
      <c r="H5674" t="s">
        <v>47</v>
      </c>
      <c r="I5674" t="s">
        <v>48</v>
      </c>
      <c r="J5674" t="s">
        <v>98</v>
      </c>
      <c r="K5674">
        <v>1502.19</v>
      </c>
      <c r="L5674" t="s">
        <v>13354</v>
      </c>
      <c r="M5674">
        <f>VLOOKUP(H5674,'Stage Order'!$A$2:$B$8,2,FALSE)</f>
        <v>4</v>
      </c>
      <c r="N5674" t="str">
        <f t="shared" si="176"/>
        <v>2. 1-24 hours</v>
      </c>
      <c r="O5674" t="str">
        <f t="shared" si="177"/>
        <v>2025-05</v>
      </c>
    </row>
    <row r="5675" spans="1:15" x14ac:dyDescent="0.3">
      <c r="A5675" t="s">
        <v>13355</v>
      </c>
      <c r="B5675" t="s">
        <v>13356</v>
      </c>
      <c r="C5675" t="s">
        <v>125</v>
      </c>
      <c r="D5675" t="s">
        <v>97</v>
      </c>
      <c r="E5675" t="s">
        <v>39</v>
      </c>
      <c r="F5675" t="s">
        <v>66</v>
      </c>
      <c r="G5675">
        <v>0.6</v>
      </c>
      <c r="H5675" t="s">
        <v>41</v>
      </c>
      <c r="I5675" t="s">
        <v>42</v>
      </c>
      <c r="M5675">
        <f>VLOOKUP(H5675,'Stage Order'!$A$2:$B$8,2,FALSE)</f>
        <v>2</v>
      </c>
      <c r="N5675" t="str">
        <f t="shared" si="176"/>
        <v>1. Under 1 hour</v>
      </c>
      <c r="O5675" t="str">
        <f t="shared" si="177"/>
        <v>2025-06</v>
      </c>
    </row>
    <row r="5676" spans="1:15" x14ac:dyDescent="0.3">
      <c r="A5676" t="s">
        <v>13357</v>
      </c>
      <c r="B5676" t="s">
        <v>13358</v>
      </c>
      <c r="C5676" t="s">
        <v>125</v>
      </c>
      <c r="D5676" t="s">
        <v>29</v>
      </c>
      <c r="E5676" t="s">
        <v>39</v>
      </c>
      <c r="F5676" t="s">
        <v>106</v>
      </c>
      <c r="G5676">
        <v>3.78</v>
      </c>
      <c r="H5676" t="s">
        <v>41</v>
      </c>
      <c r="I5676" t="s">
        <v>42</v>
      </c>
      <c r="M5676">
        <f>VLOOKUP(H5676,'Stage Order'!$A$2:$B$8,2,FALSE)</f>
        <v>2</v>
      </c>
      <c r="N5676" t="str">
        <f t="shared" si="176"/>
        <v>2. 1-24 hours</v>
      </c>
      <c r="O5676" t="str">
        <f t="shared" si="177"/>
        <v>2025-01</v>
      </c>
    </row>
    <row r="5677" spans="1:15" x14ac:dyDescent="0.3">
      <c r="A5677" t="s">
        <v>13359</v>
      </c>
      <c r="B5677" t="s">
        <v>13360</v>
      </c>
      <c r="C5677" t="s">
        <v>28</v>
      </c>
      <c r="D5677" t="s">
        <v>77</v>
      </c>
      <c r="E5677" t="s">
        <v>59</v>
      </c>
      <c r="F5677" t="s">
        <v>60</v>
      </c>
      <c r="G5677">
        <v>3.67</v>
      </c>
      <c r="H5677" t="s">
        <v>41</v>
      </c>
      <c r="I5677" t="s">
        <v>42</v>
      </c>
      <c r="M5677">
        <f>VLOOKUP(H5677,'Stage Order'!$A$2:$B$8,2,FALSE)</f>
        <v>2</v>
      </c>
      <c r="N5677" t="str">
        <f t="shared" si="176"/>
        <v>2. 1-24 hours</v>
      </c>
      <c r="O5677" t="str">
        <f t="shared" si="177"/>
        <v>2025-06</v>
      </c>
    </row>
    <row r="5678" spans="1:15" x14ac:dyDescent="0.3">
      <c r="A5678" t="s">
        <v>13361</v>
      </c>
      <c r="B5678" t="s">
        <v>13362</v>
      </c>
      <c r="C5678" t="s">
        <v>53</v>
      </c>
      <c r="D5678" t="s">
        <v>38</v>
      </c>
      <c r="E5678" t="s">
        <v>59</v>
      </c>
      <c r="F5678" t="s">
        <v>117</v>
      </c>
      <c r="G5678">
        <v>0.84</v>
      </c>
      <c r="H5678" t="s">
        <v>41</v>
      </c>
      <c r="I5678" t="s">
        <v>42</v>
      </c>
      <c r="M5678">
        <f>VLOOKUP(H5678,'Stage Order'!$A$2:$B$8,2,FALSE)</f>
        <v>2</v>
      </c>
      <c r="N5678" t="str">
        <f t="shared" si="176"/>
        <v>1. Under 1 hour</v>
      </c>
      <c r="O5678" t="str">
        <f t="shared" si="177"/>
        <v>2025-09</v>
      </c>
    </row>
    <row r="5679" spans="1:15" x14ac:dyDescent="0.3">
      <c r="A5679" t="s">
        <v>13363</v>
      </c>
      <c r="B5679" t="s">
        <v>13364</v>
      </c>
      <c r="C5679" t="s">
        <v>37</v>
      </c>
      <c r="D5679" t="s">
        <v>54</v>
      </c>
      <c r="E5679" t="s">
        <v>90</v>
      </c>
      <c r="F5679" t="s">
        <v>91</v>
      </c>
      <c r="G5679">
        <v>7.1</v>
      </c>
      <c r="H5679" t="s">
        <v>61</v>
      </c>
      <c r="I5679" t="s">
        <v>42</v>
      </c>
      <c r="M5679">
        <f>VLOOKUP(H5679,'Stage Order'!$A$2:$B$8,2,FALSE)</f>
        <v>1</v>
      </c>
      <c r="N5679" t="str">
        <f t="shared" si="176"/>
        <v>2. 1-24 hours</v>
      </c>
      <c r="O5679" t="str">
        <f t="shared" si="177"/>
        <v>2026-02</v>
      </c>
    </row>
    <row r="5680" spans="1:15" x14ac:dyDescent="0.3">
      <c r="A5680" t="s">
        <v>13365</v>
      </c>
      <c r="B5680" t="s">
        <v>13366</v>
      </c>
      <c r="C5680" t="s">
        <v>76</v>
      </c>
      <c r="D5680" t="s">
        <v>38</v>
      </c>
      <c r="E5680" t="s">
        <v>59</v>
      </c>
      <c r="F5680" t="s">
        <v>60</v>
      </c>
      <c r="G5680">
        <v>16.760000000000002</v>
      </c>
      <c r="H5680" t="s">
        <v>138</v>
      </c>
      <c r="I5680" t="s">
        <v>48</v>
      </c>
      <c r="J5680" t="s">
        <v>139</v>
      </c>
      <c r="K5680">
        <v>363.47</v>
      </c>
      <c r="L5680" t="s">
        <v>13367</v>
      </c>
      <c r="M5680">
        <f>VLOOKUP(H5680,'Stage Order'!$A$2:$B$8,2,FALSE)</f>
        <v>6</v>
      </c>
      <c r="N5680" t="str">
        <f t="shared" si="176"/>
        <v>2. 1-24 hours</v>
      </c>
      <c r="O5680" t="str">
        <f t="shared" si="177"/>
        <v>2025-11</v>
      </c>
    </row>
    <row r="5681" spans="1:15" x14ac:dyDescent="0.3">
      <c r="A5681" t="s">
        <v>13368</v>
      </c>
      <c r="B5681" t="s">
        <v>13369</v>
      </c>
      <c r="C5681" t="s">
        <v>37</v>
      </c>
      <c r="D5681" t="s">
        <v>38</v>
      </c>
      <c r="E5681" t="s">
        <v>59</v>
      </c>
      <c r="F5681" t="s">
        <v>60</v>
      </c>
      <c r="G5681">
        <v>1.76</v>
      </c>
      <c r="H5681" t="s">
        <v>128</v>
      </c>
      <c r="I5681" t="s">
        <v>42</v>
      </c>
      <c r="M5681">
        <f>VLOOKUP(H5681,'Stage Order'!$A$2:$B$8,2,FALSE)</f>
        <v>3</v>
      </c>
      <c r="N5681" t="str">
        <f t="shared" si="176"/>
        <v>2. 1-24 hours</v>
      </c>
      <c r="O5681" t="str">
        <f t="shared" si="177"/>
        <v>2025-07</v>
      </c>
    </row>
    <row r="5682" spans="1:15" x14ac:dyDescent="0.3">
      <c r="A5682" t="s">
        <v>13370</v>
      </c>
      <c r="B5682" t="s">
        <v>13371</v>
      </c>
      <c r="C5682" t="s">
        <v>58</v>
      </c>
      <c r="D5682" t="s">
        <v>77</v>
      </c>
      <c r="E5682" t="s">
        <v>45</v>
      </c>
      <c r="F5682" t="s">
        <v>55</v>
      </c>
      <c r="G5682">
        <v>0.51</v>
      </c>
      <c r="H5682" t="s">
        <v>41</v>
      </c>
      <c r="I5682" t="s">
        <v>42</v>
      </c>
      <c r="M5682">
        <f>VLOOKUP(H5682,'Stage Order'!$A$2:$B$8,2,FALSE)</f>
        <v>2</v>
      </c>
      <c r="N5682" t="str">
        <f t="shared" si="176"/>
        <v>1. Under 1 hour</v>
      </c>
      <c r="O5682" t="str">
        <f t="shared" si="177"/>
        <v>2025-01</v>
      </c>
    </row>
    <row r="5683" spans="1:15" x14ac:dyDescent="0.3">
      <c r="A5683" t="s">
        <v>13372</v>
      </c>
      <c r="B5683" t="s">
        <v>13373</v>
      </c>
      <c r="C5683" t="s">
        <v>81</v>
      </c>
      <c r="D5683" t="s">
        <v>38</v>
      </c>
      <c r="E5683" t="s">
        <v>59</v>
      </c>
      <c r="F5683" t="s">
        <v>137</v>
      </c>
      <c r="G5683">
        <v>3.06</v>
      </c>
      <c r="H5683" t="s">
        <v>61</v>
      </c>
      <c r="I5683" t="s">
        <v>42</v>
      </c>
      <c r="M5683">
        <f>VLOOKUP(H5683,'Stage Order'!$A$2:$B$8,2,FALSE)</f>
        <v>1</v>
      </c>
      <c r="N5683" t="str">
        <f t="shared" si="176"/>
        <v>2. 1-24 hours</v>
      </c>
      <c r="O5683" t="str">
        <f t="shared" si="177"/>
        <v>2026-04</v>
      </c>
    </row>
    <row r="5684" spans="1:15" x14ac:dyDescent="0.3">
      <c r="A5684" t="s">
        <v>13374</v>
      </c>
      <c r="B5684" t="s">
        <v>13375</v>
      </c>
      <c r="C5684" t="s">
        <v>58</v>
      </c>
      <c r="D5684" t="s">
        <v>77</v>
      </c>
      <c r="E5684" t="s">
        <v>39</v>
      </c>
      <c r="F5684" t="s">
        <v>106</v>
      </c>
      <c r="G5684">
        <v>0.42</v>
      </c>
      <c r="H5684" t="s">
        <v>146</v>
      </c>
      <c r="I5684" t="s">
        <v>48</v>
      </c>
      <c r="J5684" t="s">
        <v>49</v>
      </c>
      <c r="K5684">
        <v>1040.3</v>
      </c>
      <c r="L5684" t="s">
        <v>13376</v>
      </c>
      <c r="M5684">
        <f>VLOOKUP(H5684,'Stage Order'!$A$2:$B$8,2,FALSE)</f>
        <v>5</v>
      </c>
      <c r="N5684" t="str">
        <f t="shared" si="176"/>
        <v>1. Under 1 hour</v>
      </c>
      <c r="O5684" t="str">
        <f t="shared" si="177"/>
        <v>2025-12</v>
      </c>
    </row>
    <row r="5685" spans="1:15" x14ac:dyDescent="0.3">
      <c r="A5685" t="s">
        <v>13377</v>
      </c>
      <c r="B5685" t="s">
        <v>13378</v>
      </c>
      <c r="C5685" t="s">
        <v>28</v>
      </c>
      <c r="D5685" t="s">
        <v>38</v>
      </c>
      <c r="E5685" t="s">
        <v>59</v>
      </c>
      <c r="F5685" t="s">
        <v>137</v>
      </c>
      <c r="G5685">
        <v>3.65</v>
      </c>
      <c r="H5685" t="s">
        <v>138</v>
      </c>
      <c r="I5685" t="s">
        <v>48</v>
      </c>
      <c r="J5685" t="s">
        <v>49</v>
      </c>
      <c r="K5685">
        <v>353.2</v>
      </c>
      <c r="L5685" t="s">
        <v>13379</v>
      </c>
      <c r="M5685">
        <f>VLOOKUP(H5685,'Stage Order'!$A$2:$B$8,2,FALSE)</f>
        <v>6</v>
      </c>
      <c r="N5685" t="str">
        <f t="shared" si="176"/>
        <v>2. 1-24 hours</v>
      </c>
      <c r="O5685" t="str">
        <f t="shared" si="177"/>
        <v>2025-04</v>
      </c>
    </row>
    <row r="5686" spans="1:15" x14ac:dyDescent="0.3">
      <c r="A5686" t="s">
        <v>13380</v>
      </c>
      <c r="B5686" t="s">
        <v>13381</v>
      </c>
      <c r="C5686" t="s">
        <v>58</v>
      </c>
      <c r="D5686" t="s">
        <v>77</v>
      </c>
      <c r="E5686" t="s">
        <v>59</v>
      </c>
      <c r="F5686" t="s">
        <v>60</v>
      </c>
      <c r="G5686">
        <v>4.1399999999999997</v>
      </c>
      <c r="H5686" t="s">
        <v>41</v>
      </c>
      <c r="I5686" t="s">
        <v>42</v>
      </c>
      <c r="M5686">
        <f>VLOOKUP(H5686,'Stage Order'!$A$2:$B$8,2,FALSE)</f>
        <v>2</v>
      </c>
      <c r="N5686" t="str">
        <f t="shared" si="176"/>
        <v>2. 1-24 hours</v>
      </c>
      <c r="O5686" t="str">
        <f t="shared" si="177"/>
        <v>2026-06</v>
      </c>
    </row>
    <row r="5687" spans="1:15" x14ac:dyDescent="0.3">
      <c r="A5687" t="s">
        <v>13382</v>
      </c>
      <c r="B5687" t="s">
        <v>13383</v>
      </c>
      <c r="C5687" t="s">
        <v>58</v>
      </c>
      <c r="D5687" t="s">
        <v>54</v>
      </c>
      <c r="E5687" t="s">
        <v>59</v>
      </c>
      <c r="F5687" t="s">
        <v>117</v>
      </c>
      <c r="G5687">
        <v>6.15</v>
      </c>
      <c r="H5687" t="s">
        <v>146</v>
      </c>
      <c r="I5687" t="s">
        <v>48</v>
      </c>
      <c r="J5687" t="s">
        <v>98</v>
      </c>
      <c r="K5687">
        <v>540.83000000000004</v>
      </c>
      <c r="L5687" t="s">
        <v>13384</v>
      </c>
      <c r="M5687">
        <f>VLOOKUP(H5687,'Stage Order'!$A$2:$B$8,2,FALSE)</f>
        <v>5</v>
      </c>
      <c r="N5687" t="str">
        <f t="shared" si="176"/>
        <v>2. 1-24 hours</v>
      </c>
      <c r="O5687" t="str">
        <f t="shared" si="177"/>
        <v>2025-08</v>
      </c>
    </row>
    <row r="5688" spans="1:15" x14ac:dyDescent="0.3">
      <c r="A5688" t="s">
        <v>13385</v>
      </c>
      <c r="B5688" t="s">
        <v>13386</v>
      </c>
      <c r="C5688" t="s">
        <v>58</v>
      </c>
      <c r="D5688" t="s">
        <v>97</v>
      </c>
      <c r="E5688" t="s">
        <v>59</v>
      </c>
      <c r="F5688" t="s">
        <v>137</v>
      </c>
      <c r="G5688">
        <v>2.6</v>
      </c>
      <c r="H5688" t="s">
        <v>41</v>
      </c>
      <c r="I5688" t="s">
        <v>42</v>
      </c>
      <c r="M5688">
        <f>VLOOKUP(H5688,'Stage Order'!$A$2:$B$8,2,FALSE)</f>
        <v>2</v>
      </c>
      <c r="N5688" t="str">
        <f t="shared" si="176"/>
        <v>2. 1-24 hours</v>
      </c>
      <c r="O5688" t="str">
        <f t="shared" si="177"/>
        <v>2025-01</v>
      </c>
    </row>
    <row r="5689" spans="1:15" x14ac:dyDescent="0.3">
      <c r="A5689" t="s">
        <v>13387</v>
      </c>
      <c r="B5689" t="s">
        <v>13388</v>
      </c>
      <c r="C5689" t="s">
        <v>37</v>
      </c>
      <c r="D5689" t="s">
        <v>38</v>
      </c>
      <c r="E5689" t="s">
        <v>30</v>
      </c>
      <c r="F5689" t="s">
        <v>78</v>
      </c>
      <c r="G5689">
        <v>0.78</v>
      </c>
      <c r="H5689" t="s">
        <v>41</v>
      </c>
      <c r="I5689" t="s">
        <v>42</v>
      </c>
      <c r="M5689">
        <f>VLOOKUP(H5689,'Stage Order'!$A$2:$B$8,2,FALSE)</f>
        <v>2</v>
      </c>
      <c r="N5689" t="str">
        <f t="shared" si="176"/>
        <v>1. Under 1 hour</v>
      </c>
      <c r="O5689" t="str">
        <f t="shared" si="177"/>
        <v>2025-09</v>
      </c>
    </row>
    <row r="5690" spans="1:15" x14ac:dyDescent="0.3">
      <c r="A5690" t="s">
        <v>13389</v>
      </c>
      <c r="B5690" t="s">
        <v>13390</v>
      </c>
      <c r="C5690" t="s">
        <v>53</v>
      </c>
      <c r="D5690" t="s">
        <v>38</v>
      </c>
      <c r="E5690" t="s">
        <v>90</v>
      </c>
      <c r="F5690" t="s">
        <v>112</v>
      </c>
      <c r="G5690">
        <v>0.25</v>
      </c>
      <c r="H5690" t="s">
        <v>41</v>
      </c>
      <c r="I5690" t="s">
        <v>42</v>
      </c>
      <c r="M5690">
        <f>VLOOKUP(H5690,'Stage Order'!$A$2:$B$8,2,FALSE)</f>
        <v>2</v>
      </c>
      <c r="N5690" t="str">
        <f t="shared" si="176"/>
        <v>1. Under 1 hour</v>
      </c>
      <c r="O5690" t="str">
        <f t="shared" si="177"/>
        <v>2025-11</v>
      </c>
    </row>
    <row r="5691" spans="1:15" x14ac:dyDescent="0.3">
      <c r="A5691" t="s">
        <v>13391</v>
      </c>
      <c r="B5691" t="s">
        <v>13392</v>
      </c>
      <c r="C5691" t="s">
        <v>37</v>
      </c>
      <c r="D5691" t="s">
        <v>29</v>
      </c>
      <c r="E5691" t="s">
        <v>45</v>
      </c>
      <c r="F5691" t="s">
        <v>55</v>
      </c>
      <c r="G5691">
        <v>3.17</v>
      </c>
      <c r="H5691" t="s">
        <v>138</v>
      </c>
      <c r="I5691" t="s">
        <v>48</v>
      </c>
      <c r="J5691" t="s">
        <v>98</v>
      </c>
      <c r="K5691">
        <v>604.04</v>
      </c>
      <c r="L5691" t="s">
        <v>13393</v>
      </c>
      <c r="M5691">
        <f>VLOOKUP(H5691,'Stage Order'!$A$2:$B$8,2,FALSE)</f>
        <v>6</v>
      </c>
      <c r="N5691" t="str">
        <f t="shared" si="176"/>
        <v>2. 1-24 hours</v>
      </c>
      <c r="O5691" t="str">
        <f t="shared" si="177"/>
        <v>2025-08</v>
      </c>
    </row>
    <row r="5692" spans="1:15" x14ac:dyDescent="0.3">
      <c r="A5692" t="s">
        <v>13394</v>
      </c>
      <c r="B5692" t="s">
        <v>1503</v>
      </c>
      <c r="C5692" t="s">
        <v>37</v>
      </c>
      <c r="D5692" t="s">
        <v>77</v>
      </c>
      <c r="E5692" t="s">
        <v>90</v>
      </c>
      <c r="F5692" t="s">
        <v>91</v>
      </c>
      <c r="G5692">
        <v>11.26</v>
      </c>
      <c r="H5692" t="s">
        <v>61</v>
      </c>
      <c r="I5692" t="s">
        <v>42</v>
      </c>
      <c r="M5692">
        <f>VLOOKUP(H5692,'Stage Order'!$A$2:$B$8,2,FALSE)</f>
        <v>1</v>
      </c>
      <c r="N5692" t="str">
        <f t="shared" si="176"/>
        <v>2. 1-24 hours</v>
      </c>
      <c r="O5692" t="str">
        <f t="shared" si="177"/>
        <v>2026-02</v>
      </c>
    </row>
    <row r="5693" spans="1:15" x14ac:dyDescent="0.3">
      <c r="A5693" t="s">
        <v>13395</v>
      </c>
      <c r="B5693" t="s">
        <v>13396</v>
      </c>
      <c r="C5693" t="s">
        <v>125</v>
      </c>
      <c r="D5693" t="s">
        <v>77</v>
      </c>
      <c r="E5693" t="s">
        <v>45</v>
      </c>
      <c r="F5693" t="s">
        <v>55</v>
      </c>
      <c r="G5693">
        <v>1.44</v>
      </c>
      <c r="H5693" t="s">
        <v>138</v>
      </c>
      <c r="I5693" t="s">
        <v>48</v>
      </c>
      <c r="J5693" t="s">
        <v>98</v>
      </c>
      <c r="K5693">
        <v>865.82</v>
      </c>
      <c r="L5693" t="s">
        <v>13397</v>
      </c>
      <c r="M5693">
        <f>VLOOKUP(H5693,'Stage Order'!$A$2:$B$8,2,FALSE)</f>
        <v>6</v>
      </c>
      <c r="N5693" t="str">
        <f t="shared" si="176"/>
        <v>2. 1-24 hours</v>
      </c>
      <c r="O5693" t="str">
        <f t="shared" si="177"/>
        <v>2025-05</v>
      </c>
    </row>
    <row r="5694" spans="1:15" x14ac:dyDescent="0.3">
      <c r="A5694" t="s">
        <v>13398</v>
      </c>
      <c r="B5694" t="s">
        <v>13399</v>
      </c>
      <c r="C5694" t="s">
        <v>28</v>
      </c>
      <c r="D5694" t="s">
        <v>29</v>
      </c>
      <c r="E5694" t="s">
        <v>45</v>
      </c>
      <c r="F5694" t="s">
        <v>94</v>
      </c>
      <c r="G5694">
        <v>1.0900000000000001</v>
      </c>
      <c r="H5694" t="s">
        <v>41</v>
      </c>
      <c r="I5694" t="s">
        <v>42</v>
      </c>
      <c r="M5694">
        <f>VLOOKUP(H5694,'Stage Order'!$A$2:$B$8,2,FALSE)</f>
        <v>2</v>
      </c>
      <c r="N5694" t="str">
        <f t="shared" si="176"/>
        <v>2. 1-24 hours</v>
      </c>
      <c r="O5694" t="str">
        <f t="shared" si="177"/>
        <v>2026-05</v>
      </c>
    </row>
    <row r="5695" spans="1:15" x14ac:dyDescent="0.3">
      <c r="A5695" t="s">
        <v>13400</v>
      </c>
      <c r="B5695" t="s">
        <v>13401</v>
      </c>
      <c r="C5695" t="s">
        <v>37</v>
      </c>
      <c r="D5695" t="s">
        <v>38</v>
      </c>
      <c r="E5695" t="s">
        <v>45</v>
      </c>
      <c r="F5695" t="s">
        <v>55</v>
      </c>
      <c r="G5695">
        <v>1.95</v>
      </c>
      <c r="H5695" t="s">
        <v>32</v>
      </c>
      <c r="I5695" t="s">
        <v>33</v>
      </c>
      <c r="K5695">
        <v>371.54</v>
      </c>
      <c r="L5695" t="s">
        <v>13402</v>
      </c>
      <c r="M5695">
        <f>VLOOKUP(H5695,'Stage Order'!$A$2:$B$8,2,FALSE)</f>
        <v>7</v>
      </c>
      <c r="N5695" t="str">
        <f t="shared" si="176"/>
        <v>2. 1-24 hours</v>
      </c>
      <c r="O5695" t="str">
        <f t="shared" si="177"/>
        <v>2026-04</v>
      </c>
    </row>
    <row r="5696" spans="1:15" x14ac:dyDescent="0.3">
      <c r="A5696" t="s">
        <v>13403</v>
      </c>
      <c r="B5696" t="s">
        <v>13404</v>
      </c>
      <c r="C5696" t="s">
        <v>37</v>
      </c>
      <c r="D5696" t="s">
        <v>29</v>
      </c>
      <c r="E5696" t="s">
        <v>59</v>
      </c>
      <c r="F5696" t="s">
        <v>117</v>
      </c>
      <c r="G5696">
        <v>3.53</v>
      </c>
      <c r="H5696" t="s">
        <v>32</v>
      </c>
      <c r="I5696" t="s">
        <v>33</v>
      </c>
      <c r="K5696">
        <v>728.53</v>
      </c>
      <c r="L5696" t="s">
        <v>13405</v>
      </c>
      <c r="M5696">
        <f>VLOOKUP(H5696,'Stage Order'!$A$2:$B$8,2,FALSE)</f>
        <v>7</v>
      </c>
      <c r="N5696" t="str">
        <f t="shared" si="176"/>
        <v>2. 1-24 hours</v>
      </c>
      <c r="O5696" t="str">
        <f t="shared" si="177"/>
        <v>2026-04</v>
      </c>
    </row>
    <row r="5697" spans="1:15" x14ac:dyDescent="0.3">
      <c r="A5697" t="s">
        <v>13406</v>
      </c>
      <c r="B5697" t="s">
        <v>13407</v>
      </c>
      <c r="C5697" t="s">
        <v>37</v>
      </c>
      <c r="D5697" t="s">
        <v>54</v>
      </c>
      <c r="E5697" t="s">
        <v>45</v>
      </c>
      <c r="F5697" t="s">
        <v>94</v>
      </c>
      <c r="G5697">
        <v>2.88</v>
      </c>
      <c r="H5697" t="s">
        <v>138</v>
      </c>
      <c r="I5697" t="s">
        <v>48</v>
      </c>
      <c r="J5697" t="s">
        <v>113</v>
      </c>
      <c r="K5697">
        <v>582.84</v>
      </c>
      <c r="L5697" t="s">
        <v>13408</v>
      </c>
      <c r="M5697">
        <f>VLOOKUP(H5697,'Stage Order'!$A$2:$B$8,2,FALSE)</f>
        <v>6</v>
      </c>
      <c r="N5697" t="str">
        <f t="shared" si="176"/>
        <v>2. 1-24 hours</v>
      </c>
      <c r="O5697" t="str">
        <f t="shared" si="177"/>
        <v>2026-06</v>
      </c>
    </row>
    <row r="5698" spans="1:15" x14ac:dyDescent="0.3">
      <c r="A5698" t="s">
        <v>13409</v>
      </c>
      <c r="B5698" t="s">
        <v>13410</v>
      </c>
      <c r="C5698" t="s">
        <v>58</v>
      </c>
      <c r="D5698" t="s">
        <v>38</v>
      </c>
      <c r="E5698" t="s">
        <v>59</v>
      </c>
      <c r="F5698" t="s">
        <v>60</v>
      </c>
      <c r="G5698">
        <v>1.62</v>
      </c>
      <c r="H5698" t="s">
        <v>138</v>
      </c>
      <c r="I5698" t="s">
        <v>48</v>
      </c>
      <c r="J5698" t="s">
        <v>98</v>
      </c>
      <c r="K5698">
        <v>368.84</v>
      </c>
      <c r="L5698" t="s">
        <v>13411</v>
      </c>
      <c r="M5698">
        <f>VLOOKUP(H5698,'Stage Order'!$A$2:$B$8,2,FALSE)</f>
        <v>6</v>
      </c>
      <c r="N5698" t="str">
        <f t="shared" ref="N5698:N5761" si="178">IF(G5698&lt;=1,"1. Under 1 hour",IF(G5698&lt;=24,"2. 1-24 hours",IF(G5698&lt;=72,"3. 1-3 days","4. Over 3 days")))</f>
        <v>2. 1-24 hours</v>
      </c>
      <c r="O5698" t="str">
        <f t="shared" ref="O5698:O5761" si="179">TEXT(B5698,"YYYY-MM")</f>
        <v>2025-04</v>
      </c>
    </row>
    <row r="5699" spans="1:15" x14ac:dyDescent="0.3">
      <c r="A5699" t="s">
        <v>13412</v>
      </c>
      <c r="B5699" t="s">
        <v>13413</v>
      </c>
      <c r="C5699" t="s">
        <v>37</v>
      </c>
      <c r="D5699" t="s">
        <v>54</v>
      </c>
      <c r="E5699" t="s">
        <v>30</v>
      </c>
      <c r="F5699" t="s">
        <v>82</v>
      </c>
      <c r="G5699">
        <v>1.36</v>
      </c>
      <c r="H5699" t="s">
        <v>41</v>
      </c>
      <c r="I5699" t="s">
        <v>42</v>
      </c>
      <c r="M5699">
        <f>VLOOKUP(H5699,'Stage Order'!$A$2:$B$8,2,FALSE)</f>
        <v>2</v>
      </c>
      <c r="N5699" t="str">
        <f t="shared" si="178"/>
        <v>2. 1-24 hours</v>
      </c>
      <c r="O5699" t="str">
        <f t="shared" si="179"/>
        <v>2025-12</v>
      </c>
    </row>
    <row r="5700" spans="1:15" x14ac:dyDescent="0.3">
      <c r="A5700" t="s">
        <v>13414</v>
      </c>
      <c r="B5700" t="s">
        <v>13415</v>
      </c>
      <c r="C5700" t="s">
        <v>53</v>
      </c>
      <c r="D5700" t="s">
        <v>54</v>
      </c>
      <c r="E5700" t="s">
        <v>39</v>
      </c>
      <c r="F5700" t="s">
        <v>40</v>
      </c>
      <c r="G5700">
        <v>4.49</v>
      </c>
      <c r="H5700" t="s">
        <v>41</v>
      </c>
      <c r="I5700" t="s">
        <v>42</v>
      </c>
      <c r="M5700">
        <f>VLOOKUP(H5700,'Stage Order'!$A$2:$B$8,2,FALSE)</f>
        <v>2</v>
      </c>
      <c r="N5700" t="str">
        <f t="shared" si="178"/>
        <v>2. 1-24 hours</v>
      </c>
      <c r="O5700" t="str">
        <f t="shared" si="179"/>
        <v>2025-01</v>
      </c>
    </row>
    <row r="5701" spans="1:15" x14ac:dyDescent="0.3">
      <c r="A5701" t="s">
        <v>13416</v>
      </c>
      <c r="B5701" t="s">
        <v>13417</v>
      </c>
      <c r="C5701" t="s">
        <v>58</v>
      </c>
      <c r="D5701" t="s">
        <v>77</v>
      </c>
      <c r="E5701" t="s">
        <v>59</v>
      </c>
      <c r="F5701" t="s">
        <v>60</v>
      </c>
      <c r="G5701">
        <v>4.8099999999999996</v>
      </c>
      <c r="H5701" t="s">
        <v>41</v>
      </c>
      <c r="I5701" t="s">
        <v>42</v>
      </c>
      <c r="M5701">
        <f>VLOOKUP(H5701,'Stage Order'!$A$2:$B$8,2,FALSE)</f>
        <v>2</v>
      </c>
      <c r="N5701" t="str">
        <f t="shared" si="178"/>
        <v>2. 1-24 hours</v>
      </c>
      <c r="O5701" t="str">
        <f t="shared" si="179"/>
        <v>2025-01</v>
      </c>
    </row>
    <row r="5702" spans="1:15" x14ac:dyDescent="0.3">
      <c r="A5702" t="s">
        <v>13418</v>
      </c>
      <c r="B5702" t="s">
        <v>13419</v>
      </c>
      <c r="C5702" t="s">
        <v>28</v>
      </c>
      <c r="D5702" t="s">
        <v>54</v>
      </c>
      <c r="E5702" t="s">
        <v>45</v>
      </c>
      <c r="F5702" t="s">
        <v>46</v>
      </c>
      <c r="G5702">
        <v>1.77</v>
      </c>
      <c r="H5702" t="s">
        <v>41</v>
      </c>
      <c r="I5702" t="s">
        <v>42</v>
      </c>
      <c r="M5702">
        <f>VLOOKUP(H5702,'Stage Order'!$A$2:$B$8,2,FALSE)</f>
        <v>2</v>
      </c>
      <c r="N5702" t="str">
        <f t="shared" si="178"/>
        <v>2. 1-24 hours</v>
      </c>
      <c r="O5702" t="str">
        <f t="shared" si="179"/>
        <v>2026-02</v>
      </c>
    </row>
    <row r="5703" spans="1:15" x14ac:dyDescent="0.3">
      <c r="A5703" t="s">
        <v>13420</v>
      </c>
      <c r="B5703" t="s">
        <v>13421</v>
      </c>
      <c r="C5703" t="s">
        <v>76</v>
      </c>
      <c r="D5703" t="s">
        <v>77</v>
      </c>
      <c r="E5703" t="s">
        <v>59</v>
      </c>
      <c r="F5703" t="s">
        <v>60</v>
      </c>
      <c r="G5703">
        <v>2.76</v>
      </c>
      <c r="H5703" t="s">
        <v>32</v>
      </c>
      <c r="I5703" t="s">
        <v>33</v>
      </c>
      <c r="K5703">
        <v>1040.26</v>
      </c>
      <c r="L5703" t="s">
        <v>13422</v>
      </c>
      <c r="M5703">
        <f>VLOOKUP(H5703,'Stage Order'!$A$2:$B$8,2,FALSE)</f>
        <v>7</v>
      </c>
      <c r="N5703" t="str">
        <f t="shared" si="178"/>
        <v>2. 1-24 hours</v>
      </c>
      <c r="O5703" t="str">
        <f t="shared" si="179"/>
        <v>2025-01</v>
      </c>
    </row>
    <row r="5704" spans="1:15" x14ac:dyDescent="0.3">
      <c r="A5704" t="s">
        <v>13423</v>
      </c>
      <c r="B5704" t="s">
        <v>13424</v>
      </c>
      <c r="C5704" t="s">
        <v>58</v>
      </c>
      <c r="D5704" t="s">
        <v>77</v>
      </c>
      <c r="E5704" t="s">
        <v>90</v>
      </c>
      <c r="F5704" t="s">
        <v>91</v>
      </c>
      <c r="G5704">
        <v>4.78</v>
      </c>
      <c r="H5704" t="s">
        <v>41</v>
      </c>
      <c r="I5704" t="s">
        <v>42</v>
      </c>
      <c r="M5704">
        <f>VLOOKUP(H5704,'Stage Order'!$A$2:$B$8,2,FALSE)</f>
        <v>2</v>
      </c>
      <c r="N5704" t="str">
        <f t="shared" si="178"/>
        <v>2. 1-24 hours</v>
      </c>
      <c r="O5704" t="str">
        <f t="shared" si="179"/>
        <v>2025-07</v>
      </c>
    </row>
    <row r="5705" spans="1:15" x14ac:dyDescent="0.3">
      <c r="A5705" t="s">
        <v>13425</v>
      </c>
      <c r="B5705" t="s">
        <v>13426</v>
      </c>
      <c r="C5705" t="s">
        <v>81</v>
      </c>
      <c r="D5705" t="s">
        <v>77</v>
      </c>
      <c r="E5705" t="s">
        <v>45</v>
      </c>
      <c r="F5705" t="s">
        <v>94</v>
      </c>
      <c r="G5705">
        <v>3.82</v>
      </c>
      <c r="H5705" t="s">
        <v>61</v>
      </c>
      <c r="I5705" t="s">
        <v>42</v>
      </c>
      <c r="M5705">
        <f>VLOOKUP(H5705,'Stage Order'!$A$2:$B$8,2,FALSE)</f>
        <v>1</v>
      </c>
      <c r="N5705" t="str">
        <f t="shared" si="178"/>
        <v>2. 1-24 hours</v>
      </c>
      <c r="O5705" t="str">
        <f t="shared" si="179"/>
        <v>2025-09</v>
      </c>
    </row>
    <row r="5706" spans="1:15" x14ac:dyDescent="0.3">
      <c r="A5706" t="s">
        <v>13427</v>
      </c>
      <c r="B5706" t="s">
        <v>13428</v>
      </c>
      <c r="C5706" t="s">
        <v>28</v>
      </c>
      <c r="D5706" t="s">
        <v>77</v>
      </c>
      <c r="E5706" t="s">
        <v>39</v>
      </c>
      <c r="F5706" t="s">
        <v>66</v>
      </c>
      <c r="G5706">
        <v>3.13</v>
      </c>
      <c r="H5706" t="s">
        <v>138</v>
      </c>
      <c r="I5706" t="s">
        <v>48</v>
      </c>
      <c r="J5706" t="s">
        <v>113</v>
      </c>
      <c r="K5706">
        <v>941.99</v>
      </c>
      <c r="L5706" t="s">
        <v>13429</v>
      </c>
      <c r="M5706">
        <f>VLOOKUP(H5706,'Stage Order'!$A$2:$B$8,2,FALSE)</f>
        <v>6</v>
      </c>
      <c r="N5706" t="str">
        <f t="shared" si="178"/>
        <v>2. 1-24 hours</v>
      </c>
      <c r="O5706" t="str">
        <f t="shared" si="179"/>
        <v>2025-03</v>
      </c>
    </row>
    <row r="5707" spans="1:15" x14ac:dyDescent="0.3">
      <c r="A5707" t="s">
        <v>13430</v>
      </c>
      <c r="B5707" t="s">
        <v>5144</v>
      </c>
      <c r="C5707" t="s">
        <v>37</v>
      </c>
      <c r="D5707" t="s">
        <v>38</v>
      </c>
      <c r="E5707" t="s">
        <v>39</v>
      </c>
      <c r="F5707" t="s">
        <v>106</v>
      </c>
      <c r="G5707">
        <v>4.6100000000000003</v>
      </c>
      <c r="H5707" t="s">
        <v>47</v>
      </c>
      <c r="I5707" t="s">
        <v>48</v>
      </c>
      <c r="J5707" t="s">
        <v>139</v>
      </c>
      <c r="K5707">
        <v>325.45</v>
      </c>
      <c r="L5707" t="s">
        <v>13431</v>
      </c>
      <c r="M5707">
        <f>VLOOKUP(H5707,'Stage Order'!$A$2:$B$8,2,FALSE)</f>
        <v>4</v>
      </c>
      <c r="N5707" t="str">
        <f t="shared" si="178"/>
        <v>2. 1-24 hours</v>
      </c>
      <c r="O5707" t="str">
        <f t="shared" si="179"/>
        <v>2026-05</v>
      </c>
    </row>
    <row r="5708" spans="1:15" x14ac:dyDescent="0.3">
      <c r="A5708" t="s">
        <v>13432</v>
      </c>
      <c r="B5708" t="s">
        <v>13433</v>
      </c>
      <c r="C5708" t="s">
        <v>28</v>
      </c>
      <c r="D5708" t="s">
        <v>29</v>
      </c>
      <c r="E5708" t="s">
        <v>90</v>
      </c>
      <c r="F5708" t="s">
        <v>91</v>
      </c>
      <c r="G5708">
        <v>3.1</v>
      </c>
      <c r="H5708" t="s">
        <v>146</v>
      </c>
      <c r="I5708" t="s">
        <v>48</v>
      </c>
      <c r="J5708" t="s">
        <v>98</v>
      </c>
      <c r="K5708">
        <v>633.14</v>
      </c>
      <c r="L5708" t="s">
        <v>13434</v>
      </c>
      <c r="M5708">
        <f>VLOOKUP(H5708,'Stage Order'!$A$2:$B$8,2,FALSE)</f>
        <v>5</v>
      </c>
      <c r="N5708" t="str">
        <f t="shared" si="178"/>
        <v>2. 1-24 hours</v>
      </c>
      <c r="O5708" t="str">
        <f t="shared" si="179"/>
        <v>2026-01</v>
      </c>
    </row>
    <row r="5709" spans="1:15" x14ac:dyDescent="0.3">
      <c r="A5709" t="s">
        <v>13435</v>
      </c>
      <c r="B5709" t="s">
        <v>13436</v>
      </c>
      <c r="C5709" t="s">
        <v>37</v>
      </c>
      <c r="D5709" t="s">
        <v>77</v>
      </c>
      <c r="E5709" t="s">
        <v>90</v>
      </c>
      <c r="F5709" t="s">
        <v>91</v>
      </c>
      <c r="G5709">
        <v>1.61</v>
      </c>
      <c r="H5709" t="s">
        <v>138</v>
      </c>
      <c r="I5709" t="s">
        <v>48</v>
      </c>
      <c r="J5709" t="s">
        <v>98</v>
      </c>
      <c r="K5709">
        <v>927.83</v>
      </c>
      <c r="L5709" t="s">
        <v>13437</v>
      </c>
      <c r="M5709">
        <f>VLOOKUP(H5709,'Stage Order'!$A$2:$B$8,2,FALSE)</f>
        <v>6</v>
      </c>
      <c r="N5709" t="str">
        <f t="shared" si="178"/>
        <v>2. 1-24 hours</v>
      </c>
      <c r="O5709" t="str">
        <f t="shared" si="179"/>
        <v>2025-06</v>
      </c>
    </row>
    <row r="5710" spans="1:15" x14ac:dyDescent="0.3">
      <c r="A5710" t="s">
        <v>13438</v>
      </c>
      <c r="B5710" t="s">
        <v>13439</v>
      </c>
      <c r="C5710" t="s">
        <v>58</v>
      </c>
      <c r="D5710" t="s">
        <v>77</v>
      </c>
      <c r="E5710" t="s">
        <v>39</v>
      </c>
      <c r="F5710" t="s">
        <v>106</v>
      </c>
      <c r="G5710">
        <v>0.57999999999999996</v>
      </c>
      <c r="H5710" t="s">
        <v>138</v>
      </c>
      <c r="I5710" t="s">
        <v>48</v>
      </c>
      <c r="J5710" t="s">
        <v>742</v>
      </c>
      <c r="K5710">
        <v>980.91</v>
      </c>
      <c r="L5710" t="s">
        <v>13440</v>
      </c>
      <c r="M5710">
        <f>VLOOKUP(H5710,'Stage Order'!$A$2:$B$8,2,FALSE)</f>
        <v>6</v>
      </c>
      <c r="N5710" t="str">
        <f t="shared" si="178"/>
        <v>1. Under 1 hour</v>
      </c>
      <c r="O5710" t="str">
        <f t="shared" si="179"/>
        <v>2025-12</v>
      </c>
    </row>
    <row r="5711" spans="1:15" x14ac:dyDescent="0.3">
      <c r="A5711" t="s">
        <v>13441</v>
      </c>
      <c r="B5711" t="s">
        <v>13442</v>
      </c>
      <c r="C5711" t="s">
        <v>37</v>
      </c>
      <c r="D5711" t="s">
        <v>54</v>
      </c>
      <c r="E5711" t="s">
        <v>39</v>
      </c>
      <c r="F5711" t="s">
        <v>40</v>
      </c>
      <c r="G5711">
        <v>5.58</v>
      </c>
      <c r="H5711" t="s">
        <v>138</v>
      </c>
      <c r="I5711" t="s">
        <v>48</v>
      </c>
      <c r="J5711" t="s">
        <v>113</v>
      </c>
      <c r="K5711">
        <v>462.92</v>
      </c>
      <c r="L5711" t="s">
        <v>13443</v>
      </c>
      <c r="M5711">
        <f>VLOOKUP(H5711,'Stage Order'!$A$2:$B$8,2,FALSE)</f>
        <v>6</v>
      </c>
      <c r="N5711" t="str">
        <f t="shared" si="178"/>
        <v>2. 1-24 hours</v>
      </c>
      <c r="O5711" t="str">
        <f t="shared" si="179"/>
        <v>2025-03</v>
      </c>
    </row>
    <row r="5712" spans="1:15" x14ac:dyDescent="0.3">
      <c r="A5712" t="s">
        <v>13444</v>
      </c>
      <c r="B5712" t="s">
        <v>13445</v>
      </c>
      <c r="C5712" t="s">
        <v>53</v>
      </c>
      <c r="D5712" t="s">
        <v>77</v>
      </c>
      <c r="E5712" t="s">
        <v>45</v>
      </c>
      <c r="F5712" t="s">
        <v>55</v>
      </c>
      <c r="G5712">
        <v>1.58</v>
      </c>
      <c r="H5712" t="s">
        <v>41</v>
      </c>
      <c r="I5712" t="s">
        <v>42</v>
      </c>
      <c r="M5712">
        <f>VLOOKUP(H5712,'Stage Order'!$A$2:$B$8,2,FALSE)</f>
        <v>2</v>
      </c>
      <c r="N5712" t="str">
        <f t="shared" si="178"/>
        <v>2. 1-24 hours</v>
      </c>
      <c r="O5712" t="str">
        <f t="shared" si="179"/>
        <v>2025-01</v>
      </c>
    </row>
    <row r="5713" spans="1:15" x14ac:dyDescent="0.3">
      <c r="A5713" t="s">
        <v>13446</v>
      </c>
      <c r="B5713" t="s">
        <v>13447</v>
      </c>
      <c r="C5713" t="s">
        <v>58</v>
      </c>
      <c r="D5713" t="s">
        <v>77</v>
      </c>
      <c r="E5713" t="s">
        <v>59</v>
      </c>
      <c r="F5713" t="s">
        <v>60</v>
      </c>
      <c r="G5713">
        <v>1.01</v>
      </c>
      <c r="H5713" t="s">
        <v>146</v>
      </c>
      <c r="I5713" t="s">
        <v>48</v>
      </c>
      <c r="J5713" t="s">
        <v>113</v>
      </c>
      <c r="K5713">
        <v>1154.07</v>
      </c>
      <c r="L5713" t="s">
        <v>13448</v>
      </c>
      <c r="M5713">
        <f>VLOOKUP(H5713,'Stage Order'!$A$2:$B$8,2,FALSE)</f>
        <v>5</v>
      </c>
      <c r="N5713" t="str">
        <f t="shared" si="178"/>
        <v>2. 1-24 hours</v>
      </c>
      <c r="O5713" t="str">
        <f t="shared" si="179"/>
        <v>2026-01</v>
      </c>
    </row>
    <row r="5714" spans="1:15" x14ac:dyDescent="0.3">
      <c r="A5714" t="s">
        <v>13449</v>
      </c>
      <c r="B5714" t="s">
        <v>13450</v>
      </c>
      <c r="C5714" t="s">
        <v>58</v>
      </c>
      <c r="D5714" t="s">
        <v>54</v>
      </c>
      <c r="E5714" t="s">
        <v>90</v>
      </c>
      <c r="F5714" t="s">
        <v>91</v>
      </c>
      <c r="G5714">
        <v>1.08</v>
      </c>
      <c r="H5714" t="s">
        <v>41</v>
      </c>
      <c r="I5714" t="s">
        <v>42</v>
      </c>
      <c r="M5714">
        <f>VLOOKUP(H5714,'Stage Order'!$A$2:$B$8,2,FALSE)</f>
        <v>2</v>
      </c>
      <c r="N5714" t="str">
        <f t="shared" si="178"/>
        <v>2. 1-24 hours</v>
      </c>
      <c r="O5714" t="str">
        <f t="shared" si="179"/>
        <v>2025-08</v>
      </c>
    </row>
    <row r="5715" spans="1:15" x14ac:dyDescent="0.3">
      <c r="A5715" t="s">
        <v>13451</v>
      </c>
      <c r="B5715" t="s">
        <v>13452</v>
      </c>
      <c r="C5715" t="s">
        <v>37</v>
      </c>
      <c r="D5715" t="s">
        <v>54</v>
      </c>
      <c r="E5715" t="s">
        <v>45</v>
      </c>
      <c r="F5715" t="s">
        <v>94</v>
      </c>
      <c r="G5715">
        <v>1.27</v>
      </c>
      <c r="H5715" t="s">
        <v>32</v>
      </c>
      <c r="I5715" t="s">
        <v>33</v>
      </c>
      <c r="K5715">
        <v>507.36</v>
      </c>
      <c r="L5715" t="s">
        <v>13453</v>
      </c>
      <c r="M5715">
        <f>VLOOKUP(H5715,'Stage Order'!$A$2:$B$8,2,FALSE)</f>
        <v>7</v>
      </c>
      <c r="N5715" t="str">
        <f t="shared" si="178"/>
        <v>2. 1-24 hours</v>
      </c>
      <c r="O5715" t="str">
        <f t="shared" si="179"/>
        <v>2025-10</v>
      </c>
    </row>
    <row r="5716" spans="1:15" x14ac:dyDescent="0.3">
      <c r="A5716" t="s">
        <v>13454</v>
      </c>
      <c r="B5716" t="s">
        <v>13455</v>
      </c>
      <c r="C5716" t="s">
        <v>125</v>
      </c>
      <c r="D5716" t="s">
        <v>54</v>
      </c>
      <c r="E5716" t="s">
        <v>90</v>
      </c>
      <c r="F5716" t="s">
        <v>112</v>
      </c>
      <c r="G5716">
        <v>5.0199999999999996</v>
      </c>
      <c r="H5716" t="s">
        <v>41</v>
      </c>
      <c r="I5716" t="s">
        <v>42</v>
      </c>
      <c r="M5716">
        <f>VLOOKUP(H5716,'Stage Order'!$A$2:$B$8,2,FALSE)</f>
        <v>2</v>
      </c>
      <c r="N5716" t="str">
        <f t="shared" si="178"/>
        <v>2. 1-24 hours</v>
      </c>
      <c r="O5716" t="str">
        <f t="shared" si="179"/>
        <v>2026-03</v>
      </c>
    </row>
    <row r="5717" spans="1:15" x14ac:dyDescent="0.3">
      <c r="A5717" t="s">
        <v>13456</v>
      </c>
      <c r="B5717" t="s">
        <v>13457</v>
      </c>
      <c r="C5717" t="s">
        <v>125</v>
      </c>
      <c r="D5717" t="s">
        <v>77</v>
      </c>
      <c r="E5717" t="s">
        <v>30</v>
      </c>
      <c r="F5717" t="s">
        <v>82</v>
      </c>
      <c r="G5717">
        <v>2.0499999999999998</v>
      </c>
      <c r="H5717" t="s">
        <v>146</v>
      </c>
      <c r="I5717" t="s">
        <v>48</v>
      </c>
      <c r="J5717" t="s">
        <v>113</v>
      </c>
      <c r="K5717">
        <v>840.13</v>
      </c>
      <c r="L5717" t="s">
        <v>13458</v>
      </c>
      <c r="M5717">
        <f>VLOOKUP(H5717,'Stage Order'!$A$2:$B$8,2,FALSE)</f>
        <v>5</v>
      </c>
      <c r="N5717" t="str">
        <f t="shared" si="178"/>
        <v>2. 1-24 hours</v>
      </c>
      <c r="O5717" t="str">
        <f t="shared" si="179"/>
        <v>2025-08</v>
      </c>
    </row>
    <row r="5718" spans="1:15" x14ac:dyDescent="0.3">
      <c r="A5718" t="s">
        <v>13459</v>
      </c>
      <c r="B5718" t="s">
        <v>13460</v>
      </c>
      <c r="C5718" t="s">
        <v>37</v>
      </c>
      <c r="D5718" t="s">
        <v>54</v>
      </c>
      <c r="E5718" t="s">
        <v>45</v>
      </c>
      <c r="F5718" t="s">
        <v>55</v>
      </c>
      <c r="G5718">
        <v>4.33</v>
      </c>
      <c r="H5718" t="s">
        <v>41</v>
      </c>
      <c r="I5718" t="s">
        <v>42</v>
      </c>
      <c r="M5718">
        <f>VLOOKUP(H5718,'Stage Order'!$A$2:$B$8,2,FALSE)</f>
        <v>2</v>
      </c>
      <c r="N5718" t="str">
        <f t="shared" si="178"/>
        <v>2. 1-24 hours</v>
      </c>
      <c r="O5718" t="str">
        <f t="shared" si="179"/>
        <v>2026-03</v>
      </c>
    </row>
    <row r="5719" spans="1:15" x14ac:dyDescent="0.3">
      <c r="A5719" t="s">
        <v>13461</v>
      </c>
      <c r="B5719" t="s">
        <v>13462</v>
      </c>
      <c r="C5719" t="s">
        <v>76</v>
      </c>
      <c r="D5719" t="s">
        <v>54</v>
      </c>
      <c r="E5719" t="s">
        <v>39</v>
      </c>
      <c r="F5719" t="s">
        <v>106</v>
      </c>
      <c r="G5719">
        <v>6.79</v>
      </c>
      <c r="H5719" t="s">
        <v>138</v>
      </c>
      <c r="I5719" t="s">
        <v>48</v>
      </c>
      <c r="J5719" t="s">
        <v>139</v>
      </c>
      <c r="K5719">
        <v>512.77</v>
      </c>
      <c r="L5719" t="s">
        <v>13463</v>
      </c>
      <c r="M5719">
        <f>VLOOKUP(H5719,'Stage Order'!$A$2:$B$8,2,FALSE)</f>
        <v>6</v>
      </c>
      <c r="N5719" t="str">
        <f t="shared" si="178"/>
        <v>2. 1-24 hours</v>
      </c>
      <c r="O5719" t="str">
        <f t="shared" si="179"/>
        <v>2026-01</v>
      </c>
    </row>
    <row r="5720" spans="1:15" x14ac:dyDescent="0.3">
      <c r="A5720" t="s">
        <v>13464</v>
      </c>
      <c r="B5720" t="s">
        <v>13465</v>
      </c>
      <c r="C5720" t="s">
        <v>53</v>
      </c>
      <c r="D5720" t="s">
        <v>77</v>
      </c>
      <c r="E5720" t="s">
        <v>30</v>
      </c>
      <c r="F5720" t="s">
        <v>31</v>
      </c>
      <c r="G5720">
        <v>1.81</v>
      </c>
      <c r="H5720" t="s">
        <v>128</v>
      </c>
      <c r="I5720" t="s">
        <v>42</v>
      </c>
      <c r="M5720">
        <f>VLOOKUP(H5720,'Stage Order'!$A$2:$B$8,2,FALSE)</f>
        <v>3</v>
      </c>
      <c r="N5720" t="str">
        <f t="shared" si="178"/>
        <v>2. 1-24 hours</v>
      </c>
      <c r="O5720" t="str">
        <f t="shared" si="179"/>
        <v>2025-03</v>
      </c>
    </row>
    <row r="5721" spans="1:15" x14ac:dyDescent="0.3">
      <c r="A5721" t="s">
        <v>13466</v>
      </c>
      <c r="B5721" t="s">
        <v>13467</v>
      </c>
      <c r="C5721" t="s">
        <v>81</v>
      </c>
      <c r="D5721" t="s">
        <v>54</v>
      </c>
      <c r="E5721" t="s">
        <v>39</v>
      </c>
      <c r="F5721" t="s">
        <v>66</v>
      </c>
      <c r="G5721">
        <v>4.26</v>
      </c>
      <c r="H5721" t="s">
        <v>41</v>
      </c>
      <c r="I5721" t="s">
        <v>42</v>
      </c>
      <c r="M5721">
        <f>VLOOKUP(H5721,'Stage Order'!$A$2:$B$8,2,FALSE)</f>
        <v>2</v>
      </c>
      <c r="N5721" t="str">
        <f t="shared" si="178"/>
        <v>2. 1-24 hours</v>
      </c>
      <c r="O5721" t="str">
        <f t="shared" si="179"/>
        <v>2026-01</v>
      </c>
    </row>
    <row r="5722" spans="1:15" x14ac:dyDescent="0.3">
      <c r="A5722" t="s">
        <v>13468</v>
      </c>
      <c r="B5722" t="s">
        <v>13469</v>
      </c>
      <c r="C5722" t="s">
        <v>125</v>
      </c>
      <c r="D5722" t="s">
        <v>38</v>
      </c>
      <c r="E5722" t="s">
        <v>45</v>
      </c>
      <c r="F5722" t="s">
        <v>94</v>
      </c>
      <c r="G5722">
        <v>2.0699999999999998</v>
      </c>
      <c r="H5722" t="s">
        <v>138</v>
      </c>
      <c r="I5722" t="s">
        <v>48</v>
      </c>
      <c r="J5722" t="s">
        <v>49</v>
      </c>
      <c r="K5722">
        <v>404.2</v>
      </c>
      <c r="L5722" t="s">
        <v>13470</v>
      </c>
      <c r="M5722">
        <f>VLOOKUP(H5722,'Stage Order'!$A$2:$B$8,2,FALSE)</f>
        <v>6</v>
      </c>
      <c r="N5722" t="str">
        <f t="shared" si="178"/>
        <v>2. 1-24 hours</v>
      </c>
      <c r="O5722" t="str">
        <f t="shared" si="179"/>
        <v>2026-02</v>
      </c>
    </row>
    <row r="5723" spans="1:15" x14ac:dyDescent="0.3">
      <c r="A5723" t="s">
        <v>13471</v>
      </c>
      <c r="B5723" t="s">
        <v>13472</v>
      </c>
      <c r="C5723" t="s">
        <v>81</v>
      </c>
      <c r="D5723" t="s">
        <v>77</v>
      </c>
      <c r="E5723" t="s">
        <v>45</v>
      </c>
      <c r="F5723" t="s">
        <v>55</v>
      </c>
      <c r="G5723">
        <v>6.78</v>
      </c>
      <c r="H5723" t="s">
        <v>128</v>
      </c>
      <c r="I5723" t="s">
        <v>42</v>
      </c>
      <c r="M5723">
        <f>VLOOKUP(H5723,'Stage Order'!$A$2:$B$8,2,FALSE)</f>
        <v>3</v>
      </c>
      <c r="N5723" t="str">
        <f t="shared" si="178"/>
        <v>2. 1-24 hours</v>
      </c>
      <c r="O5723" t="str">
        <f t="shared" si="179"/>
        <v>2025-09</v>
      </c>
    </row>
    <row r="5724" spans="1:15" x14ac:dyDescent="0.3">
      <c r="A5724" t="s">
        <v>13473</v>
      </c>
      <c r="B5724" t="s">
        <v>13474</v>
      </c>
      <c r="C5724" t="s">
        <v>81</v>
      </c>
      <c r="D5724" t="s">
        <v>38</v>
      </c>
      <c r="E5724" t="s">
        <v>39</v>
      </c>
      <c r="F5724" t="s">
        <v>106</v>
      </c>
      <c r="G5724">
        <v>5.05</v>
      </c>
      <c r="H5724" t="s">
        <v>41</v>
      </c>
      <c r="I5724" t="s">
        <v>42</v>
      </c>
      <c r="M5724">
        <f>VLOOKUP(H5724,'Stage Order'!$A$2:$B$8,2,FALSE)</f>
        <v>2</v>
      </c>
      <c r="N5724" t="str">
        <f t="shared" si="178"/>
        <v>2. 1-24 hours</v>
      </c>
      <c r="O5724" t="str">
        <f t="shared" si="179"/>
        <v>2025-11</v>
      </c>
    </row>
    <row r="5725" spans="1:15" x14ac:dyDescent="0.3">
      <c r="A5725" t="s">
        <v>13475</v>
      </c>
      <c r="B5725" t="s">
        <v>13476</v>
      </c>
      <c r="C5725" t="s">
        <v>81</v>
      </c>
      <c r="D5725" t="s">
        <v>54</v>
      </c>
      <c r="E5725" t="s">
        <v>90</v>
      </c>
      <c r="F5725" t="s">
        <v>112</v>
      </c>
      <c r="G5725">
        <v>5.41</v>
      </c>
      <c r="H5725" t="s">
        <v>128</v>
      </c>
      <c r="I5725" t="s">
        <v>42</v>
      </c>
      <c r="M5725">
        <f>VLOOKUP(H5725,'Stage Order'!$A$2:$B$8,2,FALSE)</f>
        <v>3</v>
      </c>
      <c r="N5725" t="str">
        <f t="shared" si="178"/>
        <v>2. 1-24 hours</v>
      </c>
      <c r="O5725" t="str">
        <f t="shared" si="179"/>
        <v>2025-03</v>
      </c>
    </row>
    <row r="5726" spans="1:15" x14ac:dyDescent="0.3">
      <c r="A5726" t="s">
        <v>13477</v>
      </c>
      <c r="B5726" t="s">
        <v>13478</v>
      </c>
      <c r="C5726" t="s">
        <v>53</v>
      </c>
      <c r="D5726" t="s">
        <v>77</v>
      </c>
      <c r="E5726" t="s">
        <v>39</v>
      </c>
      <c r="F5726" t="s">
        <v>40</v>
      </c>
      <c r="G5726">
        <v>1.76</v>
      </c>
      <c r="H5726" t="s">
        <v>41</v>
      </c>
      <c r="I5726" t="s">
        <v>42</v>
      </c>
      <c r="M5726">
        <f>VLOOKUP(H5726,'Stage Order'!$A$2:$B$8,2,FALSE)</f>
        <v>2</v>
      </c>
      <c r="N5726" t="str">
        <f t="shared" si="178"/>
        <v>2. 1-24 hours</v>
      </c>
      <c r="O5726" t="str">
        <f t="shared" si="179"/>
        <v>2026-05</v>
      </c>
    </row>
    <row r="5727" spans="1:15" x14ac:dyDescent="0.3">
      <c r="A5727" t="s">
        <v>13479</v>
      </c>
      <c r="B5727" t="s">
        <v>13480</v>
      </c>
      <c r="C5727" t="s">
        <v>53</v>
      </c>
      <c r="D5727" t="s">
        <v>77</v>
      </c>
      <c r="E5727" t="s">
        <v>39</v>
      </c>
      <c r="F5727" t="s">
        <v>66</v>
      </c>
      <c r="G5727">
        <v>1.1499999999999999</v>
      </c>
      <c r="H5727" t="s">
        <v>146</v>
      </c>
      <c r="I5727" t="s">
        <v>48</v>
      </c>
      <c r="J5727" t="s">
        <v>113</v>
      </c>
      <c r="K5727">
        <v>1154.94</v>
      </c>
      <c r="L5727" t="s">
        <v>13481</v>
      </c>
      <c r="M5727">
        <f>VLOOKUP(H5727,'Stage Order'!$A$2:$B$8,2,FALSE)</f>
        <v>5</v>
      </c>
      <c r="N5727" t="str">
        <f t="shared" si="178"/>
        <v>2. 1-24 hours</v>
      </c>
      <c r="O5727" t="str">
        <f t="shared" si="179"/>
        <v>2025-09</v>
      </c>
    </row>
    <row r="5728" spans="1:15" x14ac:dyDescent="0.3">
      <c r="A5728" t="s">
        <v>13482</v>
      </c>
      <c r="B5728" t="s">
        <v>13483</v>
      </c>
      <c r="C5728" t="s">
        <v>53</v>
      </c>
      <c r="D5728" t="s">
        <v>38</v>
      </c>
      <c r="E5728" t="s">
        <v>59</v>
      </c>
      <c r="F5728" t="s">
        <v>137</v>
      </c>
      <c r="G5728">
        <v>2.0699999999999998</v>
      </c>
      <c r="H5728" t="s">
        <v>41</v>
      </c>
      <c r="I5728" t="s">
        <v>42</v>
      </c>
      <c r="M5728">
        <f>VLOOKUP(H5728,'Stage Order'!$A$2:$B$8,2,FALSE)</f>
        <v>2</v>
      </c>
      <c r="N5728" t="str">
        <f t="shared" si="178"/>
        <v>2. 1-24 hours</v>
      </c>
      <c r="O5728" t="str">
        <f t="shared" si="179"/>
        <v>2026-03</v>
      </c>
    </row>
    <row r="5729" spans="1:15" x14ac:dyDescent="0.3">
      <c r="A5729" t="s">
        <v>13484</v>
      </c>
      <c r="B5729" t="s">
        <v>13485</v>
      </c>
      <c r="C5729" t="s">
        <v>37</v>
      </c>
      <c r="D5729" t="s">
        <v>77</v>
      </c>
      <c r="E5729" t="s">
        <v>45</v>
      </c>
      <c r="F5729" t="s">
        <v>94</v>
      </c>
      <c r="G5729">
        <v>9.82</v>
      </c>
      <c r="H5729" t="s">
        <v>41</v>
      </c>
      <c r="I5729" t="s">
        <v>42</v>
      </c>
      <c r="M5729">
        <f>VLOOKUP(H5729,'Stage Order'!$A$2:$B$8,2,FALSE)</f>
        <v>2</v>
      </c>
      <c r="N5729" t="str">
        <f t="shared" si="178"/>
        <v>2. 1-24 hours</v>
      </c>
      <c r="O5729" t="str">
        <f t="shared" si="179"/>
        <v>2026-04</v>
      </c>
    </row>
    <row r="5730" spans="1:15" x14ac:dyDescent="0.3">
      <c r="A5730" t="s">
        <v>13486</v>
      </c>
      <c r="B5730" t="s">
        <v>13487</v>
      </c>
      <c r="C5730" t="s">
        <v>76</v>
      </c>
      <c r="D5730" t="s">
        <v>29</v>
      </c>
      <c r="E5730" t="s">
        <v>45</v>
      </c>
      <c r="F5730" t="s">
        <v>46</v>
      </c>
      <c r="G5730">
        <v>7.09</v>
      </c>
      <c r="H5730" t="s">
        <v>41</v>
      </c>
      <c r="I5730" t="s">
        <v>42</v>
      </c>
      <c r="M5730">
        <f>VLOOKUP(H5730,'Stage Order'!$A$2:$B$8,2,FALSE)</f>
        <v>2</v>
      </c>
      <c r="N5730" t="str">
        <f t="shared" si="178"/>
        <v>2. 1-24 hours</v>
      </c>
      <c r="O5730" t="str">
        <f t="shared" si="179"/>
        <v>2025-01</v>
      </c>
    </row>
    <row r="5731" spans="1:15" x14ac:dyDescent="0.3">
      <c r="A5731" t="s">
        <v>13488</v>
      </c>
      <c r="B5731" t="s">
        <v>13489</v>
      </c>
      <c r="C5731" t="s">
        <v>125</v>
      </c>
      <c r="D5731" t="s">
        <v>29</v>
      </c>
      <c r="E5731" t="s">
        <v>90</v>
      </c>
      <c r="F5731" t="s">
        <v>112</v>
      </c>
      <c r="G5731">
        <v>0.63</v>
      </c>
      <c r="H5731" t="s">
        <v>41</v>
      </c>
      <c r="I5731" t="s">
        <v>42</v>
      </c>
      <c r="M5731">
        <f>VLOOKUP(H5731,'Stage Order'!$A$2:$B$8,2,FALSE)</f>
        <v>2</v>
      </c>
      <c r="N5731" t="str">
        <f t="shared" si="178"/>
        <v>1. Under 1 hour</v>
      </c>
      <c r="O5731" t="str">
        <f t="shared" si="179"/>
        <v>2025-07</v>
      </c>
    </row>
    <row r="5732" spans="1:15" x14ac:dyDescent="0.3">
      <c r="A5732" t="s">
        <v>13490</v>
      </c>
      <c r="B5732" t="s">
        <v>13491</v>
      </c>
      <c r="C5732" t="s">
        <v>81</v>
      </c>
      <c r="D5732" t="s">
        <v>54</v>
      </c>
      <c r="E5732" t="s">
        <v>59</v>
      </c>
      <c r="F5732" t="s">
        <v>60</v>
      </c>
      <c r="G5732">
        <v>1.44</v>
      </c>
      <c r="H5732" t="s">
        <v>61</v>
      </c>
      <c r="I5732" t="s">
        <v>42</v>
      </c>
      <c r="M5732">
        <f>VLOOKUP(H5732,'Stage Order'!$A$2:$B$8,2,FALSE)</f>
        <v>1</v>
      </c>
      <c r="N5732" t="str">
        <f t="shared" si="178"/>
        <v>2. 1-24 hours</v>
      </c>
      <c r="O5732" t="str">
        <f t="shared" si="179"/>
        <v>2025-06</v>
      </c>
    </row>
    <row r="5733" spans="1:15" x14ac:dyDescent="0.3">
      <c r="A5733" t="s">
        <v>13492</v>
      </c>
      <c r="B5733" t="s">
        <v>13493</v>
      </c>
      <c r="C5733" t="s">
        <v>37</v>
      </c>
      <c r="D5733" t="s">
        <v>29</v>
      </c>
      <c r="E5733" t="s">
        <v>45</v>
      </c>
      <c r="F5733" t="s">
        <v>55</v>
      </c>
      <c r="G5733">
        <v>5.24</v>
      </c>
      <c r="H5733" t="s">
        <v>41</v>
      </c>
      <c r="I5733" t="s">
        <v>42</v>
      </c>
      <c r="M5733">
        <f>VLOOKUP(H5733,'Stage Order'!$A$2:$B$8,2,FALSE)</f>
        <v>2</v>
      </c>
      <c r="N5733" t="str">
        <f t="shared" si="178"/>
        <v>2. 1-24 hours</v>
      </c>
      <c r="O5733" t="str">
        <f t="shared" si="179"/>
        <v>2026-02</v>
      </c>
    </row>
    <row r="5734" spans="1:15" x14ac:dyDescent="0.3">
      <c r="A5734" t="s">
        <v>13494</v>
      </c>
      <c r="B5734" t="s">
        <v>13495</v>
      </c>
      <c r="C5734" t="s">
        <v>125</v>
      </c>
      <c r="D5734" t="s">
        <v>77</v>
      </c>
      <c r="E5734" t="s">
        <v>39</v>
      </c>
      <c r="F5734" t="s">
        <v>106</v>
      </c>
      <c r="G5734">
        <v>1.31</v>
      </c>
      <c r="H5734" t="s">
        <v>41</v>
      </c>
      <c r="I5734" t="s">
        <v>42</v>
      </c>
      <c r="M5734">
        <f>VLOOKUP(H5734,'Stage Order'!$A$2:$B$8,2,FALSE)</f>
        <v>2</v>
      </c>
      <c r="N5734" t="str">
        <f t="shared" si="178"/>
        <v>2. 1-24 hours</v>
      </c>
      <c r="O5734" t="str">
        <f t="shared" si="179"/>
        <v>2026-05</v>
      </c>
    </row>
    <row r="5735" spans="1:15" x14ac:dyDescent="0.3">
      <c r="A5735" t="s">
        <v>13496</v>
      </c>
      <c r="B5735" t="s">
        <v>13497</v>
      </c>
      <c r="C5735" t="s">
        <v>37</v>
      </c>
      <c r="D5735" t="s">
        <v>54</v>
      </c>
      <c r="E5735" t="s">
        <v>59</v>
      </c>
      <c r="F5735" t="s">
        <v>117</v>
      </c>
      <c r="G5735">
        <v>5.84</v>
      </c>
      <c r="H5735" t="s">
        <v>41</v>
      </c>
      <c r="I5735" t="s">
        <v>42</v>
      </c>
      <c r="M5735">
        <f>VLOOKUP(H5735,'Stage Order'!$A$2:$B$8,2,FALSE)</f>
        <v>2</v>
      </c>
      <c r="N5735" t="str">
        <f t="shared" si="178"/>
        <v>2. 1-24 hours</v>
      </c>
      <c r="O5735" t="str">
        <f t="shared" si="179"/>
        <v>2025-06</v>
      </c>
    </row>
    <row r="5736" spans="1:15" x14ac:dyDescent="0.3">
      <c r="A5736" t="s">
        <v>13498</v>
      </c>
      <c r="B5736" t="s">
        <v>13499</v>
      </c>
      <c r="C5736" t="s">
        <v>125</v>
      </c>
      <c r="D5736" t="s">
        <v>97</v>
      </c>
      <c r="E5736" t="s">
        <v>45</v>
      </c>
      <c r="F5736" t="s">
        <v>55</v>
      </c>
      <c r="G5736">
        <v>3.42</v>
      </c>
      <c r="H5736" t="s">
        <v>41</v>
      </c>
      <c r="I5736" t="s">
        <v>42</v>
      </c>
      <c r="M5736">
        <f>VLOOKUP(H5736,'Stage Order'!$A$2:$B$8,2,FALSE)</f>
        <v>2</v>
      </c>
      <c r="N5736" t="str">
        <f t="shared" si="178"/>
        <v>2. 1-24 hours</v>
      </c>
      <c r="O5736" t="str">
        <f t="shared" si="179"/>
        <v>2025-01</v>
      </c>
    </row>
    <row r="5737" spans="1:15" x14ac:dyDescent="0.3">
      <c r="A5737" t="s">
        <v>13500</v>
      </c>
      <c r="B5737" t="s">
        <v>13501</v>
      </c>
      <c r="C5737" t="s">
        <v>58</v>
      </c>
      <c r="D5737" t="s">
        <v>29</v>
      </c>
      <c r="E5737" t="s">
        <v>59</v>
      </c>
      <c r="F5737" t="s">
        <v>137</v>
      </c>
      <c r="G5737">
        <v>3.1</v>
      </c>
      <c r="H5737" t="s">
        <v>61</v>
      </c>
      <c r="I5737" t="s">
        <v>42</v>
      </c>
      <c r="M5737">
        <f>VLOOKUP(H5737,'Stage Order'!$A$2:$B$8,2,FALSE)</f>
        <v>1</v>
      </c>
      <c r="N5737" t="str">
        <f t="shared" si="178"/>
        <v>2. 1-24 hours</v>
      </c>
      <c r="O5737" t="str">
        <f t="shared" si="179"/>
        <v>2025-06</v>
      </c>
    </row>
    <row r="5738" spans="1:15" x14ac:dyDescent="0.3">
      <c r="A5738" t="s">
        <v>13502</v>
      </c>
      <c r="B5738" t="s">
        <v>13503</v>
      </c>
      <c r="C5738" t="s">
        <v>58</v>
      </c>
      <c r="D5738" t="s">
        <v>77</v>
      </c>
      <c r="E5738" t="s">
        <v>90</v>
      </c>
      <c r="F5738" t="s">
        <v>91</v>
      </c>
      <c r="G5738">
        <v>1.88</v>
      </c>
      <c r="H5738" t="s">
        <v>41</v>
      </c>
      <c r="I5738" t="s">
        <v>42</v>
      </c>
      <c r="M5738">
        <f>VLOOKUP(H5738,'Stage Order'!$A$2:$B$8,2,FALSE)</f>
        <v>2</v>
      </c>
      <c r="N5738" t="str">
        <f t="shared" si="178"/>
        <v>2. 1-24 hours</v>
      </c>
      <c r="O5738" t="str">
        <f t="shared" si="179"/>
        <v>2025-02</v>
      </c>
    </row>
    <row r="5739" spans="1:15" x14ac:dyDescent="0.3">
      <c r="A5739" t="s">
        <v>13504</v>
      </c>
      <c r="B5739" t="s">
        <v>13505</v>
      </c>
      <c r="C5739" t="s">
        <v>37</v>
      </c>
      <c r="D5739" t="s">
        <v>77</v>
      </c>
      <c r="E5739" t="s">
        <v>45</v>
      </c>
      <c r="F5739" t="s">
        <v>55</v>
      </c>
      <c r="G5739">
        <v>16.579999999999998</v>
      </c>
      <c r="H5739" t="s">
        <v>41</v>
      </c>
      <c r="I5739" t="s">
        <v>42</v>
      </c>
      <c r="M5739">
        <f>VLOOKUP(H5739,'Stage Order'!$A$2:$B$8,2,FALSE)</f>
        <v>2</v>
      </c>
      <c r="N5739" t="str">
        <f t="shared" si="178"/>
        <v>2. 1-24 hours</v>
      </c>
      <c r="O5739" t="str">
        <f t="shared" si="179"/>
        <v>2025-08</v>
      </c>
    </row>
    <row r="5740" spans="1:15" x14ac:dyDescent="0.3">
      <c r="A5740" t="s">
        <v>13506</v>
      </c>
      <c r="B5740" t="s">
        <v>13507</v>
      </c>
      <c r="C5740" t="s">
        <v>53</v>
      </c>
      <c r="D5740" t="s">
        <v>77</v>
      </c>
      <c r="E5740" t="s">
        <v>30</v>
      </c>
      <c r="F5740" t="s">
        <v>31</v>
      </c>
      <c r="G5740">
        <v>2.46</v>
      </c>
      <c r="H5740" t="s">
        <v>32</v>
      </c>
      <c r="I5740" t="s">
        <v>33</v>
      </c>
      <c r="K5740">
        <v>818.51</v>
      </c>
      <c r="L5740" t="s">
        <v>13508</v>
      </c>
      <c r="M5740">
        <f>VLOOKUP(H5740,'Stage Order'!$A$2:$B$8,2,FALSE)</f>
        <v>7</v>
      </c>
      <c r="N5740" t="str">
        <f t="shared" si="178"/>
        <v>2. 1-24 hours</v>
      </c>
      <c r="O5740" t="str">
        <f t="shared" si="179"/>
        <v>2026-03</v>
      </c>
    </row>
    <row r="5741" spans="1:15" x14ac:dyDescent="0.3">
      <c r="A5741" t="s">
        <v>13509</v>
      </c>
      <c r="B5741" t="s">
        <v>13510</v>
      </c>
      <c r="C5741" t="s">
        <v>53</v>
      </c>
      <c r="D5741" t="s">
        <v>54</v>
      </c>
      <c r="E5741" t="s">
        <v>59</v>
      </c>
      <c r="F5741" t="s">
        <v>117</v>
      </c>
      <c r="G5741">
        <v>1.47</v>
      </c>
      <c r="H5741" t="s">
        <v>32</v>
      </c>
      <c r="I5741" t="s">
        <v>33</v>
      </c>
      <c r="K5741">
        <v>593.67999999999995</v>
      </c>
      <c r="L5741" t="s">
        <v>13511</v>
      </c>
      <c r="M5741">
        <f>VLOOKUP(H5741,'Stage Order'!$A$2:$B$8,2,FALSE)</f>
        <v>7</v>
      </c>
      <c r="N5741" t="str">
        <f t="shared" si="178"/>
        <v>2. 1-24 hours</v>
      </c>
      <c r="O5741" t="str">
        <f t="shared" si="179"/>
        <v>2025-10</v>
      </c>
    </row>
    <row r="5742" spans="1:15" x14ac:dyDescent="0.3">
      <c r="A5742" t="s">
        <v>13512</v>
      </c>
      <c r="B5742" t="s">
        <v>13513</v>
      </c>
      <c r="C5742" t="s">
        <v>37</v>
      </c>
      <c r="D5742" t="s">
        <v>97</v>
      </c>
      <c r="E5742" t="s">
        <v>90</v>
      </c>
      <c r="F5742" t="s">
        <v>145</v>
      </c>
      <c r="G5742">
        <v>5.85</v>
      </c>
      <c r="H5742" t="s">
        <v>41</v>
      </c>
      <c r="I5742" t="s">
        <v>42</v>
      </c>
      <c r="M5742">
        <f>VLOOKUP(H5742,'Stage Order'!$A$2:$B$8,2,FALSE)</f>
        <v>2</v>
      </c>
      <c r="N5742" t="str">
        <f t="shared" si="178"/>
        <v>2. 1-24 hours</v>
      </c>
      <c r="O5742" t="str">
        <f t="shared" si="179"/>
        <v>2025-05</v>
      </c>
    </row>
    <row r="5743" spans="1:15" x14ac:dyDescent="0.3">
      <c r="A5743" t="s">
        <v>13514</v>
      </c>
      <c r="B5743" t="s">
        <v>13515</v>
      </c>
      <c r="C5743" t="s">
        <v>58</v>
      </c>
      <c r="D5743" t="s">
        <v>29</v>
      </c>
      <c r="E5743" t="s">
        <v>90</v>
      </c>
      <c r="F5743" t="s">
        <v>145</v>
      </c>
      <c r="G5743">
        <v>2.5499999999999998</v>
      </c>
      <c r="H5743" t="s">
        <v>128</v>
      </c>
      <c r="I5743" t="s">
        <v>42</v>
      </c>
      <c r="M5743">
        <f>VLOOKUP(H5743,'Stage Order'!$A$2:$B$8,2,FALSE)</f>
        <v>3</v>
      </c>
      <c r="N5743" t="str">
        <f t="shared" si="178"/>
        <v>2. 1-24 hours</v>
      </c>
      <c r="O5743" t="str">
        <f t="shared" si="179"/>
        <v>2025-05</v>
      </c>
    </row>
    <row r="5744" spans="1:15" x14ac:dyDescent="0.3">
      <c r="A5744" t="s">
        <v>13516</v>
      </c>
      <c r="B5744" t="s">
        <v>13517</v>
      </c>
      <c r="C5744" t="s">
        <v>53</v>
      </c>
      <c r="D5744" t="s">
        <v>77</v>
      </c>
      <c r="E5744" t="s">
        <v>90</v>
      </c>
      <c r="F5744" t="s">
        <v>145</v>
      </c>
      <c r="G5744">
        <v>2.81</v>
      </c>
      <c r="H5744" t="s">
        <v>41</v>
      </c>
      <c r="I5744" t="s">
        <v>42</v>
      </c>
      <c r="M5744">
        <f>VLOOKUP(H5744,'Stage Order'!$A$2:$B$8,2,FALSE)</f>
        <v>2</v>
      </c>
      <c r="N5744" t="str">
        <f t="shared" si="178"/>
        <v>2. 1-24 hours</v>
      </c>
      <c r="O5744" t="str">
        <f t="shared" si="179"/>
        <v>2025-12</v>
      </c>
    </row>
    <row r="5745" spans="1:15" x14ac:dyDescent="0.3">
      <c r="A5745" t="s">
        <v>13518</v>
      </c>
      <c r="B5745" t="s">
        <v>13519</v>
      </c>
      <c r="C5745" t="s">
        <v>53</v>
      </c>
      <c r="D5745" t="s">
        <v>54</v>
      </c>
      <c r="E5745" t="s">
        <v>39</v>
      </c>
      <c r="F5745" t="s">
        <v>106</v>
      </c>
      <c r="G5745">
        <v>2.54</v>
      </c>
      <c r="H5745" t="s">
        <v>41</v>
      </c>
      <c r="I5745" t="s">
        <v>42</v>
      </c>
      <c r="M5745">
        <f>VLOOKUP(H5745,'Stage Order'!$A$2:$B$8,2,FALSE)</f>
        <v>2</v>
      </c>
      <c r="N5745" t="str">
        <f t="shared" si="178"/>
        <v>2. 1-24 hours</v>
      </c>
      <c r="O5745" t="str">
        <f t="shared" si="179"/>
        <v>2025-04</v>
      </c>
    </row>
    <row r="5746" spans="1:15" x14ac:dyDescent="0.3">
      <c r="A5746" t="s">
        <v>13520</v>
      </c>
      <c r="B5746" t="s">
        <v>13521</v>
      </c>
      <c r="C5746" t="s">
        <v>58</v>
      </c>
      <c r="D5746" t="s">
        <v>54</v>
      </c>
      <c r="E5746" t="s">
        <v>30</v>
      </c>
      <c r="F5746" t="s">
        <v>82</v>
      </c>
      <c r="G5746">
        <v>2.38</v>
      </c>
      <c r="H5746" t="s">
        <v>41</v>
      </c>
      <c r="I5746" t="s">
        <v>42</v>
      </c>
      <c r="M5746">
        <f>VLOOKUP(H5746,'Stage Order'!$A$2:$B$8,2,FALSE)</f>
        <v>2</v>
      </c>
      <c r="N5746" t="str">
        <f t="shared" si="178"/>
        <v>2. 1-24 hours</v>
      </c>
      <c r="O5746" t="str">
        <f t="shared" si="179"/>
        <v>2026-03</v>
      </c>
    </row>
    <row r="5747" spans="1:15" x14ac:dyDescent="0.3">
      <c r="A5747" t="s">
        <v>13522</v>
      </c>
      <c r="B5747" t="s">
        <v>13523</v>
      </c>
      <c r="C5747" t="s">
        <v>53</v>
      </c>
      <c r="D5747" t="s">
        <v>38</v>
      </c>
      <c r="E5747" t="s">
        <v>39</v>
      </c>
      <c r="F5747" t="s">
        <v>106</v>
      </c>
      <c r="G5747">
        <v>2.4500000000000002</v>
      </c>
      <c r="H5747" t="s">
        <v>41</v>
      </c>
      <c r="I5747" t="s">
        <v>42</v>
      </c>
      <c r="M5747">
        <f>VLOOKUP(H5747,'Stage Order'!$A$2:$B$8,2,FALSE)</f>
        <v>2</v>
      </c>
      <c r="N5747" t="str">
        <f t="shared" si="178"/>
        <v>2. 1-24 hours</v>
      </c>
      <c r="O5747" t="str">
        <f t="shared" si="179"/>
        <v>2025-01</v>
      </c>
    </row>
    <row r="5748" spans="1:15" x14ac:dyDescent="0.3">
      <c r="A5748" t="s">
        <v>13524</v>
      </c>
      <c r="B5748" t="s">
        <v>13525</v>
      </c>
      <c r="C5748" t="s">
        <v>28</v>
      </c>
      <c r="D5748" t="s">
        <v>29</v>
      </c>
      <c r="E5748" t="s">
        <v>90</v>
      </c>
      <c r="F5748" t="s">
        <v>91</v>
      </c>
      <c r="G5748">
        <v>5.94</v>
      </c>
      <c r="H5748" t="s">
        <v>41</v>
      </c>
      <c r="I5748" t="s">
        <v>42</v>
      </c>
      <c r="M5748">
        <f>VLOOKUP(H5748,'Stage Order'!$A$2:$B$8,2,FALSE)</f>
        <v>2</v>
      </c>
      <c r="N5748" t="str">
        <f t="shared" si="178"/>
        <v>2. 1-24 hours</v>
      </c>
      <c r="O5748" t="str">
        <f t="shared" si="179"/>
        <v>2026-03</v>
      </c>
    </row>
    <row r="5749" spans="1:15" x14ac:dyDescent="0.3">
      <c r="A5749" t="s">
        <v>13526</v>
      </c>
      <c r="B5749" t="s">
        <v>13527</v>
      </c>
      <c r="C5749" t="s">
        <v>37</v>
      </c>
      <c r="D5749" t="s">
        <v>38</v>
      </c>
      <c r="E5749" t="s">
        <v>39</v>
      </c>
      <c r="F5749" t="s">
        <v>106</v>
      </c>
      <c r="G5749">
        <v>4.57</v>
      </c>
      <c r="H5749" t="s">
        <v>41</v>
      </c>
      <c r="I5749" t="s">
        <v>42</v>
      </c>
      <c r="M5749">
        <f>VLOOKUP(H5749,'Stage Order'!$A$2:$B$8,2,FALSE)</f>
        <v>2</v>
      </c>
      <c r="N5749" t="str">
        <f t="shared" si="178"/>
        <v>2. 1-24 hours</v>
      </c>
      <c r="O5749" t="str">
        <f t="shared" si="179"/>
        <v>2025-06</v>
      </c>
    </row>
    <row r="5750" spans="1:15" x14ac:dyDescent="0.3">
      <c r="A5750" t="s">
        <v>13528</v>
      </c>
      <c r="B5750" t="s">
        <v>8360</v>
      </c>
      <c r="C5750" t="s">
        <v>58</v>
      </c>
      <c r="D5750" t="s">
        <v>77</v>
      </c>
      <c r="E5750" t="s">
        <v>39</v>
      </c>
      <c r="F5750" t="s">
        <v>66</v>
      </c>
      <c r="G5750">
        <v>0.98</v>
      </c>
      <c r="H5750" t="s">
        <v>61</v>
      </c>
      <c r="I5750" t="s">
        <v>42</v>
      </c>
      <c r="M5750">
        <f>VLOOKUP(H5750,'Stage Order'!$A$2:$B$8,2,FALSE)</f>
        <v>1</v>
      </c>
      <c r="N5750" t="str">
        <f t="shared" si="178"/>
        <v>1. Under 1 hour</v>
      </c>
      <c r="O5750" t="str">
        <f t="shared" si="179"/>
        <v>2025-01</v>
      </c>
    </row>
    <row r="5751" spans="1:15" x14ac:dyDescent="0.3">
      <c r="A5751" t="s">
        <v>13529</v>
      </c>
      <c r="B5751" t="s">
        <v>13530</v>
      </c>
      <c r="C5751" t="s">
        <v>81</v>
      </c>
      <c r="D5751" t="s">
        <v>97</v>
      </c>
      <c r="E5751" t="s">
        <v>45</v>
      </c>
      <c r="F5751" t="s">
        <v>94</v>
      </c>
      <c r="G5751">
        <v>5.54</v>
      </c>
      <c r="H5751" t="s">
        <v>61</v>
      </c>
      <c r="I5751" t="s">
        <v>42</v>
      </c>
      <c r="M5751">
        <f>VLOOKUP(H5751,'Stage Order'!$A$2:$B$8,2,FALSE)</f>
        <v>1</v>
      </c>
      <c r="N5751" t="str">
        <f t="shared" si="178"/>
        <v>2. 1-24 hours</v>
      </c>
      <c r="O5751" t="str">
        <f t="shared" si="179"/>
        <v>2025-12</v>
      </c>
    </row>
    <row r="5752" spans="1:15" x14ac:dyDescent="0.3">
      <c r="A5752" t="s">
        <v>13531</v>
      </c>
      <c r="B5752" t="s">
        <v>13532</v>
      </c>
      <c r="C5752" t="s">
        <v>76</v>
      </c>
      <c r="D5752" t="s">
        <v>97</v>
      </c>
      <c r="E5752" t="s">
        <v>30</v>
      </c>
      <c r="F5752" t="s">
        <v>82</v>
      </c>
      <c r="G5752">
        <v>7.6</v>
      </c>
      <c r="H5752" t="s">
        <v>146</v>
      </c>
      <c r="I5752" t="s">
        <v>48</v>
      </c>
      <c r="J5752" t="s">
        <v>742</v>
      </c>
      <c r="K5752">
        <v>1385.16</v>
      </c>
      <c r="L5752" t="s">
        <v>13533</v>
      </c>
      <c r="M5752">
        <f>VLOOKUP(H5752,'Stage Order'!$A$2:$B$8,2,FALSE)</f>
        <v>5</v>
      </c>
      <c r="N5752" t="str">
        <f t="shared" si="178"/>
        <v>2. 1-24 hours</v>
      </c>
      <c r="O5752" t="str">
        <f t="shared" si="179"/>
        <v>2025-04</v>
      </c>
    </row>
    <row r="5753" spans="1:15" x14ac:dyDescent="0.3">
      <c r="A5753" t="s">
        <v>13534</v>
      </c>
      <c r="B5753" t="s">
        <v>13535</v>
      </c>
      <c r="C5753" t="s">
        <v>37</v>
      </c>
      <c r="D5753" t="s">
        <v>29</v>
      </c>
      <c r="E5753" t="s">
        <v>90</v>
      </c>
      <c r="F5753" t="s">
        <v>112</v>
      </c>
      <c r="G5753">
        <v>2.73</v>
      </c>
      <c r="H5753" t="s">
        <v>138</v>
      </c>
      <c r="I5753" t="s">
        <v>48</v>
      </c>
      <c r="J5753" t="s">
        <v>139</v>
      </c>
      <c r="K5753">
        <v>549.67999999999995</v>
      </c>
      <c r="L5753" t="s">
        <v>13536</v>
      </c>
      <c r="M5753">
        <f>VLOOKUP(H5753,'Stage Order'!$A$2:$B$8,2,FALSE)</f>
        <v>6</v>
      </c>
      <c r="N5753" t="str">
        <f t="shared" si="178"/>
        <v>2. 1-24 hours</v>
      </c>
      <c r="O5753" t="str">
        <f t="shared" si="179"/>
        <v>2025-05</v>
      </c>
    </row>
    <row r="5754" spans="1:15" x14ac:dyDescent="0.3">
      <c r="A5754" t="s">
        <v>13537</v>
      </c>
      <c r="B5754" t="s">
        <v>13538</v>
      </c>
      <c r="C5754" t="s">
        <v>58</v>
      </c>
      <c r="D5754" t="s">
        <v>77</v>
      </c>
      <c r="E5754" t="s">
        <v>45</v>
      </c>
      <c r="F5754" t="s">
        <v>55</v>
      </c>
      <c r="G5754">
        <v>1.04</v>
      </c>
      <c r="H5754" t="s">
        <v>41</v>
      </c>
      <c r="I5754" t="s">
        <v>42</v>
      </c>
      <c r="M5754">
        <f>VLOOKUP(H5754,'Stage Order'!$A$2:$B$8,2,FALSE)</f>
        <v>2</v>
      </c>
      <c r="N5754" t="str">
        <f t="shared" si="178"/>
        <v>2. 1-24 hours</v>
      </c>
      <c r="O5754" t="str">
        <f t="shared" si="179"/>
        <v>2026-06</v>
      </c>
    </row>
    <row r="5755" spans="1:15" x14ac:dyDescent="0.3">
      <c r="A5755" t="s">
        <v>13539</v>
      </c>
      <c r="B5755" t="s">
        <v>13540</v>
      </c>
      <c r="C5755" t="s">
        <v>125</v>
      </c>
      <c r="D5755" t="s">
        <v>77</v>
      </c>
      <c r="E5755" t="s">
        <v>30</v>
      </c>
      <c r="F5755" t="s">
        <v>78</v>
      </c>
      <c r="G5755">
        <v>4.05</v>
      </c>
      <c r="H5755" t="s">
        <v>61</v>
      </c>
      <c r="I5755" t="s">
        <v>42</v>
      </c>
      <c r="M5755">
        <f>VLOOKUP(H5755,'Stage Order'!$A$2:$B$8,2,FALSE)</f>
        <v>1</v>
      </c>
      <c r="N5755" t="str">
        <f t="shared" si="178"/>
        <v>2. 1-24 hours</v>
      </c>
      <c r="O5755" t="str">
        <f t="shared" si="179"/>
        <v>2025-08</v>
      </c>
    </row>
    <row r="5756" spans="1:15" x14ac:dyDescent="0.3">
      <c r="A5756" t="s">
        <v>13541</v>
      </c>
      <c r="B5756" t="s">
        <v>13542</v>
      </c>
      <c r="C5756" t="s">
        <v>76</v>
      </c>
      <c r="D5756" t="s">
        <v>97</v>
      </c>
      <c r="E5756" t="s">
        <v>59</v>
      </c>
      <c r="F5756" t="s">
        <v>137</v>
      </c>
      <c r="G5756">
        <v>2.4300000000000002</v>
      </c>
      <c r="H5756" t="s">
        <v>41</v>
      </c>
      <c r="I5756" t="s">
        <v>42</v>
      </c>
      <c r="M5756">
        <f>VLOOKUP(H5756,'Stage Order'!$A$2:$B$8,2,FALSE)</f>
        <v>2</v>
      </c>
      <c r="N5756" t="str">
        <f t="shared" si="178"/>
        <v>2. 1-24 hours</v>
      </c>
      <c r="O5756" t="str">
        <f t="shared" si="179"/>
        <v>2025-01</v>
      </c>
    </row>
    <row r="5757" spans="1:15" x14ac:dyDescent="0.3">
      <c r="A5757" t="s">
        <v>13543</v>
      </c>
      <c r="B5757" t="s">
        <v>13544</v>
      </c>
      <c r="C5757" t="s">
        <v>125</v>
      </c>
      <c r="D5757" t="s">
        <v>54</v>
      </c>
      <c r="E5757" t="s">
        <v>30</v>
      </c>
      <c r="F5757" t="s">
        <v>31</v>
      </c>
      <c r="G5757">
        <v>4.03</v>
      </c>
      <c r="H5757" t="s">
        <v>41</v>
      </c>
      <c r="I5757" t="s">
        <v>42</v>
      </c>
      <c r="M5757">
        <f>VLOOKUP(H5757,'Stage Order'!$A$2:$B$8,2,FALSE)</f>
        <v>2</v>
      </c>
      <c r="N5757" t="str">
        <f t="shared" si="178"/>
        <v>2. 1-24 hours</v>
      </c>
      <c r="O5757" t="str">
        <f t="shared" si="179"/>
        <v>2025-06</v>
      </c>
    </row>
    <row r="5758" spans="1:15" x14ac:dyDescent="0.3">
      <c r="A5758" t="s">
        <v>13545</v>
      </c>
      <c r="B5758" t="s">
        <v>13546</v>
      </c>
      <c r="C5758" t="s">
        <v>76</v>
      </c>
      <c r="D5758" t="s">
        <v>54</v>
      </c>
      <c r="E5758" t="s">
        <v>59</v>
      </c>
      <c r="F5758" t="s">
        <v>60</v>
      </c>
      <c r="G5758">
        <v>9.93</v>
      </c>
      <c r="H5758" t="s">
        <v>41</v>
      </c>
      <c r="I5758" t="s">
        <v>42</v>
      </c>
      <c r="M5758">
        <f>VLOOKUP(H5758,'Stage Order'!$A$2:$B$8,2,FALSE)</f>
        <v>2</v>
      </c>
      <c r="N5758" t="str">
        <f t="shared" si="178"/>
        <v>2. 1-24 hours</v>
      </c>
      <c r="O5758" t="str">
        <f t="shared" si="179"/>
        <v>2025-01</v>
      </c>
    </row>
    <row r="5759" spans="1:15" x14ac:dyDescent="0.3">
      <c r="A5759" t="s">
        <v>13547</v>
      </c>
      <c r="B5759" t="s">
        <v>13548</v>
      </c>
      <c r="C5759" t="s">
        <v>28</v>
      </c>
      <c r="D5759" t="s">
        <v>97</v>
      </c>
      <c r="E5759" t="s">
        <v>90</v>
      </c>
      <c r="F5759" t="s">
        <v>145</v>
      </c>
      <c r="G5759">
        <v>4.7699999999999996</v>
      </c>
      <c r="H5759" t="s">
        <v>41</v>
      </c>
      <c r="I5759" t="s">
        <v>42</v>
      </c>
      <c r="M5759">
        <f>VLOOKUP(H5759,'Stage Order'!$A$2:$B$8,2,FALSE)</f>
        <v>2</v>
      </c>
      <c r="N5759" t="str">
        <f t="shared" si="178"/>
        <v>2. 1-24 hours</v>
      </c>
      <c r="O5759" t="str">
        <f t="shared" si="179"/>
        <v>2025-08</v>
      </c>
    </row>
    <row r="5760" spans="1:15" x14ac:dyDescent="0.3">
      <c r="A5760" t="s">
        <v>13549</v>
      </c>
      <c r="B5760" t="s">
        <v>13550</v>
      </c>
      <c r="C5760" t="s">
        <v>125</v>
      </c>
      <c r="D5760" t="s">
        <v>54</v>
      </c>
      <c r="E5760" t="s">
        <v>59</v>
      </c>
      <c r="F5760" t="s">
        <v>60</v>
      </c>
      <c r="G5760">
        <v>7.5</v>
      </c>
      <c r="H5760" t="s">
        <v>61</v>
      </c>
      <c r="I5760" t="s">
        <v>42</v>
      </c>
      <c r="M5760">
        <f>VLOOKUP(H5760,'Stage Order'!$A$2:$B$8,2,FALSE)</f>
        <v>1</v>
      </c>
      <c r="N5760" t="str">
        <f t="shared" si="178"/>
        <v>2. 1-24 hours</v>
      </c>
      <c r="O5760" t="str">
        <f t="shared" si="179"/>
        <v>2026-04</v>
      </c>
    </row>
    <row r="5761" spans="1:15" x14ac:dyDescent="0.3">
      <c r="A5761" t="s">
        <v>13551</v>
      </c>
      <c r="B5761" t="s">
        <v>13552</v>
      </c>
      <c r="C5761" t="s">
        <v>28</v>
      </c>
      <c r="D5761" t="s">
        <v>54</v>
      </c>
      <c r="E5761" t="s">
        <v>59</v>
      </c>
      <c r="F5761" t="s">
        <v>60</v>
      </c>
      <c r="G5761">
        <v>4.5199999999999996</v>
      </c>
      <c r="H5761" t="s">
        <v>41</v>
      </c>
      <c r="I5761" t="s">
        <v>42</v>
      </c>
      <c r="M5761">
        <f>VLOOKUP(H5761,'Stage Order'!$A$2:$B$8,2,FALSE)</f>
        <v>2</v>
      </c>
      <c r="N5761" t="str">
        <f t="shared" si="178"/>
        <v>2. 1-24 hours</v>
      </c>
      <c r="O5761" t="str">
        <f t="shared" si="179"/>
        <v>2025-06</v>
      </c>
    </row>
    <row r="5762" spans="1:15" x14ac:dyDescent="0.3">
      <c r="A5762" t="s">
        <v>13553</v>
      </c>
      <c r="B5762" t="s">
        <v>13554</v>
      </c>
      <c r="C5762" t="s">
        <v>53</v>
      </c>
      <c r="D5762" t="s">
        <v>38</v>
      </c>
      <c r="E5762" t="s">
        <v>90</v>
      </c>
      <c r="F5762" t="s">
        <v>145</v>
      </c>
      <c r="G5762">
        <v>6.54</v>
      </c>
      <c r="H5762" t="s">
        <v>146</v>
      </c>
      <c r="I5762" t="s">
        <v>48</v>
      </c>
      <c r="J5762" t="s">
        <v>139</v>
      </c>
      <c r="K5762">
        <v>398.41</v>
      </c>
      <c r="L5762" t="s">
        <v>13555</v>
      </c>
      <c r="M5762">
        <f>VLOOKUP(H5762,'Stage Order'!$A$2:$B$8,2,FALSE)</f>
        <v>5</v>
      </c>
      <c r="N5762" t="str">
        <f t="shared" ref="N5762:N5825" si="180">IF(G5762&lt;=1,"1. Under 1 hour",IF(G5762&lt;=24,"2. 1-24 hours",IF(G5762&lt;=72,"3. 1-3 days","4. Over 3 days")))</f>
        <v>2. 1-24 hours</v>
      </c>
      <c r="O5762" t="str">
        <f t="shared" ref="O5762:O5825" si="181">TEXT(B5762,"YYYY-MM")</f>
        <v>2025-03</v>
      </c>
    </row>
    <row r="5763" spans="1:15" x14ac:dyDescent="0.3">
      <c r="A5763" t="s">
        <v>13556</v>
      </c>
      <c r="B5763" t="s">
        <v>13557</v>
      </c>
      <c r="C5763" t="s">
        <v>58</v>
      </c>
      <c r="D5763" t="s">
        <v>97</v>
      </c>
      <c r="E5763" t="s">
        <v>59</v>
      </c>
      <c r="F5763" t="s">
        <v>137</v>
      </c>
      <c r="G5763">
        <v>5.55</v>
      </c>
      <c r="H5763" t="s">
        <v>61</v>
      </c>
      <c r="I5763" t="s">
        <v>42</v>
      </c>
      <c r="M5763">
        <f>VLOOKUP(H5763,'Stage Order'!$A$2:$B$8,2,FALSE)</f>
        <v>1</v>
      </c>
      <c r="N5763" t="str">
        <f t="shared" si="180"/>
        <v>2. 1-24 hours</v>
      </c>
      <c r="O5763" t="str">
        <f t="shared" si="181"/>
        <v>2026-05</v>
      </c>
    </row>
    <row r="5764" spans="1:15" x14ac:dyDescent="0.3">
      <c r="A5764" t="s">
        <v>13558</v>
      </c>
      <c r="B5764" t="s">
        <v>13559</v>
      </c>
      <c r="C5764" t="s">
        <v>37</v>
      </c>
      <c r="D5764" t="s">
        <v>54</v>
      </c>
      <c r="E5764" t="s">
        <v>45</v>
      </c>
      <c r="F5764" t="s">
        <v>55</v>
      </c>
      <c r="G5764">
        <v>5.96</v>
      </c>
      <c r="H5764" t="s">
        <v>138</v>
      </c>
      <c r="I5764" t="s">
        <v>48</v>
      </c>
      <c r="J5764" t="s">
        <v>49</v>
      </c>
      <c r="K5764">
        <v>414.58</v>
      </c>
      <c r="L5764" t="s">
        <v>13560</v>
      </c>
      <c r="M5764">
        <f>VLOOKUP(H5764,'Stage Order'!$A$2:$B$8,2,FALSE)</f>
        <v>6</v>
      </c>
      <c r="N5764" t="str">
        <f t="shared" si="180"/>
        <v>2. 1-24 hours</v>
      </c>
      <c r="O5764" t="str">
        <f t="shared" si="181"/>
        <v>2025-03</v>
      </c>
    </row>
    <row r="5765" spans="1:15" x14ac:dyDescent="0.3">
      <c r="A5765" t="s">
        <v>13561</v>
      </c>
      <c r="B5765" t="s">
        <v>13562</v>
      </c>
      <c r="C5765" t="s">
        <v>37</v>
      </c>
      <c r="D5765" t="s">
        <v>54</v>
      </c>
      <c r="E5765" t="s">
        <v>90</v>
      </c>
      <c r="F5765" t="s">
        <v>145</v>
      </c>
      <c r="G5765">
        <v>8.5</v>
      </c>
      <c r="H5765" t="s">
        <v>138</v>
      </c>
      <c r="I5765" t="s">
        <v>48</v>
      </c>
      <c r="J5765" t="s">
        <v>49</v>
      </c>
      <c r="K5765">
        <v>513.70000000000005</v>
      </c>
      <c r="L5765" t="s">
        <v>13563</v>
      </c>
      <c r="M5765">
        <f>VLOOKUP(H5765,'Stage Order'!$A$2:$B$8,2,FALSE)</f>
        <v>6</v>
      </c>
      <c r="N5765" t="str">
        <f t="shared" si="180"/>
        <v>2. 1-24 hours</v>
      </c>
      <c r="O5765" t="str">
        <f t="shared" si="181"/>
        <v>2025-10</v>
      </c>
    </row>
    <row r="5766" spans="1:15" x14ac:dyDescent="0.3">
      <c r="A5766" t="s">
        <v>13564</v>
      </c>
      <c r="B5766" t="s">
        <v>13565</v>
      </c>
      <c r="C5766" t="s">
        <v>81</v>
      </c>
      <c r="D5766" t="s">
        <v>54</v>
      </c>
      <c r="E5766" t="s">
        <v>45</v>
      </c>
      <c r="F5766" t="s">
        <v>94</v>
      </c>
      <c r="G5766">
        <v>0.26</v>
      </c>
      <c r="H5766" t="s">
        <v>61</v>
      </c>
      <c r="I5766" t="s">
        <v>42</v>
      </c>
      <c r="M5766">
        <f>VLOOKUP(H5766,'Stage Order'!$A$2:$B$8,2,FALSE)</f>
        <v>1</v>
      </c>
      <c r="N5766" t="str">
        <f t="shared" si="180"/>
        <v>1. Under 1 hour</v>
      </c>
      <c r="O5766" t="str">
        <f t="shared" si="181"/>
        <v>2025-07</v>
      </c>
    </row>
    <row r="5767" spans="1:15" x14ac:dyDescent="0.3">
      <c r="A5767" t="s">
        <v>13566</v>
      </c>
      <c r="B5767" t="s">
        <v>13567</v>
      </c>
      <c r="C5767" t="s">
        <v>37</v>
      </c>
      <c r="D5767" t="s">
        <v>29</v>
      </c>
      <c r="E5767" t="s">
        <v>45</v>
      </c>
      <c r="F5767" t="s">
        <v>55</v>
      </c>
      <c r="G5767">
        <v>2.2799999999999998</v>
      </c>
      <c r="H5767" t="s">
        <v>32</v>
      </c>
      <c r="I5767" t="s">
        <v>33</v>
      </c>
      <c r="K5767">
        <v>549.03</v>
      </c>
      <c r="L5767" t="s">
        <v>13568</v>
      </c>
      <c r="M5767">
        <f>VLOOKUP(H5767,'Stage Order'!$A$2:$B$8,2,FALSE)</f>
        <v>7</v>
      </c>
      <c r="N5767" t="str">
        <f t="shared" si="180"/>
        <v>2. 1-24 hours</v>
      </c>
      <c r="O5767" t="str">
        <f t="shared" si="181"/>
        <v>2026-04</v>
      </c>
    </row>
    <row r="5768" spans="1:15" x14ac:dyDescent="0.3">
      <c r="A5768" t="s">
        <v>13569</v>
      </c>
      <c r="B5768" t="s">
        <v>13570</v>
      </c>
      <c r="C5768" t="s">
        <v>37</v>
      </c>
      <c r="D5768" t="s">
        <v>97</v>
      </c>
      <c r="E5768" t="s">
        <v>39</v>
      </c>
      <c r="F5768" t="s">
        <v>106</v>
      </c>
      <c r="G5768">
        <v>5.05</v>
      </c>
      <c r="H5768" t="s">
        <v>32</v>
      </c>
      <c r="I5768" t="s">
        <v>33</v>
      </c>
      <c r="K5768">
        <v>1425.37</v>
      </c>
      <c r="L5768" t="s">
        <v>13571</v>
      </c>
      <c r="M5768">
        <f>VLOOKUP(H5768,'Stage Order'!$A$2:$B$8,2,FALSE)</f>
        <v>7</v>
      </c>
      <c r="N5768" t="str">
        <f t="shared" si="180"/>
        <v>2. 1-24 hours</v>
      </c>
      <c r="O5768" t="str">
        <f t="shared" si="181"/>
        <v>2026-06</v>
      </c>
    </row>
    <row r="5769" spans="1:15" x14ac:dyDescent="0.3">
      <c r="A5769" t="s">
        <v>13572</v>
      </c>
      <c r="B5769" t="s">
        <v>13573</v>
      </c>
      <c r="C5769" t="s">
        <v>58</v>
      </c>
      <c r="D5769" t="s">
        <v>38</v>
      </c>
      <c r="E5769" t="s">
        <v>45</v>
      </c>
      <c r="F5769" t="s">
        <v>55</v>
      </c>
      <c r="G5769">
        <v>2.0299999999999998</v>
      </c>
      <c r="H5769" t="s">
        <v>41</v>
      </c>
      <c r="I5769" t="s">
        <v>42</v>
      </c>
      <c r="M5769">
        <f>VLOOKUP(H5769,'Stage Order'!$A$2:$B$8,2,FALSE)</f>
        <v>2</v>
      </c>
      <c r="N5769" t="str">
        <f t="shared" si="180"/>
        <v>2. 1-24 hours</v>
      </c>
      <c r="O5769" t="str">
        <f t="shared" si="181"/>
        <v>2025-12</v>
      </c>
    </row>
    <row r="5770" spans="1:15" x14ac:dyDescent="0.3">
      <c r="A5770" t="s">
        <v>13574</v>
      </c>
      <c r="B5770" t="s">
        <v>13575</v>
      </c>
      <c r="C5770" t="s">
        <v>37</v>
      </c>
      <c r="D5770" t="s">
        <v>77</v>
      </c>
      <c r="E5770" t="s">
        <v>30</v>
      </c>
      <c r="F5770" t="s">
        <v>78</v>
      </c>
      <c r="G5770">
        <v>12.22</v>
      </c>
      <c r="H5770" t="s">
        <v>41</v>
      </c>
      <c r="I5770" t="s">
        <v>42</v>
      </c>
      <c r="M5770">
        <f>VLOOKUP(H5770,'Stage Order'!$A$2:$B$8,2,FALSE)</f>
        <v>2</v>
      </c>
      <c r="N5770" t="str">
        <f t="shared" si="180"/>
        <v>2. 1-24 hours</v>
      </c>
      <c r="O5770" t="str">
        <f t="shared" si="181"/>
        <v>2025-10</v>
      </c>
    </row>
    <row r="5771" spans="1:15" x14ac:dyDescent="0.3">
      <c r="A5771" t="s">
        <v>13576</v>
      </c>
      <c r="B5771" t="s">
        <v>13577</v>
      </c>
      <c r="C5771" t="s">
        <v>81</v>
      </c>
      <c r="D5771" t="s">
        <v>54</v>
      </c>
      <c r="E5771" t="s">
        <v>45</v>
      </c>
      <c r="F5771" t="s">
        <v>55</v>
      </c>
      <c r="G5771">
        <v>0.85</v>
      </c>
      <c r="H5771" t="s">
        <v>41</v>
      </c>
      <c r="I5771" t="s">
        <v>42</v>
      </c>
      <c r="M5771">
        <f>VLOOKUP(H5771,'Stage Order'!$A$2:$B$8,2,FALSE)</f>
        <v>2</v>
      </c>
      <c r="N5771" t="str">
        <f t="shared" si="180"/>
        <v>1. Under 1 hour</v>
      </c>
      <c r="O5771" t="str">
        <f t="shared" si="181"/>
        <v>2025-01</v>
      </c>
    </row>
    <row r="5772" spans="1:15" x14ac:dyDescent="0.3">
      <c r="A5772" t="s">
        <v>13578</v>
      </c>
      <c r="B5772" t="s">
        <v>13579</v>
      </c>
      <c r="C5772" t="s">
        <v>37</v>
      </c>
      <c r="D5772" t="s">
        <v>54</v>
      </c>
      <c r="E5772" t="s">
        <v>39</v>
      </c>
      <c r="F5772" t="s">
        <v>106</v>
      </c>
      <c r="G5772">
        <v>8.06</v>
      </c>
      <c r="H5772" t="s">
        <v>47</v>
      </c>
      <c r="I5772" t="s">
        <v>48</v>
      </c>
      <c r="J5772" t="s">
        <v>139</v>
      </c>
      <c r="K5772">
        <v>537.14</v>
      </c>
      <c r="L5772" t="s">
        <v>13580</v>
      </c>
      <c r="M5772">
        <f>VLOOKUP(H5772,'Stage Order'!$A$2:$B$8,2,FALSE)</f>
        <v>4</v>
      </c>
      <c r="N5772" t="str">
        <f t="shared" si="180"/>
        <v>2. 1-24 hours</v>
      </c>
      <c r="O5772" t="str">
        <f t="shared" si="181"/>
        <v>2026-03</v>
      </c>
    </row>
    <row r="5773" spans="1:15" x14ac:dyDescent="0.3">
      <c r="A5773" t="s">
        <v>13581</v>
      </c>
      <c r="B5773" t="s">
        <v>13582</v>
      </c>
      <c r="C5773" t="s">
        <v>28</v>
      </c>
      <c r="D5773" t="s">
        <v>77</v>
      </c>
      <c r="E5773" t="s">
        <v>59</v>
      </c>
      <c r="F5773" t="s">
        <v>117</v>
      </c>
      <c r="G5773">
        <v>11.17</v>
      </c>
      <c r="H5773" t="s">
        <v>138</v>
      </c>
      <c r="I5773" t="s">
        <v>48</v>
      </c>
      <c r="J5773" t="s">
        <v>49</v>
      </c>
      <c r="K5773">
        <v>987</v>
      </c>
      <c r="L5773" t="s">
        <v>13583</v>
      </c>
      <c r="M5773">
        <f>VLOOKUP(H5773,'Stage Order'!$A$2:$B$8,2,FALSE)</f>
        <v>6</v>
      </c>
      <c r="N5773" t="str">
        <f t="shared" si="180"/>
        <v>2. 1-24 hours</v>
      </c>
      <c r="O5773" t="str">
        <f t="shared" si="181"/>
        <v>2026-04</v>
      </c>
    </row>
    <row r="5774" spans="1:15" x14ac:dyDescent="0.3">
      <c r="A5774" t="s">
        <v>13584</v>
      </c>
      <c r="B5774" t="s">
        <v>13585</v>
      </c>
      <c r="C5774" t="s">
        <v>58</v>
      </c>
      <c r="D5774" t="s">
        <v>38</v>
      </c>
      <c r="E5774" t="s">
        <v>45</v>
      </c>
      <c r="F5774" t="s">
        <v>46</v>
      </c>
      <c r="G5774">
        <v>2.12</v>
      </c>
      <c r="H5774" t="s">
        <v>41</v>
      </c>
      <c r="I5774" t="s">
        <v>42</v>
      </c>
      <c r="M5774">
        <f>VLOOKUP(H5774,'Stage Order'!$A$2:$B$8,2,FALSE)</f>
        <v>2</v>
      </c>
      <c r="N5774" t="str">
        <f t="shared" si="180"/>
        <v>2. 1-24 hours</v>
      </c>
      <c r="O5774" t="str">
        <f t="shared" si="181"/>
        <v>2026-01</v>
      </c>
    </row>
    <row r="5775" spans="1:15" x14ac:dyDescent="0.3">
      <c r="A5775" t="s">
        <v>13586</v>
      </c>
      <c r="B5775" t="s">
        <v>13587</v>
      </c>
      <c r="C5775" t="s">
        <v>28</v>
      </c>
      <c r="D5775" t="s">
        <v>38</v>
      </c>
      <c r="E5775" t="s">
        <v>59</v>
      </c>
      <c r="F5775" t="s">
        <v>137</v>
      </c>
      <c r="G5775">
        <v>10.46</v>
      </c>
      <c r="H5775" t="s">
        <v>138</v>
      </c>
      <c r="I5775" t="s">
        <v>48</v>
      </c>
      <c r="J5775" t="s">
        <v>98</v>
      </c>
      <c r="K5775">
        <v>380.2</v>
      </c>
      <c r="L5775" t="s">
        <v>13588</v>
      </c>
      <c r="M5775">
        <f>VLOOKUP(H5775,'Stage Order'!$A$2:$B$8,2,FALSE)</f>
        <v>6</v>
      </c>
      <c r="N5775" t="str">
        <f t="shared" si="180"/>
        <v>2. 1-24 hours</v>
      </c>
      <c r="O5775" t="str">
        <f t="shared" si="181"/>
        <v>2025-10</v>
      </c>
    </row>
    <row r="5776" spans="1:15" x14ac:dyDescent="0.3">
      <c r="A5776" t="s">
        <v>13589</v>
      </c>
      <c r="B5776" t="s">
        <v>13590</v>
      </c>
      <c r="C5776" t="s">
        <v>58</v>
      </c>
      <c r="D5776" t="s">
        <v>77</v>
      </c>
      <c r="E5776" t="s">
        <v>39</v>
      </c>
      <c r="F5776" t="s">
        <v>40</v>
      </c>
      <c r="G5776">
        <v>26.44</v>
      </c>
      <c r="H5776" t="s">
        <v>41</v>
      </c>
      <c r="I5776" t="s">
        <v>42</v>
      </c>
      <c r="M5776">
        <f>VLOOKUP(H5776,'Stage Order'!$A$2:$B$8,2,FALSE)</f>
        <v>2</v>
      </c>
      <c r="N5776" t="str">
        <f t="shared" si="180"/>
        <v>3. 1-3 days</v>
      </c>
      <c r="O5776" t="str">
        <f t="shared" si="181"/>
        <v>2026-04</v>
      </c>
    </row>
    <row r="5777" spans="1:15" x14ac:dyDescent="0.3">
      <c r="A5777" t="s">
        <v>13591</v>
      </c>
      <c r="B5777" t="s">
        <v>13592</v>
      </c>
      <c r="C5777" t="s">
        <v>53</v>
      </c>
      <c r="D5777" t="s">
        <v>77</v>
      </c>
      <c r="E5777" t="s">
        <v>45</v>
      </c>
      <c r="F5777" t="s">
        <v>55</v>
      </c>
      <c r="G5777">
        <v>2.3199999999999998</v>
      </c>
      <c r="H5777" t="s">
        <v>146</v>
      </c>
      <c r="I5777" t="s">
        <v>48</v>
      </c>
      <c r="J5777" t="s">
        <v>113</v>
      </c>
      <c r="K5777">
        <v>1130.56</v>
      </c>
      <c r="L5777" t="s">
        <v>13593</v>
      </c>
      <c r="M5777">
        <f>VLOOKUP(H5777,'Stage Order'!$A$2:$B$8,2,FALSE)</f>
        <v>5</v>
      </c>
      <c r="N5777" t="str">
        <f t="shared" si="180"/>
        <v>2. 1-24 hours</v>
      </c>
      <c r="O5777" t="str">
        <f t="shared" si="181"/>
        <v>2025-04</v>
      </c>
    </row>
    <row r="5778" spans="1:15" x14ac:dyDescent="0.3">
      <c r="A5778" t="s">
        <v>13594</v>
      </c>
      <c r="B5778" t="s">
        <v>13595</v>
      </c>
      <c r="C5778" t="s">
        <v>125</v>
      </c>
      <c r="D5778" t="s">
        <v>77</v>
      </c>
      <c r="E5778" t="s">
        <v>39</v>
      </c>
      <c r="F5778" t="s">
        <v>106</v>
      </c>
      <c r="G5778">
        <v>0.77</v>
      </c>
      <c r="H5778" t="s">
        <v>41</v>
      </c>
      <c r="I5778" t="s">
        <v>42</v>
      </c>
      <c r="M5778">
        <f>VLOOKUP(H5778,'Stage Order'!$A$2:$B$8,2,FALSE)</f>
        <v>2</v>
      </c>
      <c r="N5778" t="str">
        <f t="shared" si="180"/>
        <v>1. Under 1 hour</v>
      </c>
      <c r="O5778" t="str">
        <f t="shared" si="181"/>
        <v>2025-06</v>
      </c>
    </row>
    <row r="5779" spans="1:15" x14ac:dyDescent="0.3">
      <c r="A5779" t="s">
        <v>13596</v>
      </c>
      <c r="B5779" t="s">
        <v>13597</v>
      </c>
      <c r="C5779" t="s">
        <v>125</v>
      </c>
      <c r="D5779" t="s">
        <v>77</v>
      </c>
      <c r="E5779" t="s">
        <v>30</v>
      </c>
      <c r="F5779" t="s">
        <v>82</v>
      </c>
      <c r="G5779">
        <v>1.58</v>
      </c>
      <c r="H5779" t="s">
        <v>41</v>
      </c>
      <c r="I5779" t="s">
        <v>42</v>
      </c>
      <c r="M5779">
        <f>VLOOKUP(H5779,'Stage Order'!$A$2:$B$8,2,FALSE)</f>
        <v>2</v>
      </c>
      <c r="N5779" t="str">
        <f t="shared" si="180"/>
        <v>2. 1-24 hours</v>
      </c>
      <c r="O5779" t="str">
        <f t="shared" si="181"/>
        <v>2026-06</v>
      </c>
    </row>
    <row r="5780" spans="1:15" x14ac:dyDescent="0.3">
      <c r="A5780" t="s">
        <v>13598</v>
      </c>
      <c r="B5780" t="s">
        <v>13599</v>
      </c>
      <c r="C5780" t="s">
        <v>58</v>
      </c>
      <c r="D5780" t="s">
        <v>29</v>
      </c>
      <c r="E5780" t="s">
        <v>30</v>
      </c>
      <c r="F5780" t="s">
        <v>31</v>
      </c>
      <c r="G5780">
        <v>2.34</v>
      </c>
      <c r="H5780" t="s">
        <v>41</v>
      </c>
      <c r="I5780" t="s">
        <v>42</v>
      </c>
      <c r="M5780">
        <f>VLOOKUP(H5780,'Stage Order'!$A$2:$B$8,2,FALSE)</f>
        <v>2</v>
      </c>
      <c r="N5780" t="str">
        <f t="shared" si="180"/>
        <v>2. 1-24 hours</v>
      </c>
      <c r="O5780" t="str">
        <f t="shared" si="181"/>
        <v>2025-04</v>
      </c>
    </row>
    <row r="5781" spans="1:15" x14ac:dyDescent="0.3">
      <c r="A5781" t="s">
        <v>13600</v>
      </c>
      <c r="B5781" t="s">
        <v>13601</v>
      </c>
      <c r="C5781" t="s">
        <v>53</v>
      </c>
      <c r="D5781" t="s">
        <v>38</v>
      </c>
      <c r="E5781" t="s">
        <v>90</v>
      </c>
      <c r="F5781" t="s">
        <v>145</v>
      </c>
      <c r="G5781">
        <v>3.31</v>
      </c>
      <c r="H5781" t="s">
        <v>41</v>
      </c>
      <c r="I5781" t="s">
        <v>42</v>
      </c>
      <c r="M5781">
        <f>VLOOKUP(H5781,'Stage Order'!$A$2:$B$8,2,FALSE)</f>
        <v>2</v>
      </c>
      <c r="N5781" t="str">
        <f t="shared" si="180"/>
        <v>2. 1-24 hours</v>
      </c>
      <c r="O5781" t="str">
        <f t="shared" si="181"/>
        <v>2025-07</v>
      </c>
    </row>
    <row r="5782" spans="1:15" x14ac:dyDescent="0.3">
      <c r="A5782" t="s">
        <v>13602</v>
      </c>
      <c r="B5782" t="s">
        <v>13603</v>
      </c>
      <c r="C5782" t="s">
        <v>125</v>
      </c>
      <c r="D5782" t="s">
        <v>54</v>
      </c>
      <c r="E5782" t="s">
        <v>45</v>
      </c>
      <c r="F5782" t="s">
        <v>55</v>
      </c>
      <c r="G5782">
        <v>2.35</v>
      </c>
      <c r="H5782" t="s">
        <v>41</v>
      </c>
      <c r="I5782" t="s">
        <v>42</v>
      </c>
      <c r="M5782">
        <f>VLOOKUP(H5782,'Stage Order'!$A$2:$B$8,2,FALSE)</f>
        <v>2</v>
      </c>
      <c r="N5782" t="str">
        <f t="shared" si="180"/>
        <v>2. 1-24 hours</v>
      </c>
      <c r="O5782" t="str">
        <f t="shared" si="181"/>
        <v>2025-11</v>
      </c>
    </row>
    <row r="5783" spans="1:15" x14ac:dyDescent="0.3">
      <c r="A5783" t="s">
        <v>13604</v>
      </c>
      <c r="B5783" t="s">
        <v>13605</v>
      </c>
      <c r="C5783" t="s">
        <v>58</v>
      </c>
      <c r="D5783" t="s">
        <v>97</v>
      </c>
      <c r="E5783" t="s">
        <v>90</v>
      </c>
      <c r="F5783" t="s">
        <v>145</v>
      </c>
      <c r="G5783">
        <v>1.67</v>
      </c>
      <c r="H5783" t="s">
        <v>41</v>
      </c>
      <c r="I5783" t="s">
        <v>42</v>
      </c>
      <c r="M5783">
        <f>VLOOKUP(H5783,'Stage Order'!$A$2:$B$8,2,FALSE)</f>
        <v>2</v>
      </c>
      <c r="N5783" t="str">
        <f t="shared" si="180"/>
        <v>2. 1-24 hours</v>
      </c>
      <c r="O5783" t="str">
        <f t="shared" si="181"/>
        <v>2026-06</v>
      </c>
    </row>
    <row r="5784" spans="1:15" x14ac:dyDescent="0.3">
      <c r="A5784" t="s">
        <v>13606</v>
      </c>
      <c r="B5784" t="s">
        <v>13607</v>
      </c>
      <c r="C5784" t="s">
        <v>37</v>
      </c>
      <c r="D5784" t="s">
        <v>38</v>
      </c>
      <c r="E5784" t="s">
        <v>90</v>
      </c>
      <c r="F5784" t="s">
        <v>91</v>
      </c>
      <c r="G5784">
        <v>14.24</v>
      </c>
      <c r="H5784" t="s">
        <v>138</v>
      </c>
      <c r="I5784" t="s">
        <v>48</v>
      </c>
      <c r="J5784" t="s">
        <v>98</v>
      </c>
      <c r="K5784">
        <v>322.5</v>
      </c>
      <c r="L5784" t="s">
        <v>13608</v>
      </c>
      <c r="M5784">
        <f>VLOOKUP(H5784,'Stage Order'!$A$2:$B$8,2,FALSE)</f>
        <v>6</v>
      </c>
      <c r="N5784" t="str">
        <f t="shared" si="180"/>
        <v>2. 1-24 hours</v>
      </c>
      <c r="O5784" t="str">
        <f t="shared" si="181"/>
        <v>2026-03</v>
      </c>
    </row>
    <row r="5785" spans="1:15" x14ac:dyDescent="0.3">
      <c r="A5785" t="s">
        <v>13609</v>
      </c>
      <c r="B5785" t="s">
        <v>13610</v>
      </c>
      <c r="C5785" t="s">
        <v>125</v>
      </c>
      <c r="D5785" t="s">
        <v>29</v>
      </c>
      <c r="E5785" t="s">
        <v>45</v>
      </c>
      <c r="F5785" t="s">
        <v>94</v>
      </c>
      <c r="G5785">
        <v>0.85</v>
      </c>
      <c r="H5785" t="s">
        <v>41</v>
      </c>
      <c r="I5785" t="s">
        <v>42</v>
      </c>
      <c r="M5785">
        <f>VLOOKUP(H5785,'Stage Order'!$A$2:$B$8,2,FALSE)</f>
        <v>2</v>
      </c>
      <c r="N5785" t="str">
        <f t="shared" si="180"/>
        <v>1. Under 1 hour</v>
      </c>
      <c r="O5785" t="str">
        <f t="shared" si="181"/>
        <v>2025-07</v>
      </c>
    </row>
    <row r="5786" spans="1:15" x14ac:dyDescent="0.3">
      <c r="A5786" t="s">
        <v>13611</v>
      </c>
      <c r="B5786" t="s">
        <v>13612</v>
      </c>
      <c r="C5786" t="s">
        <v>58</v>
      </c>
      <c r="D5786" t="s">
        <v>38</v>
      </c>
      <c r="E5786" t="s">
        <v>45</v>
      </c>
      <c r="F5786" t="s">
        <v>94</v>
      </c>
      <c r="G5786">
        <v>12.22</v>
      </c>
      <c r="H5786" t="s">
        <v>41</v>
      </c>
      <c r="I5786" t="s">
        <v>42</v>
      </c>
      <c r="M5786">
        <f>VLOOKUP(H5786,'Stage Order'!$A$2:$B$8,2,FALSE)</f>
        <v>2</v>
      </c>
      <c r="N5786" t="str">
        <f t="shared" si="180"/>
        <v>2. 1-24 hours</v>
      </c>
      <c r="O5786" t="str">
        <f t="shared" si="181"/>
        <v>2025-01</v>
      </c>
    </row>
    <row r="5787" spans="1:15" x14ac:dyDescent="0.3">
      <c r="A5787" t="s">
        <v>13613</v>
      </c>
      <c r="B5787" t="s">
        <v>13614</v>
      </c>
      <c r="C5787" t="s">
        <v>37</v>
      </c>
      <c r="D5787" t="s">
        <v>77</v>
      </c>
      <c r="E5787" t="s">
        <v>59</v>
      </c>
      <c r="F5787" t="s">
        <v>137</v>
      </c>
      <c r="G5787">
        <v>2.64</v>
      </c>
      <c r="H5787" t="s">
        <v>41</v>
      </c>
      <c r="I5787" t="s">
        <v>42</v>
      </c>
      <c r="M5787">
        <f>VLOOKUP(H5787,'Stage Order'!$A$2:$B$8,2,FALSE)</f>
        <v>2</v>
      </c>
      <c r="N5787" t="str">
        <f t="shared" si="180"/>
        <v>2. 1-24 hours</v>
      </c>
      <c r="O5787" t="str">
        <f t="shared" si="181"/>
        <v>2025-01</v>
      </c>
    </row>
    <row r="5788" spans="1:15" x14ac:dyDescent="0.3">
      <c r="A5788" t="s">
        <v>13615</v>
      </c>
      <c r="B5788" t="s">
        <v>13616</v>
      </c>
      <c r="C5788" t="s">
        <v>53</v>
      </c>
      <c r="D5788" t="s">
        <v>97</v>
      </c>
      <c r="E5788" t="s">
        <v>39</v>
      </c>
      <c r="F5788" t="s">
        <v>106</v>
      </c>
      <c r="G5788">
        <v>22.4</v>
      </c>
      <c r="H5788" t="s">
        <v>32</v>
      </c>
      <c r="I5788" t="s">
        <v>33</v>
      </c>
      <c r="K5788">
        <v>1230.55</v>
      </c>
      <c r="L5788" t="s">
        <v>13617</v>
      </c>
      <c r="M5788">
        <f>VLOOKUP(H5788,'Stage Order'!$A$2:$B$8,2,FALSE)</f>
        <v>7</v>
      </c>
      <c r="N5788" t="str">
        <f t="shared" si="180"/>
        <v>2. 1-24 hours</v>
      </c>
      <c r="O5788" t="str">
        <f t="shared" si="181"/>
        <v>2026-04</v>
      </c>
    </row>
    <row r="5789" spans="1:15" x14ac:dyDescent="0.3">
      <c r="A5789" t="s">
        <v>13618</v>
      </c>
      <c r="B5789" t="s">
        <v>13619</v>
      </c>
      <c r="C5789" t="s">
        <v>37</v>
      </c>
      <c r="D5789" t="s">
        <v>77</v>
      </c>
      <c r="E5789" t="s">
        <v>45</v>
      </c>
      <c r="F5789" t="s">
        <v>55</v>
      </c>
      <c r="G5789">
        <v>15.66</v>
      </c>
      <c r="H5789" t="s">
        <v>41</v>
      </c>
      <c r="I5789" t="s">
        <v>42</v>
      </c>
      <c r="M5789">
        <f>VLOOKUP(H5789,'Stage Order'!$A$2:$B$8,2,FALSE)</f>
        <v>2</v>
      </c>
      <c r="N5789" t="str">
        <f t="shared" si="180"/>
        <v>2. 1-24 hours</v>
      </c>
      <c r="O5789" t="str">
        <f t="shared" si="181"/>
        <v>2025-04</v>
      </c>
    </row>
    <row r="5790" spans="1:15" x14ac:dyDescent="0.3">
      <c r="A5790" t="s">
        <v>13620</v>
      </c>
      <c r="B5790" t="s">
        <v>13621</v>
      </c>
      <c r="C5790" t="s">
        <v>81</v>
      </c>
      <c r="D5790" t="s">
        <v>77</v>
      </c>
      <c r="E5790" t="s">
        <v>59</v>
      </c>
      <c r="F5790" t="s">
        <v>117</v>
      </c>
      <c r="G5790">
        <v>1.63</v>
      </c>
      <c r="H5790" t="s">
        <v>61</v>
      </c>
      <c r="I5790" t="s">
        <v>42</v>
      </c>
      <c r="M5790">
        <f>VLOOKUP(H5790,'Stage Order'!$A$2:$B$8,2,FALSE)</f>
        <v>1</v>
      </c>
      <c r="N5790" t="str">
        <f t="shared" si="180"/>
        <v>2. 1-24 hours</v>
      </c>
      <c r="O5790" t="str">
        <f t="shared" si="181"/>
        <v>2025-04</v>
      </c>
    </row>
    <row r="5791" spans="1:15" x14ac:dyDescent="0.3">
      <c r="A5791" t="s">
        <v>13622</v>
      </c>
      <c r="B5791" t="s">
        <v>13623</v>
      </c>
      <c r="C5791" t="s">
        <v>58</v>
      </c>
      <c r="D5791" t="s">
        <v>77</v>
      </c>
      <c r="E5791" t="s">
        <v>39</v>
      </c>
      <c r="F5791" t="s">
        <v>106</v>
      </c>
      <c r="G5791">
        <v>1.86</v>
      </c>
      <c r="H5791" t="s">
        <v>47</v>
      </c>
      <c r="I5791" t="s">
        <v>48</v>
      </c>
      <c r="J5791" t="s">
        <v>98</v>
      </c>
      <c r="K5791">
        <v>1075.05</v>
      </c>
      <c r="L5791" t="s">
        <v>13624</v>
      </c>
      <c r="M5791">
        <f>VLOOKUP(H5791,'Stage Order'!$A$2:$B$8,2,FALSE)</f>
        <v>4</v>
      </c>
      <c r="N5791" t="str">
        <f t="shared" si="180"/>
        <v>2. 1-24 hours</v>
      </c>
      <c r="O5791" t="str">
        <f t="shared" si="181"/>
        <v>2025-06</v>
      </c>
    </row>
    <row r="5792" spans="1:15" x14ac:dyDescent="0.3">
      <c r="A5792" t="s">
        <v>13625</v>
      </c>
      <c r="B5792" t="s">
        <v>13626</v>
      </c>
      <c r="C5792" t="s">
        <v>53</v>
      </c>
      <c r="D5792" t="s">
        <v>97</v>
      </c>
      <c r="E5792" t="s">
        <v>59</v>
      </c>
      <c r="F5792" t="s">
        <v>60</v>
      </c>
      <c r="G5792">
        <v>7.51</v>
      </c>
      <c r="H5792" t="s">
        <v>32</v>
      </c>
      <c r="I5792" t="s">
        <v>33</v>
      </c>
      <c r="K5792">
        <v>1423.93</v>
      </c>
      <c r="L5792" t="s">
        <v>13627</v>
      </c>
      <c r="M5792">
        <f>VLOOKUP(H5792,'Stage Order'!$A$2:$B$8,2,FALSE)</f>
        <v>7</v>
      </c>
      <c r="N5792" t="str">
        <f t="shared" si="180"/>
        <v>2. 1-24 hours</v>
      </c>
      <c r="O5792" t="str">
        <f t="shared" si="181"/>
        <v>2026-01</v>
      </c>
    </row>
    <row r="5793" spans="1:15" x14ac:dyDescent="0.3">
      <c r="A5793" t="s">
        <v>13628</v>
      </c>
      <c r="B5793" t="s">
        <v>13629</v>
      </c>
      <c r="C5793" t="s">
        <v>81</v>
      </c>
      <c r="D5793" t="s">
        <v>29</v>
      </c>
      <c r="E5793" t="s">
        <v>45</v>
      </c>
      <c r="F5793" t="s">
        <v>46</v>
      </c>
      <c r="G5793">
        <v>3.76</v>
      </c>
      <c r="H5793" t="s">
        <v>41</v>
      </c>
      <c r="I5793" t="s">
        <v>42</v>
      </c>
      <c r="M5793">
        <f>VLOOKUP(H5793,'Stage Order'!$A$2:$B$8,2,FALSE)</f>
        <v>2</v>
      </c>
      <c r="N5793" t="str">
        <f t="shared" si="180"/>
        <v>2. 1-24 hours</v>
      </c>
      <c r="O5793" t="str">
        <f t="shared" si="181"/>
        <v>2025-10</v>
      </c>
    </row>
    <row r="5794" spans="1:15" x14ac:dyDescent="0.3">
      <c r="A5794" t="s">
        <v>13630</v>
      </c>
      <c r="B5794" t="s">
        <v>13631</v>
      </c>
      <c r="C5794" t="s">
        <v>37</v>
      </c>
      <c r="D5794" t="s">
        <v>97</v>
      </c>
      <c r="E5794" t="s">
        <v>59</v>
      </c>
      <c r="F5794" t="s">
        <v>117</v>
      </c>
      <c r="G5794">
        <v>2.31</v>
      </c>
      <c r="H5794" t="s">
        <v>32</v>
      </c>
      <c r="I5794" t="s">
        <v>33</v>
      </c>
      <c r="K5794">
        <v>1551.82</v>
      </c>
      <c r="L5794" t="s">
        <v>13632</v>
      </c>
      <c r="M5794">
        <f>VLOOKUP(H5794,'Stage Order'!$A$2:$B$8,2,FALSE)</f>
        <v>7</v>
      </c>
      <c r="N5794" t="str">
        <f t="shared" si="180"/>
        <v>2. 1-24 hours</v>
      </c>
      <c r="O5794" t="str">
        <f t="shared" si="181"/>
        <v>2025-09</v>
      </c>
    </row>
    <row r="5795" spans="1:15" x14ac:dyDescent="0.3">
      <c r="A5795" t="s">
        <v>13633</v>
      </c>
      <c r="B5795" t="s">
        <v>13634</v>
      </c>
      <c r="C5795" t="s">
        <v>37</v>
      </c>
      <c r="D5795" t="s">
        <v>54</v>
      </c>
      <c r="E5795" t="s">
        <v>30</v>
      </c>
      <c r="F5795" t="s">
        <v>78</v>
      </c>
      <c r="G5795">
        <v>1.21</v>
      </c>
      <c r="H5795" t="s">
        <v>61</v>
      </c>
      <c r="I5795" t="s">
        <v>42</v>
      </c>
      <c r="M5795">
        <f>VLOOKUP(H5795,'Stage Order'!$A$2:$B$8,2,FALSE)</f>
        <v>1</v>
      </c>
      <c r="N5795" t="str">
        <f t="shared" si="180"/>
        <v>2. 1-24 hours</v>
      </c>
      <c r="O5795" t="str">
        <f t="shared" si="181"/>
        <v>2025-03</v>
      </c>
    </row>
    <row r="5796" spans="1:15" x14ac:dyDescent="0.3">
      <c r="A5796" t="s">
        <v>13635</v>
      </c>
      <c r="B5796" t="s">
        <v>13636</v>
      </c>
      <c r="C5796" t="s">
        <v>125</v>
      </c>
      <c r="D5796" t="s">
        <v>77</v>
      </c>
      <c r="E5796" t="s">
        <v>30</v>
      </c>
      <c r="F5796" t="s">
        <v>78</v>
      </c>
      <c r="G5796">
        <v>2.41</v>
      </c>
      <c r="H5796" t="s">
        <v>41</v>
      </c>
      <c r="I5796" t="s">
        <v>42</v>
      </c>
      <c r="M5796">
        <f>VLOOKUP(H5796,'Stage Order'!$A$2:$B$8,2,FALSE)</f>
        <v>2</v>
      </c>
      <c r="N5796" t="str">
        <f t="shared" si="180"/>
        <v>2. 1-24 hours</v>
      </c>
      <c r="O5796" t="str">
        <f t="shared" si="181"/>
        <v>2025-07</v>
      </c>
    </row>
    <row r="5797" spans="1:15" x14ac:dyDescent="0.3">
      <c r="A5797" t="s">
        <v>13637</v>
      </c>
      <c r="B5797" t="s">
        <v>13638</v>
      </c>
      <c r="C5797" t="s">
        <v>81</v>
      </c>
      <c r="D5797" t="s">
        <v>77</v>
      </c>
      <c r="E5797" t="s">
        <v>39</v>
      </c>
      <c r="F5797" t="s">
        <v>106</v>
      </c>
      <c r="G5797">
        <v>2.5499999999999998</v>
      </c>
      <c r="H5797" t="s">
        <v>61</v>
      </c>
      <c r="I5797" t="s">
        <v>42</v>
      </c>
      <c r="M5797">
        <f>VLOOKUP(H5797,'Stage Order'!$A$2:$B$8,2,FALSE)</f>
        <v>1</v>
      </c>
      <c r="N5797" t="str">
        <f t="shared" si="180"/>
        <v>2. 1-24 hours</v>
      </c>
      <c r="O5797" t="str">
        <f t="shared" si="181"/>
        <v>2026-04</v>
      </c>
    </row>
    <row r="5798" spans="1:15" x14ac:dyDescent="0.3">
      <c r="A5798" t="s">
        <v>13639</v>
      </c>
      <c r="B5798" t="s">
        <v>13640</v>
      </c>
      <c r="C5798" t="s">
        <v>37</v>
      </c>
      <c r="D5798" t="s">
        <v>97</v>
      </c>
      <c r="E5798" t="s">
        <v>39</v>
      </c>
      <c r="F5798" t="s">
        <v>40</v>
      </c>
      <c r="G5798">
        <v>4.9000000000000004</v>
      </c>
      <c r="H5798" t="s">
        <v>61</v>
      </c>
      <c r="I5798" t="s">
        <v>42</v>
      </c>
      <c r="M5798">
        <f>VLOOKUP(H5798,'Stage Order'!$A$2:$B$8,2,FALSE)</f>
        <v>1</v>
      </c>
      <c r="N5798" t="str">
        <f t="shared" si="180"/>
        <v>2. 1-24 hours</v>
      </c>
      <c r="O5798" t="str">
        <f t="shared" si="181"/>
        <v>2025-04</v>
      </c>
    </row>
    <row r="5799" spans="1:15" x14ac:dyDescent="0.3">
      <c r="A5799" t="s">
        <v>13641</v>
      </c>
      <c r="B5799" t="s">
        <v>13642</v>
      </c>
      <c r="C5799" t="s">
        <v>81</v>
      </c>
      <c r="D5799" t="s">
        <v>54</v>
      </c>
      <c r="E5799" t="s">
        <v>45</v>
      </c>
      <c r="F5799" t="s">
        <v>55</v>
      </c>
      <c r="G5799">
        <v>8.4</v>
      </c>
      <c r="H5799" t="s">
        <v>41</v>
      </c>
      <c r="I5799" t="s">
        <v>42</v>
      </c>
      <c r="M5799">
        <f>VLOOKUP(H5799,'Stage Order'!$A$2:$B$8,2,FALSE)</f>
        <v>2</v>
      </c>
      <c r="N5799" t="str">
        <f t="shared" si="180"/>
        <v>2. 1-24 hours</v>
      </c>
      <c r="O5799" t="str">
        <f t="shared" si="181"/>
        <v>2025-11</v>
      </c>
    </row>
    <row r="5800" spans="1:15" x14ac:dyDescent="0.3">
      <c r="A5800" t="s">
        <v>13643</v>
      </c>
      <c r="B5800" t="s">
        <v>13644</v>
      </c>
      <c r="C5800" t="s">
        <v>37</v>
      </c>
      <c r="D5800" t="s">
        <v>38</v>
      </c>
      <c r="E5800" t="s">
        <v>45</v>
      </c>
      <c r="F5800" t="s">
        <v>55</v>
      </c>
      <c r="G5800">
        <v>1.1399999999999999</v>
      </c>
      <c r="H5800" t="s">
        <v>32</v>
      </c>
      <c r="I5800" t="s">
        <v>33</v>
      </c>
      <c r="K5800">
        <v>315.68</v>
      </c>
      <c r="L5800" t="s">
        <v>13645</v>
      </c>
      <c r="M5800">
        <f>VLOOKUP(H5800,'Stage Order'!$A$2:$B$8,2,FALSE)</f>
        <v>7</v>
      </c>
      <c r="N5800" t="str">
        <f t="shared" si="180"/>
        <v>2. 1-24 hours</v>
      </c>
      <c r="O5800" t="str">
        <f t="shared" si="181"/>
        <v>2026-06</v>
      </c>
    </row>
    <row r="5801" spans="1:15" x14ac:dyDescent="0.3">
      <c r="A5801" t="s">
        <v>13646</v>
      </c>
      <c r="B5801" t="s">
        <v>13647</v>
      </c>
      <c r="C5801" t="s">
        <v>28</v>
      </c>
      <c r="D5801" t="s">
        <v>77</v>
      </c>
      <c r="E5801" t="s">
        <v>39</v>
      </c>
      <c r="F5801" t="s">
        <v>66</v>
      </c>
      <c r="G5801">
        <v>3.59</v>
      </c>
      <c r="H5801" t="s">
        <v>61</v>
      </c>
      <c r="I5801" t="s">
        <v>42</v>
      </c>
      <c r="M5801">
        <f>VLOOKUP(H5801,'Stage Order'!$A$2:$B$8,2,FALSE)</f>
        <v>1</v>
      </c>
      <c r="N5801" t="str">
        <f t="shared" si="180"/>
        <v>2. 1-24 hours</v>
      </c>
      <c r="O5801" t="str">
        <f t="shared" si="181"/>
        <v>2025-05</v>
      </c>
    </row>
    <row r="5802" spans="1:15" x14ac:dyDescent="0.3">
      <c r="A5802" t="s">
        <v>13648</v>
      </c>
      <c r="B5802" t="s">
        <v>13649</v>
      </c>
      <c r="C5802" t="s">
        <v>37</v>
      </c>
      <c r="D5802" t="s">
        <v>29</v>
      </c>
      <c r="E5802" t="s">
        <v>30</v>
      </c>
      <c r="F5802" t="s">
        <v>78</v>
      </c>
      <c r="G5802">
        <v>1.1499999999999999</v>
      </c>
      <c r="H5802" t="s">
        <v>146</v>
      </c>
      <c r="I5802" t="s">
        <v>48</v>
      </c>
      <c r="J5802" t="s">
        <v>742</v>
      </c>
      <c r="K5802">
        <v>613.98</v>
      </c>
      <c r="L5802" t="s">
        <v>13650</v>
      </c>
      <c r="M5802">
        <f>VLOOKUP(H5802,'Stage Order'!$A$2:$B$8,2,FALSE)</f>
        <v>5</v>
      </c>
      <c r="N5802" t="str">
        <f t="shared" si="180"/>
        <v>2. 1-24 hours</v>
      </c>
      <c r="O5802" t="str">
        <f t="shared" si="181"/>
        <v>2025-01</v>
      </c>
    </row>
    <row r="5803" spans="1:15" x14ac:dyDescent="0.3">
      <c r="A5803" t="s">
        <v>13651</v>
      </c>
      <c r="B5803" t="s">
        <v>13652</v>
      </c>
      <c r="C5803" t="s">
        <v>76</v>
      </c>
      <c r="D5803" t="s">
        <v>54</v>
      </c>
      <c r="E5803" t="s">
        <v>90</v>
      </c>
      <c r="F5803" t="s">
        <v>112</v>
      </c>
      <c r="G5803">
        <v>0.83</v>
      </c>
      <c r="H5803" t="s">
        <v>41</v>
      </c>
      <c r="I5803" t="s">
        <v>42</v>
      </c>
      <c r="M5803">
        <f>VLOOKUP(H5803,'Stage Order'!$A$2:$B$8,2,FALSE)</f>
        <v>2</v>
      </c>
      <c r="N5803" t="str">
        <f t="shared" si="180"/>
        <v>1. Under 1 hour</v>
      </c>
      <c r="O5803" t="str">
        <f t="shared" si="181"/>
        <v>2026-01</v>
      </c>
    </row>
    <row r="5804" spans="1:15" x14ac:dyDescent="0.3">
      <c r="A5804" t="s">
        <v>13653</v>
      </c>
      <c r="B5804" t="s">
        <v>13654</v>
      </c>
      <c r="C5804" t="s">
        <v>125</v>
      </c>
      <c r="D5804" t="s">
        <v>54</v>
      </c>
      <c r="E5804" t="s">
        <v>45</v>
      </c>
      <c r="F5804" t="s">
        <v>94</v>
      </c>
      <c r="G5804">
        <v>1.1499999999999999</v>
      </c>
      <c r="H5804" t="s">
        <v>41</v>
      </c>
      <c r="I5804" t="s">
        <v>42</v>
      </c>
      <c r="M5804">
        <f>VLOOKUP(H5804,'Stage Order'!$A$2:$B$8,2,FALSE)</f>
        <v>2</v>
      </c>
      <c r="N5804" t="str">
        <f t="shared" si="180"/>
        <v>2. 1-24 hours</v>
      </c>
      <c r="O5804" t="str">
        <f t="shared" si="181"/>
        <v>2025-09</v>
      </c>
    </row>
    <row r="5805" spans="1:15" x14ac:dyDescent="0.3">
      <c r="A5805" t="s">
        <v>13655</v>
      </c>
      <c r="B5805" t="s">
        <v>13656</v>
      </c>
      <c r="C5805" t="s">
        <v>37</v>
      </c>
      <c r="D5805" t="s">
        <v>54</v>
      </c>
      <c r="E5805" t="s">
        <v>39</v>
      </c>
      <c r="F5805" t="s">
        <v>40</v>
      </c>
      <c r="G5805">
        <v>9.01</v>
      </c>
      <c r="H5805" t="s">
        <v>41</v>
      </c>
      <c r="I5805" t="s">
        <v>42</v>
      </c>
      <c r="M5805">
        <f>VLOOKUP(H5805,'Stage Order'!$A$2:$B$8,2,FALSE)</f>
        <v>2</v>
      </c>
      <c r="N5805" t="str">
        <f t="shared" si="180"/>
        <v>2. 1-24 hours</v>
      </c>
      <c r="O5805" t="str">
        <f t="shared" si="181"/>
        <v>2026-05</v>
      </c>
    </row>
    <row r="5806" spans="1:15" x14ac:dyDescent="0.3">
      <c r="A5806" t="s">
        <v>13657</v>
      </c>
      <c r="B5806" t="s">
        <v>13658</v>
      </c>
      <c r="C5806" t="s">
        <v>58</v>
      </c>
      <c r="D5806" t="s">
        <v>29</v>
      </c>
      <c r="E5806" t="s">
        <v>90</v>
      </c>
      <c r="F5806" t="s">
        <v>91</v>
      </c>
      <c r="G5806">
        <v>4.59</v>
      </c>
      <c r="H5806" t="s">
        <v>61</v>
      </c>
      <c r="I5806" t="s">
        <v>42</v>
      </c>
      <c r="M5806">
        <f>VLOOKUP(H5806,'Stage Order'!$A$2:$B$8,2,FALSE)</f>
        <v>1</v>
      </c>
      <c r="N5806" t="str">
        <f t="shared" si="180"/>
        <v>2. 1-24 hours</v>
      </c>
      <c r="O5806" t="str">
        <f t="shared" si="181"/>
        <v>2025-10</v>
      </c>
    </row>
    <row r="5807" spans="1:15" x14ac:dyDescent="0.3">
      <c r="A5807" t="s">
        <v>13659</v>
      </c>
      <c r="B5807" t="s">
        <v>13660</v>
      </c>
      <c r="C5807" t="s">
        <v>28</v>
      </c>
      <c r="D5807" t="s">
        <v>29</v>
      </c>
      <c r="E5807" t="s">
        <v>59</v>
      </c>
      <c r="F5807" t="s">
        <v>137</v>
      </c>
      <c r="G5807">
        <v>1.41</v>
      </c>
      <c r="H5807" t="s">
        <v>138</v>
      </c>
      <c r="I5807" t="s">
        <v>48</v>
      </c>
      <c r="J5807" t="s">
        <v>139</v>
      </c>
      <c r="K5807">
        <v>711.85</v>
      </c>
      <c r="L5807" t="s">
        <v>13661</v>
      </c>
      <c r="M5807">
        <f>VLOOKUP(H5807,'Stage Order'!$A$2:$B$8,2,FALSE)</f>
        <v>6</v>
      </c>
      <c r="N5807" t="str">
        <f t="shared" si="180"/>
        <v>2. 1-24 hours</v>
      </c>
      <c r="O5807" t="str">
        <f t="shared" si="181"/>
        <v>2025-08</v>
      </c>
    </row>
    <row r="5808" spans="1:15" x14ac:dyDescent="0.3">
      <c r="A5808" t="s">
        <v>13662</v>
      </c>
      <c r="B5808" t="s">
        <v>13663</v>
      </c>
      <c r="C5808" t="s">
        <v>53</v>
      </c>
      <c r="D5808" t="s">
        <v>29</v>
      </c>
      <c r="E5808" t="s">
        <v>45</v>
      </c>
      <c r="F5808" t="s">
        <v>55</v>
      </c>
      <c r="G5808">
        <v>0.79</v>
      </c>
      <c r="H5808" t="s">
        <v>32</v>
      </c>
      <c r="I5808" t="s">
        <v>33</v>
      </c>
      <c r="K5808">
        <v>751.9</v>
      </c>
      <c r="L5808" t="s">
        <v>13664</v>
      </c>
      <c r="M5808">
        <f>VLOOKUP(H5808,'Stage Order'!$A$2:$B$8,2,FALSE)</f>
        <v>7</v>
      </c>
      <c r="N5808" t="str">
        <f t="shared" si="180"/>
        <v>1. Under 1 hour</v>
      </c>
      <c r="O5808" t="str">
        <f t="shared" si="181"/>
        <v>2025-11</v>
      </c>
    </row>
    <row r="5809" spans="1:15" x14ac:dyDescent="0.3">
      <c r="A5809" t="s">
        <v>13665</v>
      </c>
      <c r="B5809" t="s">
        <v>13666</v>
      </c>
      <c r="C5809" t="s">
        <v>53</v>
      </c>
      <c r="D5809" t="s">
        <v>54</v>
      </c>
      <c r="E5809" t="s">
        <v>39</v>
      </c>
      <c r="F5809" t="s">
        <v>40</v>
      </c>
      <c r="G5809">
        <v>3.64</v>
      </c>
      <c r="H5809" t="s">
        <v>41</v>
      </c>
      <c r="I5809" t="s">
        <v>42</v>
      </c>
      <c r="M5809">
        <f>VLOOKUP(H5809,'Stage Order'!$A$2:$B$8,2,FALSE)</f>
        <v>2</v>
      </c>
      <c r="N5809" t="str">
        <f t="shared" si="180"/>
        <v>2. 1-24 hours</v>
      </c>
      <c r="O5809" t="str">
        <f t="shared" si="181"/>
        <v>2026-05</v>
      </c>
    </row>
    <row r="5810" spans="1:15" x14ac:dyDescent="0.3">
      <c r="A5810" t="s">
        <v>13667</v>
      </c>
      <c r="B5810" t="s">
        <v>13668</v>
      </c>
      <c r="C5810" t="s">
        <v>81</v>
      </c>
      <c r="D5810" t="s">
        <v>38</v>
      </c>
      <c r="E5810" t="s">
        <v>45</v>
      </c>
      <c r="F5810" t="s">
        <v>94</v>
      </c>
      <c r="G5810">
        <v>4.84</v>
      </c>
      <c r="H5810" t="s">
        <v>61</v>
      </c>
      <c r="I5810" t="s">
        <v>42</v>
      </c>
      <c r="M5810">
        <f>VLOOKUP(H5810,'Stage Order'!$A$2:$B$8,2,FALSE)</f>
        <v>1</v>
      </c>
      <c r="N5810" t="str">
        <f t="shared" si="180"/>
        <v>2. 1-24 hours</v>
      </c>
      <c r="O5810" t="str">
        <f t="shared" si="181"/>
        <v>2026-01</v>
      </c>
    </row>
    <row r="5811" spans="1:15" x14ac:dyDescent="0.3">
      <c r="A5811" t="s">
        <v>13669</v>
      </c>
      <c r="B5811" t="s">
        <v>13670</v>
      </c>
      <c r="C5811" t="s">
        <v>81</v>
      </c>
      <c r="D5811" t="s">
        <v>97</v>
      </c>
      <c r="E5811" t="s">
        <v>39</v>
      </c>
      <c r="F5811" t="s">
        <v>106</v>
      </c>
      <c r="G5811">
        <v>2.2400000000000002</v>
      </c>
      <c r="H5811" t="s">
        <v>41</v>
      </c>
      <c r="I5811" t="s">
        <v>42</v>
      </c>
      <c r="M5811">
        <f>VLOOKUP(H5811,'Stage Order'!$A$2:$B$8,2,FALSE)</f>
        <v>2</v>
      </c>
      <c r="N5811" t="str">
        <f t="shared" si="180"/>
        <v>2. 1-24 hours</v>
      </c>
      <c r="O5811" t="str">
        <f t="shared" si="181"/>
        <v>2026-02</v>
      </c>
    </row>
    <row r="5812" spans="1:15" x14ac:dyDescent="0.3">
      <c r="A5812" t="s">
        <v>13671</v>
      </c>
      <c r="B5812" t="s">
        <v>13672</v>
      </c>
      <c r="C5812" t="s">
        <v>81</v>
      </c>
      <c r="D5812" t="s">
        <v>29</v>
      </c>
      <c r="E5812" t="s">
        <v>39</v>
      </c>
      <c r="F5812" t="s">
        <v>40</v>
      </c>
      <c r="G5812">
        <v>4.97</v>
      </c>
      <c r="H5812" t="s">
        <v>41</v>
      </c>
      <c r="I5812" t="s">
        <v>42</v>
      </c>
      <c r="M5812">
        <f>VLOOKUP(H5812,'Stage Order'!$A$2:$B$8,2,FALSE)</f>
        <v>2</v>
      </c>
      <c r="N5812" t="str">
        <f t="shared" si="180"/>
        <v>2. 1-24 hours</v>
      </c>
      <c r="O5812" t="str">
        <f t="shared" si="181"/>
        <v>2026-04</v>
      </c>
    </row>
    <row r="5813" spans="1:15" x14ac:dyDescent="0.3">
      <c r="A5813" t="s">
        <v>13673</v>
      </c>
      <c r="B5813" t="s">
        <v>13674</v>
      </c>
      <c r="C5813" t="s">
        <v>58</v>
      </c>
      <c r="D5813" t="s">
        <v>29</v>
      </c>
      <c r="E5813" t="s">
        <v>90</v>
      </c>
      <c r="F5813" t="s">
        <v>91</v>
      </c>
      <c r="G5813">
        <v>4.17</v>
      </c>
      <c r="H5813" t="s">
        <v>47</v>
      </c>
      <c r="I5813" t="s">
        <v>48</v>
      </c>
      <c r="J5813" t="s">
        <v>139</v>
      </c>
      <c r="K5813">
        <v>553.17999999999995</v>
      </c>
      <c r="L5813" t="s">
        <v>13675</v>
      </c>
      <c r="M5813">
        <f>VLOOKUP(H5813,'Stage Order'!$A$2:$B$8,2,FALSE)</f>
        <v>4</v>
      </c>
      <c r="N5813" t="str">
        <f t="shared" si="180"/>
        <v>2. 1-24 hours</v>
      </c>
      <c r="O5813" t="str">
        <f t="shared" si="181"/>
        <v>2025-02</v>
      </c>
    </row>
    <row r="5814" spans="1:15" x14ac:dyDescent="0.3">
      <c r="A5814" t="s">
        <v>13676</v>
      </c>
      <c r="B5814" t="s">
        <v>13677</v>
      </c>
      <c r="C5814" t="s">
        <v>53</v>
      </c>
      <c r="D5814" t="s">
        <v>77</v>
      </c>
      <c r="E5814" t="s">
        <v>45</v>
      </c>
      <c r="F5814" t="s">
        <v>55</v>
      </c>
      <c r="G5814">
        <v>2.67</v>
      </c>
      <c r="H5814" t="s">
        <v>47</v>
      </c>
      <c r="I5814" t="s">
        <v>48</v>
      </c>
      <c r="J5814" t="s">
        <v>98</v>
      </c>
      <c r="K5814">
        <v>815.32</v>
      </c>
      <c r="L5814" t="s">
        <v>13678</v>
      </c>
      <c r="M5814">
        <f>VLOOKUP(H5814,'Stage Order'!$A$2:$B$8,2,FALSE)</f>
        <v>4</v>
      </c>
      <c r="N5814" t="str">
        <f t="shared" si="180"/>
        <v>2. 1-24 hours</v>
      </c>
      <c r="O5814" t="str">
        <f t="shared" si="181"/>
        <v>2025-08</v>
      </c>
    </row>
    <row r="5815" spans="1:15" x14ac:dyDescent="0.3">
      <c r="A5815" t="s">
        <v>13679</v>
      </c>
      <c r="B5815" t="s">
        <v>13680</v>
      </c>
      <c r="C5815" t="s">
        <v>58</v>
      </c>
      <c r="D5815" t="s">
        <v>77</v>
      </c>
      <c r="E5815" t="s">
        <v>39</v>
      </c>
      <c r="F5815" t="s">
        <v>66</v>
      </c>
      <c r="G5815">
        <v>1.21</v>
      </c>
      <c r="H5815" t="s">
        <v>61</v>
      </c>
      <c r="I5815" t="s">
        <v>42</v>
      </c>
      <c r="M5815">
        <f>VLOOKUP(H5815,'Stage Order'!$A$2:$B$8,2,FALSE)</f>
        <v>1</v>
      </c>
      <c r="N5815" t="str">
        <f t="shared" si="180"/>
        <v>2. 1-24 hours</v>
      </c>
      <c r="O5815" t="str">
        <f t="shared" si="181"/>
        <v>2026-01</v>
      </c>
    </row>
    <row r="5816" spans="1:15" x14ac:dyDescent="0.3">
      <c r="A5816" t="s">
        <v>13681</v>
      </c>
      <c r="B5816" t="s">
        <v>13682</v>
      </c>
      <c r="C5816" t="s">
        <v>53</v>
      </c>
      <c r="D5816" t="s">
        <v>38</v>
      </c>
      <c r="E5816" t="s">
        <v>39</v>
      </c>
      <c r="F5816" t="s">
        <v>40</v>
      </c>
      <c r="G5816">
        <v>1.47</v>
      </c>
      <c r="H5816" t="s">
        <v>32</v>
      </c>
      <c r="I5816" t="s">
        <v>33</v>
      </c>
      <c r="K5816">
        <v>422.05</v>
      </c>
      <c r="L5816" t="s">
        <v>13683</v>
      </c>
      <c r="M5816">
        <f>VLOOKUP(H5816,'Stage Order'!$A$2:$B$8,2,FALSE)</f>
        <v>7</v>
      </c>
      <c r="N5816" t="str">
        <f t="shared" si="180"/>
        <v>2. 1-24 hours</v>
      </c>
      <c r="O5816" t="str">
        <f t="shared" si="181"/>
        <v>2026-03</v>
      </c>
    </row>
    <row r="5817" spans="1:15" x14ac:dyDescent="0.3">
      <c r="A5817" t="s">
        <v>13684</v>
      </c>
      <c r="B5817" t="s">
        <v>13685</v>
      </c>
      <c r="C5817" t="s">
        <v>76</v>
      </c>
      <c r="D5817" t="s">
        <v>77</v>
      </c>
      <c r="E5817" t="s">
        <v>30</v>
      </c>
      <c r="F5817" t="s">
        <v>82</v>
      </c>
      <c r="G5817">
        <v>0.85</v>
      </c>
      <c r="H5817" t="s">
        <v>41</v>
      </c>
      <c r="I5817" t="s">
        <v>42</v>
      </c>
      <c r="M5817">
        <f>VLOOKUP(H5817,'Stage Order'!$A$2:$B$8,2,FALSE)</f>
        <v>2</v>
      </c>
      <c r="N5817" t="str">
        <f t="shared" si="180"/>
        <v>1. Under 1 hour</v>
      </c>
      <c r="O5817" t="str">
        <f t="shared" si="181"/>
        <v>2026-04</v>
      </c>
    </row>
    <row r="5818" spans="1:15" x14ac:dyDescent="0.3">
      <c r="A5818" t="s">
        <v>13686</v>
      </c>
      <c r="B5818" t="s">
        <v>13687</v>
      </c>
      <c r="C5818" t="s">
        <v>28</v>
      </c>
      <c r="D5818" t="s">
        <v>97</v>
      </c>
      <c r="E5818" t="s">
        <v>90</v>
      </c>
      <c r="F5818" t="s">
        <v>112</v>
      </c>
      <c r="G5818">
        <v>2.41</v>
      </c>
      <c r="H5818" t="s">
        <v>41</v>
      </c>
      <c r="I5818" t="s">
        <v>42</v>
      </c>
      <c r="M5818">
        <f>VLOOKUP(H5818,'Stage Order'!$A$2:$B$8,2,FALSE)</f>
        <v>2</v>
      </c>
      <c r="N5818" t="str">
        <f t="shared" si="180"/>
        <v>2. 1-24 hours</v>
      </c>
      <c r="O5818" t="str">
        <f t="shared" si="181"/>
        <v>2025-08</v>
      </c>
    </row>
    <row r="5819" spans="1:15" x14ac:dyDescent="0.3">
      <c r="A5819" t="s">
        <v>13688</v>
      </c>
      <c r="B5819" t="s">
        <v>13689</v>
      </c>
      <c r="C5819" t="s">
        <v>58</v>
      </c>
      <c r="D5819" t="s">
        <v>97</v>
      </c>
      <c r="E5819" t="s">
        <v>30</v>
      </c>
      <c r="F5819" t="s">
        <v>31</v>
      </c>
      <c r="G5819">
        <v>1.08</v>
      </c>
      <c r="H5819" t="s">
        <v>32</v>
      </c>
      <c r="I5819" t="s">
        <v>33</v>
      </c>
      <c r="K5819">
        <v>1519.88</v>
      </c>
      <c r="L5819" t="s">
        <v>13690</v>
      </c>
      <c r="M5819">
        <f>VLOOKUP(H5819,'Stage Order'!$A$2:$B$8,2,FALSE)</f>
        <v>7</v>
      </c>
      <c r="N5819" t="str">
        <f t="shared" si="180"/>
        <v>2. 1-24 hours</v>
      </c>
      <c r="O5819" t="str">
        <f t="shared" si="181"/>
        <v>2025-06</v>
      </c>
    </row>
    <row r="5820" spans="1:15" x14ac:dyDescent="0.3">
      <c r="A5820" t="s">
        <v>13691</v>
      </c>
      <c r="B5820" t="s">
        <v>13692</v>
      </c>
      <c r="C5820" t="s">
        <v>28</v>
      </c>
      <c r="D5820" t="s">
        <v>54</v>
      </c>
      <c r="E5820" t="s">
        <v>90</v>
      </c>
      <c r="F5820" t="s">
        <v>91</v>
      </c>
      <c r="G5820">
        <v>9.9</v>
      </c>
      <c r="H5820" t="s">
        <v>146</v>
      </c>
      <c r="I5820" t="s">
        <v>48</v>
      </c>
      <c r="J5820" t="s">
        <v>139</v>
      </c>
      <c r="K5820">
        <v>586.72</v>
      </c>
      <c r="L5820" t="s">
        <v>13693</v>
      </c>
      <c r="M5820">
        <f>VLOOKUP(H5820,'Stage Order'!$A$2:$B$8,2,FALSE)</f>
        <v>5</v>
      </c>
      <c r="N5820" t="str">
        <f t="shared" si="180"/>
        <v>2. 1-24 hours</v>
      </c>
      <c r="O5820" t="str">
        <f t="shared" si="181"/>
        <v>2025-12</v>
      </c>
    </row>
    <row r="5821" spans="1:15" x14ac:dyDescent="0.3">
      <c r="A5821" t="s">
        <v>13694</v>
      </c>
      <c r="B5821" t="s">
        <v>13695</v>
      </c>
      <c r="C5821" t="s">
        <v>58</v>
      </c>
      <c r="D5821" t="s">
        <v>29</v>
      </c>
      <c r="E5821" t="s">
        <v>30</v>
      </c>
      <c r="F5821" t="s">
        <v>31</v>
      </c>
      <c r="G5821">
        <v>9.0299999999999994</v>
      </c>
      <c r="H5821" t="s">
        <v>41</v>
      </c>
      <c r="I5821" t="s">
        <v>42</v>
      </c>
      <c r="M5821">
        <f>VLOOKUP(H5821,'Stage Order'!$A$2:$B$8,2,FALSE)</f>
        <v>2</v>
      </c>
      <c r="N5821" t="str">
        <f t="shared" si="180"/>
        <v>2. 1-24 hours</v>
      </c>
      <c r="O5821" t="str">
        <f t="shared" si="181"/>
        <v>2025-10</v>
      </c>
    </row>
    <row r="5822" spans="1:15" x14ac:dyDescent="0.3">
      <c r="A5822" t="s">
        <v>13696</v>
      </c>
      <c r="B5822" t="s">
        <v>13697</v>
      </c>
      <c r="C5822" t="s">
        <v>76</v>
      </c>
      <c r="D5822" t="s">
        <v>77</v>
      </c>
      <c r="E5822" t="s">
        <v>45</v>
      </c>
      <c r="F5822" t="s">
        <v>55</v>
      </c>
      <c r="G5822">
        <v>21.32</v>
      </c>
      <c r="H5822" t="s">
        <v>41</v>
      </c>
      <c r="I5822" t="s">
        <v>42</v>
      </c>
      <c r="M5822">
        <f>VLOOKUP(H5822,'Stage Order'!$A$2:$B$8,2,FALSE)</f>
        <v>2</v>
      </c>
      <c r="N5822" t="str">
        <f t="shared" si="180"/>
        <v>2. 1-24 hours</v>
      </c>
      <c r="O5822" t="str">
        <f t="shared" si="181"/>
        <v>2026-06</v>
      </c>
    </row>
    <row r="5823" spans="1:15" x14ac:dyDescent="0.3">
      <c r="A5823" t="s">
        <v>13698</v>
      </c>
      <c r="B5823" t="s">
        <v>13699</v>
      </c>
      <c r="C5823" t="s">
        <v>37</v>
      </c>
      <c r="D5823" t="s">
        <v>77</v>
      </c>
      <c r="E5823" t="s">
        <v>45</v>
      </c>
      <c r="F5823" t="s">
        <v>46</v>
      </c>
      <c r="G5823">
        <v>1.86</v>
      </c>
      <c r="H5823" t="s">
        <v>41</v>
      </c>
      <c r="I5823" t="s">
        <v>42</v>
      </c>
      <c r="M5823">
        <f>VLOOKUP(H5823,'Stage Order'!$A$2:$B$8,2,FALSE)</f>
        <v>2</v>
      </c>
      <c r="N5823" t="str">
        <f t="shared" si="180"/>
        <v>2. 1-24 hours</v>
      </c>
      <c r="O5823" t="str">
        <f t="shared" si="181"/>
        <v>2025-05</v>
      </c>
    </row>
    <row r="5824" spans="1:15" x14ac:dyDescent="0.3">
      <c r="A5824" t="s">
        <v>13700</v>
      </c>
      <c r="B5824" t="s">
        <v>13701</v>
      </c>
      <c r="C5824" t="s">
        <v>53</v>
      </c>
      <c r="D5824" t="s">
        <v>38</v>
      </c>
      <c r="E5824" t="s">
        <v>59</v>
      </c>
      <c r="F5824" t="s">
        <v>117</v>
      </c>
      <c r="G5824">
        <v>2.64</v>
      </c>
      <c r="H5824" t="s">
        <v>41</v>
      </c>
      <c r="I5824" t="s">
        <v>42</v>
      </c>
      <c r="M5824">
        <f>VLOOKUP(H5824,'Stage Order'!$A$2:$B$8,2,FALSE)</f>
        <v>2</v>
      </c>
      <c r="N5824" t="str">
        <f t="shared" si="180"/>
        <v>2. 1-24 hours</v>
      </c>
      <c r="O5824" t="str">
        <f t="shared" si="181"/>
        <v>2025-04</v>
      </c>
    </row>
    <row r="5825" spans="1:15" x14ac:dyDescent="0.3">
      <c r="A5825" t="s">
        <v>13702</v>
      </c>
      <c r="B5825" t="s">
        <v>13703</v>
      </c>
      <c r="C5825" t="s">
        <v>58</v>
      </c>
      <c r="D5825" t="s">
        <v>77</v>
      </c>
      <c r="E5825" t="s">
        <v>39</v>
      </c>
      <c r="F5825" t="s">
        <v>106</v>
      </c>
      <c r="G5825">
        <v>2.13</v>
      </c>
      <c r="H5825" t="s">
        <v>146</v>
      </c>
      <c r="I5825" t="s">
        <v>48</v>
      </c>
      <c r="J5825" t="s">
        <v>98</v>
      </c>
      <c r="K5825">
        <v>916.79</v>
      </c>
      <c r="L5825" t="s">
        <v>13704</v>
      </c>
      <c r="M5825">
        <f>VLOOKUP(H5825,'Stage Order'!$A$2:$B$8,2,FALSE)</f>
        <v>5</v>
      </c>
      <c r="N5825" t="str">
        <f t="shared" si="180"/>
        <v>2. 1-24 hours</v>
      </c>
      <c r="O5825" t="str">
        <f t="shared" si="181"/>
        <v>2025-12</v>
      </c>
    </row>
    <row r="5826" spans="1:15" x14ac:dyDescent="0.3">
      <c r="A5826" t="s">
        <v>13705</v>
      </c>
      <c r="B5826" t="s">
        <v>13706</v>
      </c>
      <c r="C5826" t="s">
        <v>125</v>
      </c>
      <c r="D5826" t="s">
        <v>77</v>
      </c>
      <c r="E5826" t="s">
        <v>59</v>
      </c>
      <c r="F5826" t="s">
        <v>60</v>
      </c>
      <c r="G5826">
        <v>6.24</v>
      </c>
      <c r="H5826" t="s">
        <v>61</v>
      </c>
      <c r="I5826" t="s">
        <v>42</v>
      </c>
      <c r="M5826">
        <f>VLOOKUP(H5826,'Stage Order'!$A$2:$B$8,2,FALSE)</f>
        <v>1</v>
      </c>
      <c r="N5826" t="str">
        <f t="shared" ref="N5826:N5889" si="182">IF(G5826&lt;=1,"1. Under 1 hour",IF(G5826&lt;=24,"2. 1-24 hours",IF(G5826&lt;=72,"3. 1-3 days","4. Over 3 days")))</f>
        <v>2. 1-24 hours</v>
      </c>
      <c r="O5826" t="str">
        <f t="shared" ref="O5826:O5889" si="183">TEXT(B5826,"YYYY-MM")</f>
        <v>2025-04</v>
      </c>
    </row>
    <row r="5827" spans="1:15" x14ac:dyDescent="0.3">
      <c r="A5827" t="s">
        <v>13707</v>
      </c>
      <c r="B5827" t="s">
        <v>13708</v>
      </c>
      <c r="C5827" t="s">
        <v>37</v>
      </c>
      <c r="D5827" t="s">
        <v>77</v>
      </c>
      <c r="E5827" t="s">
        <v>90</v>
      </c>
      <c r="F5827" t="s">
        <v>112</v>
      </c>
      <c r="G5827">
        <v>0.88</v>
      </c>
      <c r="H5827" t="s">
        <v>41</v>
      </c>
      <c r="I5827" t="s">
        <v>42</v>
      </c>
      <c r="M5827">
        <f>VLOOKUP(H5827,'Stage Order'!$A$2:$B$8,2,FALSE)</f>
        <v>2</v>
      </c>
      <c r="N5827" t="str">
        <f t="shared" si="182"/>
        <v>1. Under 1 hour</v>
      </c>
      <c r="O5827" t="str">
        <f t="shared" si="183"/>
        <v>2026-06</v>
      </c>
    </row>
    <row r="5828" spans="1:15" x14ac:dyDescent="0.3">
      <c r="A5828" t="s">
        <v>13709</v>
      </c>
      <c r="B5828" t="s">
        <v>13710</v>
      </c>
      <c r="C5828" t="s">
        <v>58</v>
      </c>
      <c r="D5828" t="s">
        <v>54</v>
      </c>
      <c r="E5828" t="s">
        <v>39</v>
      </c>
      <c r="F5828" t="s">
        <v>66</v>
      </c>
      <c r="G5828">
        <v>1</v>
      </c>
      <c r="H5828" t="s">
        <v>41</v>
      </c>
      <c r="I5828" t="s">
        <v>42</v>
      </c>
      <c r="M5828">
        <f>VLOOKUP(H5828,'Stage Order'!$A$2:$B$8,2,FALSE)</f>
        <v>2</v>
      </c>
      <c r="N5828" t="str">
        <f t="shared" si="182"/>
        <v>1. Under 1 hour</v>
      </c>
      <c r="O5828" t="str">
        <f t="shared" si="183"/>
        <v>2026-05</v>
      </c>
    </row>
    <row r="5829" spans="1:15" x14ac:dyDescent="0.3">
      <c r="A5829" t="s">
        <v>13711</v>
      </c>
      <c r="B5829" t="s">
        <v>13712</v>
      </c>
      <c r="C5829" t="s">
        <v>28</v>
      </c>
      <c r="D5829" t="s">
        <v>54</v>
      </c>
      <c r="E5829" t="s">
        <v>30</v>
      </c>
      <c r="F5829" t="s">
        <v>31</v>
      </c>
      <c r="G5829">
        <v>1.89</v>
      </c>
      <c r="H5829" t="s">
        <v>32</v>
      </c>
      <c r="I5829" t="s">
        <v>33</v>
      </c>
      <c r="K5829">
        <v>416.71</v>
      </c>
      <c r="L5829" t="s">
        <v>13713</v>
      </c>
      <c r="M5829">
        <f>VLOOKUP(H5829,'Stage Order'!$A$2:$B$8,2,FALSE)</f>
        <v>7</v>
      </c>
      <c r="N5829" t="str">
        <f t="shared" si="182"/>
        <v>2. 1-24 hours</v>
      </c>
      <c r="O5829" t="str">
        <f t="shared" si="183"/>
        <v>2026-04</v>
      </c>
    </row>
    <row r="5830" spans="1:15" x14ac:dyDescent="0.3">
      <c r="A5830" t="s">
        <v>13714</v>
      </c>
      <c r="B5830" t="s">
        <v>13715</v>
      </c>
      <c r="C5830" t="s">
        <v>37</v>
      </c>
      <c r="D5830" t="s">
        <v>54</v>
      </c>
      <c r="E5830" t="s">
        <v>90</v>
      </c>
      <c r="F5830" t="s">
        <v>91</v>
      </c>
      <c r="G5830">
        <v>5.96</v>
      </c>
      <c r="H5830" t="s">
        <v>47</v>
      </c>
      <c r="I5830" t="s">
        <v>48</v>
      </c>
      <c r="J5830" t="s">
        <v>742</v>
      </c>
      <c r="K5830">
        <v>434.6</v>
      </c>
      <c r="L5830" t="s">
        <v>13716</v>
      </c>
      <c r="M5830">
        <f>VLOOKUP(H5830,'Stage Order'!$A$2:$B$8,2,FALSE)</f>
        <v>4</v>
      </c>
      <c r="N5830" t="str">
        <f t="shared" si="182"/>
        <v>2. 1-24 hours</v>
      </c>
      <c r="O5830" t="str">
        <f t="shared" si="183"/>
        <v>2025-10</v>
      </c>
    </row>
    <row r="5831" spans="1:15" x14ac:dyDescent="0.3">
      <c r="A5831" t="s">
        <v>13717</v>
      </c>
      <c r="B5831" t="s">
        <v>13718</v>
      </c>
      <c r="C5831" t="s">
        <v>58</v>
      </c>
      <c r="D5831" t="s">
        <v>29</v>
      </c>
      <c r="E5831" t="s">
        <v>39</v>
      </c>
      <c r="F5831" t="s">
        <v>66</v>
      </c>
      <c r="G5831">
        <v>3.97</v>
      </c>
      <c r="H5831" t="s">
        <v>41</v>
      </c>
      <c r="I5831" t="s">
        <v>42</v>
      </c>
      <c r="M5831">
        <f>VLOOKUP(H5831,'Stage Order'!$A$2:$B$8,2,FALSE)</f>
        <v>2</v>
      </c>
      <c r="N5831" t="str">
        <f t="shared" si="182"/>
        <v>2. 1-24 hours</v>
      </c>
      <c r="O5831" t="str">
        <f t="shared" si="183"/>
        <v>2025-07</v>
      </c>
    </row>
    <row r="5832" spans="1:15" x14ac:dyDescent="0.3">
      <c r="A5832" t="s">
        <v>13719</v>
      </c>
      <c r="B5832" t="s">
        <v>13720</v>
      </c>
      <c r="C5832" t="s">
        <v>53</v>
      </c>
      <c r="D5832" t="s">
        <v>54</v>
      </c>
      <c r="E5832" t="s">
        <v>30</v>
      </c>
      <c r="F5832" t="s">
        <v>31</v>
      </c>
      <c r="G5832">
        <v>2.41</v>
      </c>
      <c r="H5832" t="s">
        <v>41</v>
      </c>
      <c r="I5832" t="s">
        <v>42</v>
      </c>
      <c r="M5832">
        <f>VLOOKUP(H5832,'Stage Order'!$A$2:$B$8,2,FALSE)</f>
        <v>2</v>
      </c>
      <c r="N5832" t="str">
        <f t="shared" si="182"/>
        <v>2. 1-24 hours</v>
      </c>
      <c r="O5832" t="str">
        <f t="shared" si="183"/>
        <v>2026-04</v>
      </c>
    </row>
    <row r="5833" spans="1:15" x14ac:dyDescent="0.3">
      <c r="A5833" t="s">
        <v>13721</v>
      </c>
      <c r="B5833" t="s">
        <v>13722</v>
      </c>
      <c r="C5833" t="s">
        <v>58</v>
      </c>
      <c r="D5833" t="s">
        <v>54</v>
      </c>
      <c r="E5833" t="s">
        <v>90</v>
      </c>
      <c r="F5833" t="s">
        <v>145</v>
      </c>
      <c r="G5833">
        <v>17.05</v>
      </c>
      <c r="H5833" t="s">
        <v>41</v>
      </c>
      <c r="I5833" t="s">
        <v>42</v>
      </c>
      <c r="M5833">
        <f>VLOOKUP(H5833,'Stage Order'!$A$2:$B$8,2,FALSE)</f>
        <v>2</v>
      </c>
      <c r="N5833" t="str">
        <f t="shared" si="182"/>
        <v>2. 1-24 hours</v>
      </c>
      <c r="O5833" t="str">
        <f t="shared" si="183"/>
        <v>2025-12</v>
      </c>
    </row>
    <row r="5834" spans="1:15" x14ac:dyDescent="0.3">
      <c r="A5834" t="s">
        <v>13723</v>
      </c>
      <c r="B5834" t="s">
        <v>13724</v>
      </c>
      <c r="C5834" t="s">
        <v>58</v>
      </c>
      <c r="D5834" t="s">
        <v>29</v>
      </c>
      <c r="E5834" t="s">
        <v>45</v>
      </c>
      <c r="F5834" t="s">
        <v>46</v>
      </c>
      <c r="G5834">
        <v>14.27</v>
      </c>
      <c r="H5834" t="s">
        <v>61</v>
      </c>
      <c r="I5834" t="s">
        <v>42</v>
      </c>
      <c r="M5834">
        <f>VLOOKUP(H5834,'Stage Order'!$A$2:$B$8,2,FALSE)</f>
        <v>1</v>
      </c>
      <c r="N5834" t="str">
        <f t="shared" si="182"/>
        <v>2. 1-24 hours</v>
      </c>
      <c r="O5834" t="str">
        <f t="shared" si="183"/>
        <v>2026-06</v>
      </c>
    </row>
    <row r="5835" spans="1:15" x14ac:dyDescent="0.3">
      <c r="A5835" t="s">
        <v>13725</v>
      </c>
      <c r="B5835" t="s">
        <v>13726</v>
      </c>
      <c r="C5835" t="s">
        <v>28</v>
      </c>
      <c r="D5835" t="s">
        <v>77</v>
      </c>
      <c r="E5835" t="s">
        <v>90</v>
      </c>
      <c r="F5835" t="s">
        <v>112</v>
      </c>
      <c r="G5835">
        <v>5.29</v>
      </c>
      <c r="H5835" t="s">
        <v>41</v>
      </c>
      <c r="I5835" t="s">
        <v>42</v>
      </c>
      <c r="M5835">
        <f>VLOOKUP(H5835,'Stage Order'!$A$2:$B$8,2,FALSE)</f>
        <v>2</v>
      </c>
      <c r="N5835" t="str">
        <f t="shared" si="182"/>
        <v>2. 1-24 hours</v>
      </c>
      <c r="O5835" t="str">
        <f t="shared" si="183"/>
        <v>2026-05</v>
      </c>
    </row>
    <row r="5836" spans="1:15" x14ac:dyDescent="0.3">
      <c r="A5836" t="s">
        <v>13727</v>
      </c>
      <c r="B5836" t="s">
        <v>13728</v>
      </c>
      <c r="C5836" t="s">
        <v>28</v>
      </c>
      <c r="D5836" t="s">
        <v>38</v>
      </c>
      <c r="E5836" t="s">
        <v>39</v>
      </c>
      <c r="F5836" t="s">
        <v>40</v>
      </c>
      <c r="G5836">
        <v>3.62</v>
      </c>
      <c r="H5836" t="s">
        <v>32</v>
      </c>
      <c r="I5836" t="s">
        <v>33</v>
      </c>
      <c r="K5836">
        <v>291.7</v>
      </c>
      <c r="L5836" t="s">
        <v>13729</v>
      </c>
      <c r="M5836">
        <f>VLOOKUP(H5836,'Stage Order'!$A$2:$B$8,2,FALSE)</f>
        <v>7</v>
      </c>
      <c r="N5836" t="str">
        <f t="shared" si="182"/>
        <v>2. 1-24 hours</v>
      </c>
      <c r="O5836" t="str">
        <f t="shared" si="183"/>
        <v>2025-02</v>
      </c>
    </row>
    <row r="5837" spans="1:15" x14ac:dyDescent="0.3">
      <c r="A5837" t="s">
        <v>13730</v>
      </c>
      <c r="B5837" t="s">
        <v>13731</v>
      </c>
      <c r="C5837" t="s">
        <v>125</v>
      </c>
      <c r="D5837" t="s">
        <v>38</v>
      </c>
      <c r="E5837" t="s">
        <v>45</v>
      </c>
      <c r="F5837" t="s">
        <v>94</v>
      </c>
      <c r="G5837">
        <v>39.64</v>
      </c>
      <c r="H5837" t="s">
        <v>61</v>
      </c>
      <c r="I5837" t="s">
        <v>42</v>
      </c>
      <c r="M5837">
        <f>VLOOKUP(H5837,'Stage Order'!$A$2:$B$8,2,FALSE)</f>
        <v>1</v>
      </c>
      <c r="N5837" t="str">
        <f t="shared" si="182"/>
        <v>3. 1-3 days</v>
      </c>
      <c r="O5837" t="str">
        <f t="shared" si="183"/>
        <v>2025-09</v>
      </c>
    </row>
    <row r="5838" spans="1:15" x14ac:dyDescent="0.3">
      <c r="A5838" t="s">
        <v>13732</v>
      </c>
      <c r="B5838" t="s">
        <v>13733</v>
      </c>
      <c r="C5838" t="s">
        <v>58</v>
      </c>
      <c r="D5838" t="s">
        <v>29</v>
      </c>
      <c r="E5838" t="s">
        <v>59</v>
      </c>
      <c r="F5838" t="s">
        <v>117</v>
      </c>
      <c r="G5838">
        <v>2.63</v>
      </c>
      <c r="H5838" t="s">
        <v>61</v>
      </c>
      <c r="I5838" t="s">
        <v>42</v>
      </c>
      <c r="M5838">
        <f>VLOOKUP(H5838,'Stage Order'!$A$2:$B$8,2,FALSE)</f>
        <v>1</v>
      </c>
      <c r="N5838" t="str">
        <f t="shared" si="182"/>
        <v>2. 1-24 hours</v>
      </c>
      <c r="O5838" t="str">
        <f t="shared" si="183"/>
        <v>2025-11</v>
      </c>
    </row>
    <row r="5839" spans="1:15" x14ac:dyDescent="0.3">
      <c r="A5839" t="s">
        <v>13734</v>
      </c>
      <c r="B5839" t="s">
        <v>13735</v>
      </c>
      <c r="C5839" t="s">
        <v>37</v>
      </c>
      <c r="D5839" t="s">
        <v>38</v>
      </c>
      <c r="E5839" t="s">
        <v>39</v>
      </c>
      <c r="F5839" t="s">
        <v>40</v>
      </c>
      <c r="G5839">
        <v>2.19</v>
      </c>
      <c r="H5839" t="s">
        <v>138</v>
      </c>
      <c r="I5839" t="s">
        <v>48</v>
      </c>
      <c r="J5839" t="s">
        <v>98</v>
      </c>
      <c r="K5839">
        <v>334.98</v>
      </c>
      <c r="L5839" t="s">
        <v>13736</v>
      </c>
      <c r="M5839">
        <f>VLOOKUP(H5839,'Stage Order'!$A$2:$B$8,2,FALSE)</f>
        <v>6</v>
      </c>
      <c r="N5839" t="str">
        <f t="shared" si="182"/>
        <v>2. 1-24 hours</v>
      </c>
      <c r="O5839" t="str">
        <f t="shared" si="183"/>
        <v>2026-03</v>
      </c>
    </row>
    <row r="5840" spans="1:15" x14ac:dyDescent="0.3">
      <c r="A5840" t="s">
        <v>13737</v>
      </c>
      <c r="B5840" t="s">
        <v>13738</v>
      </c>
      <c r="C5840" t="s">
        <v>53</v>
      </c>
      <c r="D5840" t="s">
        <v>54</v>
      </c>
      <c r="E5840" t="s">
        <v>45</v>
      </c>
      <c r="F5840" t="s">
        <v>94</v>
      </c>
      <c r="G5840">
        <v>11.22</v>
      </c>
      <c r="H5840" t="s">
        <v>41</v>
      </c>
      <c r="I5840" t="s">
        <v>42</v>
      </c>
      <c r="M5840">
        <f>VLOOKUP(H5840,'Stage Order'!$A$2:$B$8,2,FALSE)</f>
        <v>2</v>
      </c>
      <c r="N5840" t="str">
        <f t="shared" si="182"/>
        <v>2. 1-24 hours</v>
      </c>
      <c r="O5840" t="str">
        <f t="shared" si="183"/>
        <v>2025-04</v>
      </c>
    </row>
    <row r="5841" spans="1:15" x14ac:dyDescent="0.3">
      <c r="A5841" t="s">
        <v>13739</v>
      </c>
      <c r="B5841" t="s">
        <v>13740</v>
      </c>
      <c r="C5841" t="s">
        <v>53</v>
      </c>
      <c r="D5841" t="s">
        <v>77</v>
      </c>
      <c r="E5841" t="s">
        <v>45</v>
      </c>
      <c r="F5841" t="s">
        <v>55</v>
      </c>
      <c r="G5841">
        <v>3.76</v>
      </c>
      <c r="H5841" t="s">
        <v>32</v>
      </c>
      <c r="I5841" t="s">
        <v>33</v>
      </c>
      <c r="K5841">
        <v>892.85</v>
      </c>
      <c r="L5841" t="s">
        <v>13741</v>
      </c>
      <c r="M5841">
        <f>VLOOKUP(H5841,'Stage Order'!$A$2:$B$8,2,FALSE)</f>
        <v>7</v>
      </c>
      <c r="N5841" t="str">
        <f t="shared" si="182"/>
        <v>2. 1-24 hours</v>
      </c>
      <c r="O5841" t="str">
        <f t="shared" si="183"/>
        <v>2025-01</v>
      </c>
    </row>
    <row r="5842" spans="1:15" x14ac:dyDescent="0.3">
      <c r="A5842" t="s">
        <v>13742</v>
      </c>
      <c r="B5842" t="s">
        <v>13743</v>
      </c>
      <c r="C5842" t="s">
        <v>37</v>
      </c>
      <c r="D5842" t="s">
        <v>97</v>
      </c>
      <c r="E5842" t="s">
        <v>39</v>
      </c>
      <c r="F5842" t="s">
        <v>40</v>
      </c>
      <c r="G5842">
        <v>0.53</v>
      </c>
      <c r="H5842" t="s">
        <v>32</v>
      </c>
      <c r="I5842" t="s">
        <v>33</v>
      </c>
      <c r="K5842">
        <v>1491.2</v>
      </c>
      <c r="L5842" t="s">
        <v>13744</v>
      </c>
      <c r="M5842">
        <f>VLOOKUP(H5842,'Stage Order'!$A$2:$B$8,2,FALSE)</f>
        <v>7</v>
      </c>
      <c r="N5842" t="str">
        <f t="shared" si="182"/>
        <v>1. Under 1 hour</v>
      </c>
      <c r="O5842" t="str">
        <f t="shared" si="183"/>
        <v>2025-02</v>
      </c>
    </row>
    <row r="5843" spans="1:15" x14ac:dyDescent="0.3">
      <c r="A5843" t="s">
        <v>13745</v>
      </c>
      <c r="B5843" t="s">
        <v>13746</v>
      </c>
      <c r="C5843" t="s">
        <v>125</v>
      </c>
      <c r="D5843" t="s">
        <v>54</v>
      </c>
      <c r="E5843" t="s">
        <v>45</v>
      </c>
      <c r="F5843" t="s">
        <v>55</v>
      </c>
      <c r="G5843">
        <v>1.79</v>
      </c>
      <c r="H5843" t="s">
        <v>61</v>
      </c>
      <c r="I5843" t="s">
        <v>42</v>
      </c>
      <c r="M5843">
        <f>VLOOKUP(H5843,'Stage Order'!$A$2:$B$8,2,FALSE)</f>
        <v>1</v>
      </c>
      <c r="N5843" t="str">
        <f t="shared" si="182"/>
        <v>2. 1-24 hours</v>
      </c>
      <c r="O5843" t="str">
        <f t="shared" si="183"/>
        <v>2025-08</v>
      </c>
    </row>
    <row r="5844" spans="1:15" x14ac:dyDescent="0.3">
      <c r="A5844" t="s">
        <v>13747</v>
      </c>
      <c r="B5844" t="s">
        <v>13748</v>
      </c>
      <c r="C5844" t="s">
        <v>37</v>
      </c>
      <c r="D5844" t="s">
        <v>54</v>
      </c>
      <c r="E5844" t="s">
        <v>59</v>
      </c>
      <c r="F5844" t="s">
        <v>60</v>
      </c>
      <c r="G5844">
        <v>3.21</v>
      </c>
      <c r="H5844" t="s">
        <v>41</v>
      </c>
      <c r="I5844" t="s">
        <v>42</v>
      </c>
      <c r="M5844">
        <f>VLOOKUP(H5844,'Stage Order'!$A$2:$B$8,2,FALSE)</f>
        <v>2</v>
      </c>
      <c r="N5844" t="str">
        <f t="shared" si="182"/>
        <v>2. 1-24 hours</v>
      </c>
      <c r="O5844" t="str">
        <f t="shared" si="183"/>
        <v>2025-08</v>
      </c>
    </row>
    <row r="5845" spans="1:15" x14ac:dyDescent="0.3">
      <c r="A5845" t="s">
        <v>13749</v>
      </c>
      <c r="B5845" t="s">
        <v>13750</v>
      </c>
      <c r="C5845" t="s">
        <v>37</v>
      </c>
      <c r="D5845" t="s">
        <v>97</v>
      </c>
      <c r="E5845" t="s">
        <v>39</v>
      </c>
      <c r="F5845" t="s">
        <v>66</v>
      </c>
      <c r="G5845">
        <v>2.16</v>
      </c>
      <c r="H5845" t="s">
        <v>41</v>
      </c>
      <c r="I5845" t="s">
        <v>42</v>
      </c>
      <c r="M5845">
        <f>VLOOKUP(H5845,'Stage Order'!$A$2:$B$8,2,FALSE)</f>
        <v>2</v>
      </c>
      <c r="N5845" t="str">
        <f t="shared" si="182"/>
        <v>2. 1-24 hours</v>
      </c>
      <c r="O5845" t="str">
        <f t="shared" si="183"/>
        <v>2025-02</v>
      </c>
    </row>
    <row r="5846" spans="1:15" x14ac:dyDescent="0.3">
      <c r="A5846" t="s">
        <v>13751</v>
      </c>
      <c r="B5846" t="s">
        <v>13752</v>
      </c>
      <c r="C5846" t="s">
        <v>81</v>
      </c>
      <c r="D5846" t="s">
        <v>29</v>
      </c>
      <c r="E5846" t="s">
        <v>39</v>
      </c>
      <c r="F5846" t="s">
        <v>106</v>
      </c>
      <c r="G5846">
        <v>1.18</v>
      </c>
      <c r="H5846" t="s">
        <v>41</v>
      </c>
      <c r="I5846" t="s">
        <v>42</v>
      </c>
      <c r="M5846">
        <f>VLOOKUP(H5846,'Stage Order'!$A$2:$B$8,2,FALSE)</f>
        <v>2</v>
      </c>
      <c r="N5846" t="str">
        <f t="shared" si="182"/>
        <v>2. 1-24 hours</v>
      </c>
      <c r="O5846" t="str">
        <f t="shared" si="183"/>
        <v>2026-02</v>
      </c>
    </row>
    <row r="5847" spans="1:15" x14ac:dyDescent="0.3">
      <c r="A5847" t="s">
        <v>13753</v>
      </c>
      <c r="B5847" t="s">
        <v>13754</v>
      </c>
      <c r="C5847" t="s">
        <v>58</v>
      </c>
      <c r="D5847" t="s">
        <v>54</v>
      </c>
      <c r="E5847" t="s">
        <v>30</v>
      </c>
      <c r="F5847" t="s">
        <v>82</v>
      </c>
      <c r="G5847">
        <v>0.79</v>
      </c>
      <c r="H5847" t="s">
        <v>41</v>
      </c>
      <c r="I5847" t="s">
        <v>42</v>
      </c>
      <c r="M5847">
        <f>VLOOKUP(H5847,'Stage Order'!$A$2:$B$8,2,FALSE)</f>
        <v>2</v>
      </c>
      <c r="N5847" t="str">
        <f t="shared" si="182"/>
        <v>1. Under 1 hour</v>
      </c>
      <c r="O5847" t="str">
        <f t="shared" si="183"/>
        <v>2025-08</v>
      </c>
    </row>
    <row r="5848" spans="1:15" x14ac:dyDescent="0.3">
      <c r="A5848" t="s">
        <v>13755</v>
      </c>
      <c r="B5848" t="s">
        <v>13756</v>
      </c>
      <c r="C5848" t="s">
        <v>81</v>
      </c>
      <c r="D5848" t="s">
        <v>54</v>
      </c>
      <c r="E5848" t="s">
        <v>59</v>
      </c>
      <c r="F5848" t="s">
        <v>117</v>
      </c>
      <c r="G5848">
        <v>2.66</v>
      </c>
      <c r="H5848" t="s">
        <v>41</v>
      </c>
      <c r="I5848" t="s">
        <v>42</v>
      </c>
      <c r="M5848">
        <f>VLOOKUP(H5848,'Stage Order'!$A$2:$B$8,2,FALSE)</f>
        <v>2</v>
      </c>
      <c r="N5848" t="str">
        <f t="shared" si="182"/>
        <v>2. 1-24 hours</v>
      </c>
      <c r="O5848" t="str">
        <f t="shared" si="183"/>
        <v>2026-01</v>
      </c>
    </row>
    <row r="5849" spans="1:15" x14ac:dyDescent="0.3">
      <c r="A5849" t="s">
        <v>13757</v>
      </c>
      <c r="B5849" t="s">
        <v>13758</v>
      </c>
      <c r="C5849" t="s">
        <v>125</v>
      </c>
      <c r="D5849" t="s">
        <v>38</v>
      </c>
      <c r="E5849" t="s">
        <v>59</v>
      </c>
      <c r="F5849" t="s">
        <v>137</v>
      </c>
      <c r="G5849">
        <v>10.57</v>
      </c>
      <c r="H5849" t="s">
        <v>47</v>
      </c>
      <c r="I5849" t="s">
        <v>48</v>
      </c>
      <c r="J5849" t="s">
        <v>139</v>
      </c>
      <c r="K5849">
        <v>365.62</v>
      </c>
      <c r="L5849" t="s">
        <v>13759</v>
      </c>
      <c r="M5849">
        <f>VLOOKUP(H5849,'Stage Order'!$A$2:$B$8,2,FALSE)</f>
        <v>4</v>
      </c>
      <c r="N5849" t="str">
        <f t="shared" si="182"/>
        <v>2. 1-24 hours</v>
      </c>
      <c r="O5849" t="str">
        <f t="shared" si="183"/>
        <v>2025-12</v>
      </c>
    </row>
    <row r="5850" spans="1:15" x14ac:dyDescent="0.3">
      <c r="A5850" t="s">
        <v>13760</v>
      </c>
      <c r="B5850" t="s">
        <v>13761</v>
      </c>
      <c r="C5850" t="s">
        <v>58</v>
      </c>
      <c r="D5850" t="s">
        <v>97</v>
      </c>
      <c r="E5850" t="s">
        <v>59</v>
      </c>
      <c r="F5850" t="s">
        <v>137</v>
      </c>
      <c r="G5850">
        <v>2.25</v>
      </c>
      <c r="H5850" t="s">
        <v>41</v>
      </c>
      <c r="I5850" t="s">
        <v>42</v>
      </c>
      <c r="M5850">
        <f>VLOOKUP(H5850,'Stage Order'!$A$2:$B$8,2,FALSE)</f>
        <v>2</v>
      </c>
      <c r="N5850" t="str">
        <f t="shared" si="182"/>
        <v>2. 1-24 hours</v>
      </c>
      <c r="O5850" t="str">
        <f t="shared" si="183"/>
        <v>2025-12</v>
      </c>
    </row>
    <row r="5851" spans="1:15" x14ac:dyDescent="0.3">
      <c r="A5851" t="s">
        <v>13762</v>
      </c>
      <c r="B5851" t="s">
        <v>13763</v>
      </c>
      <c r="C5851" t="s">
        <v>58</v>
      </c>
      <c r="D5851" t="s">
        <v>97</v>
      </c>
      <c r="E5851" t="s">
        <v>30</v>
      </c>
      <c r="F5851" t="s">
        <v>82</v>
      </c>
      <c r="G5851">
        <v>1.1200000000000001</v>
      </c>
      <c r="H5851" t="s">
        <v>61</v>
      </c>
      <c r="I5851" t="s">
        <v>42</v>
      </c>
      <c r="M5851">
        <f>VLOOKUP(H5851,'Stage Order'!$A$2:$B$8,2,FALSE)</f>
        <v>1</v>
      </c>
      <c r="N5851" t="str">
        <f t="shared" si="182"/>
        <v>2. 1-24 hours</v>
      </c>
      <c r="O5851" t="str">
        <f t="shared" si="183"/>
        <v>2025-08</v>
      </c>
    </row>
    <row r="5852" spans="1:15" x14ac:dyDescent="0.3">
      <c r="A5852" t="s">
        <v>13764</v>
      </c>
      <c r="B5852" t="s">
        <v>13765</v>
      </c>
      <c r="C5852" t="s">
        <v>28</v>
      </c>
      <c r="D5852" t="s">
        <v>77</v>
      </c>
      <c r="E5852" t="s">
        <v>39</v>
      </c>
      <c r="F5852" t="s">
        <v>106</v>
      </c>
      <c r="G5852">
        <v>15.08</v>
      </c>
      <c r="H5852" t="s">
        <v>61</v>
      </c>
      <c r="I5852" t="s">
        <v>42</v>
      </c>
      <c r="M5852">
        <f>VLOOKUP(H5852,'Stage Order'!$A$2:$B$8,2,FALSE)</f>
        <v>1</v>
      </c>
      <c r="N5852" t="str">
        <f t="shared" si="182"/>
        <v>2. 1-24 hours</v>
      </c>
      <c r="O5852" t="str">
        <f t="shared" si="183"/>
        <v>2026-04</v>
      </c>
    </row>
    <row r="5853" spans="1:15" x14ac:dyDescent="0.3">
      <c r="A5853" t="s">
        <v>13766</v>
      </c>
      <c r="B5853" t="s">
        <v>13767</v>
      </c>
      <c r="C5853" t="s">
        <v>58</v>
      </c>
      <c r="D5853" t="s">
        <v>97</v>
      </c>
      <c r="E5853" t="s">
        <v>45</v>
      </c>
      <c r="F5853" t="s">
        <v>55</v>
      </c>
      <c r="G5853">
        <v>2.23</v>
      </c>
      <c r="H5853" t="s">
        <v>47</v>
      </c>
      <c r="I5853" t="s">
        <v>48</v>
      </c>
      <c r="J5853" t="s">
        <v>49</v>
      </c>
      <c r="K5853">
        <v>1417.33</v>
      </c>
      <c r="L5853" t="s">
        <v>13768</v>
      </c>
      <c r="M5853">
        <f>VLOOKUP(H5853,'Stage Order'!$A$2:$B$8,2,FALSE)</f>
        <v>4</v>
      </c>
      <c r="N5853" t="str">
        <f t="shared" si="182"/>
        <v>2. 1-24 hours</v>
      </c>
      <c r="O5853" t="str">
        <f t="shared" si="183"/>
        <v>2025-12</v>
      </c>
    </row>
    <row r="5854" spans="1:15" x14ac:dyDescent="0.3">
      <c r="A5854" t="s">
        <v>13769</v>
      </c>
      <c r="B5854" t="s">
        <v>13770</v>
      </c>
      <c r="C5854" t="s">
        <v>37</v>
      </c>
      <c r="D5854" t="s">
        <v>38</v>
      </c>
      <c r="E5854" t="s">
        <v>39</v>
      </c>
      <c r="F5854" t="s">
        <v>106</v>
      </c>
      <c r="G5854">
        <v>4.04</v>
      </c>
      <c r="H5854" t="s">
        <v>47</v>
      </c>
      <c r="I5854" t="s">
        <v>48</v>
      </c>
      <c r="J5854" t="s">
        <v>98</v>
      </c>
      <c r="K5854">
        <v>296.25</v>
      </c>
      <c r="L5854" t="s">
        <v>13771</v>
      </c>
      <c r="M5854">
        <f>VLOOKUP(H5854,'Stage Order'!$A$2:$B$8,2,FALSE)</f>
        <v>4</v>
      </c>
      <c r="N5854" t="str">
        <f t="shared" si="182"/>
        <v>2. 1-24 hours</v>
      </c>
      <c r="O5854" t="str">
        <f t="shared" si="183"/>
        <v>2025-05</v>
      </c>
    </row>
    <row r="5855" spans="1:15" x14ac:dyDescent="0.3">
      <c r="A5855" t="s">
        <v>13772</v>
      </c>
      <c r="B5855" t="s">
        <v>13773</v>
      </c>
      <c r="C5855" t="s">
        <v>53</v>
      </c>
      <c r="D5855" t="s">
        <v>38</v>
      </c>
      <c r="E5855" t="s">
        <v>45</v>
      </c>
      <c r="F5855" t="s">
        <v>46</v>
      </c>
      <c r="G5855">
        <v>3.15</v>
      </c>
      <c r="H5855" t="s">
        <v>32</v>
      </c>
      <c r="I5855" t="s">
        <v>33</v>
      </c>
      <c r="K5855">
        <v>379.49</v>
      </c>
      <c r="L5855" t="s">
        <v>13774</v>
      </c>
      <c r="M5855">
        <f>VLOOKUP(H5855,'Stage Order'!$A$2:$B$8,2,FALSE)</f>
        <v>7</v>
      </c>
      <c r="N5855" t="str">
        <f t="shared" si="182"/>
        <v>2. 1-24 hours</v>
      </c>
      <c r="O5855" t="str">
        <f t="shared" si="183"/>
        <v>2025-08</v>
      </c>
    </row>
    <row r="5856" spans="1:15" x14ac:dyDescent="0.3">
      <c r="A5856" t="s">
        <v>13775</v>
      </c>
      <c r="B5856" t="s">
        <v>13776</v>
      </c>
      <c r="C5856" t="s">
        <v>28</v>
      </c>
      <c r="D5856" t="s">
        <v>97</v>
      </c>
      <c r="E5856" t="s">
        <v>45</v>
      </c>
      <c r="F5856" t="s">
        <v>55</v>
      </c>
      <c r="G5856">
        <v>1.81</v>
      </c>
      <c r="H5856" t="s">
        <v>41</v>
      </c>
      <c r="I5856" t="s">
        <v>42</v>
      </c>
      <c r="M5856">
        <f>VLOOKUP(H5856,'Stage Order'!$A$2:$B$8,2,FALSE)</f>
        <v>2</v>
      </c>
      <c r="N5856" t="str">
        <f t="shared" si="182"/>
        <v>2. 1-24 hours</v>
      </c>
      <c r="O5856" t="str">
        <f t="shared" si="183"/>
        <v>2025-07</v>
      </c>
    </row>
    <row r="5857" spans="1:15" x14ac:dyDescent="0.3">
      <c r="A5857" t="s">
        <v>13777</v>
      </c>
      <c r="B5857" t="s">
        <v>13778</v>
      </c>
      <c r="C5857" t="s">
        <v>28</v>
      </c>
      <c r="D5857" t="s">
        <v>77</v>
      </c>
      <c r="E5857" t="s">
        <v>30</v>
      </c>
      <c r="F5857" t="s">
        <v>31</v>
      </c>
      <c r="G5857">
        <v>1.1299999999999999</v>
      </c>
      <c r="H5857" t="s">
        <v>32</v>
      </c>
      <c r="I5857" t="s">
        <v>33</v>
      </c>
      <c r="K5857">
        <v>1117.0899999999999</v>
      </c>
      <c r="L5857" t="s">
        <v>13779</v>
      </c>
      <c r="M5857">
        <f>VLOOKUP(H5857,'Stage Order'!$A$2:$B$8,2,FALSE)</f>
        <v>7</v>
      </c>
      <c r="N5857" t="str">
        <f t="shared" si="182"/>
        <v>2. 1-24 hours</v>
      </c>
      <c r="O5857" t="str">
        <f t="shared" si="183"/>
        <v>2026-04</v>
      </c>
    </row>
    <row r="5858" spans="1:15" x14ac:dyDescent="0.3">
      <c r="A5858" t="s">
        <v>13780</v>
      </c>
      <c r="B5858" t="s">
        <v>13781</v>
      </c>
      <c r="C5858" t="s">
        <v>28</v>
      </c>
      <c r="D5858" t="s">
        <v>77</v>
      </c>
      <c r="E5858" t="s">
        <v>39</v>
      </c>
      <c r="F5858" t="s">
        <v>106</v>
      </c>
      <c r="G5858">
        <v>3.28</v>
      </c>
      <c r="H5858" t="s">
        <v>41</v>
      </c>
      <c r="I5858" t="s">
        <v>42</v>
      </c>
      <c r="M5858">
        <f>VLOOKUP(H5858,'Stage Order'!$A$2:$B$8,2,FALSE)</f>
        <v>2</v>
      </c>
      <c r="N5858" t="str">
        <f t="shared" si="182"/>
        <v>2. 1-24 hours</v>
      </c>
      <c r="O5858" t="str">
        <f t="shared" si="183"/>
        <v>2025-04</v>
      </c>
    </row>
    <row r="5859" spans="1:15" x14ac:dyDescent="0.3">
      <c r="A5859" t="s">
        <v>13782</v>
      </c>
      <c r="B5859" t="s">
        <v>13783</v>
      </c>
      <c r="C5859" t="s">
        <v>58</v>
      </c>
      <c r="D5859" t="s">
        <v>77</v>
      </c>
      <c r="E5859" t="s">
        <v>59</v>
      </c>
      <c r="F5859" t="s">
        <v>60</v>
      </c>
      <c r="G5859">
        <v>5.22</v>
      </c>
      <c r="H5859" t="s">
        <v>61</v>
      </c>
      <c r="I5859" t="s">
        <v>42</v>
      </c>
      <c r="M5859">
        <f>VLOOKUP(H5859,'Stage Order'!$A$2:$B$8,2,FALSE)</f>
        <v>1</v>
      </c>
      <c r="N5859" t="str">
        <f t="shared" si="182"/>
        <v>2. 1-24 hours</v>
      </c>
      <c r="O5859" t="str">
        <f t="shared" si="183"/>
        <v>2026-04</v>
      </c>
    </row>
    <row r="5860" spans="1:15" x14ac:dyDescent="0.3">
      <c r="A5860" t="s">
        <v>13784</v>
      </c>
      <c r="B5860" t="s">
        <v>13785</v>
      </c>
      <c r="C5860" t="s">
        <v>58</v>
      </c>
      <c r="D5860" t="s">
        <v>38</v>
      </c>
      <c r="E5860" t="s">
        <v>59</v>
      </c>
      <c r="F5860" t="s">
        <v>60</v>
      </c>
      <c r="G5860">
        <v>11.9</v>
      </c>
      <c r="H5860" t="s">
        <v>47</v>
      </c>
      <c r="I5860" t="s">
        <v>48</v>
      </c>
      <c r="J5860" t="s">
        <v>139</v>
      </c>
      <c r="K5860">
        <v>390.76</v>
      </c>
      <c r="L5860" t="s">
        <v>13786</v>
      </c>
      <c r="M5860">
        <f>VLOOKUP(H5860,'Stage Order'!$A$2:$B$8,2,FALSE)</f>
        <v>4</v>
      </c>
      <c r="N5860" t="str">
        <f t="shared" si="182"/>
        <v>2. 1-24 hours</v>
      </c>
      <c r="O5860" t="str">
        <f t="shared" si="183"/>
        <v>2025-11</v>
      </c>
    </row>
    <row r="5861" spans="1:15" x14ac:dyDescent="0.3">
      <c r="A5861" t="s">
        <v>13787</v>
      </c>
      <c r="B5861" t="s">
        <v>13788</v>
      </c>
      <c r="C5861" t="s">
        <v>28</v>
      </c>
      <c r="D5861" t="s">
        <v>29</v>
      </c>
      <c r="E5861" t="s">
        <v>45</v>
      </c>
      <c r="F5861" t="s">
        <v>55</v>
      </c>
      <c r="G5861">
        <v>2.5499999999999998</v>
      </c>
      <c r="H5861" t="s">
        <v>41</v>
      </c>
      <c r="I5861" t="s">
        <v>42</v>
      </c>
      <c r="M5861">
        <f>VLOOKUP(H5861,'Stage Order'!$A$2:$B$8,2,FALSE)</f>
        <v>2</v>
      </c>
      <c r="N5861" t="str">
        <f t="shared" si="182"/>
        <v>2. 1-24 hours</v>
      </c>
      <c r="O5861" t="str">
        <f t="shared" si="183"/>
        <v>2025-04</v>
      </c>
    </row>
    <row r="5862" spans="1:15" x14ac:dyDescent="0.3">
      <c r="A5862" t="s">
        <v>13789</v>
      </c>
      <c r="B5862" t="s">
        <v>13790</v>
      </c>
      <c r="C5862" t="s">
        <v>125</v>
      </c>
      <c r="D5862" t="s">
        <v>38</v>
      </c>
      <c r="E5862" t="s">
        <v>39</v>
      </c>
      <c r="F5862" t="s">
        <v>66</v>
      </c>
      <c r="G5862">
        <v>3.18</v>
      </c>
      <c r="H5862" t="s">
        <v>61</v>
      </c>
      <c r="I5862" t="s">
        <v>42</v>
      </c>
      <c r="M5862">
        <f>VLOOKUP(H5862,'Stage Order'!$A$2:$B$8,2,FALSE)</f>
        <v>1</v>
      </c>
      <c r="N5862" t="str">
        <f t="shared" si="182"/>
        <v>2. 1-24 hours</v>
      </c>
      <c r="O5862" t="str">
        <f t="shared" si="183"/>
        <v>2025-10</v>
      </c>
    </row>
    <row r="5863" spans="1:15" x14ac:dyDescent="0.3">
      <c r="A5863" t="s">
        <v>13791</v>
      </c>
      <c r="B5863" t="s">
        <v>13792</v>
      </c>
      <c r="C5863" t="s">
        <v>81</v>
      </c>
      <c r="D5863" t="s">
        <v>54</v>
      </c>
      <c r="E5863" t="s">
        <v>59</v>
      </c>
      <c r="F5863" t="s">
        <v>137</v>
      </c>
      <c r="G5863">
        <v>4.9800000000000004</v>
      </c>
      <c r="H5863" t="s">
        <v>61</v>
      </c>
      <c r="I5863" t="s">
        <v>42</v>
      </c>
      <c r="M5863">
        <f>VLOOKUP(H5863,'Stage Order'!$A$2:$B$8,2,FALSE)</f>
        <v>1</v>
      </c>
      <c r="N5863" t="str">
        <f t="shared" si="182"/>
        <v>2. 1-24 hours</v>
      </c>
      <c r="O5863" t="str">
        <f t="shared" si="183"/>
        <v>2025-03</v>
      </c>
    </row>
    <row r="5864" spans="1:15" x14ac:dyDescent="0.3">
      <c r="A5864" t="s">
        <v>13793</v>
      </c>
      <c r="B5864" t="s">
        <v>13794</v>
      </c>
      <c r="C5864" t="s">
        <v>58</v>
      </c>
      <c r="D5864" t="s">
        <v>54</v>
      </c>
      <c r="E5864" t="s">
        <v>59</v>
      </c>
      <c r="F5864" t="s">
        <v>137</v>
      </c>
      <c r="G5864">
        <v>1.91</v>
      </c>
      <c r="H5864" t="s">
        <v>47</v>
      </c>
      <c r="I5864" t="s">
        <v>48</v>
      </c>
      <c r="J5864" t="s">
        <v>139</v>
      </c>
      <c r="K5864">
        <v>448.17</v>
      </c>
      <c r="L5864" t="s">
        <v>13795</v>
      </c>
      <c r="M5864">
        <f>VLOOKUP(H5864,'Stage Order'!$A$2:$B$8,2,FALSE)</f>
        <v>4</v>
      </c>
      <c r="N5864" t="str">
        <f t="shared" si="182"/>
        <v>2. 1-24 hours</v>
      </c>
      <c r="O5864" t="str">
        <f t="shared" si="183"/>
        <v>2026-04</v>
      </c>
    </row>
    <row r="5865" spans="1:15" x14ac:dyDescent="0.3">
      <c r="A5865" t="s">
        <v>13796</v>
      </c>
      <c r="B5865" t="s">
        <v>13797</v>
      </c>
      <c r="C5865" t="s">
        <v>125</v>
      </c>
      <c r="D5865" t="s">
        <v>54</v>
      </c>
      <c r="E5865" t="s">
        <v>90</v>
      </c>
      <c r="F5865" t="s">
        <v>112</v>
      </c>
      <c r="G5865">
        <v>1.21</v>
      </c>
      <c r="H5865" t="s">
        <v>41</v>
      </c>
      <c r="I5865" t="s">
        <v>42</v>
      </c>
      <c r="M5865">
        <f>VLOOKUP(H5865,'Stage Order'!$A$2:$B$8,2,FALSE)</f>
        <v>2</v>
      </c>
      <c r="N5865" t="str">
        <f t="shared" si="182"/>
        <v>2. 1-24 hours</v>
      </c>
      <c r="O5865" t="str">
        <f t="shared" si="183"/>
        <v>2025-11</v>
      </c>
    </row>
    <row r="5866" spans="1:15" x14ac:dyDescent="0.3">
      <c r="A5866" t="s">
        <v>13798</v>
      </c>
      <c r="B5866" t="s">
        <v>13799</v>
      </c>
      <c r="C5866" t="s">
        <v>76</v>
      </c>
      <c r="D5866" t="s">
        <v>38</v>
      </c>
      <c r="E5866" t="s">
        <v>39</v>
      </c>
      <c r="F5866" t="s">
        <v>106</v>
      </c>
      <c r="G5866">
        <v>4.04</v>
      </c>
      <c r="H5866" t="s">
        <v>47</v>
      </c>
      <c r="I5866" t="s">
        <v>48</v>
      </c>
      <c r="J5866" t="s">
        <v>49</v>
      </c>
      <c r="K5866">
        <v>366.82</v>
      </c>
      <c r="L5866" t="s">
        <v>13800</v>
      </c>
      <c r="M5866">
        <f>VLOOKUP(H5866,'Stage Order'!$A$2:$B$8,2,FALSE)</f>
        <v>4</v>
      </c>
      <c r="N5866" t="str">
        <f t="shared" si="182"/>
        <v>2. 1-24 hours</v>
      </c>
      <c r="O5866" t="str">
        <f t="shared" si="183"/>
        <v>2025-10</v>
      </c>
    </row>
    <row r="5867" spans="1:15" x14ac:dyDescent="0.3">
      <c r="A5867" t="s">
        <v>13801</v>
      </c>
      <c r="B5867" t="s">
        <v>13802</v>
      </c>
      <c r="C5867" t="s">
        <v>58</v>
      </c>
      <c r="D5867" t="s">
        <v>38</v>
      </c>
      <c r="E5867" t="s">
        <v>30</v>
      </c>
      <c r="F5867" t="s">
        <v>31</v>
      </c>
      <c r="G5867">
        <v>3.09</v>
      </c>
      <c r="H5867" t="s">
        <v>41</v>
      </c>
      <c r="I5867" t="s">
        <v>42</v>
      </c>
      <c r="M5867">
        <f>VLOOKUP(H5867,'Stage Order'!$A$2:$B$8,2,FALSE)</f>
        <v>2</v>
      </c>
      <c r="N5867" t="str">
        <f t="shared" si="182"/>
        <v>2. 1-24 hours</v>
      </c>
      <c r="O5867" t="str">
        <f t="shared" si="183"/>
        <v>2025-08</v>
      </c>
    </row>
    <row r="5868" spans="1:15" x14ac:dyDescent="0.3">
      <c r="A5868" t="s">
        <v>13803</v>
      </c>
      <c r="B5868" t="s">
        <v>13804</v>
      </c>
      <c r="C5868" t="s">
        <v>125</v>
      </c>
      <c r="D5868" t="s">
        <v>77</v>
      </c>
      <c r="E5868" t="s">
        <v>59</v>
      </c>
      <c r="F5868" t="s">
        <v>137</v>
      </c>
      <c r="G5868">
        <v>5.48</v>
      </c>
      <c r="H5868" t="s">
        <v>61</v>
      </c>
      <c r="I5868" t="s">
        <v>42</v>
      </c>
      <c r="M5868">
        <f>VLOOKUP(H5868,'Stage Order'!$A$2:$B$8,2,FALSE)</f>
        <v>1</v>
      </c>
      <c r="N5868" t="str">
        <f t="shared" si="182"/>
        <v>2. 1-24 hours</v>
      </c>
      <c r="O5868" t="str">
        <f t="shared" si="183"/>
        <v>2026-06</v>
      </c>
    </row>
    <row r="5869" spans="1:15" x14ac:dyDescent="0.3">
      <c r="A5869" t="s">
        <v>13805</v>
      </c>
      <c r="B5869" t="s">
        <v>13806</v>
      </c>
      <c r="C5869" t="s">
        <v>28</v>
      </c>
      <c r="D5869" t="s">
        <v>54</v>
      </c>
      <c r="E5869" t="s">
        <v>45</v>
      </c>
      <c r="F5869" t="s">
        <v>94</v>
      </c>
      <c r="G5869">
        <v>8.11</v>
      </c>
      <c r="H5869" t="s">
        <v>32</v>
      </c>
      <c r="I5869" t="s">
        <v>33</v>
      </c>
      <c r="K5869">
        <v>509.77</v>
      </c>
      <c r="L5869" t="s">
        <v>13807</v>
      </c>
      <c r="M5869">
        <f>VLOOKUP(H5869,'Stage Order'!$A$2:$B$8,2,FALSE)</f>
        <v>7</v>
      </c>
      <c r="N5869" t="str">
        <f t="shared" si="182"/>
        <v>2. 1-24 hours</v>
      </c>
      <c r="O5869" t="str">
        <f t="shared" si="183"/>
        <v>2025-06</v>
      </c>
    </row>
    <row r="5870" spans="1:15" x14ac:dyDescent="0.3">
      <c r="A5870" t="s">
        <v>13808</v>
      </c>
      <c r="B5870" t="s">
        <v>13809</v>
      </c>
      <c r="C5870" t="s">
        <v>53</v>
      </c>
      <c r="D5870" t="s">
        <v>77</v>
      </c>
      <c r="E5870" t="s">
        <v>39</v>
      </c>
      <c r="F5870" t="s">
        <v>66</v>
      </c>
      <c r="G5870">
        <v>4.6100000000000003</v>
      </c>
      <c r="H5870" t="s">
        <v>32</v>
      </c>
      <c r="I5870" t="s">
        <v>33</v>
      </c>
      <c r="K5870">
        <v>1152.05</v>
      </c>
      <c r="L5870" t="s">
        <v>13810</v>
      </c>
      <c r="M5870">
        <f>VLOOKUP(H5870,'Stage Order'!$A$2:$B$8,2,FALSE)</f>
        <v>7</v>
      </c>
      <c r="N5870" t="str">
        <f t="shared" si="182"/>
        <v>2. 1-24 hours</v>
      </c>
      <c r="O5870" t="str">
        <f t="shared" si="183"/>
        <v>2026-02</v>
      </c>
    </row>
    <row r="5871" spans="1:15" x14ac:dyDescent="0.3">
      <c r="A5871" t="s">
        <v>13811</v>
      </c>
      <c r="B5871" t="s">
        <v>13812</v>
      </c>
      <c r="C5871" t="s">
        <v>76</v>
      </c>
      <c r="D5871" t="s">
        <v>29</v>
      </c>
      <c r="E5871" t="s">
        <v>30</v>
      </c>
      <c r="F5871" t="s">
        <v>78</v>
      </c>
      <c r="G5871">
        <v>1.87</v>
      </c>
      <c r="H5871" t="s">
        <v>47</v>
      </c>
      <c r="I5871" t="s">
        <v>48</v>
      </c>
      <c r="J5871" t="s">
        <v>98</v>
      </c>
      <c r="K5871">
        <v>768.55</v>
      </c>
      <c r="L5871" t="s">
        <v>13813</v>
      </c>
      <c r="M5871">
        <f>VLOOKUP(H5871,'Stage Order'!$A$2:$B$8,2,FALSE)</f>
        <v>4</v>
      </c>
      <c r="N5871" t="str">
        <f t="shared" si="182"/>
        <v>2. 1-24 hours</v>
      </c>
      <c r="O5871" t="str">
        <f t="shared" si="183"/>
        <v>2026-05</v>
      </c>
    </row>
    <row r="5872" spans="1:15" x14ac:dyDescent="0.3">
      <c r="A5872" t="s">
        <v>13814</v>
      </c>
      <c r="B5872" t="s">
        <v>13815</v>
      </c>
      <c r="C5872" t="s">
        <v>76</v>
      </c>
      <c r="D5872" t="s">
        <v>29</v>
      </c>
      <c r="E5872" t="s">
        <v>59</v>
      </c>
      <c r="F5872" t="s">
        <v>137</v>
      </c>
      <c r="G5872">
        <v>3.06</v>
      </c>
      <c r="H5872" t="s">
        <v>41</v>
      </c>
      <c r="I5872" t="s">
        <v>42</v>
      </c>
      <c r="M5872">
        <f>VLOOKUP(H5872,'Stage Order'!$A$2:$B$8,2,FALSE)</f>
        <v>2</v>
      </c>
      <c r="N5872" t="str">
        <f t="shared" si="182"/>
        <v>2. 1-24 hours</v>
      </c>
      <c r="O5872" t="str">
        <f t="shared" si="183"/>
        <v>2026-06</v>
      </c>
    </row>
    <row r="5873" spans="1:15" x14ac:dyDescent="0.3">
      <c r="A5873" t="s">
        <v>13816</v>
      </c>
      <c r="B5873" t="s">
        <v>13817</v>
      </c>
      <c r="C5873" t="s">
        <v>37</v>
      </c>
      <c r="D5873" t="s">
        <v>97</v>
      </c>
      <c r="E5873" t="s">
        <v>59</v>
      </c>
      <c r="F5873" t="s">
        <v>60</v>
      </c>
      <c r="G5873">
        <v>2.86</v>
      </c>
      <c r="H5873" t="s">
        <v>32</v>
      </c>
      <c r="I5873" t="s">
        <v>33</v>
      </c>
      <c r="K5873">
        <v>1420.67</v>
      </c>
      <c r="L5873" t="s">
        <v>13818</v>
      </c>
      <c r="M5873">
        <f>VLOOKUP(H5873,'Stage Order'!$A$2:$B$8,2,FALSE)</f>
        <v>7</v>
      </c>
      <c r="N5873" t="str">
        <f t="shared" si="182"/>
        <v>2. 1-24 hours</v>
      </c>
      <c r="O5873" t="str">
        <f t="shared" si="183"/>
        <v>2026-01</v>
      </c>
    </row>
    <row r="5874" spans="1:15" x14ac:dyDescent="0.3">
      <c r="A5874" t="s">
        <v>13819</v>
      </c>
      <c r="B5874" t="s">
        <v>13820</v>
      </c>
      <c r="C5874" t="s">
        <v>58</v>
      </c>
      <c r="D5874" t="s">
        <v>38</v>
      </c>
      <c r="E5874" t="s">
        <v>45</v>
      </c>
      <c r="F5874" t="s">
        <v>55</v>
      </c>
      <c r="G5874">
        <v>2.78</v>
      </c>
      <c r="H5874" t="s">
        <v>128</v>
      </c>
      <c r="I5874" t="s">
        <v>42</v>
      </c>
      <c r="M5874">
        <f>VLOOKUP(H5874,'Stage Order'!$A$2:$B$8,2,FALSE)</f>
        <v>3</v>
      </c>
      <c r="N5874" t="str">
        <f t="shared" si="182"/>
        <v>2. 1-24 hours</v>
      </c>
      <c r="O5874" t="str">
        <f t="shared" si="183"/>
        <v>2025-01</v>
      </c>
    </row>
    <row r="5875" spans="1:15" x14ac:dyDescent="0.3">
      <c r="A5875" t="s">
        <v>13821</v>
      </c>
      <c r="B5875" t="s">
        <v>13822</v>
      </c>
      <c r="C5875" t="s">
        <v>76</v>
      </c>
      <c r="D5875" t="s">
        <v>38</v>
      </c>
      <c r="E5875" t="s">
        <v>39</v>
      </c>
      <c r="F5875" t="s">
        <v>66</v>
      </c>
      <c r="G5875">
        <v>8.39</v>
      </c>
      <c r="H5875" t="s">
        <v>41</v>
      </c>
      <c r="I5875" t="s">
        <v>42</v>
      </c>
      <c r="M5875">
        <f>VLOOKUP(H5875,'Stage Order'!$A$2:$B$8,2,FALSE)</f>
        <v>2</v>
      </c>
      <c r="N5875" t="str">
        <f t="shared" si="182"/>
        <v>2. 1-24 hours</v>
      </c>
      <c r="O5875" t="str">
        <f t="shared" si="183"/>
        <v>2025-11</v>
      </c>
    </row>
    <row r="5876" spans="1:15" x14ac:dyDescent="0.3">
      <c r="A5876" t="s">
        <v>13823</v>
      </c>
      <c r="B5876" t="s">
        <v>13824</v>
      </c>
      <c r="C5876" t="s">
        <v>125</v>
      </c>
      <c r="D5876" t="s">
        <v>77</v>
      </c>
      <c r="E5876" t="s">
        <v>30</v>
      </c>
      <c r="F5876" t="s">
        <v>78</v>
      </c>
      <c r="G5876">
        <v>2.09</v>
      </c>
      <c r="H5876" t="s">
        <v>41</v>
      </c>
      <c r="I5876" t="s">
        <v>42</v>
      </c>
      <c r="M5876">
        <f>VLOOKUP(H5876,'Stage Order'!$A$2:$B$8,2,FALSE)</f>
        <v>2</v>
      </c>
      <c r="N5876" t="str">
        <f t="shared" si="182"/>
        <v>2. 1-24 hours</v>
      </c>
      <c r="O5876" t="str">
        <f t="shared" si="183"/>
        <v>2026-05</v>
      </c>
    </row>
    <row r="5877" spans="1:15" x14ac:dyDescent="0.3">
      <c r="A5877" t="s">
        <v>13825</v>
      </c>
      <c r="B5877" t="s">
        <v>13826</v>
      </c>
      <c r="C5877" t="s">
        <v>81</v>
      </c>
      <c r="D5877" t="s">
        <v>54</v>
      </c>
      <c r="E5877" t="s">
        <v>45</v>
      </c>
      <c r="F5877" t="s">
        <v>94</v>
      </c>
      <c r="G5877">
        <v>18.3</v>
      </c>
      <c r="H5877" t="s">
        <v>41</v>
      </c>
      <c r="I5877" t="s">
        <v>42</v>
      </c>
      <c r="M5877">
        <f>VLOOKUP(H5877,'Stage Order'!$A$2:$B$8,2,FALSE)</f>
        <v>2</v>
      </c>
      <c r="N5877" t="str">
        <f t="shared" si="182"/>
        <v>2. 1-24 hours</v>
      </c>
      <c r="O5877" t="str">
        <f t="shared" si="183"/>
        <v>2026-01</v>
      </c>
    </row>
    <row r="5878" spans="1:15" x14ac:dyDescent="0.3">
      <c r="A5878" t="s">
        <v>13827</v>
      </c>
      <c r="B5878" t="s">
        <v>13828</v>
      </c>
      <c r="C5878" t="s">
        <v>37</v>
      </c>
      <c r="D5878" t="s">
        <v>77</v>
      </c>
      <c r="E5878" t="s">
        <v>59</v>
      </c>
      <c r="F5878" t="s">
        <v>117</v>
      </c>
      <c r="G5878">
        <v>1.8</v>
      </c>
      <c r="H5878" t="s">
        <v>47</v>
      </c>
      <c r="I5878" t="s">
        <v>48</v>
      </c>
      <c r="J5878" t="s">
        <v>139</v>
      </c>
      <c r="K5878">
        <v>947.16</v>
      </c>
      <c r="L5878" t="s">
        <v>13829</v>
      </c>
      <c r="M5878">
        <f>VLOOKUP(H5878,'Stage Order'!$A$2:$B$8,2,FALSE)</f>
        <v>4</v>
      </c>
      <c r="N5878" t="str">
        <f t="shared" si="182"/>
        <v>2. 1-24 hours</v>
      </c>
      <c r="O5878" t="str">
        <f t="shared" si="183"/>
        <v>2025-12</v>
      </c>
    </row>
    <row r="5879" spans="1:15" x14ac:dyDescent="0.3">
      <c r="A5879" t="s">
        <v>13830</v>
      </c>
      <c r="B5879" t="s">
        <v>13831</v>
      </c>
      <c r="C5879" t="s">
        <v>37</v>
      </c>
      <c r="D5879" t="s">
        <v>54</v>
      </c>
      <c r="E5879" t="s">
        <v>59</v>
      </c>
      <c r="F5879" t="s">
        <v>60</v>
      </c>
      <c r="G5879">
        <v>5.5</v>
      </c>
      <c r="H5879" t="s">
        <v>32</v>
      </c>
      <c r="I5879" t="s">
        <v>33</v>
      </c>
      <c r="K5879">
        <v>554.12</v>
      </c>
      <c r="L5879" t="s">
        <v>13832</v>
      </c>
      <c r="M5879">
        <f>VLOOKUP(H5879,'Stage Order'!$A$2:$B$8,2,FALSE)</f>
        <v>7</v>
      </c>
      <c r="N5879" t="str">
        <f t="shared" si="182"/>
        <v>2. 1-24 hours</v>
      </c>
      <c r="O5879" t="str">
        <f t="shared" si="183"/>
        <v>2026-03</v>
      </c>
    </row>
    <row r="5880" spans="1:15" x14ac:dyDescent="0.3">
      <c r="A5880" t="s">
        <v>13833</v>
      </c>
      <c r="B5880" t="s">
        <v>13834</v>
      </c>
      <c r="C5880" t="s">
        <v>125</v>
      </c>
      <c r="D5880" t="s">
        <v>38</v>
      </c>
      <c r="E5880" t="s">
        <v>30</v>
      </c>
      <c r="F5880" t="s">
        <v>82</v>
      </c>
      <c r="G5880">
        <v>1.87</v>
      </c>
      <c r="H5880" t="s">
        <v>128</v>
      </c>
      <c r="I5880" t="s">
        <v>42</v>
      </c>
      <c r="M5880">
        <f>VLOOKUP(H5880,'Stage Order'!$A$2:$B$8,2,FALSE)</f>
        <v>3</v>
      </c>
      <c r="N5880" t="str">
        <f t="shared" si="182"/>
        <v>2. 1-24 hours</v>
      </c>
      <c r="O5880" t="str">
        <f t="shared" si="183"/>
        <v>2025-01</v>
      </c>
    </row>
    <row r="5881" spans="1:15" x14ac:dyDescent="0.3">
      <c r="A5881" t="s">
        <v>13835</v>
      </c>
      <c r="B5881" t="s">
        <v>13836</v>
      </c>
      <c r="C5881" t="s">
        <v>76</v>
      </c>
      <c r="D5881" t="s">
        <v>38</v>
      </c>
      <c r="E5881" t="s">
        <v>45</v>
      </c>
      <c r="F5881" t="s">
        <v>94</v>
      </c>
      <c r="G5881">
        <v>0.43</v>
      </c>
      <c r="H5881" t="s">
        <v>41</v>
      </c>
      <c r="I5881" t="s">
        <v>42</v>
      </c>
      <c r="M5881">
        <f>VLOOKUP(H5881,'Stage Order'!$A$2:$B$8,2,FALSE)</f>
        <v>2</v>
      </c>
      <c r="N5881" t="str">
        <f t="shared" si="182"/>
        <v>1. Under 1 hour</v>
      </c>
      <c r="O5881" t="str">
        <f t="shared" si="183"/>
        <v>2025-03</v>
      </c>
    </row>
    <row r="5882" spans="1:15" x14ac:dyDescent="0.3">
      <c r="A5882" t="s">
        <v>13837</v>
      </c>
      <c r="B5882" t="s">
        <v>13838</v>
      </c>
      <c r="C5882" t="s">
        <v>58</v>
      </c>
      <c r="D5882" t="s">
        <v>54</v>
      </c>
      <c r="E5882" t="s">
        <v>90</v>
      </c>
      <c r="F5882" t="s">
        <v>145</v>
      </c>
      <c r="G5882">
        <v>1.82</v>
      </c>
      <c r="H5882" t="s">
        <v>61</v>
      </c>
      <c r="I5882" t="s">
        <v>42</v>
      </c>
      <c r="M5882">
        <f>VLOOKUP(H5882,'Stage Order'!$A$2:$B$8,2,FALSE)</f>
        <v>1</v>
      </c>
      <c r="N5882" t="str">
        <f t="shared" si="182"/>
        <v>2. 1-24 hours</v>
      </c>
      <c r="O5882" t="str">
        <f t="shared" si="183"/>
        <v>2026-05</v>
      </c>
    </row>
    <row r="5883" spans="1:15" x14ac:dyDescent="0.3">
      <c r="A5883" t="s">
        <v>13839</v>
      </c>
      <c r="B5883" t="s">
        <v>13840</v>
      </c>
      <c r="C5883" t="s">
        <v>53</v>
      </c>
      <c r="D5883" t="s">
        <v>29</v>
      </c>
      <c r="E5883" t="s">
        <v>90</v>
      </c>
      <c r="F5883" t="s">
        <v>112</v>
      </c>
      <c r="G5883">
        <v>2.83</v>
      </c>
      <c r="H5883" t="s">
        <v>41</v>
      </c>
      <c r="I5883" t="s">
        <v>42</v>
      </c>
      <c r="M5883">
        <f>VLOOKUP(H5883,'Stage Order'!$A$2:$B$8,2,FALSE)</f>
        <v>2</v>
      </c>
      <c r="N5883" t="str">
        <f t="shared" si="182"/>
        <v>2. 1-24 hours</v>
      </c>
      <c r="O5883" t="str">
        <f t="shared" si="183"/>
        <v>2026-04</v>
      </c>
    </row>
    <row r="5884" spans="1:15" x14ac:dyDescent="0.3">
      <c r="A5884" t="s">
        <v>13841</v>
      </c>
      <c r="B5884" t="s">
        <v>13842</v>
      </c>
      <c r="C5884" t="s">
        <v>81</v>
      </c>
      <c r="D5884" t="s">
        <v>54</v>
      </c>
      <c r="E5884" t="s">
        <v>45</v>
      </c>
      <c r="F5884" t="s">
        <v>94</v>
      </c>
      <c r="G5884">
        <v>2.48</v>
      </c>
      <c r="H5884" t="s">
        <v>41</v>
      </c>
      <c r="I5884" t="s">
        <v>42</v>
      </c>
      <c r="M5884">
        <f>VLOOKUP(H5884,'Stage Order'!$A$2:$B$8,2,FALSE)</f>
        <v>2</v>
      </c>
      <c r="N5884" t="str">
        <f t="shared" si="182"/>
        <v>2. 1-24 hours</v>
      </c>
      <c r="O5884" t="str">
        <f t="shared" si="183"/>
        <v>2026-04</v>
      </c>
    </row>
    <row r="5885" spans="1:15" x14ac:dyDescent="0.3">
      <c r="A5885" t="s">
        <v>13843</v>
      </c>
      <c r="B5885" t="s">
        <v>13844</v>
      </c>
      <c r="C5885" t="s">
        <v>28</v>
      </c>
      <c r="D5885" t="s">
        <v>29</v>
      </c>
      <c r="E5885" t="s">
        <v>90</v>
      </c>
      <c r="F5885" t="s">
        <v>145</v>
      </c>
      <c r="G5885">
        <v>7.57</v>
      </c>
      <c r="H5885" t="s">
        <v>41</v>
      </c>
      <c r="I5885" t="s">
        <v>42</v>
      </c>
      <c r="M5885">
        <f>VLOOKUP(H5885,'Stage Order'!$A$2:$B$8,2,FALSE)</f>
        <v>2</v>
      </c>
      <c r="N5885" t="str">
        <f t="shared" si="182"/>
        <v>2. 1-24 hours</v>
      </c>
      <c r="O5885" t="str">
        <f t="shared" si="183"/>
        <v>2025-12</v>
      </c>
    </row>
    <row r="5886" spans="1:15" x14ac:dyDescent="0.3">
      <c r="A5886" t="s">
        <v>13845</v>
      </c>
      <c r="B5886" t="s">
        <v>13846</v>
      </c>
      <c r="C5886" t="s">
        <v>53</v>
      </c>
      <c r="D5886" t="s">
        <v>77</v>
      </c>
      <c r="E5886" t="s">
        <v>59</v>
      </c>
      <c r="F5886" t="s">
        <v>117</v>
      </c>
      <c r="G5886">
        <v>32.68</v>
      </c>
      <c r="H5886" t="s">
        <v>32</v>
      </c>
      <c r="I5886" t="s">
        <v>33</v>
      </c>
      <c r="K5886">
        <v>1058.51</v>
      </c>
      <c r="L5886" t="s">
        <v>13847</v>
      </c>
      <c r="M5886">
        <f>VLOOKUP(H5886,'Stage Order'!$A$2:$B$8,2,FALSE)</f>
        <v>7</v>
      </c>
      <c r="N5886" t="str">
        <f t="shared" si="182"/>
        <v>3. 1-3 days</v>
      </c>
      <c r="O5886" t="str">
        <f t="shared" si="183"/>
        <v>2026-06</v>
      </c>
    </row>
    <row r="5887" spans="1:15" x14ac:dyDescent="0.3">
      <c r="A5887" t="s">
        <v>13848</v>
      </c>
      <c r="B5887" t="s">
        <v>13849</v>
      </c>
      <c r="C5887" t="s">
        <v>58</v>
      </c>
      <c r="D5887" t="s">
        <v>29</v>
      </c>
      <c r="E5887" t="s">
        <v>59</v>
      </c>
      <c r="F5887" t="s">
        <v>117</v>
      </c>
      <c r="G5887">
        <v>16.559999999999999</v>
      </c>
      <c r="H5887" t="s">
        <v>41</v>
      </c>
      <c r="I5887" t="s">
        <v>42</v>
      </c>
      <c r="M5887">
        <f>VLOOKUP(H5887,'Stage Order'!$A$2:$B$8,2,FALSE)</f>
        <v>2</v>
      </c>
      <c r="N5887" t="str">
        <f t="shared" si="182"/>
        <v>2. 1-24 hours</v>
      </c>
      <c r="O5887" t="str">
        <f t="shared" si="183"/>
        <v>2025-06</v>
      </c>
    </row>
    <row r="5888" spans="1:15" x14ac:dyDescent="0.3">
      <c r="A5888" t="s">
        <v>13850</v>
      </c>
      <c r="B5888" t="s">
        <v>13851</v>
      </c>
      <c r="C5888" t="s">
        <v>58</v>
      </c>
      <c r="D5888" t="s">
        <v>38</v>
      </c>
      <c r="E5888" t="s">
        <v>39</v>
      </c>
      <c r="F5888" t="s">
        <v>40</v>
      </c>
      <c r="G5888">
        <v>1.42</v>
      </c>
      <c r="H5888" t="s">
        <v>41</v>
      </c>
      <c r="I5888" t="s">
        <v>42</v>
      </c>
      <c r="M5888">
        <f>VLOOKUP(H5888,'Stage Order'!$A$2:$B$8,2,FALSE)</f>
        <v>2</v>
      </c>
      <c r="N5888" t="str">
        <f t="shared" si="182"/>
        <v>2. 1-24 hours</v>
      </c>
      <c r="O5888" t="str">
        <f t="shared" si="183"/>
        <v>2025-01</v>
      </c>
    </row>
    <row r="5889" spans="1:15" x14ac:dyDescent="0.3">
      <c r="A5889" t="s">
        <v>13852</v>
      </c>
      <c r="B5889" t="s">
        <v>13853</v>
      </c>
      <c r="C5889" t="s">
        <v>37</v>
      </c>
      <c r="D5889" t="s">
        <v>97</v>
      </c>
      <c r="E5889" t="s">
        <v>59</v>
      </c>
      <c r="F5889" t="s">
        <v>137</v>
      </c>
      <c r="G5889">
        <v>9.9600000000000009</v>
      </c>
      <c r="H5889" t="s">
        <v>47</v>
      </c>
      <c r="I5889" t="s">
        <v>48</v>
      </c>
      <c r="J5889" t="s">
        <v>98</v>
      </c>
      <c r="K5889">
        <v>1597.72</v>
      </c>
      <c r="L5889" t="s">
        <v>13854</v>
      </c>
      <c r="M5889">
        <f>VLOOKUP(H5889,'Stage Order'!$A$2:$B$8,2,FALSE)</f>
        <v>4</v>
      </c>
      <c r="N5889" t="str">
        <f t="shared" si="182"/>
        <v>2. 1-24 hours</v>
      </c>
      <c r="O5889" t="str">
        <f t="shared" si="183"/>
        <v>2026-02</v>
      </c>
    </row>
    <row r="5890" spans="1:15" x14ac:dyDescent="0.3">
      <c r="A5890" t="s">
        <v>13855</v>
      </c>
      <c r="B5890" t="s">
        <v>13856</v>
      </c>
      <c r="C5890" t="s">
        <v>28</v>
      </c>
      <c r="D5890" t="s">
        <v>77</v>
      </c>
      <c r="E5890" t="s">
        <v>90</v>
      </c>
      <c r="F5890" t="s">
        <v>145</v>
      </c>
      <c r="G5890">
        <v>2.5299999999999998</v>
      </c>
      <c r="H5890" t="s">
        <v>41</v>
      </c>
      <c r="I5890" t="s">
        <v>42</v>
      </c>
      <c r="M5890">
        <f>VLOOKUP(H5890,'Stage Order'!$A$2:$B$8,2,FALSE)</f>
        <v>2</v>
      </c>
      <c r="N5890" t="str">
        <f t="shared" ref="N5890:N5953" si="184">IF(G5890&lt;=1,"1. Under 1 hour",IF(G5890&lt;=24,"2. 1-24 hours",IF(G5890&lt;=72,"3. 1-3 days","4. Over 3 days")))</f>
        <v>2. 1-24 hours</v>
      </c>
      <c r="O5890" t="str">
        <f t="shared" ref="O5890:O5953" si="185">TEXT(B5890,"YYYY-MM")</f>
        <v>2026-06</v>
      </c>
    </row>
    <row r="5891" spans="1:15" x14ac:dyDescent="0.3">
      <c r="A5891" t="s">
        <v>13857</v>
      </c>
      <c r="B5891" t="s">
        <v>13858</v>
      </c>
      <c r="C5891" t="s">
        <v>76</v>
      </c>
      <c r="D5891" t="s">
        <v>54</v>
      </c>
      <c r="E5891" t="s">
        <v>45</v>
      </c>
      <c r="F5891" t="s">
        <v>46</v>
      </c>
      <c r="G5891">
        <v>5</v>
      </c>
      <c r="H5891" t="s">
        <v>41</v>
      </c>
      <c r="I5891" t="s">
        <v>42</v>
      </c>
      <c r="M5891">
        <f>VLOOKUP(H5891,'Stage Order'!$A$2:$B$8,2,FALSE)</f>
        <v>2</v>
      </c>
      <c r="N5891" t="str">
        <f t="shared" si="184"/>
        <v>2. 1-24 hours</v>
      </c>
      <c r="O5891" t="str">
        <f t="shared" si="185"/>
        <v>2025-12</v>
      </c>
    </row>
    <row r="5892" spans="1:15" x14ac:dyDescent="0.3">
      <c r="A5892" t="s">
        <v>13859</v>
      </c>
      <c r="B5892" t="s">
        <v>13860</v>
      </c>
      <c r="C5892" t="s">
        <v>125</v>
      </c>
      <c r="D5892" t="s">
        <v>77</v>
      </c>
      <c r="E5892" t="s">
        <v>45</v>
      </c>
      <c r="F5892" t="s">
        <v>55</v>
      </c>
      <c r="G5892">
        <v>2.36</v>
      </c>
      <c r="H5892" t="s">
        <v>61</v>
      </c>
      <c r="I5892" t="s">
        <v>42</v>
      </c>
      <c r="M5892">
        <f>VLOOKUP(H5892,'Stage Order'!$A$2:$B$8,2,FALSE)</f>
        <v>1</v>
      </c>
      <c r="N5892" t="str">
        <f t="shared" si="184"/>
        <v>2. 1-24 hours</v>
      </c>
      <c r="O5892" t="str">
        <f t="shared" si="185"/>
        <v>2025-04</v>
      </c>
    </row>
    <row r="5893" spans="1:15" x14ac:dyDescent="0.3">
      <c r="A5893" t="s">
        <v>13861</v>
      </c>
      <c r="B5893" t="s">
        <v>13862</v>
      </c>
      <c r="C5893" t="s">
        <v>76</v>
      </c>
      <c r="D5893" t="s">
        <v>77</v>
      </c>
      <c r="E5893" t="s">
        <v>59</v>
      </c>
      <c r="F5893" t="s">
        <v>60</v>
      </c>
      <c r="G5893">
        <v>7.53</v>
      </c>
      <c r="H5893" t="s">
        <v>41</v>
      </c>
      <c r="I5893" t="s">
        <v>42</v>
      </c>
      <c r="M5893">
        <f>VLOOKUP(H5893,'Stage Order'!$A$2:$B$8,2,FALSE)</f>
        <v>2</v>
      </c>
      <c r="N5893" t="str">
        <f t="shared" si="184"/>
        <v>2. 1-24 hours</v>
      </c>
      <c r="O5893" t="str">
        <f t="shared" si="185"/>
        <v>2025-11</v>
      </c>
    </row>
    <row r="5894" spans="1:15" x14ac:dyDescent="0.3">
      <c r="A5894" t="s">
        <v>13863</v>
      </c>
      <c r="B5894" t="s">
        <v>13864</v>
      </c>
      <c r="C5894" t="s">
        <v>53</v>
      </c>
      <c r="D5894" t="s">
        <v>77</v>
      </c>
      <c r="E5894" t="s">
        <v>39</v>
      </c>
      <c r="F5894" t="s">
        <v>40</v>
      </c>
      <c r="G5894">
        <v>5.29</v>
      </c>
      <c r="H5894" t="s">
        <v>41</v>
      </c>
      <c r="I5894" t="s">
        <v>42</v>
      </c>
      <c r="M5894">
        <f>VLOOKUP(H5894,'Stage Order'!$A$2:$B$8,2,FALSE)</f>
        <v>2</v>
      </c>
      <c r="N5894" t="str">
        <f t="shared" si="184"/>
        <v>2. 1-24 hours</v>
      </c>
      <c r="O5894" t="str">
        <f t="shared" si="185"/>
        <v>2025-05</v>
      </c>
    </row>
    <row r="5895" spans="1:15" x14ac:dyDescent="0.3">
      <c r="A5895" t="s">
        <v>13865</v>
      </c>
      <c r="B5895" t="s">
        <v>13866</v>
      </c>
      <c r="C5895" t="s">
        <v>125</v>
      </c>
      <c r="D5895" t="s">
        <v>54</v>
      </c>
      <c r="E5895" t="s">
        <v>30</v>
      </c>
      <c r="F5895" t="s">
        <v>82</v>
      </c>
      <c r="G5895">
        <v>5.44</v>
      </c>
      <c r="H5895" t="s">
        <v>41</v>
      </c>
      <c r="I5895" t="s">
        <v>42</v>
      </c>
      <c r="M5895">
        <f>VLOOKUP(H5895,'Stage Order'!$A$2:$B$8,2,FALSE)</f>
        <v>2</v>
      </c>
      <c r="N5895" t="str">
        <f t="shared" si="184"/>
        <v>2. 1-24 hours</v>
      </c>
      <c r="O5895" t="str">
        <f t="shared" si="185"/>
        <v>2025-05</v>
      </c>
    </row>
    <row r="5896" spans="1:15" x14ac:dyDescent="0.3">
      <c r="A5896" t="s">
        <v>13867</v>
      </c>
      <c r="B5896" t="s">
        <v>13868</v>
      </c>
      <c r="C5896" t="s">
        <v>53</v>
      </c>
      <c r="D5896" t="s">
        <v>97</v>
      </c>
      <c r="E5896" t="s">
        <v>90</v>
      </c>
      <c r="F5896" t="s">
        <v>112</v>
      </c>
      <c r="G5896">
        <v>5.52</v>
      </c>
      <c r="H5896" t="s">
        <v>41</v>
      </c>
      <c r="I5896" t="s">
        <v>42</v>
      </c>
      <c r="M5896">
        <f>VLOOKUP(H5896,'Stage Order'!$A$2:$B$8,2,FALSE)</f>
        <v>2</v>
      </c>
      <c r="N5896" t="str">
        <f t="shared" si="184"/>
        <v>2. 1-24 hours</v>
      </c>
      <c r="O5896" t="str">
        <f t="shared" si="185"/>
        <v>2025-05</v>
      </c>
    </row>
    <row r="5897" spans="1:15" x14ac:dyDescent="0.3">
      <c r="A5897" t="s">
        <v>13869</v>
      </c>
      <c r="B5897" t="s">
        <v>13870</v>
      </c>
      <c r="C5897" t="s">
        <v>53</v>
      </c>
      <c r="D5897" t="s">
        <v>54</v>
      </c>
      <c r="E5897" t="s">
        <v>45</v>
      </c>
      <c r="F5897" t="s">
        <v>46</v>
      </c>
      <c r="G5897">
        <v>9.32</v>
      </c>
      <c r="H5897" t="s">
        <v>32</v>
      </c>
      <c r="I5897" t="s">
        <v>33</v>
      </c>
      <c r="K5897">
        <v>534.03</v>
      </c>
      <c r="L5897" t="s">
        <v>13871</v>
      </c>
      <c r="M5897">
        <f>VLOOKUP(H5897,'Stage Order'!$A$2:$B$8,2,FALSE)</f>
        <v>7</v>
      </c>
      <c r="N5897" t="str">
        <f t="shared" si="184"/>
        <v>2. 1-24 hours</v>
      </c>
      <c r="O5897" t="str">
        <f t="shared" si="185"/>
        <v>2025-05</v>
      </c>
    </row>
    <row r="5898" spans="1:15" x14ac:dyDescent="0.3">
      <c r="A5898" t="s">
        <v>13872</v>
      </c>
      <c r="B5898" t="s">
        <v>13873</v>
      </c>
      <c r="C5898" t="s">
        <v>58</v>
      </c>
      <c r="D5898" t="s">
        <v>38</v>
      </c>
      <c r="E5898" t="s">
        <v>59</v>
      </c>
      <c r="F5898" t="s">
        <v>60</v>
      </c>
      <c r="G5898">
        <v>1.03</v>
      </c>
      <c r="H5898" t="s">
        <v>41</v>
      </c>
      <c r="I5898" t="s">
        <v>42</v>
      </c>
      <c r="M5898">
        <f>VLOOKUP(H5898,'Stage Order'!$A$2:$B$8,2,FALSE)</f>
        <v>2</v>
      </c>
      <c r="N5898" t="str">
        <f t="shared" si="184"/>
        <v>2. 1-24 hours</v>
      </c>
      <c r="O5898" t="str">
        <f t="shared" si="185"/>
        <v>2026-02</v>
      </c>
    </row>
    <row r="5899" spans="1:15" x14ac:dyDescent="0.3">
      <c r="A5899" t="s">
        <v>13874</v>
      </c>
      <c r="B5899" t="s">
        <v>13875</v>
      </c>
      <c r="C5899" t="s">
        <v>28</v>
      </c>
      <c r="D5899" t="s">
        <v>54</v>
      </c>
      <c r="E5899" t="s">
        <v>59</v>
      </c>
      <c r="F5899" t="s">
        <v>137</v>
      </c>
      <c r="G5899">
        <v>6.9</v>
      </c>
      <c r="H5899" t="s">
        <v>138</v>
      </c>
      <c r="I5899" t="s">
        <v>48</v>
      </c>
      <c r="J5899" t="s">
        <v>139</v>
      </c>
      <c r="K5899">
        <v>593.27</v>
      </c>
      <c r="L5899" t="s">
        <v>13876</v>
      </c>
      <c r="M5899">
        <f>VLOOKUP(H5899,'Stage Order'!$A$2:$B$8,2,FALSE)</f>
        <v>6</v>
      </c>
      <c r="N5899" t="str">
        <f t="shared" si="184"/>
        <v>2. 1-24 hours</v>
      </c>
      <c r="O5899" t="str">
        <f t="shared" si="185"/>
        <v>2026-01</v>
      </c>
    </row>
    <row r="5900" spans="1:15" x14ac:dyDescent="0.3">
      <c r="A5900" t="s">
        <v>13877</v>
      </c>
      <c r="B5900" t="s">
        <v>13878</v>
      </c>
      <c r="C5900" t="s">
        <v>58</v>
      </c>
      <c r="D5900" t="s">
        <v>77</v>
      </c>
      <c r="E5900" t="s">
        <v>59</v>
      </c>
      <c r="F5900" t="s">
        <v>137</v>
      </c>
      <c r="G5900">
        <v>4.16</v>
      </c>
      <c r="H5900" t="s">
        <v>61</v>
      </c>
      <c r="I5900" t="s">
        <v>42</v>
      </c>
      <c r="M5900">
        <f>VLOOKUP(H5900,'Stage Order'!$A$2:$B$8,2,FALSE)</f>
        <v>1</v>
      </c>
      <c r="N5900" t="str">
        <f t="shared" si="184"/>
        <v>2. 1-24 hours</v>
      </c>
      <c r="O5900" t="str">
        <f t="shared" si="185"/>
        <v>2025-08</v>
      </c>
    </row>
    <row r="5901" spans="1:15" x14ac:dyDescent="0.3">
      <c r="A5901" t="s">
        <v>13879</v>
      </c>
      <c r="B5901" t="s">
        <v>13880</v>
      </c>
      <c r="C5901" t="s">
        <v>37</v>
      </c>
      <c r="D5901" t="s">
        <v>29</v>
      </c>
      <c r="E5901" t="s">
        <v>45</v>
      </c>
      <c r="F5901" t="s">
        <v>55</v>
      </c>
      <c r="G5901">
        <v>2.36</v>
      </c>
      <c r="H5901" t="s">
        <v>41</v>
      </c>
      <c r="I5901" t="s">
        <v>42</v>
      </c>
      <c r="M5901">
        <f>VLOOKUP(H5901,'Stage Order'!$A$2:$B$8,2,FALSE)</f>
        <v>2</v>
      </c>
      <c r="N5901" t="str">
        <f t="shared" si="184"/>
        <v>2. 1-24 hours</v>
      </c>
      <c r="O5901" t="str">
        <f t="shared" si="185"/>
        <v>2025-04</v>
      </c>
    </row>
    <row r="5902" spans="1:15" x14ac:dyDescent="0.3">
      <c r="A5902" t="s">
        <v>13881</v>
      </c>
      <c r="B5902" t="s">
        <v>13882</v>
      </c>
      <c r="C5902" t="s">
        <v>76</v>
      </c>
      <c r="D5902" t="s">
        <v>29</v>
      </c>
      <c r="E5902" t="s">
        <v>45</v>
      </c>
      <c r="F5902" t="s">
        <v>46</v>
      </c>
      <c r="G5902">
        <v>1.42</v>
      </c>
      <c r="H5902" t="s">
        <v>41</v>
      </c>
      <c r="I5902" t="s">
        <v>42</v>
      </c>
      <c r="M5902">
        <f>VLOOKUP(H5902,'Stage Order'!$A$2:$B$8,2,FALSE)</f>
        <v>2</v>
      </c>
      <c r="N5902" t="str">
        <f t="shared" si="184"/>
        <v>2. 1-24 hours</v>
      </c>
      <c r="O5902" t="str">
        <f t="shared" si="185"/>
        <v>2025-12</v>
      </c>
    </row>
    <row r="5903" spans="1:15" x14ac:dyDescent="0.3">
      <c r="A5903" t="s">
        <v>13883</v>
      </c>
      <c r="B5903" t="s">
        <v>13884</v>
      </c>
      <c r="C5903" t="s">
        <v>76</v>
      </c>
      <c r="D5903" t="s">
        <v>38</v>
      </c>
      <c r="E5903" t="s">
        <v>59</v>
      </c>
      <c r="F5903" t="s">
        <v>117</v>
      </c>
      <c r="G5903">
        <v>1.21</v>
      </c>
      <c r="H5903" t="s">
        <v>41</v>
      </c>
      <c r="I5903" t="s">
        <v>42</v>
      </c>
      <c r="M5903">
        <f>VLOOKUP(H5903,'Stage Order'!$A$2:$B$8,2,FALSE)</f>
        <v>2</v>
      </c>
      <c r="N5903" t="str">
        <f t="shared" si="184"/>
        <v>2. 1-24 hours</v>
      </c>
      <c r="O5903" t="str">
        <f t="shared" si="185"/>
        <v>2025-10</v>
      </c>
    </row>
    <row r="5904" spans="1:15" x14ac:dyDescent="0.3">
      <c r="A5904" t="s">
        <v>13885</v>
      </c>
      <c r="B5904" t="s">
        <v>13886</v>
      </c>
      <c r="C5904" t="s">
        <v>37</v>
      </c>
      <c r="D5904" t="s">
        <v>29</v>
      </c>
      <c r="E5904" t="s">
        <v>59</v>
      </c>
      <c r="F5904" t="s">
        <v>60</v>
      </c>
      <c r="G5904">
        <v>6.95</v>
      </c>
      <c r="H5904" t="s">
        <v>146</v>
      </c>
      <c r="I5904" t="s">
        <v>48</v>
      </c>
      <c r="J5904" t="s">
        <v>139</v>
      </c>
      <c r="K5904">
        <v>595.44000000000005</v>
      </c>
      <c r="L5904" t="s">
        <v>13887</v>
      </c>
      <c r="M5904">
        <f>VLOOKUP(H5904,'Stage Order'!$A$2:$B$8,2,FALSE)</f>
        <v>5</v>
      </c>
      <c r="N5904" t="str">
        <f t="shared" si="184"/>
        <v>2. 1-24 hours</v>
      </c>
      <c r="O5904" t="str">
        <f t="shared" si="185"/>
        <v>2025-12</v>
      </c>
    </row>
    <row r="5905" spans="1:15" x14ac:dyDescent="0.3">
      <c r="A5905" t="s">
        <v>13888</v>
      </c>
      <c r="B5905" t="s">
        <v>13889</v>
      </c>
      <c r="C5905" t="s">
        <v>28</v>
      </c>
      <c r="D5905" t="s">
        <v>29</v>
      </c>
      <c r="E5905" t="s">
        <v>39</v>
      </c>
      <c r="F5905" t="s">
        <v>106</v>
      </c>
      <c r="G5905">
        <v>3.18</v>
      </c>
      <c r="H5905" t="s">
        <v>32</v>
      </c>
      <c r="I5905" t="s">
        <v>33</v>
      </c>
      <c r="K5905">
        <v>534.42999999999995</v>
      </c>
      <c r="L5905" t="s">
        <v>13890</v>
      </c>
      <c r="M5905">
        <f>VLOOKUP(H5905,'Stage Order'!$A$2:$B$8,2,FALSE)</f>
        <v>7</v>
      </c>
      <c r="N5905" t="str">
        <f t="shared" si="184"/>
        <v>2. 1-24 hours</v>
      </c>
      <c r="O5905" t="str">
        <f t="shared" si="185"/>
        <v>2025-11</v>
      </c>
    </row>
    <row r="5906" spans="1:15" x14ac:dyDescent="0.3">
      <c r="A5906" t="s">
        <v>13891</v>
      </c>
      <c r="B5906" t="s">
        <v>13892</v>
      </c>
      <c r="C5906" t="s">
        <v>76</v>
      </c>
      <c r="D5906" t="s">
        <v>77</v>
      </c>
      <c r="E5906" t="s">
        <v>45</v>
      </c>
      <c r="F5906" t="s">
        <v>55</v>
      </c>
      <c r="G5906">
        <v>1.05</v>
      </c>
      <c r="H5906" t="s">
        <v>32</v>
      </c>
      <c r="I5906" t="s">
        <v>33</v>
      </c>
      <c r="K5906">
        <v>1097.43</v>
      </c>
      <c r="L5906" t="s">
        <v>13893</v>
      </c>
      <c r="M5906">
        <f>VLOOKUP(H5906,'Stage Order'!$A$2:$B$8,2,FALSE)</f>
        <v>7</v>
      </c>
      <c r="N5906" t="str">
        <f t="shared" si="184"/>
        <v>2. 1-24 hours</v>
      </c>
      <c r="O5906" t="str">
        <f t="shared" si="185"/>
        <v>2025-12</v>
      </c>
    </row>
    <row r="5907" spans="1:15" x14ac:dyDescent="0.3">
      <c r="A5907" t="s">
        <v>13894</v>
      </c>
      <c r="B5907" t="s">
        <v>13895</v>
      </c>
      <c r="C5907" t="s">
        <v>53</v>
      </c>
      <c r="D5907" t="s">
        <v>77</v>
      </c>
      <c r="E5907" t="s">
        <v>30</v>
      </c>
      <c r="F5907" t="s">
        <v>82</v>
      </c>
      <c r="G5907">
        <v>2.83</v>
      </c>
      <c r="H5907" t="s">
        <v>32</v>
      </c>
      <c r="I5907" t="s">
        <v>33</v>
      </c>
      <c r="K5907">
        <v>853.6</v>
      </c>
      <c r="L5907" t="s">
        <v>13896</v>
      </c>
      <c r="M5907">
        <f>VLOOKUP(H5907,'Stage Order'!$A$2:$B$8,2,FALSE)</f>
        <v>7</v>
      </c>
      <c r="N5907" t="str">
        <f t="shared" si="184"/>
        <v>2. 1-24 hours</v>
      </c>
      <c r="O5907" t="str">
        <f t="shared" si="185"/>
        <v>2025-11</v>
      </c>
    </row>
    <row r="5908" spans="1:15" x14ac:dyDescent="0.3">
      <c r="A5908" t="s">
        <v>13897</v>
      </c>
      <c r="B5908" t="s">
        <v>13898</v>
      </c>
      <c r="C5908" t="s">
        <v>76</v>
      </c>
      <c r="D5908" t="s">
        <v>77</v>
      </c>
      <c r="E5908" t="s">
        <v>39</v>
      </c>
      <c r="F5908" t="s">
        <v>66</v>
      </c>
      <c r="G5908">
        <v>3.14</v>
      </c>
      <c r="H5908" t="s">
        <v>41</v>
      </c>
      <c r="I5908" t="s">
        <v>42</v>
      </c>
      <c r="M5908">
        <f>VLOOKUP(H5908,'Stage Order'!$A$2:$B$8,2,FALSE)</f>
        <v>2</v>
      </c>
      <c r="N5908" t="str">
        <f t="shared" si="184"/>
        <v>2. 1-24 hours</v>
      </c>
      <c r="O5908" t="str">
        <f t="shared" si="185"/>
        <v>2026-02</v>
      </c>
    </row>
    <row r="5909" spans="1:15" x14ac:dyDescent="0.3">
      <c r="A5909" t="s">
        <v>13899</v>
      </c>
      <c r="B5909" t="s">
        <v>13900</v>
      </c>
      <c r="C5909" t="s">
        <v>53</v>
      </c>
      <c r="D5909" t="s">
        <v>29</v>
      </c>
      <c r="E5909" t="s">
        <v>30</v>
      </c>
      <c r="F5909" t="s">
        <v>31</v>
      </c>
      <c r="G5909">
        <v>2.73</v>
      </c>
      <c r="H5909" t="s">
        <v>138</v>
      </c>
      <c r="I5909" t="s">
        <v>48</v>
      </c>
      <c r="J5909" t="s">
        <v>98</v>
      </c>
      <c r="K5909">
        <v>686.66</v>
      </c>
      <c r="L5909" t="s">
        <v>13901</v>
      </c>
      <c r="M5909">
        <f>VLOOKUP(H5909,'Stage Order'!$A$2:$B$8,2,FALSE)</f>
        <v>6</v>
      </c>
      <c r="N5909" t="str">
        <f t="shared" si="184"/>
        <v>2. 1-24 hours</v>
      </c>
      <c r="O5909" t="str">
        <f t="shared" si="185"/>
        <v>2025-03</v>
      </c>
    </row>
    <row r="5910" spans="1:15" x14ac:dyDescent="0.3">
      <c r="A5910" t="s">
        <v>13902</v>
      </c>
      <c r="B5910" t="s">
        <v>13903</v>
      </c>
      <c r="C5910" t="s">
        <v>125</v>
      </c>
      <c r="D5910" t="s">
        <v>97</v>
      </c>
      <c r="E5910" t="s">
        <v>45</v>
      </c>
      <c r="F5910" t="s">
        <v>55</v>
      </c>
      <c r="G5910">
        <v>2.5299999999999998</v>
      </c>
      <c r="H5910" t="s">
        <v>41</v>
      </c>
      <c r="I5910" t="s">
        <v>42</v>
      </c>
      <c r="M5910">
        <f>VLOOKUP(H5910,'Stage Order'!$A$2:$B$8,2,FALSE)</f>
        <v>2</v>
      </c>
      <c r="N5910" t="str">
        <f t="shared" si="184"/>
        <v>2. 1-24 hours</v>
      </c>
      <c r="O5910" t="str">
        <f t="shared" si="185"/>
        <v>2026-05</v>
      </c>
    </row>
    <row r="5911" spans="1:15" x14ac:dyDescent="0.3">
      <c r="A5911" t="s">
        <v>13904</v>
      </c>
      <c r="B5911" t="s">
        <v>13905</v>
      </c>
      <c r="C5911" t="s">
        <v>37</v>
      </c>
      <c r="D5911" t="s">
        <v>77</v>
      </c>
      <c r="E5911" t="s">
        <v>30</v>
      </c>
      <c r="F5911" t="s">
        <v>78</v>
      </c>
      <c r="G5911">
        <v>7.01</v>
      </c>
      <c r="H5911" t="s">
        <v>61</v>
      </c>
      <c r="I5911" t="s">
        <v>42</v>
      </c>
      <c r="M5911">
        <f>VLOOKUP(H5911,'Stage Order'!$A$2:$B$8,2,FALSE)</f>
        <v>1</v>
      </c>
      <c r="N5911" t="str">
        <f t="shared" si="184"/>
        <v>2. 1-24 hours</v>
      </c>
      <c r="O5911" t="str">
        <f t="shared" si="185"/>
        <v>2025-01</v>
      </c>
    </row>
    <row r="5912" spans="1:15" x14ac:dyDescent="0.3">
      <c r="A5912" t="s">
        <v>13906</v>
      </c>
      <c r="B5912" t="s">
        <v>13907</v>
      </c>
      <c r="C5912" t="s">
        <v>81</v>
      </c>
      <c r="D5912" t="s">
        <v>54</v>
      </c>
      <c r="E5912" t="s">
        <v>45</v>
      </c>
      <c r="F5912" t="s">
        <v>94</v>
      </c>
      <c r="G5912">
        <v>0.55000000000000004</v>
      </c>
      <c r="H5912" t="s">
        <v>41</v>
      </c>
      <c r="I5912" t="s">
        <v>42</v>
      </c>
      <c r="M5912">
        <f>VLOOKUP(H5912,'Stage Order'!$A$2:$B$8,2,FALSE)</f>
        <v>2</v>
      </c>
      <c r="N5912" t="str">
        <f t="shared" si="184"/>
        <v>1. Under 1 hour</v>
      </c>
      <c r="O5912" t="str">
        <f t="shared" si="185"/>
        <v>2025-08</v>
      </c>
    </row>
    <row r="5913" spans="1:15" x14ac:dyDescent="0.3">
      <c r="A5913" t="s">
        <v>13908</v>
      </c>
      <c r="B5913" t="s">
        <v>13909</v>
      </c>
      <c r="C5913" t="s">
        <v>125</v>
      </c>
      <c r="D5913" t="s">
        <v>77</v>
      </c>
      <c r="E5913" t="s">
        <v>59</v>
      </c>
      <c r="F5913" t="s">
        <v>60</v>
      </c>
      <c r="G5913">
        <v>8.4499999999999993</v>
      </c>
      <c r="H5913" t="s">
        <v>41</v>
      </c>
      <c r="I5913" t="s">
        <v>42</v>
      </c>
      <c r="M5913">
        <f>VLOOKUP(H5913,'Stage Order'!$A$2:$B$8,2,FALSE)</f>
        <v>2</v>
      </c>
      <c r="N5913" t="str">
        <f t="shared" si="184"/>
        <v>2. 1-24 hours</v>
      </c>
      <c r="O5913" t="str">
        <f t="shared" si="185"/>
        <v>2025-07</v>
      </c>
    </row>
    <row r="5914" spans="1:15" x14ac:dyDescent="0.3">
      <c r="A5914" t="s">
        <v>13910</v>
      </c>
      <c r="B5914" t="s">
        <v>13911</v>
      </c>
      <c r="C5914" t="s">
        <v>53</v>
      </c>
      <c r="D5914" t="s">
        <v>38</v>
      </c>
      <c r="E5914" t="s">
        <v>39</v>
      </c>
      <c r="F5914" t="s">
        <v>40</v>
      </c>
      <c r="G5914">
        <v>0.92</v>
      </c>
      <c r="H5914" t="s">
        <v>41</v>
      </c>
      <c r="I5914" t="s">
        <v>42</v>
      </c>
      <c r="M5914">
        <f>VLOOKUP(H5914,'Stage Order'!$A$2:$B$8,2,FALSE)</f>
        <v>2</v>
      </c>
      <c r="N5914" t="str">
        <f t="shared" si="184"/>
        <v>1. Under 1 hour</v>
      </c>
      <c r="O5914" t="str">
        <f t="shared" si="185"/>
        <v>2026-05</v>
      </c>
    </row>
    <row r="5915" spans="1:15" x14ac:dyDescent="0.3">
      <c r="A5915" t="s">
        <v>13912</v>
      </c>
      <c r="B5915" t="s">
        <v>13913</v>
      </c>
      <c r="C5915" t="s">
        <v>76</v>
      </c>
      <c r="D5915" t="s">
        <v>54</v>
      </c>
      <c r="E5915" t="s">
        <v>45</v>
      </c>
      <c r="F5915" t="s">
        <v>55</v>
      </c>
      <c r="G5915">
        <v>1.0900000000000001</v>
      </c>
      <c r="H5915" t="s">
        <v>61</v>
      </c>
      <c r="I5915" t="s">
        <v>42</v>
      </c>
      <c r="M5915">
        <f>VLOOKUP(H5915,'Stage Order'!$A$2:$B$8,2,FALSE)</f>
        <v>1</v>
      </c>
      <c r="N5915" t="str">
        <f t="shared" si="184"/>
        <v>2. 1-24 hours</v>
      </c>
      <c r="O5915" t="str">
        <f t="shared" si="185"/>
        <v>2025-01</v>
      </c>
    </row>
    <row r="5916" spans="1:15" x14ac:dyDescent="0.3">
      <c r="A5916" t="s">
        <v>13914</v>
      </c>
      <c r="B5916" t="s">
        <v>13915</v>
      </c>
      <c r="C5916" t="s">
        <v>37</v>
      </c>
      <c r="D5916" t="s">
        <v>77</v>
      </c>
      <c r="E5916" t="s">
        <v>90</v>
      </c>
      <c r="F5916" t="s">
        <v>112</v>
      </c>
      <c r="G5916">
        <v>2.2400000000000002</v>
      </c>
      <c r="H5916" t="s">
        <v>41</v>
      </c>
      <c r="I5916" t="s">
        <v>42</v>
      </c>
      <c r="M5916">
        <f>VLOOKUP(H5916,'Stage Order'!$A$2:$B$8,2,FALSE)</f>
        <v>2</v>
      </c>
      <c r="N5916" t="str">
        <f t="shared" si="184"/>
        <v>2. 1-24 hours</v>
      </c>
      <c r="O5916" t="str">
        <f t="shared" si="185"/>
        <v>2026-02</v>
      </c>
    </row>
    <row r="5917" spans="1:15" x14ac:dyDescent="0.3">
      <c r="A5917" t="s">
        <v>13916</v>
      </c>
      <c r="B5917" t="s">
        <v>13917</v>
      </c>
      <c r="C5917" t="s">
        <v>37</v>
      </c>
      <c r="D5917" t="s">
        <v>29</v>
      </c>
      <c r="E5917" t="s">
        <v>59</v>
      </c>
      <c r="F5917" t="s">
        <v>117</v>
      </c>
      <c r="G5917">
        <v>1.75</v>
      </c>
      <c r="H5917" t="s">
        <v>138</v>
      </c>
      <c r="I5917" t="s">
        <v>48</v>
      </c>
      <c r="J5917" t="s">
        <v>49</v>
      </c>
      <c r="K5917">
        <v>770.2</v>
      </c>
      <c r="L5917" t="s">
        <v>13918</v>
      </c>
      <c r="M5917">
        <f>VLOOKUP(H5917,'Stage Order'!$A$2:$B$8,2,FALSE)</f>
        <v>6</v>
      </c>
      <c r="N5917" t="str">
        <f t="shared" si="184"/>
        <v>2. 1-24 hours</v>
      </c>
      <c r="O5917" t="str">
        <f t="shared" si="185"/>
        <v>2025-01</v>
      </c>
    </row>
    <row r="5918" spans="1:15" x14ac:dyDescent="0.3">
      <c r="A5918" t="s">
        <v>13919</v>
      </c>
      <c r="B5918" t="s">
        <v>13920</v>
      </c>
      <c r="C5918" t="s">
        <v>37</v>
      </c>
      <c r="D5918" t="s">
        <v>97</v>
      </c>
      <c r="E5918" t="s">
        <v>39</v>
      </c>
      <c r="F5918" t="s">
        <v>40</v>
      </c>
      <c r="G5918">
        <v>0.53</v>
      </c>
      <c r="H5918" t="s">
        <v>41</v>
      </c>
      <c r="I5918" t="s">
        <v>42</v>
      </c>
      <c r="M5918">
        <f>VLOOKUP(H5918,'Stage Order'!$A$2:$B$8,2,FALSE)</f>
        <v>2</v>
      </c>
      <c r="N5918" t="str">
        <f t="shared" si="184"/>
        <v>1. Under 1 hour</v>
      </c>
      <c r="O5918" t="str">
        <f t="shared" si="185"/>
        <v>2026-05</v>
      </c>
    </row>
    <row r="5919" spans="1:15" x14ac:dyDescent="0.3">
      <c r="A5919" t="s">
        <v>13921</v>
      </c>
      <c r="B5919" t="s">
        <v>13922</v>
      </c>
      <c r="C5919" t="s">
        <v>58</v>
      </c>
      <c r="D5919" t="s">
        <v>54</v>
      </c>
      <c r="E5919" t="s">
        <v>39</v>
      </c>
      <c r="F5919" t="s">
        <v>106</v>
      </c>
      <c r="G5919">
        <v>1.03</v>
      </c>
      <c r="H5919" t="s">
        <v>41</v>
      </c>
      <c r="I5919" t="s">
        <v>42</v>
      </c>
      <c r="M5919">
        <f>VLOOKUP(H5919,'Stage Order'!$A$2:$B$8,2,FALSE)</f>
        <v>2</v>
      </c>
      <c r="N5919" t="str">
        <f t="shared" si="184"/>
        <v>2. 1-24 hours</v>
      </c>
      <c r="O5919" t="str">
        <f t="shared" si="185"/>
        <v>2026-03</v>
      </c>
    </row>
    <row r="5920" spans="1:15" x14ac:dyDescent="0.3">
      <c r="A5920" t="s">
        <v>13923</v>
      </c>
      <c r="B5920" t="s">
        <v>13924</v>
      </c>
      <c r="C5920" t="s">
        <v>37</v>
      </c>
      <c r="D5920" t="s">
        <v>54</v>
      </c>
      <c r="E5920" t="s">
        <v>90</v>
      </c>
      <c r="F5920" t="s">
        <v>112</v>
      </c>
      <c r="G5920">
        <v>2.08</v>
      </c>
      <c r="H5920" t="s">
        <v>41</v>
      </c>
      <c r="I5920" t="s">
        <v>42</v>
      </c>
      <c r="M5920">
        <f>VLOOKUP(H5920,'Stage Order'!$A$2:$B$8,2,FALSE)</f>
        <v>2</v>
      </c>
      <c r="N5920" t="str">
        <f t="shared" si="184"/>
        <v>2. 1-24 hours</v>
      </c>
      <c r="O5920" t="str">
        <f t="shared" si="185"/>
        <v>2026-04</v>
      </c>
    </row>
    <row r="5921" spans="1:15" x14ac:dyDescent="0.3">
      <c r="A5921" t="s">
        <v>13925</v>
      </c>
      <c r="B5921" t="s">
        <v>13926</v>
      </c>
      <c r="C5921" t="s">
        <v>81</v>
      </c>
      <c r="D5921" t="s">
        <v>38</v>
      </c>
      <c r="E5921" t="s">
        <v>59</v>
      </c>
      <c r="F5921" t="s">
        <v>117</v>
      </c>
      <c r="G5921">
        <v>4.33</v>
      </c>
      <c r="H5921" t="s">
        <v>41</v>
      </c>
      <c r="I5921" t="s">
        <v>42</v>
      </c>
      <c r="M5921">
        <f>VLOOKUP(H5921,'Stage Order'!$A$2:$B$8,2,FALSE)</f>
        <v>2</v>
      </c>
      <c r="N5921" t="str">
        <f t="shared" si="184"/>
        <v>2. 1-24 hours</v>
      </c>
      <c r="O5921" t="str">
        <f t="shared" si="185"/>
        <v>2026-03</v>
      </c>
    </row>
    <row r="5922" spans="1:15" x14ac:dyDescent="0.3">
      <c r="A5922" t="s">
        <v>13927</v>
      </c>
      <c r="B5922" t="s">
        <v>13928</v>
      </c>
      <c r="C5922" t="s">
        <v>125</v>
      </c>
      <c r="D5922" t="s">
        <v>54</v>
      </c>
      <c r="E5922" t="s">
        <v>39</v>
      </c>
      <c r="F5922" t="s">
        <v>40</v>
      </c>
      <c r="G5922">
        <v>7.51</v>
      </c>
      <c r="H5922" t="s">
        <v>128</v>
      </c>
      <c r="I5922" t="s">
        <v>42</v>
      </c>
      <c r="M5922">
        <f>VLOOKUP(H5922,'Stage Order'!$A$2:$B$8,2,FALSE)</f>
        <v>3</v>
      </c>
      <c r="N5922" t="str">
        <f t="shared" si="184"/>
        <v>2. 1-24 hours</v>
      </c>
      <c r="O5922" t="str">
        <f t="shared" si="185"/>
        <v>2025-01</v>
      </c>
    </row>
    <row r="5923" spans="1:15" x14ac:dyDescent="0.3">
      <c r="A5923" t="s">
        <v>13929</v>
      </c>
      <c r="B5923" t="s">
        <v>13930</v>
      </c>
      <c r="C5923" t="s">
        <v>37</v>
      </c>
      <c r="D5923" t="s">
        <v>54</v>
      </c>
      <c r="E5923" t="s">
        <v>39</v>
      </c>
      <c r="F5923" t="s">
        <v>66</v>
      </c>
      <c r="G5923">
        <v>7.9</v>
      </c>
      <c r="H5923" t="s">
        <v>41</v>
      </c>
      <c r="I5923" t="s">
        <v>42</v>
      </c>
      <c r="M5923">
        <f>VLOOKUP(H5923,'Stage Order'!$A$2:$B$8,2,FALSE)</f>
        <v>2</v>
      </c>
      <c r="N5923" t="str">
        <f t="shared" si="184"/>
        <v>2. 1-24 hours</v>
      </c>
      <c r="O5923" t="str">
        <f t="shared" si="185"/>
        <v>2026-03</v>
      </c>
    </row>
    <row r="5924" spans="1:15" x14ac:dyDescent="0.3">
      <c r="A5924" t="s">
        <v>13931</v>
      </c>
      <c r="B5924" t="s">
        <v>13932</v>
      </c>
      <c r="C5924" t="s">
        <v>125</v>
      </c>
      <c r="D5924" t="s">
        <v>38</v>
      </c>
      <c r="E5924" t="s">
        <v>59</v>
      </c>
      <c r="F5924" t="s">
        <v>60</v>
      </c>
      <c r="G5924">
        <v>4.96</v>
      </c>
      <c r="H5924" t="s">
        <v>61</v>
      </c>
      <c r="I5924" t="s">
        <v>42</v>
      </c>
      <c r="M5924">
        <f>VLOOKUP(H5924,'Stage Order'!$A$2:$B$8,2,FALSE)</f>
        <v>1</v>
      </c>
      <c r="N5924" t="str">
        <f t="shared" si="184"/>
        <v>2. 1-24 hours</v>
      </c>
      <c r="O5924" t="str">
        <f t="shared" si="185"/>
        <v>2025-01</v>
      </c>
    </row>
    <row r="5925" spans="1:15" x14ac:dyDescent="0.3">
      <c r="A5925" t="s">
        <v>13933</v>
      </c>
      <c r="B5925" t="s">
        <v>13934</v>
      </c>
      <c r="C5925" t="s">
        <v>81</v>
      </c>
      <c r="D5925" t="s">
        <v>38</v>
      </c>
      <c r="E5925" t="s">
        <v>39</v>
      </c>
      <c r="F5925" t="s">
        <v>66</v>
      </c>
      <c r="G5925">
        <v>1.49</v>
      </c>
      <c r="H5925" t="s">
        <v>61</v>
      </c>
      <c r="I5925" t="s">
        <v>42</v>
      </c>
      <c r="M5925">
        <f>VLOOKUP(H5925,'Stage Order'!$A$2:$B$8,2,FALSE)</f>
        <v>1</v>
      </c>
      <c r="N5925" t="str">
        <f t="shared" si="184"/>
        <v>2. 1-24 hours</v>
      </c>
      <c r="O5925" t="str">
        <f t="shared" si="185"/>
        <v>2026-04</v>
      </c>
    </row>
    <row r="5926" spans="1:15" x14ac:dyDescent="0.3">
      <c r="A5926" t="s">
        <v>13935</v>
      </c>
      <c r="B5926" t="s">
        <v>13936</v>
      </c>
      <c r="C5926" t="s">
        <v>53</v>
      </c>
      <c r="D5926" t="s">
        <v>97</v>
      </c>
      <c r="E5926" t="s">
        <v>59</v>
      </c>
      <c r="F5926" t="s">
        <v>117</v>
      </c>
      <c r="G5926">
        <v>14.28</v>
      </c>
      <c r="H5926" t="s">
        <v>32</v>
      </c>
      <c r="I5926" t="s">
        <v>33</v>
      </c>
      <c r="K5926">
        <v>1484.16</v>
      </c>
      <c r="L5926" t="s">
        <v>13937</v>
      </c>
      <c r="M5926">
        <f>VLOOKUP(H5926,'Stage Order'!$A$2:$B$8,2,FALSE)</f>
        <v>7</v>
      </c>
      <c r="N5926" t="str">
        <f t="shared" si="184"/>
        <v>2. 1-24 hours</v>
      </c>
      <c r="O5926" t="str">
        <f t="shared" si="185"/>
        <v>2026-04</v>
      </c>
    </row>
    <row r="5927" spans="1:15" x14ac:dyDescent="0.3">
      <c r="A5927" t="s">
        <v>13938</v>
      </c>
      <c r="B5927" t="s">
        <v>13939</v>
      </c>
      <c r="C5927" t="s">
        <v>53</v>
      </c>
      <c r="D5927" t="s">
        <v>29</v>
      </c>
      <c r="E5927" t="s">
        <v>45</v>
      </c>
      <c r="F5927" t="s">
        <v>46</v>
      </c>
      <c r="G5927">
        <v>0.79</v>
      </c>
      <c r="H5927" t="s">
        <v>32</v>
      </c>
      <c r="I5927" t="s">
        <v>33</v>
      </c>
      <c r="K5927">
        <v>582.70000000000005</v>
      </c>
      <c r="L5927" t="s">
        <v>13940</v>
      </c>
      <c r="M5927">
        <f>VLOOKUP(H5927,'Stage Order'!$A$2:$B$8,2,FALSE)</f>
        <v>7</v>
      </c>
      <c r="N5927" t="str">
        <f t="shared" si="184"/>
        <v>1. Under 1 hour</v>
      </c>
      <c r="O5927" t="str">
        <f t="shared" si="185"/>
        <v>2026-01</v>
      </c>
    </row>
    <row r="5928" spans="1:15" x14ac:dyDescent="0.3">
      <c r="A5928" t="s">
        <v>13941</v>
      </c>
      <c r="B5928" t="s">
        <v>13942</v>
      </c>
      <c r="C5928" t="s">
        <v>28</v>
      </c>
      <c r="D5928" t="s">
        <v>38</v>
      </c>
      <c r="E5928" t="s">
        <v>90</v>
      </c>
      <c r="F5928" t="s">
        <v>91</v>
      </c>
      <c r="G5928">
        <v>9.85</v>
      </c>
      <c r="H5928" t="s">
        <v>41</v>
      </c>
      <c r="I5928" t="s">
        <v>42</v>
      </c>
      <c r="M5928">
        <f>VLOOKUP(H5928,'Stage Order'!$A$2:$B$8,2,FALSE)</f>
        <v>2</v>
      </c>
      <c r="N5928" t="str">
        <f t="shared" si="184"/>
        <v>2. 1-24 hours</v>
      </c>
      <c r="O5928" t="str">
        <f t="shared" si="185"/>
        <v>2025-02</v>
      </c>
    </row>
    <row r="5929" spans="1:15" x14ac:dyDescent="0.3">
      <c r="A5929" t="s">
        <v>13943</v>
      </c>
      <c r="B5929" t="s">
        <v>13944</v>
      </c>
      <c r="C5929" t="s">
        <v>28</v>
      </c>
      <c r="D5929" t="s">
        <v>38</v>
      </c>
      <c r="E5929" t="s">
        <v>30</v>
      </c>
      <c r="F5929" t="s">
        <v>82</v>
      </c>
      <c r="G5929">
        <v>0.82</v>
      </c>
      <c r="H5929" t="s">
        <v>41</v>
      </c>
      <c r="I5929" t="s">
        <v>42</v>
      </c>
      <c r="M5929">
        <f>VLOOKUP(H5929,'Stage Order'!$A$2:$B$8,2,FALSE)</f>
        <v>2</v>
      </c>
      <c r="N5929" t="str">
        <f t="shared" si="184"/>
        <v>1. Under 1 hour</v>
      </c>
      <c r="O5929" t="str">
        <f t="shared" si="185"/>
        <v>2025-07</v>
      </c>
    </row>
    <row r="5930" spans="1:15" x14ac:dyDescent="0.3">
      <c r="A5930" t="s">
        <v>13945</v>
      </c>
      <c r="B5930" t="s">
        <v>13946</v>
      </c>
      <c r="C5930" t="s">
        <v>53</v>
      </c>
      <c r="D5930" t="s">
        <v>38</v>
      </c>
      <c r="E5930" t="s">
        <v>39</v>
      </c>
      <c r="F5930" t="s">
        <v>66</v>
      </c>
      <c r="G5930">
        <v>2.35</v>
      </c>
      <c r="H5930" t="s">
        <v>146</v>
      </c>
      <c r="I5930" t="s">
        <v>48</v>
      </c>
      <c r="J5930" t="s">
        <v>113</v>
      </c>
      <c r="K5930">
        <v>322.99</v>
      </c>
      <c r="L5930" t="s">
        <v>13947</v>
      </c>
      <c r="M5930">
        <f>VLOOKUP(H5930,'Stage Order'!$A$2:$B$8,2,FALSE)</f>
        <v>5</v>
      </c>
      <c r="N5930" t="str">
        <f t="shared" si="184"/>
        <v>2. 1-24 hours</v>
      </c>
      <c r="O5930" t="str">
        <f t="shared" si="185"/>
        <v>2026-04</v>
      </c>
    </row>
    <row r="5931" spans="1:15" x14ac:dyDescent="0.3">
      <c r="A5931" t="s">
        <v>13948</v>
      </c>
      <c r="B5931" t="s">
        <v>13949</v>
      </c>
      <c r="C5931" t="s">
        <v>37</v>
      </c>
      <c r="D5931" t="s">
        <v>29</v>
      </c>
      <c r="E5931" t="s">
        <v>45</v>
      </c>
      <c r="F5931" t="s">
        <v>94</v>
      </c>
      <c r="G5931">
        <v>13.25</v>
      </c>
      <c r="H5931" t="s">
        <v>138</v>
      </c>
      <c r="I5931" t="s">
        <v>48</v>
      </c>
      <c r="J5931" t="s">
        <v>139</v>
      </c>
      <c r="K5931">
        <v>529.76</v>
      </c>
      <c r="L5931" t="s">
        <v>13950</v>
      </c>
      <c r="M5931">
        <f>VLOOKUP(H5931,'Stage Order'!$A$2:$B$8,2,FALSE)</f>
        <v>6</v>
      </c>
      <c r="N5931" t="str">
        <f t="shared" si="184"/>
        <v>2. 1-24 hours</v>
      </c>
      <c r="O5931" t="str">
        <f t="shared" si="185"/>
        <v>2025-12</v>
      </c>
    </row>
    <row r="5932" spans="1:15" x14ac:dyDescent="0.3">
      <c r="A5932" t="s">
        <v>13951</v>
      </c>
      <c r="B5932" t="s">
        <v>13952</v>
      </c>
      <c r="C5932" t="s">
        <v>53</v>
      </c>
      <c r="D5932" t="s">
        <v>54</v>
      </c>
      <c r="E5932" t="s">
        <v>39</v>
      </c>
      <c r="F5932" t="s">
        <v>66</v>
      </c>
      <c r="G5932">
        <v>7.48</v>
      </c>
      <c r="H5932" t="s">
        <v>146</v>
      </c>
      <c r="I5932" t="s">
        <v>48</v>
      </c>
      <c r="J5932" t="s">
        <v>139</v>
      </c>
      <c r="K5932">
        <v>496.81</v>
      </c>
      <c r="L5932" t="s">
        <v>13953</v>
      </c>
      <c r="M5932">
        <f>VLOOKUP(H5932,'Stage Order'!$A$2:$B$8,2,FALSE)</f>
        <v>5</v>
      </c>
      <c r="N5932" t="str">
        <f t="shared" si="184"/>
        <v>2. 1-24 hours</v>
      </c>
      <c r="O5932" t="str">
        <f t="shared" si="185"/>
        <v>2026-01</v>
      </c>
    </row>
    <row r="5933" spans="1:15" x14ac:dyDescent="0.3">
      <c r="A5933" t="s">
        <v>13954</v>
      </c>
      <c r="B5933" t="s">
        <v>13955</v>
      </c>
      <c r="C5933" t="s">
        <v>37</v>
      </c>
      <c r="D5933" t="s">
        <v>38</v>
      </c>
      <c r="E5933" t="s">
        <v>90</v>
      </c>
      <c r="F5933" t="s">
        <v>112</v>
      </c>
      <c r="G5933">
        <v>2.87</v>
      </c>
      <c r="H5933" t="s">
        <v>138</v>
      </c>
      <c r="I5933" t="s">
        <v>48</v>
      </c>
      <c r="J5933" t="s">
        <v>113</v>
      </c>
      <c r="K5933">
        <v>305.41000000000003</v>
      </c>
      <c r="L5933" t="s">
        <v>13956</v>
      </c>
      <c r="M5933">
        <f>VLOOKUP(H5933,'Stage Order'!$A$2:$B$8,2,FALSE)</f>
        <v>6</v>
      </c>
      <c r="N5933" t="str">
        <f t="shared" si="184"/>
        <v>2. 1-24 hours</v>
      </c>
      <c r="O5933" t="str">
        <f t="shared" si="185"/>
        <v>2025-08</v>
      </c>
    </row>
    <row r="5934" spans="1:15" x14ac:dyDescent="0.3">
      <c r="A5934" t="s">
        <v>13957</v>
      </c>
      <c r="B5934" t="s">
        <v>13958</v>
      </c>
      <c r="C5934" t="s">
        <v>53</v>
      </c>
      <c r="D5934" t="s">
        <v>29</v>
      </c>
      <c r="E5934" t="s">
        <v>59</v>
      </c>
      <c r="F5934" t="s">
        <v>60</v>
      </c>
      <c r="G5934">
        <v>2.4</v>
      </c>
      <c r="H5934" t="s">
        <v>41</v>
      </c>
      <c r="I5934" t="s">
        <v>42</v>
      </c>
      <c r="M5934">
        <f>VLOOKUP(H5934,'Stage Order'!$A$2:$B$8,2,FALSE)</f>
        <v>2</v>
      </c>
      <c r="N5934" t="str">
        <f t="shared" si="184"/>
        <v>2. 1-24 hours</v>
      </c>
      <c r="O5934" t="str">
        <f t="shared" si="185"/>
        <v>2025-05</v>
      </c>
    </row>
    <row r="5935" spans="1:15" x14ac:dyDescent="0.3">
      <c r="A5935" t="s">
        <v>13959</v>
      </c>
      <c r="B5935" t="s">
        <v>13960</v>
      </c>
      <c r="C5935" t="s">
        <v>37</v>
      </c>
      <c r="D5935" t="s">
        <v>29</v>
      </c>
      <c r="E5935" t="s">
        <v>45</v>
      </c>
      <c r="F5935" t="s">
        <v>55</v>
      </c>
      <c r="G5935">
        <v>4.12</v>
      </c>
      <c r="H5935" t="s">
        <v>32</v>
      </c>
      <c r="I5935" t="s">
        <v>33</v>
      </c>
      <c r="K5935">
        <v>584.76</v>
      </c>
      <c r="L5935" t="s">
        <v>13961</v>
      </c>
      <c r="M5935">
        <f>VLOOKUP(H5935,'Stage Order'!$A$2:$B$8,2,FALSE)</f>
        <v>7</v>
      </c>
      <c r="N5935" t="str">
        <f t="shared" si="184"/>
        <v>2. 1-24 hours</v>
      </c>
      <c r="O5935" t="str">
        <f t="shared" si="185"/>
        <v>2025-10</v>
      </c>
    </row>
    <row r="5936" spans="1:15" x14ac:dyDescent="0.3">
      <c r="A5936" t="s">
        <v>13962</v>
      </c>
      <c r="B5936" t="s">
        <v>13963</v>
      </c>
      <c r="C5936" t="s">
        <v>37</v>
      </c>
      <c r="D5936" t="s">
        <v>54</v>
      </c>
      <c r="E5936" t="s">
        <v>45</v>
      </c>
      <c r="F5936" t="s">
        <v>46</v>
      </c>
      <c r="G5936">
        <v>1.99</v>
      </c>
      <c r="H5936" t="s">
        <v>138</v>
      </c>
      <c r="I5936" t="s">
        <v>48</v>
      </c>
      <c r="J5936" t="s">
        <v>139</v>
      </c>
      <c r="K5936">
        <v>577.35</v>
      </c>
      <c r="L5936" t="s">
        <v>13964</v>
      </c>
      <c r="M5936">
        <f>VLOOKUP(H5936,'Stage Order'!$A$2:$B$8,2,FALSE)</f>
        <v>6</v>
      </c>
      <c r="N5936" t="str">
        <f t="shared" si="184"/>
        <v>2. 1-24 hours</v>
      </c>
      <c r="O5936" t="str">
        <f t="shared" si="185"/>
        <v>2025-02</v>
      </c>
    </row>
    <row r="5937" spans="1:15" x14ac:dyDescent="0.3">
      <c r="A5937" t="s">
        <v>13965</v>
      </c>
      <c r="B5937" t="s">
        <v>13966</v>
      </c>
      <c r="C5937" t="s">
        <v>53</v>
      </c>
      <c r="D5937" t="s">
        <v>77</v>
      </c>
      <c r="E5937" t="s">
        <v>90</v>
      </c>
      <c r="F5937" t="s">
        <v>145</v>
      </c>
      <c r="G5937">
        <v>19.440000000000001</v>
      </c>
      <c r="H5937" t="s">
        <v>41</v>
      </c>
      <c r="I5937" t="s">
        <v>42</v>
      </c>
      <c r="M5937">
        <f>VLOOKUP(H5937,'Stage Order'!$A$2:$B$8,2,FALSE)</f>
        <v>2</v>
      </c>
      <c r="N5937" t="str">
        <f t="shared" si="184"/>
        <v>2. 1-24 hours</v>
      </c>
      <c r="O5937" t="str">
        <f t="shared" si="185"/>
        <v>2026-04</v>
      </c>
    </row>
    <row r="5938" spans="1:15" x14ac:dyDescent="0.3">
      <c r="A5938" t="s">
        <v>13967</v>
      </c>
      <c r="B5938" t="s">
        <v>13968</v>
      </c>
      <c r="C5938" t="s">
        <v>58</v>
      </c>
      <c r="D5938" t="s">
        <v>54</v>
      </c>
      <c r="E5938" t="s">
        <v>45</v>
      </c>
      <c r="F5938" t="s">
        <v>94</v>
      </c>
      <c r="G5938">
        <v>1.44</v>
      </c>
      <c r="H5938" t="s">
        <v>61</v>
      </c>
      <c r="I5938" t="s">
        <v>42</v>
      </c>
      <c r="M5938">
        <f>VLOOKUP(H5938,'Stage Order'!$A$2:$B$8,2,FALSE)</f>
        <v>1</v>
      </c>
      <c r="N5938" t="str">
        <f t="shared" si="184"/>
        <v>2. 1-24 hours</v>
      </c>
      <c r="O5938" t="str">
        <f t="shared" si="185"/>
        <v>2026-02</v>
      </c>
    </row>
    <row r="5939" spans="1:15" x14ac:dyDescent="0.3">
      <c r="A5939" t="s">
        <v>13969</v>
      </c>
      <c r="B5939" t="s">
        <v>13970</v>
      </c>
      <c r="C5939" t="s">
        <v>125</v>
      </c>
      <c r="D5939" t="s">
        <v>54</v>
      </c>
      <c r="E5939" t="s">
        <v>45</v>
      </c>
      <c r="F5939" t="s">
        <v>46</v>
      </c>
      <c r="G5939">
        <v>16.52</v>
      </c>
      <c r="H5939" t="s">
        <v>61</v>
      </c>
      <c r="I5939" t="s">
        <v>42</v>
      </c>
      <c r="M5939">
        <f>VLOOKUP(H5939,'Stage Order'!$A$2:$B$8,2,FALSE)</f>
        <v>1</v>
      </c>
      <c r="N5939" t="str">
        <f t="shared" si="184"/>
        <v>2. 1-24 hours</v>
      </c>
      <c r="O5939" t="str">
        <f t="shared" si="185"/>
        <v>2025-09</v>
      </c>
    </row>
    <row r="5940" spans="1:15" x14ac:dyDescent="0.3">
      <c r="A5940" t="s">
        <v>13971</v>
      </c>
      <c r="B5940" t="s">
        <v>13972</v>
      </c>
      <c r="C5940" t="s">
        <v>53</v>
      </c>
      <c r="D5940" t="s">
        <v>29</v>
      </c>
      <c r="E5940" t="s">
        <v>45</v>
      </c>
      <c r="F5940" t="s">
        <v>55</v>
      </c>
      <c r="G5940">
        <v>10.99</v>
      </c>
      <c r="H5940" t="s">
        <v>41</v>
      </c>
      <c r="I5940" t="s">
        <v>42</v>
      </c>
      <c r="M5940">
        <f>VLOOKUP(H5940,'Stage Order'!$A$2:$B$8,2,FALSE)</f>
        <v>2</v>
      </c>
      <c r="N5940" t="str">
        <f t="shared" si="184"/>
        <v>2. 1-24 hours</v>
      </c>
      <c r="O5940" t="str">
        <f t="shared" si="185"/>
        <v>2026-06</v>
      </c>
    </row>
    <row r="5941" spans="1:15" x14ac:dyDescent="0.3">
      <c r="A5941" t="s">
        <v>13973</v>
      </c>
      <c r="B5941" t="s">
        <v>13974</v>
      </c>
      <c r="C5941" t="s">
        <v>81</v>
      </c>
      <c r="D5941" t="s">
        <v>77</v>
      </c>
      <c r="E5941" t="s">
        <v>30</v>
      </c>
      <c r="F5941" t="s">
        <v>78</v>
      </c>
      <c r="G5941">
        <v>2.88</v>
      </c>
      <c r="H5941" t="s">
        <v>61</v>
      </c>
      <c r="I5941" t="s">
        <v>42</v>
      </c>
      <c r="M5941">
        <f>VLOOKUP(H5941,'Stage Order'!$A$2:$B$8,2,FALSE)</f>
        <v>1</v>
      </c>
      <c r="N5941" t="str">
        <f t="shared" si="184"/>
        <v>2. 1-24 hours</v>
      </c>
      <c r="O5941" t="str">
        <f t="shared" si="185"/>
        <v>2025-04</v>
      </c>
    </row>
    <row r="5942" spans="1:15" x14ac:dyDescent="0.3">
      <c r="A5942" t="s">
        <v>13975</v>
      </c>
      <c r="B5942" t="s">
        <v>13976</v>
      </c>
      <c r="C5942" t="s">
        <v>37</v>
      </c>
      <c r="D5942" t="s">
        <v>77</v>
      </c>
      <c r="E5942" t="s">
        <v>30</v>
      </c>
      <c r="F5942" t="s">
        <v>31</v>
      </c>
      <c r="G5942">
        <v>1.0900000000000001</v>
      </c>
      <c r="H5942" t="s">
        <v>41</v>
      </c>
      <c r="I5942" t="s">
        <v>42</v>
      </c>
      <c r="M5942">
        <f>VLOOKUP(H5942,'Stage Order'!$A$2:$B$8,2,FALSE)</f>
        <v>2</v>
      </c>
      <c r="N5942" t="str">
        <f t="shared" si="184"/>
        <v>2. 1-24 hours</v>
      </c>
      <c r="O5942" t="str">
        <f t="shared" si="185"/>
        <v>2026-04</v>
      </c>
    </row>
    <row r="5943" spans="1:15" x14ac:dyDescent="0.3">
      <c r="A5943" t="s">
        <v>13977</v>
      </c>
      <c r="B5943" t="s">
        <v>13978</v>
      </c>
      <c r="C5943" t="s">
        <v>37</v>
      </c>
      <c r="D5943" t="s">
        <v>77</v>
      </c>
      <c r="E5943" t="s">
        <v>59</v>
      </c>
      <c r="F5943" t="s">
        <v>117</v>
      </c>
      <c r="G5943">
        <v>1.23</v>
      </c>
      <c r="H5943" t="s">
        <v>138</v>
      </c>
      <c r="I5943" t="s">
        <v>48</v>
      </c>
      <c r="J5943" t="s">
        <v>742</v>
      </c>
      <c r="K5943">
        <v>975.4</v>
      </c>
      <c r="L5943" t="s">
        <v>13979</v>
      </c>
      <c r="M5943">
        <f>VLOOKUP(H5943,'Stage Order'!$A$2:$B$8,2,FALSE)</f>
        <v>6</v>
      </c>
      <c r="N5943" t="str">
        <f t="shared" si="184"/>
        <v>2. 1-24 hours</v>
      </c>
      <c r="O5943" t="str">
        <f t="shared" si="185"/>
        <v>2025-04</v>
      </c>
    </row>
    <row r="5944" spans="1:15" x14ac:dyDescent="0.3">
      <c r="A5944" t="s">
        <v>13980</v>
      </c>
      <c r="B5944" t="s">
        <v>13981</v>
      </c>
      <c r="C5944" t="s">
        <v>125</v>
      </c>
      <c r="D5944" t="s">
        <v>77</v>
      </c>
      <c r="E5944" t="s">
        <v>39</v>
      </c>
      <c r="F5944" t="s">
        <v>40</v>
      </c>
      <c r="G5944">
        <v>3.6</v>
      </c>
      <c r="H5944" t="s">
        <v>47</v>
      </c>
      <c r="I5944" t="s">
        <v>48</v>
      </c>
      <c r="J5944" t="s">
        <v>98</v>
      </c>
      <c r="K5944">
        <v>914.51</v>
      </c>
      <c r="L5944" t="s">
        <v>13982</v>
      </c>
      <c r="M5944">
        <f>VLOOKUP(H5944,'Stage Order'!$A$2:$B$8,2,FALSE)</f>
        <v>4</v>
      </c>
      <c r="N5944" t="str">
        <f t="shared" si="184"/>
        <v>2. 1-24 hours</v>
      </c>
      <c r="O5944" t="str">
        <f t="shared" si="185"/>
        <v>2025-04</v>
      </c>
    </row>
    <row r="5945" spans="1:15" x14ac:dyDescent="0.3">
      <c r="A5945" t="s">
        <v>13983</v>
      </c>
      <c r="B5945" t="s">
        <v>13984</v>
      </c>
      <c r="C5945" t="s">
        <v>53</v>
      </c>
      <c r="D5945" t="s">
        <v>77</v>
      </c>
      <c r="E5945" t="s">
        <v>39</v>
      </c>
      <c r="F5945" t="s">
        <v>40</v>
      </c>
      <c r="G5945">
        <v>3.46</v>
      </c>
      <c r="H5945" t="s">
        <v>32</v>
      </c>
      <c r="I5945" t="s">
        <v>33</v>
      </c>
      <c r="K5945">
        <v>853.8</v>
      </c>
      <c r="L5945" t="s">
        <v>13985</v>
      </c>
      <c r="M5945">
        <f>VLOOKUP(H5945,'Stage Order'!$A$2:$B$8,2,FALSE)</f>
        <v>7</v>
      </c>
      <c r="N5945" t="str">
        <f t="shared" si="184"/>
        <v>2. 1-24 hours</v>
      </c>
      <c r="O5945" t="str">
        <f t="shared" si="185"/>
        <v>2025-10</v>
      </c>
    </row>
    <row r="5946" spans="1:15" x14ac:dyDescent="0.3">
      <c r="A5946" t="s">
        <v>13986</v>
      </c>
      <c r="B5946" t="s">
        <v>13987</v>
      </c>
      <c r="C5946" t="s">
        <v>81</v>
      </c>
      <c r="D5946" t="s">
        <v>77</v>
      </c>
      <c r="E5946" t="s">
        <v>30</v>
      </c>
      <c r="F5946" t="s">
        <v>82</v>
      </c>
      <c r="G5946">
        <v>0.75</v>
      </c>
      <c r="H5946" t="s">
        <v>61</v>
      </c>
      <c r="I5946" t="s">
        <v>42</v>
      </c>
      <c r="M5946">
        <f>VLOOKUP(H5946,'Stage Order'!$A$2:$B$8,2,FALSE)</f>
        <v>1</v>
      </c>
      <c r="N5946" t="str">
        <f t="shared" si="184"/>
        <v>1. Under 1 hour</v>
      </c>
      <c r="O5946" t="str">
        <f t="shared" si="185"/>
        <v>2025-08</v>
      </c>
    </row>
    <row r="5947" spans="1:15" x14ac:dyDescent="0.3">
      <c r="A5947" t="s">
        <v>13988</v>
      </c>
      <c r="B5947" t="s">
        <v>13989</v>
      </c>
      <c r="C5947" t="s">
        <v>28</v>
      </c>
      <c r="D5947" t="s">
        <v>29</v>
      </c>
      <c r="E5947" t="s">
        <v>39</v>
      </c>
      <c r="F5947" t="s">
        <v>106</v>
      </c>
      <c r="G5947">
        <v>7.84</v>
      </c>
      <c r="H5947" t="s">
        <v>32</v>
      </c>
      <c r="I5947" t="s">
        <v>33</v>
      </c>
      <c r="K5947">
        <v>695.43</v>
      </c>
      <c r="L5947" t="s">
        <v>13990</v>
      </c>
      <c r="M5947">
        <f>VLOOKUP(H5947,'Stage Order'!$A$2:$B$8,2,FALSE)</f>
        <v>7</v>
      </c>
      <c r="N5947" t="str">
        <f t="shared" si="184"/>
        <v>2. 1-24 hours</v>
      </c>
      <c r="O5947" t="str">
        <f t="shared" si="185"/>
        <v>2025-06</v>
      </c>
    </row>
    <row r="5948" spans="1:15" x14ac:dyDescent="0.3">
      <c r="A5948" t="s">
        <v>13991</v>
      </c>
      <c r="B5948" t="s">
        <v>13992</v>
      </c>
      <c r="C5948" t="s">
        <v>28</v>
      </c>
      <c r="D5948" t="s">
        <v>54</v>
      </c>
      <c r="E5948" t="s">
        <v>59</v>
      </c>
      <c r="F5948" t="s">
        <v>60</v>
      </c>
      <c r="G5948">
        <v>0.52</v>
      </c>
      <c r="H5948" t="s">
        <v>32</v>
      </c>
      <c r="I5948" t="s">
        <v>33</v>
      </c>
      <c r="K5948">
        <v>584.74</v>
      </c>
      <c r="L5948" t="s">
        <v>13993</v>
      </c>
      <c r="M5948">
        <f>VLOOKUP(H5948,'Stage Order'!$A$2:$B$8,2,FALSE)</f>
        <v>7</v>
      </c>
      <c r="N5948" t="str">
        <f t="shared" si="184"/>
        <v>1. Under 1 hour</v>
      </c>
      <c r="O5948" t="str">
        <f t="shared" si="185"/>
        <v>2025-09</v>
      </c>
    </row>
    <row r="5949" spans="1:15" x14ac:dyDescent="0.3">
      <c r="A5949" t="s">
        <v>13994</v>
      </c>
      <c r="B5949" t="s">
        <v>13995</v>
      </c>
      <c r="C5949" t="s">
        <v>37</v>
      </c>
      <c r="D5949" t="s">
        <v>97</v>
      </c>
      <c r="E5949" t="s">
        <v>90</v>
      </c>
      <c r="F5949" t="s">
        <v>91</v>
      </c>
      <c r="G5949">
        <v>2.08</v>
      </c>
      <c r="H5949" t="s">
        <v>61</v>
      </c>
      <c r="I5949" t="s">
        <v>42</v>
      </c>
      <c r="M5949">
        <f>VLOOKUP(H5949,'Stage Order'!$A$2:$B$8,2,FALSE)</f>
        <v>1</v>
      </c>
      <c r="N5949" t="str">
        <f t="shared" si="184"/>
        <v>2. 1-24 hours</v>
      </c>
      <c r="O5949" t="str">
        <f t="shared" si="185"/>
        <v>2025-12</v>
      </c>
    </row>
    <row r="5950" spans="1:15" x14ac:dyDescent="0.3">
      <c r="A5950" t="s">
        <v>13996</v>
      </c>
      <c r="B5950" t="s">
        <v>13997</v>
      </c>
      <c r="C5950" t="s">
        <v>37</v>
      </c>
      <c r="D5950" t="s">
        <v>54</v>
      </c>
      <c r="E5950" t="s">
        <v>45</v>
      </c>
      <c r="F5950" t="s">
        <v>55</v>
      </c>
      <c r="G5950">
        <v>1.87</v>
      </c>
      <c r="H5950" t="s">
        <v>32</v>
      </c>
      <c r="I5950" t="s">
        <v>33</v>
      </c>
      <c r="K5950">
        <v>576.80999999999995</v>
      </c>
      <c r="L5950" t="s">
        <v>13998</v>
      </c>
      <c r="M5950">
        <f>VLOOKUP(H5950,'Stage Order'!$A$2:$B$8,2,FALSE)</f>
        <v>7</v>
      </c>
      <c r="N5950" t="str">
        <f t="shared" si="184"/>
        <v>2. 1-24 hours</v>
      </c>
      <c r="O5950" t="str">
        <f t="shared" si="185"/>
        <v>2025-07</v>
      </c>
    </row>
    <row r="5951" spans="1:15" x14ac:dyDescent="0.3">
      <c r="A5951" t="s">
        <v>13999</v>
      </c>
      <c r="B5951" t="s">
        <v>14000</v>
      </c>
      <c r="C5951" t="s">
        <v>28</v>
      </c>
      <c r="D5951" t="s">
        <v>77</v>
      </c>
      <c r="E5951" t="s">
        <v>45</v>
      </c>
      <c r="F5951" t="s">
        <v>46</v>
      </c>
      <c r="G5951">
        <v>4.42</v>
      </c>
      <c r="H5951" t="s">
        <v>41</v>
      </c>
      <c r="I5951" t="s">
        <v>42</v>
      </c>
      <c r="M5951">
        <f>VLOOKUP(H5951,'Stage Order'!$A$2:$B$8,2,FALSE)</f>
        <v>2</v>
      </c>
      <c r="N5951" t="str">
        <f t="shared" si="184"/>
        <v>2. 1-24 hours</v>
      </c>
      <c r="O5951" t="str">
        <f t="shared" si="185"/>
        <v>2026-06</v>
      </c>
    </row>
    <row r="5952" spans="1:15" x14ac:dyDescent="0.3">
      <c r="A5952" t="s">
        <v>14001</v>
      </c>
      <c r="B5952" t="s">
        <v>14002</v>
      </c>
      <c r="C5952" t="s">
        <v>37</v>
      </c>
      <c r="D5952" t="s">
        <v>77</v>
      </c>
      <c r="E5952" t="s">
        <v>59</v>
      </c>
      <c r="F5952" t="s">
        <v>60</v>
      </c>
      <c r="G5952">
        <v>5.83</v>
      </c>
      <c r="H5952" t="s">
        <v>32</v>
      </c>
      <c r="I5952" t="s">
        <v>33</v>
      </c>
      <c r="K5952">
        <v>998.13</v>
      </c>
      <c r="L5952" t="s">
        <v>14003</v>
      </c>
      <c r="M5952">
        <f>VLOOKUP(H5952,'Stage Order'!$A$2:$B$8,2,FALSE)</f>
        <v>7</v>
      </c>
      <c r="N5952" t="str">
        <f t="shared" si="184"/>
        <v>2. 1-24 hours</v>
      </c>
      <c r="O5952" t="str">
        <f t="shared" si="185"/>
        <v>2026-02</v>
      </c>
    </row>
    <row r="5953" spans="1:15" x14ac:dyDescent="0.3">
      <c r="A5953" t="s">
        <v>14004</v>
      </c>
      <c r="B5953" t="s">
        <v>14005</v>
      </c>
      <c r="C5953" t="s">
        <v>76</v>
      </c>
      <c r="D5953" t="s">
        <v>54</v>
      </c>
      <c r="E5953" t="s">
        <v>39</v>
      </c>
      <c r="F5953" t="s">
        <v>106</v>
      </c>
      <c r="G5953">
        <v>8.4</v>
      </c>
      <c r="H5953" t="s">
        <v>138</v>
      </c>
      <c r="I5953" t="s">
        <v>48</v>
      </c>
      <c r="J5953" t="s">
        <v>113</v>
      </c>
      <c r="K5953">
        <v>458.34</v>
      </c>
      <c r="L5953" t="s">
        <v>14006</v>
      </c>
      <c r="M5953">
        <f>VLOOKUP(H5953,'Stage Order'!$A$2:$B$8,2,FALSE)</f>
        <v>6</v>
      </c>
      <c r="N5953" t="str">
        <f t="shared" si="184"/>
        <v>2. 1-24 hours</v>
      </c>
      <c r="O5953" t="str">
        <f t="shared" si="185"/>
        <v>2025-07</v>
      </c>
    </row>
    <row r="5954" spans="1:15" x14ac:dyDescent="0.3">
      <c r="A5954" t="s">
        <v>14007</v>
      </c>
      <c r="B5954" t="s">
        <v>14008</v>
      </c>
      <c r="C5954" t="s">
        <v>125</v>
      </c>
      <c r="D5954" t="s">
        <v>29</v>
      </c>
      <c r="E5954" t="s">
        <v>59</v>
      </c>
      <c r="F5954" t="s">
        <v>117</v>
      </c>
      <c r="G5954">
        <v>6.15</v>
      </c>
      <c r="H5954" t="s">
        <v>41</v>
      </c>
      <c r="I5954" t="s">
        <v>42</v>
      </c>
      <c r="M5954">
        <f>VLOOKUP(H5954,'Stage Order'!$A$2:$B$8,2,FALSE)</f>
        <v>2</v>
      </c>
      <c r="N5954" t="str">
        <f t="shared" ref="N5954:N6017" si="186">IF(G5954&lt;=1,"1. Under 1 hour",IF(G5954&lt;=24,"2. 1-24 hours",IF(G5954&lt;=72,"3. 1-3 days","4. Over 3 days")))</f>
        <v>2. 1-24 hours</v>
      </c>
      <c r="O5954" t="str">
        <f t="shared" ref="O5954:O6017" si="187">TEXT(B5954,"YYYY-MM")</f>
        <v>2026-04</v>
      </c>
    </row>
    <row r="5955" spans="1:15" x14ac:dyDescent="0.3">
      <c r="A5955" t="s">
        <v>14009</v>
      </c>
      <c r="B5955" t="s">
        <v>14010</v>
      </c>
      <c r="C5955" t="s">
        <v>58</v>
      </c>
      <c r="D5955" t="s">
        <v>29</v>
      </c>
      <c r="E5955" t="s">
        <v>45</v>
      </c>
      <c r="F5955" t="s">
        <v>46</v>
      </c>
      <c r="G5955">
        <v>2.04</v>
      </c>
      <c r="H5955" t="s">
        <v>41</v>
      </c>
      <c r="I5955" t="s">
        <v>42</v>
      </c>
      <c r="M5955">
        <f>VLOOKUP(H5955,'Stage Order'!$A$2:$B$8,2,FALSE)</f>
        <v>2</v>
      </c>
      <c r="N5955" t="str">
        <f t="shared" si="186"/>
        <v>2. 1-24 hours</v>
      </c>
      <c r="O5955" t="str">
        <f t="shared" si="187"/>
        <v>2025-05</v>
      </c>
    </row>
    <row r="5956" spans="1:15" x14ac:dyDescent="0.3">
      <c r="A5956" t="s">
        <v>14011</v>
      </c>
      <c r="B5956" t="s">
        <v>14012</v>
      </c>
      <c r="C5956" t="s">
        <v>37</v>
      </c>
      <c r="D5956" t="s">
        <v>77</v>
      </c>
      <c r="E5956" t="s">
        <v>39</v>
      </c>
      <c r="F5956" t="s">
        <v>106</v>
      </c>
      <c r="G5956">
        <v>3.63</v>
      </c>
      <c r="H5956" t="s">
        <v>146</v>
      </c>
      <c r="I5956" t="s">
        <v>48</v>
      </c>
      <c r="J5956" t="s">
        <v>49</v>
      </c>
      <c r="K5956">
        <v>900.35</v>
      </c>
      <c r="L5956" t="s">
        <v>14013</v>
      </c>
      <c r="M5956">
        <f>VLOOKUP(H5956,'Stage Order'!$A$2:$B$8,2,FALSE)</f>
        <v>5</v>
      </c>
      <c r="N5956" t="str">
        <f t="shared" si="186"/>
        <v>2. 1-24 hours</v>
      </c>
      <c r="O5956" t="str">
        <f t="shared" si="187"/>
        <v>2025-02</v>
      </c>
    </row>
    <row r="5957" spans="1:15" x14ac:dyDescent="0.3">
      <c r="A5957" t="s">
        <v>14014</v>
      </c>
      <c r="B5957" t="s">
        <v>14015</v>
      </c>
      <c r="C5957" t="s">
        <v>81</v>
      </c>
      <c r="D5957" t="s">
        <v>77</v>
      </c>
      <c r="E5957" t="s">
        <v>59</v>
      </c>
      <c r="F5957" t="s">
        <v>137</v>
      </c>
      <c r="G5957">
        <v>3.15</v>
      </c>
      <c r="H5957" t="s">
        <v>61</v>
      </c>
      <c r="I5957" t="s">
        <v>42</v>
      </c>
      <c r="M5957">
        <f>VLOOKUP(H5957,'Stage Order'!$A$2:$B$8,2,FALSE)</f>
        <v>1</v>
      </c>
      <c r="N5957" t="str">
        <f t="shared" si="186"/>
        <v>2. 1-24 hours</v>
      </c>
      <c r="O5957" t="str">
        <f t="shared" si="187"/>
        <v>2025-04</v>
      </c>
    </row>
    <row r="5958" spans="1:15" x14ac:dyDescent="0.3">
      <c r="A5958" t="s">
        <v>14016</v>
      </c>
      <c r="B5958" t="s">
        <v>14017</v>
      </c>
      <c r="C5958" t="s">
        <v>28</v>
      </c>
      <c r="D5958" t="s">
        <v>54</v>
      </c>
      <c r="E5958" t="s">
        <v>45</v>
      </c>
      <c r="F5958" t="s">
        <v>94</v>
      </c>
      <c r="G5958">
        <v>6.35</v>
      </c>
      <c r="H5958" t="s">
        <v>128</v>
      </c>
      <c r="I5958" t="s">
        <v>42</v>
      </c>
      <c r="M5958">
        <f>VLOOKUP(H5958,'Stage Order'!$A$2:$B$8,2,FALSE)</f>
        <v>3</v>
      </c>
      <c r="N5958" t="str">
        <f t="shared" si="186"/>
        <v>2. 1-24 hours</v>
      </c>
      <c r="O5958" t="str">
        <f t="shared" si="187"/>
        <v>2025-12</v>
      </c>
    </row>
    <row r="5959" spans="1:15" x14ac:dyDescent="0.3">
      <c r="A5959" t="s">
        <v>14018</v>
      </c>
      <c r="B5959" t="s">
        <v>14019</v>
      </c>
      <c r="C5959" t="s">
        <v>58</v>
      </c>
      <c r="D5959" t="s">
        <v>54</v>
      </c>
      <c r="E5959" t="s">
        <v>90</v>
      </c>
      <c r="F5959" t="s">
        <v>145</v>
      </c>
      <c r="G5959">
        <v>0.53</v>
      </c>
      <c r="H5959" t="s">
        <v>41</v>
      </c>
      <c r="I5959" t="s">
        <v>42</v>
      </c>
      <c r="M5959">
        <f>VLOOKUP(H5959,'Stage Order'!$A$2:$B$8,2,FALSE)</f>
        <v>2</v>
      </c>
      <c r="N5959" t="str">
        <f t="shared" si="186"/>
        <v>1. Under 1 hour</v>
      </c>
      <c r="O5959" t="str">
        <f t="shared" si="187"/>
        <v>2025-05</v>
      </c>
    </row>
    <row r="5960" spans="1:15" x14ac:dyDescent="0.3">
      <c r="A5960" t="s">
        <v>14020</v>
      </c>
      <c r="B5960" t="s">
        <v>14021</v>
      </c>
      <c r="C5960" t="s">
        <v>28</v>
      </c>
      <c r="D5960" t="s">
        <v>77</v>
      </c>
      <c r="E5960" t="s">
        <v>45</v>
      </c>
      <c r="F5960" t="s">
        <v>46</v>
      </c>
      <c r="G5960">
        <v>5.07</v>
      </c>
      <c r="H5960" t="s">
        <v>61</v>
      </c>
      <c r="I5960" t="s">
        <v>42</v>
      </c>
      <c r="M5960">
        <f>VLOOKUP(H5960,'Stage Order'!$A$2:$B$8,2,FALSE)</f>
        <v>1</v>
      </c>
      <c r="N5960" t="str">
        <f t="shared" si="186"/>
        <v>2. 1-24 hours</v>
      </c>
      <c r="O5960" t="str">
        <f t="shared" si="187"/>
        <v>2026-01</v>
      </c>
    </row>
    <row r="5961" spans="1:15" x14ac:dyDescent="0.3">
      <c r="A5961" t="s">
        <v>14022</v>
      </c>
      <c r="B5961" t="s">
        <v>14023</v>
      </c>
      <c r="C5961" t="s">
        <v>28</v>
      </c>
      <c r="D5961" t="s">
        <v>38</v>
      </c>
      <c r="E5961" t="s">
        <v>45</v>
      </c>
      <c r="F5961" t="s">
        <v>55</v>
      </c>
      <c r="G5961">
        <v>4.2300000000000004</v>
      </c>
      <c r="H5961" t="s">
        <v>32</v>
      </c>
      <c r="I5961" t="s">
        <v>33</v>
      </c>
      <c r="K5961">
        <v>307.61</v>
      </c>
      <c r="L5961" t="s">
        <v>14024</v>
      </c>
      <c r="M5961">
        <f>VLOOKUP(H5961,'Stage Order'!$A$2:$B$8,2,FALSE)</f>
        <v>7</v>
      </c>
      <c r="N5961" t="str">
        <f t="shared" si="186"/>
        <v>2. 1-24 hours</v>
      </c>
      <c r="O5961" t="str">
        <f t="shared" si="187"/>
        <v>2025-10</v>
      </c>
    </row>
    <row r="5962" spans="1:15" x14ac:dyDescent="0.3">
      <c r="A5962" t="s">
        <v>14025</v>
      </c>
      <c r="B5962" t="s">
        <v>14026</v>
      </c>
      <c r="C5962" t="s">
        <v>125</v>
      </c>
      <c r="D5962" t="s">
        <v>54</v>
      </c>
      <c r="E5962" t="s">
        <v>59</v>
      </c>
      <c r="F5962" t="s">
        <v>60</v>
      </c>
      <c r="G5962">
        <v>0.64</v>
      </c>
      <c r="H5962" t="s">
        <v>61</v>
      </c>
      <c r="I5962" t="s">
        <v>42</v>
      </c>
      <c r="M5962">
        <f>VLOOKUP(H5962,'Stage Order'!$A$2:$B$8,2,FALSE)</f>
        <v>1</v>
      </c>
      <c r="N5962" t="str">
        <f t="shared" si="186"/>
        <v>1. Under 1 hour</v>
      </c>
      <c r="O5962" t="str">
        <f t="shared" si="187"/>
        <v>2026-05</v>
      </c>
    </row>
    <row r="5963" spans="1:15" x14ac:dyDescent="0.3">
      <c r="A5963" t="s">
        <v>14027</v>
      </c>
      <c r="B5963" t="s">
        <v>14028</v>
      </c>
      <c r="C5963" t="s">
        <v>58</v>
      </c>
      <c r="D5963" t="s">
        <v>54</v>
      </c>
      <c r="E5963" t="s">
        <v>45</v>
      </c>
      <c r="F5963" t="s">
        <v>94</v>
      </c>
      <c r="G5963">
        <v>4.3499999999999996</v>
      </c>
      <c r="H5963" t="s">
        <v>41</v>
      </c>
      <c r="I5963" t="s">
        <v>42</v>
      </c>
      <c r="M5963">
        <f>VLOOKUP(H5963,'Stage Order'!$A$2:$B$8,2,FALSE)</f>
        <v>2</v>
      </c>
      <c r="N5963" t="str">
        <f t="shared" si="186"/>
        <v>2. 1-24 hours</v>
      </c>
      <c r="O5963" t="str">
        <f t="shared" si="187"/>
        <v>2025-08</v>
      </c>
    </row>
    <row r="5964" spans="1:15" x14ac:dyDescent="0.3">
      <c r="A5964" t="s">
        <v>14029</v>
      </c>
      <c r="B5964" t="s">
        <v>14030</v>
      </c>
      <c r="C5964" t="s">
        <v>58</v>
      </c>
      <c r="D5964" t="s">
        <v>97</v>
      </c>
      <c r="E5964" t="s">
        <v>45</v>
      </c>
      <c r="F5964" t="s">
        <v>55</v>
      </c>
      <c r="G5964">
        <v>0.64</v>
      </c>
      <c r="H5964" t="s">
        <v>41</v>
      </c>
      <c r="I5964" t="s">
        <v>42</v>
      </c>
      <c r="M5964">
        <f>VLOOKUP(H5964,'Stage Order'!$A$2:$B$8,2,FALSE)</f>
        <v>2</v>
      </c>
      <c r="N5964" t="str">
        <f t="shared" si="186"/>
        <v>1. Under 1 hour</v>
      </c>
      <c r="O5964" t="str">
        <f t="shared" si="187"/>
        <v>2026-04</v>
      </c>
    </row>
    <row r="5965" spans="1:15" x14ac:dyDescent="0.3">
      <c r="A5965" t="s">
        <v>14031</v>
      </c>
      <c r="B5965" t="s">
        <v>14032</v>
      </c>
      <c r="C5965" t="s">
        <v>81</v>
      </c>
      <c r="D5965" t="s">
        <v>29</v>
      </c>
      <c r="E5965" t="s">
        <v>45</v>
      </c>
      <c r="F5965" t="s">
        <v>55</v>
      </c>
      <c r="G5965">
        <v>3.31</v>
      </c>
      <c r="H5965" t="s">
        <v>41</v>
      </c>
      <c r="I5965" t="s">
        <v>42</v>
      </c>
      <c r="M5965">
        <f>VLOOKUP(H5965,'Stage Order'!$A$2:$B$8,2,FALSE)</f>
        <v>2</v>
      </c>
      <c r="N5965" t="str">
        <f t="shared" si="186"/>
        <v>2. 1-24 hours</v>
      </c>
      <c r="O5965" t="str">
        <f t="shared" si="187"/>
        <v>2025-02</v>
      </c>
    </row>
    <row r="5966" spans="1:15" x14ac:dyDescent="0.3">
      <c r="A5966" t="s">
        <v>14033</v>
      </c>
      <c r="B5966" t="s">
        <v>14034</v>
      </c>
      <c r="C5966" t="s">
        <v>53</v>
      </c>
      <c r="D5966" t="s">
        <v>97</v>
      </c>
      <c r="E5966" t="s">
        <v>39</v>
      </c>
      <c r="F5966" t="s">
        <v>106</v>
      </c>
      <c r="G5966">
        <v>4.0599999999999996</v>
      </c>
      <c r="H5966" t="s">
        <v>138</v>
      </c>
      <c r="I5966" t="s">
        <v>48</v>
      </c>
      <c r="J5966" t="s">
        <v>139</v>
      </c>
      <c r="K5966">
        <v>1674.86</v>
      </c>
      <c r="L5966" t="s">
        <v>14035</v>
      </c>
      <c r="M5966">
        <f>VLOOKUP(H5966,'Stage Order'!$A$2:$B$8,2,FALSE)</f>
        <v>6</v>
      </c>
      <c r="N5966" t="str">
        <f t="shared" si="186"/>
        <v>2. 1-24 hours</v>
      </c>
      <c r="O5966" t="str">
        <f t="shared" si="187"/>
        <v>2025-12</v>
      </c>
    </row>
    <row r="5967" spans="1:15" x14ac:dyDescent="0.3">
      <c r="A5967" t="s">
        <v>14036</v>
      </c>
      <c r="B5967" t="s">
        <v>14037</v>
      </c>
      <c r="C5967" t="s">
        <v>37</v>
      </c>
      <c r="D5967" t="s">
        <v>38</v>
      </c>
      <c r="E5967" t="s">
        <v>45</v>
      </c>
      <c r="F5967" t="s">
        <v>55</v>
      </c>
      <c r="G5967">
        <v>2.21</v>
      </c>
      <c r="H5967" t="s">
        <v>41</v>
      </c>
      <c r="I5967" t="s">
        <v>42</v>
      </c>
      <c r="M5967">
        <f>VLOOKUP(H5967,'Stage Order'!$A$2:$B$8,2,FALSE)</f>
        <v>2</v>
      </c>
      <c r="N5967" t="str">
        <f t="shared" si="186"/>
        <v>2. 1-24 hours</v>
      </c>
      <c r="O5967" t="str">
        <f t="shared" si="187"/>
        <v>2026-02</v>
      </c>
    </row>
    <row r="5968" spans="1:15" x14ac:dyDescent="0.3">
      <c r="A5968" t="s">
        <v>14038</v>
      </c>
      <c r="B5968" t="s">
        <v>14039</v>
      </c>
      <c r="C5968" t="s">
        <v>58</v>
      </c>
      <c r="D5968" t="s">
        <v>38</v>
      </c>
      <c r="E5968" t="s">
        <v>45</v>
      </c>
      <c r="F5968" t="s">
        <v>46</v>
      </c>
      <c r="G5968">
        <v>4.5199999999999996</v>
      </c>
      <c r="H5968" t="s">
        <v>47</v>
      </c>
      <c r="I5968" t="s">
        <v>48</v>
      </c>
      <c r="J5968" t="s">
        <v>742</v>
      </c>
      <c r="K5968">
        <v>403</v>
      </c>
      <c r="L5968" t="s">
        <v>14040</v>
      </c>
      <c r="M5968">
        <f>VLOOKUP(H5968,'Stage Order'!$A$2:$B$8,2,FALSE)</f>
        <v>4</v>
      </c>
      <c r="N5968" t="str">
        <f t="shared" si="186"/>
        <v>2. 1-24 hours</v>
      </c>
      <c r="O5968" t="str">
        <f t="shared" si="187"/>
        <v>2025-10</v>
      </c>
    </row>
    <row r="5969" spans="1:15" x14ac:dyDescent="0.3">
      <c r="A5969" t="s">
        <v>14041</v>
      </c>
      <c r="B5969" t="s">
        <v>14042</v>
      </c>
      <c r="C5969" t="s">
        <v>81</v>
      </c>
      <c r="D5969" t="s">
        <v>38</v>
      </c>
      <c r="E5969" t="s">
        <v>90</v>
      </c>
      <c r="F5969" t="s">
        <v>145</v>
      </c>
      <c r="G5969">
        <v>2.64</v>
      </c>
      <c r="H5969" t="s">
        <v>61</v>
      </c>
      <c r="I5969" t="s">
        <v>42</v>
      </c>
      <c r="M5969">
        <f>VLOOKUP(H5969,'Stage Order'!$A$2:$B$8,2,FALSE)</f>
        <v>1</v>
      </c>
      <c r="N5969" t="str">
        <f t="shared" si="186"/>
        <v>2. 1-24 hours</v>
      </c>
      <c r="O5969" t="str">
        <f t="shared" si="187"/>
        <v>2025-01</v>
      </c>
    </row>
    <row r="5970" spans="1:15" x14ac:dyDescent="0.3">
      <c r="A5970" t="s">
        <v>14043</v>
      </c>
      <c r="B5970" t="s">
        <v>14044</v>
      </c>
      <c r="C5970" t="s">
        <v>37</v>
      </c>
      <c r="D5970" t="s">
        <v>77</v>
      </c>
      <c r="E5970" t="s">
        <v>45</v>
      </c>
      <c r="F5970" t="s">
        <v>55</v>
      </c>
      <c r="G5970">
        <v>0.52</v>
      </c>
      <c r="H5970" t="s">
        <v>146</v>
      </c>
      <c r="I5970" t="s">
        <v>48</v>
      </c>
      <c r="J5970" t="s">
        <v>113</v>
      </c>
      <c r="K5970">
        <v>1139.73</v>
      </c>
      <c r="L5970" t="s">
        <v>14045</v>
      </c>
      <c r="M5970">
        <f>VLOOKUP(H5970,'Stage Order'!$A$2:$B$8,2,FALSE)</f>
        <v>5</v>
      </c>
      <c r="N5970" t="str">
        <f t="shared" si="186"/>
        <v>1. Under 1 hour</v>
      </c>
      <c r="O5970" t="str">
        <f t="shared" si="187"/>
        <v>2025-04</v>
      </c>
    </row>
    <row r="5971" spans="1:15" x14ac:dyDescent="0.3">
      <c r="A5971" t="s">
        <v>14046</v>
      </c>
      <c r="B5971" t="s">
        <v>14047</v>
      </c>
      <c r="C5971" t="s">
        <v>58</v>
      </c>
      <c r="D5971" t="s">
        <v>54</v>
      </c>
      <c r="E5971" t="s">
        <v>45</v>
      </c>
      <c r="F5971" t="s">
        <v>46</v>
      </c>
      <c r="G5971">
        <v>0.67</v>
      </c>
      <c r="H5971" t="s">
        <v>138</v>
      </c>
      <c r="I5971" t="s">
        <v>48</v>
      </c>
      <c r="J5971" t="s">
        <v>139</v>
      </c>
      <c r="K5971">
        <v>596.08000000000004</v>
      </c>
      <c r="L5971" t="s">
        <v>14048</v>
      </c>
      <c r="M5971">
        <f>VLOOKUP(H5971,'Stage Order'!$A$2:$B$8,2,FALSE)</f>
        <v>6</v>
      </c>
      <c r="N5971" t="str">
        <f t="shared" si="186"/>
        <v>1. Under 1 hour</v>
      </c>
      <c r="O5971" t="str">
        <f t="shared" si="187"/>
        <v>2026-01</v>
      </c>
    </row>
    <row r="5972" spans="1:15" x14ac:dyDescent="0.3">
      <c r="A5972" t="s">
        <v>14049</v>
      </c>
      <c r="B5972" t="s">
        <v>14050</v>
      </c>
      <c r="C5972" t="s">
        <v>125</v>
      </c>
      <c r="D5972" t="s">
        <v>38</v>
      </c>
      <c r="E5972" t="s">
        <v>59</v>
      </c>
      <c r="F5972" t="s">
        <v>60</v>
      </c>
      <c r="G5972">
        <v>1.86</v>
      </c>
      <c r="H5972" t="s">
        <v>41</v>
      </c>
      <c r="I5972" t="s">
        <v>42</v>
      </c>
      <c r="M5972">
        <f>VLOOKUP(H5972,'Stage Order'!$A$2:$B$8,2,FALSE)</f>
        <v>2</v>
      </c>
      <c r="N5972" t="str">
        <f t="shared" si="186"/>
        <v>2. 1-24 hours</v>
      </c>
      <c r="O5972" t="str">
        <f t="shared" si="187"/>
        <v>2025-12</v>
      </c>
    </row>
    <row r="5973" spans="1:15" x14ac:dyDescent="0.3">
      <c r="A5973" t="s">
        <v>14051</v>
      </c>
      <c r="B5973" t="s">
        <v>14052</v>
      </c>
      <c r="C5973" t="s">
        <v>53</v>
      </c>
      <c r="D5973" t="s">
        <v>97</v>
      </c>
      <c r="E5973" t="s">
        <v>90</v>
      </c>
      <c r="F5973" t="s">
        <v>91</v>
      </c>
      <c r="G5973">
        <v>3.76</v>
      </c>
      <c r="H5973" t="s">
        <v>146</v>
      </c>
      <c r="I5973" t="s">
        <v>48</v>
      </c>
      <c r="J5973" t="s">
        <v>139</v>
      </c>
      <c r="K5973">
        <v>1218.3499999999999</v>
      </c>
      <c r="L5973" t="s">
        <v>14053</v>
      </c>
      <c r="M5973">
        <f>VLOOKUP(H5973,'Stage Order'!$A$2:$B$8,2,FALSE)</f>
        <v>5</v>
      </c>
      <c r="N5973" t="str">
        <f t="shared" si="186"/>
        <v>2. 1-24 hours</v>
      </c>
      <c r="O5973" t="str">
        <f t="shared" si="187"/>
        <v>2026-06</v>
      </c>
    </row>
    <row r="5974" spans="1:15" x14ac:dyDescent="0.3">
      <c r="A5974" t="s">
        <v>14054</v>
      </c>
      <c r="B5974" t="s">
        <v>14055</v>
      </c>
      <c r="C5974" t="s">
        <v>125</v>
      </c>
      <c r="D5974" t="s">
        <v>97</v>
      </c>
      <c r="E5974" t="s">
        <v>59</v>
      </c>
      <c r="F5974" t="s">
        <v>137</v>
      </c>
      <c r="G5974">
        <v>15.54</v>
      </c>
      <c r="H5974" t="s">
        <v>61</v>
      </c>
      <c r="I5974" t="s">
        <v>42</v>
      </c>
      <c r="M5974">
        <f>VLOOKUP(H5974,'Stage Order'!$A$2:$B$8,2,FALSE)</f>
        <v>1</v>
      </c>
      <c r="N5974" t="str">
        <f t="shared" si="186"/>
        <v>2. 1-24 hours</v>
      </c>
      <c r="O5974" t="str">
        <f t="shared" si="187"/>
        <v>2025-04</v>
      </c>
    </row>
    <row r="5975" spans="1:15" x14ac:dyDescent="0.3">
      <c r="A5975" t="s">
        <v>14056</v>
      </c>
      <c r="B5975" t="s">
        <v>14057</v>
      </c>
      <c r="C5975" t="s">
        <v>58</v>
      </c>
      <c r="D5975" t="s">
        <v>54</v>
      </c>
      <c r="E5975" t="s">
        <v>45</v>
      </c>
      <c r="F5975" t="s">
        <v>46</v>
      </c>
      <c r="G5975">
        <v>1.39</v>
      </c>
      <c r="H5975" t="s">
        <v>32</v>
      </c>
      <c r="I5975" t="s">
        <v>33</v>
      </c>
      <c r="K5975">
        <v>589.73</v>
      </c>
      <c r="L5975" t="s">
        <v>14058</v>
      </c>
      <c r="M5975">
        <f>VLOOKUP(H5975,'Stage Order'!$A$2:$B$8,2,FALSE)</f>
        <v>7</v>
      </c>
      <c r="N5975" t="str">
        <f t="shared" si="186"/>
        <v>2. 1-24 hours</v>
      </c>
      <c r="O5975" t="str">
        <f t="shared" si="187"/>
        <v>2025-09</v>
      </c>
    </row>
    <row r="5976" spans="1:15" x14ac:dyDescent="0.3">
      <c r="A5976" t="s">
        <v>14059</v>
      </c>
      <c r="B5976" t="s">
        <v>14060</v>
      </c>
      <c r="C5976" t="s">
        <v>53</v>
      </c>
      <c r="D5976" t="s">
        <v>54</v>
      </c>
      <c r="E5976" t="s">
        <v>90</v>
      </c>
      <c r="F5976" t="s">
        <v>91</v>
      </c>
      <c r="G5976">
        <v>1.89</v>
      </c>
      <c r="H5976" t="s">
        <v>32</v>
      </c>
      <c r="I5976" t="s">
        <v>33</v>
      </c>
      <c r="K5976">
        <v>574.04</v>
      </c>
      <c r="L5976" t="s">
        <v>14061</v>
      </c>
      <c r="M5976">
        <f>VLOOKUP(H5976,'Stage Order'!$A$2:$B$8,2,FALSE)</f>
        <v>7</v>
      </c>
      <c r="N5976" t="str">
        <f t="shared" si="186"/>
        <v>2. 1-24 hours</v>
      </c>
      <c r="O5976" t="str">
        <f t="shared" si="187"/>
        <v>2026-02</v>
      </c>
    </row>
    <row r="5977" spans="1:15" x14ac:dyDescent="0.3">
      <c r="A5977" t="s">
        <v>14062</v>
      </c>
      <c r="B5977" t="s">
        <v>14063</v>
      </c>
      <c r="C5977" t="s">
        <v>58</v>
      </c>
      <c r="D5977" t="s">
        <v>54</v>
      </c>
      <c r="E5977" t="s">
        <v>90</v>
      </c>
      <c r="F5977" t="s">
        <v>91</v>
      </c>
      <c r="G5977">
        <v>0.57999999999999996</v>
      </c>
      <c r="H5977" t="s">
        <v>138</v>
      </c>
      <c r="I5977" t="s">
        <v>48</v>
      </c>
      <c r="J5977" t="s">
        <v>98</v>
      </c>
      <c r="K5977">
        <v>486.25</v>
      </c>
      <c r="L5977" t="s">
        <v>14064</v>
      </c>
      <c r="M5977">
        <f>VLOOKUP(H5977,'Stage Order'!$A$2:$B$8,2,FALSE)</f>
        <v>6</v>
      </c>
      <c r="N5977" t="str">
        <f t="shared" si="186"/>
        <v>1. Under 1 hour</v>
      </c>
      <c r="O5977" t="str">
        <f t="shared" si="187"/>
        <v>2025-06</v>
      </c>
    </row>
    <row r="5978" spans="1:15" x14ac:dyDescent="0.3">
      <c r="A5978" t="s">
        <v>14065</v>
      </c>
      <c r="B5978" t="s">
        <v>14066</v>
      </c>
      <c r="C5978" t="s">
        <v>81</v>
      </c>
      <c r="D5978" t="s">
        <v>97</v>
      </c>
      <c r="E5978" t="s">
        <v>30</v>
      </c>
      <c r="F5978" t="s">
        <v>82</v>
      </c>
      <c r="G5978">
        <v>1.84</v>
      </c>
      <c r="H5978" t="s">
        <v>61</v>
      </c>
      <c r="I5978" t="s">
        <v>42</v>
      </c>
      <c r="M5978">
        <f>VLOOKUP(H5978,'Stage Order'!$A$2:$B$8,2,FALSE)</f>
        <v>1</v>
      </c>
      <c r="N5978" t="str">
        <f t="shared" si="186"/>
        <v>2. 1-24 hours</v>
      </c>
      <c r="O5978" t="str">
        <f t="shared" si="187"/>
        <v>2026-04</v>
      </c>
    </row>
    <row r="5979" spans="1:15" x14ac:dyDescent="0.3">
      <c r="A5979" t="s">
        <v>14067</v>
      </c>
      <c r="B5979" t="s">
        <v>14068</v>
      </c>
      <c r="C5979" t="s">
        <v>76</v>
      </c>
      <c r="D5979" t="s">
        <v>54</v>
      </c>
      <c r="E5979" t="s">
        <v>39</v>
      </c>
      <c r="F5979" t="s">
        <v>66</v>
      </c>
      <c r="G5979">
        <v>0.53</v>
      </c>
      <c r="H5979" t="s">
        <v>32</v>
      </c>
      <c r="I5979" t="s">
        <v>33</v>
      </c>
      <c r="K5979">
        <v>527.65</v>
      </c>
      <c r="L5979" t="s">
        <v>14069</v>
      </c>
      <c r="M5979">
        <f>VLOOKUP(H5979,'Stage Order'!$A$2:$B$8,2,FALSE)</f>
        <v>7</v>
      </c>
      <c r="N5979" t="str">
        <f t="shared" si="186"/>
        <v>1. Under 1 hour</v>
      </c>
      <c r="O5979" t="str">
        <f t="shared" si="187"/>
        <v>2025-03</v>
      </c>
    </row>
    <row r="5980" spans="1:15" x14ac:dyDescent="0.3">
      <c r="A5980" t="s">
        <v>14070</v>
      </c>
      <c r="B5980" t="s">
        <v>14071</v>
      </c>
      <c r="C5980" t="s">
        <v>28</v>
      </c>
      <c r="D5980" t="s">
        <v>29</v>
      </c>
      <c r="E5980" t="s">
        <v>90</v>
      </c>
      <c r="F5980" t="s">
        <v>91</v>
      </c>
      <c r="G5980">
        <v>5.12</v>
      </c>
      <c r="H5980" t="s">
        <v>41</v>
      </c>
      <c r="I5980" t="s">
        <v>42</v>
      </c>
      <c r="M5980">
        <f>VLOOKUP(H5980,'Stage Order'!$A$2:$B$8,2,FALSE)</f>
        <v>2</v>
      </c>
      <c r="N5980" t="str">
        <f t="shared" si="186"/>
        <v>2. 1-24 hours</v>
      </c>
      <c r="O5980" t="str">
        <f t="shared" si="187"/>
        <v>2026-03</v>
      </c>
    </row>
    <row r="5981" spans="1:15" x14ac:dyDescent="0.3">
      <c r="A5981" t="s">
        <v>14072</v>
      </c>
      <c r="B5981" t="s">
        <v>14073</v>
      </c>
      <c r="C5981" t="s">
        <v>37</v>
      </c>
      <c r="D5981" t="s">
        <v>38</v>
      </c>
      <c r="E5981" t="s">
        <v>39</v>
      </c>
      <c r="F5981" t="s">
        <v>66</v>
      </c>
      <c r="G5981">
        <v>0.82</v>
      </c>
      <c r="H5981" t="s">
        <v>61</v>
      </c>
      <c r="I5981" t="s">
        <v>42</v>
      </c>
      <c r="M5981">
        <f>VLOOKUP(H5981,'Stage Order'!$A$2:$B$8,2,FALSE)</f>
        <v>1</v>
      </c>
      <c r="N5981" t="str">
        <f t="shared" si="186"/>
        <v>1. Under 1 hour</v>
      </c>
      <c r="O5981" t="str">
        <f t="shared" si="187"/>
        <v>2025-07</v>
      </c>
    </row>
    <row r="5982" spans="1:15" x14ac:dyDescent="0.3">
      <c r="A5982" t="s">
        <v>14074</v>
      </c>
      <c r="B5982" t="s">
        <v>14075</v>
      </c>
      <c r="C5982" t="s">
        <v>53</v>
      </c>
      <c r="D5982" t="s">
        <v>38</v>
      </c>
      <c r="E5982" t="s">
        <v>90</v>
      </c>
      <c r="F5982" t="s">
        <v>145</v>
      </c>
      <c r="G5982">
        <v>4.71</v>
      </c>
      <c r="H5982" t="s">
        <v>47</v>
      </c>
      <c r="I5982" t="s">
        <v>48</v>
      </c>
      <c r="J5982" t="s">
        <v>139</v>
      </c>
      <c r="K5982">
        <v>400.2</v>
      </c>
      <c r="L5982" t="s">
        <v>14076</v>
      </c>
      <c r="M5982">
        <f>VLOOKUP(H5982,'Stage Order'!$A$2:$B$8,2,FALSE)</f>
        <v>4</v>
      </c>
      <c r="N5982" t="str">
        <f t="shared" si="186"/>
        <v>2. 1-24 hours</v>
      </c>
      <c r="O5982" t="str">
        <f t="shared" si="187"/>
        <v>2026-01</v>
      </c>
    </row>
    <row r="5983" spans="1:15" x14ac:dyDescent="0.3">
      <c r="A5983" t="s">
        <v>14077</v>
      </c>
      <c r="B5983" t="s">
        <v>14078</v>
      </c>
      <c r="C5983" t="s">
        <v>58</v>
      </c>
      <c r="D5983" t="s">
        <v>54</v>
      </c>
      <c r="E5983" t="s">
        <v>45</v>
      </c>
      <c r="F5983" t="s">
        <v>55</v>
      </c>
      <c r="G5983">
        <v>4.28</v>
      </c>
      <c r="H5983" t="s">
        <v>41</v>
      </c>
      <c r="I5983" t="s">
        <v>42</v>
      </c>
      <c r="M5983">
        <f>VLOOKUP(H5983,'Stage Order'!$A$2:$B$8,2,FALSE)</f>
        <v>2</v>
      </c>
      <c r="N5983" t="str">
        <f t="shared" si="186"/>
        <v>2. 1-24 hours</v>
      </c>
      <c r="O5983" t="str">
        <f t="shared" si="187"/>
        <v>2026-03</v>
      </c>
    </row>
    <row r="5984" spans="1:15" x14ac:dyDescent="0.3">
      <c r="A5984" t="s">
        <v>14079</v>
      </c>
      <c r="B5984" t="s">
        <v>14080</v>
      </c>
      <c r="C5984" t="s">
        <v>81</v>
      </c>
      <c r="D5984" t="s">
        <v>77</v>
      </c>
      <c r="E5984" t="s">
        <v>59</v>
      </c>
      <c r="F5984" t="s">
        <v>137</v>
      </c>
      <c r="G5984">
        <v>5.81</v>
      </c>
      <c r="H5984" t="s">
        <v>61</v>
      </c>
      <c r="I5984" t="s">
        <v>42</v>
      </c>
      <c r="M5984">
        <f>VLOOKUP(H5984,'Stage Order'!$A$2:$B$8,2,FALSE)</f>
        <v>1</v>
      </c>
      <c r="N5984" t="str">
        <f t="shared" si="186"/>
        <v>2. 1-24 hours</v>
      </c>
      <c r="O5984" t="str">
        <f t="shared" si="187"/>
        <v>2025-05</v>
      </c>
    </row>
    <row r="5985" spans="1:15" x14ac:dyDescent="0.3">
      <c r="A5985" t="s">
        <v>14081</v>
      </c>
      <c r="B5985" t="s">
        <v>14082</v>
      </c>
      <c r="C5985" t="s">
        <v>58</v>
      </c>
      <c r="D5985" t="s">
        <v>29</v>
      </c>
      <c r="E5985" t="s">
        <v>59</v>
      </c>
      <c r="F5985" t="s">
        <v>137</v>
      </c>
      <c r="G5985">
        <v>2.4700000000000002</v>
      </c>
      <c r="H5985" t="s">
        <v>41</v>
      </c>
      <c r="I5985" t="s">
        <v>42</v>
      </c>
      <c r="M5985">
        <f>VLOOKUP(H5985,'Stage Order'!$A$2:$B$8,2,FALSE)</f>
        <v>2</v>
      </c>
      <c r="N5985" t="str">
        <f t="shared" si="186"/>
        <v>2. 1-24 hours</v>
      </c>
      <c r="O5985" t="str">
        <f t="shared" si="187"/>
        <v>2026-01</v>
      </c>
    </row>
    <row r="5986" spans="1:15" x14ac:dyDescent="0.3">
      <c r="A5986" t="s">
        <v>14083</v>
      </c>
      <c r="B5986" t="s">
        <v>14084</v>
      </c>
      <c r="C5986" t="s">
        <v>58</v>
      </c>
      <c r="D5986" t="s">
        <v>54</v>
      </c>
      <c r="E5986" t="s">
        <v>30</v>
      </c>
      <c r="F5986" t="s">
        <v>31</v>
      </c>
      <c r="G5986">
        <v>1.45</v>
      </c>
      <c r="H5986" t="s">
        <v>128</v>
      </c>
      <c r="I5986" t="s">
        <v>42</v>
      </c>
      <c r="M5986">
        <f>VLOOKUP(H5986,'Stage Order'!$A$2:$B$8,2,FALSE)</f>
        <v>3</v>
      </c>
      <c r="N5986" t="str">
        <f t="shared" si="186"/>
        <v>2. 1-24 hours</v>
      </c>
      <c r="O5986" t="str">
        <f t="shared" si="187"/>
        <v>2025-01</v>
      </c>
    </row>
    <row r="5987" spans="1:15" x14ac:dyDescent="0.3">
      <c r="A5987" t="s">
        <v>14085</v>
      </c>
      <c r="B5987" t="s">
        <v>14086</v>
      </c>
      <c r="C5987" t="s">
        <v>37</v>
      </c>
      <c r="D5987" t="s">
        <v>97</v>
      </c>
      <c r="E5987" t="s">
        <v>45</v>
      </c>
      <c r="F5987" t="s">
        <v>55</v>
      </c>
      <c r="G5987">
        <v>2.94</v>
      </c>
      <c r="H5987" t="s">
        <v>32</v>
      </c>
      <c r="I5987" t="s">
        <v>33</v>
      </c>
      <c r="K5987">
        <v>1363.1</v>
      </c>
      <c r="L5987" t="s">
        <v>14087</v>
      </c>
      <c r="M5987">
        <f>VLOOKUP(H5987,'Stage Order'!$A$2:$B$8,2,FALSE)</f>
        <v>7</v>
      </c>
      <c r="N5987" t="str">
        <f t="shared" si="186"/>
        <v>2. 1-24 hours</v>
      </c>
      <c r="O5987" t="str">
        <f t="shared" si="187"/>
        <v>2025-08</v>
      </c>
    </row>
    <row r="5988" spans="1:15" x14ac:dyDescent="0.3">
      <c r="A5988" t="s">
        <v>14088</v>
      </c>
      <c r="B5988" t="s">
        <v>14089</v>
      </c>
      <c r="C5988" t="s">
        <v>58</v>
      </c>
      <c r="D5988" t="s">
        <v>29</v>
      </c>
      <c r="E5988" t="s">
        <v>30</v>
      </c>
      <c r="F5988" t="s">
        <v>78</v>
      </c>
      <c r="G5988">
        <v>2.38</v>
      </c>
      <c r="H5988" t="s">
        <v>41</v>
      </c>
      <c r="I5988" t="s">
        <v>42</v>
      </c>
      <c r="M5988">
        <f>VLOOKUP(H5988,'Stage Order'!$A$2:$B$8,2,FALSE)</f>
        <v>2</v>
      </c>
      <c r="N5988" t="str">
        <f t="shared" si="186"/>
        <v>2. 1-24 hours</v>
      </c>
      <c r="O5988" t="str">
        <f t="shared" si="187"/>
        <v>2026-02</v>
      </c>
    </row>
    <row r="5989" spans="1:15" x14ac:dyDescent="0.3">
      <c r="A5989" t="s">
        <v>14090</v>
      </c>
      <c r="B5989" t="s">
        <v>14091</v>
      </c>
      <c r="C5989" t="s">
        <v>28</v>
      </c>
      <c r="D5989" t="s">
        <v>54</v>
      </c>
      <c r="E5989" t="s">
        <v>39</v>
      </c>
      <c r="F5989" t="s">
        <v>106</v>
      </c>
      <c r="G5989">
        <v>3.2</v>
      </c>
      <c r="H5989" t="s">
        <v>41</v>
      </c>
      <c r="I5989" t="s">
        <v>42</v>
      </c>
      <c r="M5989">
        <f>VLOOKUP(H5989,'Stage Order'!$A$2:$B$8,2,FALSE)</f>
        <v>2</v>
      </c>
      <c r="N5989" t="str">
        <f t="shared" si="186"/>
        <v>2. 1-24 hours</v>
      </c>
      <c r="O5989" t="str">
        <f t="shared" si="187"/>
        <v>2025-04</v>
      </c>
    </row>
    <row r="5990" spans="1:15" x14ac:dyDescent="0.3">
      <c r="A5990" t="s">
        <v>14092</v>
      </c>
      <c r="B5990" t="s">
        <v>14093</v>
      </c>
      <c r="C5990" t="s">
        <v>58</v>
      </c>
      <c r="D5990" t="s">
        <v>54</v>
      </c>
      <c r="E5990" t="s">
        <v>90</v>
      </c>
      <c r="F5990" t="s">
        <v>91</v>
      </c>
      <c r="G5990">
        <v>1.46</v>
      </c>
      <c r="H5990" t="s">
        <v>61</v>
      </c>
      <c r="I5990" t="s">
        <v>42</v>
      </c>
      <c r="M5990">
        <f>VLOOKUP(H5990,'Stage Order'!$A$2:$B$8,2,FALSE)</f>
        <v>1</v>
      </c>
      <c r="N5990" t="str">
        <f t="shared" si="186"/>
        <v>2. 1-24 hours</v>
      </c>
      <c r="O5990" t="str">
        <f t="shared" si="187"/>
        <v>2026-03</v>
      </c>
    </row>
    <row r="5991" spans="1:15" x14ac:dyDescent="0.3">
      <c r="A5991" t="s">
        <v>14094</v>
      </c>
      <c r="B5991" t="s">
        <v>14095</v>
      </c>
      <c r="C5991" t="s">
        <v>58</v>
      </c>
      <c r="D5991" t="s">
        <v>29</v>
      </c>
      <c r="E5991" t="s">
        <v>45</v>
      </c>
      <c r="F5991" t="s">
        <v>94</v>
      </c>
      <c r="G5991">
        <v>4.1399999999999997</v>
      </c>
      <c r="H5991" t="s">
        <v>41</v>
      </c>
      <c r="I5991" t="s">
        <v>42</v>
      </c>
      <c r="M5991">
        <f>VLOOKUP(H5991,'Stage Order'!$A$2:$B$8,2,FALSE)</f>
        <v>2</v>
      </c>
      <c r="N5991" t="str">
        <f t="shared" si="186"/>
        <v>2. 1-24 hours</v>
      </c>
      <c r="O5991" t="str">
        <f t="shared" si="187"/>
        <v>2025-03</v>
      </c>
    </row>
    <row r="5992" spans="1:15" x14ac:dyDescent="0.3">
      <c r="A5992" t="s">
        <v>14096</v>
      </c>
      <c r="B5992" t="s">
        <v>14097</v>
      </c>
      <c r="C5992" t="s">
        <v>53</v>
      </c>
      <c r="D5992" t="s">
        <v>54</v>
      </c>
      <c r="E5992" t="s">
        <v>59</v>
      </c>
      <c r="F5992" t="s">
        <v>137</v>
      </c>
      <c r="G5992">
        <v>1.58</v>
      </c>
      <c r="H5992" t="s">
        <v>138</v>
      </c>
      <c r="I5992" t="s">
        <v>48</v>
      </c>
      <c r="J5992" t="s">
        <v>98</v>
      </c>
      <c r="K5992">
        <v>525.99</v>
      </c>
      <c r="L5992" t="s">
        <v>14098</v>
      </c>
      <c r="M5992">
        <f>VLOOKUP(H5992,'Stage Order'!$A$2:$B$8,2,FALSE)</f>
        <v>6</v>
      </c>
      <c r="N5992" t="str">
        <f t="shared" si="186"/>
        <v>2. 1-24 hours</v>
      </c>
      <c r="O5992" t="str">
        <f t="shared" si="187"/>
        <v>2025-03</v>
      </c>
    </row>
    <row r="5993" spans="1:15" x14ac:dyDescent="0.3">
      <c r="A5993" t="s">
        <v>14099</v>
      </c>
      <c r="B5993" t="s">
        <v>14100</v>
      </c>
      <c r="C5993" t="s">
        <v>37</v>
      </c>
      <c r="D5993" t="s">
        <v>54</v>
      </c>
      <c r="E5993" t="s">
        <v>39</v>
      </c>
      <c r="F5993" t="s">
        <v>40</v>
      </c>
      <c r="G5993">
        <v>8.64</v>
      </c>
      <c r="H5993" t="s">
        <v>41</v>
      </c>
      <c r="I5993" t="s">
        <v>42</v>
      </c>
      <c r="M5993">
        <f>VLOOKUP(H5993,'Stage Order'!$A$2:$B$8,2,FALSE)</f>
        <v>2</v>
      </c>
      <c r="N5993" t="str">
        <f t="shared" si="186"/>
        <v>2. 1-24 hours</v>
      </c>
      <c r="O5993" t="str">
        <f t="shared" si="187"/>
        <v>2025-09</v>
      </c>
    </row>
    <row r="5994" spans="1:15" x14ac:dyDescent="0.3">
      <c r="A5994" t="s">
        <v>14101</v>
      </c>
      <c r="B5994" t="s">
        <v>14102</v>
      </c>
      <c r="C5994" t="s">
        <v>53</v>
      </c>
      <c r="D5994" t="s">
        <v>77</v>
      </c>
      <c r="E5994" t="s">
        <v>39</v>
      </c>
      <c r="F5994" t="s">
        <v>66</v>
      </c>
      <c r="G5994">
        <v>5.63</v>
      </c>
      <c r="H5994" t="s">
        <v>138</v>
      </c>
      <c r="I5994" t="s">
        <v>48</v>
      </c>
      <c r="J5994" t="s">
        <v>98</v>
      </c>
      <c r="K5994">
        <v>1136.68</v>
      </c>
      <c r="L5994" t="s">
        <v>14103</v>
      </c>
      <c r="M5994">
        <f>VLOOKUP(H5994,'Stage Order'!$A$2:$B$8,2,FALSE)</f>
        <v>6</v>
      </c>
      <c r="N5994" t="str">
        <f t="shared" si="186"/>
        <v>2. 1-24 hours</v>
      </c>
      <c r="O5994" t="str">
        <f t="shared" si="187"/>
        <v>2025-09</v>
      </c>
    </row>
    <row r="5995" spans="1:15" x14ac:dyDescent="0.3">
      <c r="A5995" t="s">
        <v>14104</v>
      </c>
      <c r="B5995" t="s">
        <v>14105</v>
      </c>
      <c r="C5995" t="s">
        <v>37</v>
      </c>
      <c r="D5995" t="s">
        <v>29</v>
      </c>
      <c r="E5995" t="s">
        <v>90</v>
      </c>
      <c r="F5995" t="s">
        <v>145</v>
      </c>
      <c r="G5995">
        <v>7.68</v>
      </c>
      <c r="H5995" t="s">
        <v>61</v>
      </c>
      <c r="I5995" t="s">
        <v>42</v>
      </c>
      <c r="M5995">
        <f>VLOOKUP(H5995,'Stage Order'!$A$2:$B$8,2,FALSE)</f>
        <v>1</v>
      </c>
      <c r="N5995" t="str">
        <f t="shared" si="186"/>
        <v>2. 1-24 hours</v>
      </c>
      <c r="O5995" t="str">
        <f t="shared" si="187"/>
        <v>2025-12</v>
      </c>
    </row>
    <row r="5996" spans="1:15" x14ac:dyDescent="0.3">
      <c r="A5996" t="s">
        <v>14106</v>
      </c>
      <c r="B5996" t="s">
        <v>14107</v>
      </c>
      <c r="C5996" t="s">
        <v>58</v>
      </c>
      <c r="D5996" t="s">
        <v>29</v>
      </c>
      <c r="E5996" t="s">
        <v>59</v>
      </c>
      <c r="F5996" t="s">
        <v>117</v>
      </c>
      <c r="G5996">
        <v>8.59</v>
      </c>
      <c r="H5996" t="s">
        <v>138</v>
      </c>
      <c r="I5996" t="s">
        <v>48</v>
      </c>
      <c r="J5996" t="s">
        <v>139</v>
      </c>
      <c r="K5996">
        <v>735.02</v>
      </c>
      <c r="L5996" t="s">
        <v>14108</v>
      </c>
      <c r="M5996">
        <f>VLOOKUP(H5996,'Stage Order'!$A$2:$B$8,2,FALSE)</f>
        <v>6</v>
      </c>
      <c r="N5996" t="str">
        <f t="shared" si="186"/>
        <v>2. 1-24 hours</v>
      </c>
      <c r="O5996" t="str">
        <f t="shared" si="187"/>
        <v>2026-05</v>
      </c>
    </row>
    <row r="5997" spans="1:15" x14ac:dyDescent="0.3">
      <c r="A5997" t="s">
        <v>14109</v>
      </c>
      <c r="B5997" t="s">
        <v>14110</v>
      </c>
      <c r="C5997" t="s">
        <v>28</v>
      </c>
      <c r="D5997" t="s">
        <v>97</v>
      </c>
      <c r="E5997" t="s">
        <v>59</v>
      </c>
      <c r="F5997" t="s">
        <v>117</v>
      </c>
      <c r="G5997">
        <v>0.51</v>
      </c>
      <c r="H5997" t="s">
        <v>32</v>
      </c>
      <c r="I5997" t="s">
        <v>33</v>
      </c>
      <c r="K5997">
        <v>1679.41</v>
      </c>
      <c r="L5997" t="s">
        <v>14111</v>
      </c>
      <c r="M5997">
        <f>VLOOKUP(H5997,'Stage Order'!$A$2:$B$8,2,FALSE)</f>
        <v>7</v>
      </c>
      <c r="N5997" t="str">
        <f t="shared" si="186"/>
        <v>1. Under 1 hour</v>
      </c>
      <c r="O5997" t="str">
        <f t="shared" si="187"/>
        <v>2025-11</v>
      </c>
    </row>
    <row r="5998" spans="1:15" x14ac:dyDescent="0.3">
      <c r="A5998" t="s">
        <v>14112</v>
      </c>
      <c r="B5998" t="s">
        <v>14113</v>
      </c>
      <c r="C5998" t="s">
        <v>58</v>
      </c>
      <c r="D5998" t="s">
        <v>38</v>
      </c>
      <c r="E5998" t="s">
        <v>59</v>
      </c>
      <c r="F5998" t="s">
        <v>60</v>
      </c>
      <c r="G5998">
        <v>1.97</v>
      </c>
      <c r="H5998" t="s">
        <v>138</v>
      </c>
      <c r="I5998" t="s">
        <v>48</v>
      </c>
      <c r="J5998" t="s">
        <v>113</v>
      </c>
      <c r="K5998">
        <v>401.04</v>
      </c>
      <c r="L5998" t="s">
        <v>14114</v>
      </c>
      <c r="M5998">
        <f>VLOOKUP(H5998,'Stage Order'!$A$2:$B$8,2,FALSE)</f>
        <v>6</v>
      </c>
      <c r="N5998" t="str">
        <f t="shared" si="186"/>
        <v>2. 1-24 hours</v>
      </c>
      <c r="O5998" t="str">
        <f t="shared" si="187"/>
        <v>2025-02</v>
      </c>
    </row>
    <row r="5999" spans="1:15" x14ac:dyDescent="0.3">
      <c r="A5999" t="s">
        <v>14115</v>
      </c>
      <c r="B5999" t="s">
        <v>14116</v>
      </c>
      <c r="C5999" t="s">
        <v>37</v>
      </c>
      <c r="D5999" t="s">
        <v>29</v>
      </c>
      <c r="E5999" t="s">
        <v>45</v>
      </c>
      <c r="F5999" t="s">
        <v>46</v>
      </c>
      <c r="G5999">
        <v>1.83</v>
      </c>
      <c r="H5999" t="s">
        <v>41</v>
      </c>
      <c r="I5999" t="s">
        <v>42</v>
      </c>
      <c r="M5999">
        <f>VLOOKUP(H5999,'Stage Order'!$A$2:$B$8,2,FALSE)</f>
        <v>2</v>
      </c>
      <c r="N5999" t="str">
        <f t="shared" si="186"/>
        <v>2. 1-24 hours</v>
      </c>
      <c r="O5999" t="str">
        <f t="shared" si="187"/>
        <v>2026-04</v>
      </c>
    </row>
    <row r="6000" spans="1:15" x14ac:dyDescent="0.3">
      <c r="A6000" t="s">
        <v>14117</v>
      </c>
      <c r="B6000" t="s">
        <v>14118</v>
      </c>
      <c r="C6000" t="s">
        <v>81</v>
      </c>
      <c r="D6000" t="s">
        <v>54</v>
      </c>
      <c r="E6000" t="s">
        <v>39</v>
      </c>
      <c r="F6000" t="s">
        <v>66</v>
      </c>
      <c r="G6000">
        <v>6.45</v>
      </c>
      <c r="H6000" t="s">
        <v>41</v>
      </c>
      <c r="I6000" t="s">
        <v>42</v>
      </c>
      <c r="M6000">
        <f>VLOOKUP(H6000,'Stage Order'!$A$2:$B$8,2,FALSE)</f>
        <v>2</v>
      </c>
      <c r="N6000" t="str">
        <f t="shared" si="186"/>
        <v>2. 1-24 hours</v>
      </c>
      <c r="O6000" t="str">
        <f t="shared" si="187"/>
        <v>2025-01</v>
      </c>
    </row>
    <row r="6001" spans="1:15" x14ac:dyDescent="0.3">
      <c r="A6001" t="s">
        <v>14119</v>
      </c>
      <c r="B6001" t="s">
        <v>14120</v>
      </c>
      <c r="C6001" t="s">
        <v>81</v>
      </c>
      <c r="D6001" t="s">
        <v>54</v>
      </c>
      <c r="E6001" t="s">
        <v>59</v>
      </c>
      <c r="F6001" t="s">
        <v>117</v>
      </c>
      <c r="G6001">
        <v>1.58</v>
      </c>
      <c r="H6001" t="s">
        <v>61</v>
      </c>
      <c r="I6001" t="s">
        <v>42</v>
      </c>
      <c r="M6001">
        <f>VLOOKUP(H6001,'Stage Order'!$A$2:$B$8,2,FALSE)</f>
        <v>1</v>
      </c>
      <c r="N6001" t="str">
        <f t="shared" si="186"/>
        <v>2. 1-24 hours</v>
      </c>
      <c r="O6001" t="str">
        <f t="shared" si="187"/>
        <v>2025-08</v>
      </c>
    </row>
    <row r="6002" spans="1:15" x14ac:dyDescent="0.3">
      <c r="A6002" t="s">
        <v>14121</v>
      </c>
      <c r="B6002" t="s">
        <v>14122</v>
      </c>
      <c r="C6002" t="s">
        <v>76</v>
      </c>
      <c r="D6002" t="s">
        <v>97</v>
      </c>
      <c r="E6002" t="s">
        <v>90</v>
      </c>
      <c r="F6002" t="s">
        <v>112</v>
      </c>
      <c r="G6002">
        <v>5.36</v>
      </c>
      <c r="H6002" t="s">
        <v>61</v>
      </c>
      <c r="I6002" t="s">
        <v>42</v>
      </c>
      <c r="M6002">
        <f>VLOOKUP(H6002,'Stage Order'!$A$2:$B$8,2,FALSE)</f>
        <v>1</v>
      </c>
      <c r="N6002" t="str">
        <f t="shared" si="186"/>
        <v>2. 1-24 hours</v>
      </c>
      <c r="O6002" t="str">
        <f t="shared" si="187"/>
        <v>2025-07</v>
      </c>
    </row>
    <row r="6003" spans="1:15" x14ac:dyDescent="0.3">
      <c r="A6003" t="s">
        <v>14123</v>
      </c>
      <c r="B6003" t="s">
        <v>14124</v>
      </c>
      <c r="C6003" t="s">
        <v>53</v>
      </c>
      <c r="D6003" t="s">
        <v>54</v>
      </c>
      <c r="E6003" t="s">
        <v>39</v>
      </c>
      <c r="F6003" t="s">
        <v>40</v>
      </c>
      <c r="G6003">
        <v>1.26</v>
      </c>
      <c r="H6003" t="s">
        <v>138</v>
      </c>
      <c r="I6003" t="s">
        <v>48</v>
      </c>
      <c r="J6003" t="s">
        <v>139</v>
      </c>
      <c r="K6003">
        <v>530.17999999999995</v>
      </c>
      <c r="L6003" t="s">
        <v>14125</v>
      </c>
      <c r="M6003">
        <f>VLOOKUP(H6003,'Stage Order'!$A$2:$B$8,2,FALSE)</f>
        <v>6</v>
      </c>
      <c r="N6003" t="str">
        <f t="shared" si="186"/>
        <v>2. 1-24 hours</v>
      </c>
      <c r="O6003" t="str">
        <f t="shared" si="187"/>
        <v>2025-04</v>
      </c>
    </row>
    <row r="6004" spans="1:15" x14ac:dyDescent="0.3">
      <c r="A6004" t="s">
        <v>14126</v>
      </c>
      <c r="B6004" t="s">
        <v>14127</v>
      </c>
      <c r="C6004" t="s">
        <v>58</v>
      </c>
      <c r="D6004" t="s">
        <v>38</v>
      </c>
      <c r="E6004" t="s">
        <v>45</v>
      </c>
      <c r="F6004" t="s">
        <v>94</v>
      </c>
      <c r="G6004">
        <v>16.96</v>
      </c>
      <c r="H6004" t="s">
        <v>41</v>
      </c>
      <c r="I6004" t="s">
        <v>42</v>
      </c>
      <c r="M6004">
        <f>VLOOKUP(H6004,'Stage Order'!$A$2:$B$8,2,FALSE)</f>
        <v>2</v>
      </c>
      <c r="N6004" t="str">
        <f t="shared" si="186"/>
        <v>2. 1-24 hours</v>
      </c>
      <c r="O6004" t="str">
        <f t="shared" si="187"/>
        <v>2025-05</v>
      </c>
    </row>
    <row r="6005" spans="1:15" x14ac:dyDescent="0.3">
      <c r="A6005" t="s">
        <v>14128</v>
      </c>
      <c r="B6005" t="s">
        <v>14129</v>
      </c>
      <c r="C6005" t="s">
        <v>37</v>
      </c>
      <c r="D6005" t="s">
        <v>54</v>
      </c>
      <c r="E6005" t="s">
        <v>45</v>
      </c>
      <c r="F6005" t="s">
        <v>55</v>
      </c>
      <c r="G6005">
        <v>4.78</v>
      </c>
      <c r="H6005" t="s">
        <v>41</v>
      </c>
      <c r="I6005" t="s">
        <v>42</v>
      </c>
      <c r="M6005">
        <f>VLOOKUP(H6005,'Stage Order'!$A$2:$B$8,2,FALSE)</f>
        <v>2</v>
      </c>
      <c r="N6005" t="str">
        <f t="shared" si="186"/>
        <v>2. 1-24 hours</v>
      </c>
      <c r="O6005" t="str">
        <f t="shared" si="187"/>
        <v>2025-04</v>
      </c>
    </row>
    <row r="6006" spans="1:15" x14ac:dyDescent="0.3">
      <c r="A6006" t="s">
        <v>14130</v>
      </c>
      <c r="B6006" t="s">
        <v>14131</v>
      </c>
      <c r="C6006" t="s">
        <v>76</v>
      </c>
      <c r="D6006" t="s">
        <v>77</v>
      </c>
      <c r="E6006" t="s">
        <v>45</v>
      </c>
      <c r="F6006" t="s">
        <v>94</v>
      </c>
      <c r="G6006">
        <v>9.1999999999999993</v>
      </c>
      <c r="H6006" t="s">
        <v>138</v>
      </c>
      <c r="I6006" t="s">
        <v>48</v>
      </c>
      <c r="J6006" t="s">
        <v>113</v>
      </c>
      <c r="K6006">
        <v>819.76</v>
      </c>
      <c r="L6006" t="s">
        <v>14132</v>
      </c>
      <c r="M6006">
        <f>VLOOKUP(H6006,'Stage Order'!$A$2:$B$8,2,FALSE)</f>
        <v>6</v>
      </c>
      <c r="N6006" t="str">
        <f t="shared" si="186"/>
        <v>2. 1-24 hours</v>
      </c>
      <c r="O6006" t="str">
        <f t="shared" si="187"/>
        <v>2025-02</v>
      </c>
    </row>
    <row r="6007" spans="1:15" x14ac:dyDescent="0.3">
      <c r="A6007" t="s">
        <v>14133</v>
      </c>
      <c r="B6007" t="s">
        <v>14134</v>
      </c>
      <c r="C6007" t="s">
        <v>53</v>
      </c>
      <c r="D6007" t="s">
        <v>29</v>
      </c>
      <c r="E6007" t="s">
        <v>59</v>
      </c>
      <c r="F6007" t="s">
        <v>117</v>
      </c>
      <c r="G6007">
        <v>2.57</v>
      </c>
      <c r="H6007" t="s">
        <v>41</v>
      </c>
      <c r="I6007" t="s">
        <v>42</v>
      </c>
      <c r="M6007">
        <f>VLOOKUP(H6007,'Stage Order'!$A$2:$B$8,2,FALSE)</f>
        <v>2</v>
      </c>
      <c r="N6007" t="str">
        <f t="shared" si="186"/>
        <v>2. 1-24 hours</v>
      </c>
      <c r="O6007" t="str">
        <f t="shared" si="187"/>
        <v>2025-05</v>
      </c>
    </row>
    <row r="6008" spans="1:15" x14ac:dyDescent="0.3">
      <c r="A6008" t="s">
        <v>14135</v>
      </c>
      <c r="B6008" t="s">
        <v>14136</v>
      </c>
      <c r="C6008" t="s">
        <v>58</v>
      </c>
      <c r="D6008" t="s">
        <v>77</v>
      </c>
      <c r="E6008" t="s">
        <v>39</v>
      </c>
      <c r="F6008" t="s">
        <v>40</v>
      </c>
      <c r="G6008">
        <v>8.58</v>
      </c>
      <c r="H6008" t="s">
        <v>146</v>
      </c>
      <c r="I6008" t="s">
        <v>48</v>
      </c>
      <c r="J6008" t="s">
        <v>98</v>
      </c>
      <c r="K6008">
        <v>1002.78</v>
      </c>
      <c r="L6008" t="s">
        <v>14137</v>
      </c>
      <c r="M6008">
        <f>VLOOKUP(H6008,'Stage Order'!$A$2:$B$8,2,FALSE)</f>
        <v>5</v>
      </c>
      <c r="N6008" t="str">
        <f t="shared" si="186"/>
        <v>2. 1-24 hours</v>
      </c>
      <c r="O6008" t="str">
        <f t="shared" si="187"/>
        <v>2025-12</v>
      </c>
    </row>
    <row r="6009" spans="1:15" x14ac:dyDescent="0.3">
      <c r="A6009" t="s">
        <v>14138</v>
      </c>
      <c r="B6009" t="s">
        <v>14139</v>
      </c>
      <c r="C6009" t="s">
        <v>125</v>
      </c>
      <c r="D6009" t="s">
        <v>29</v>
      </c>
      <c r="E6009" t="s">
        <v>39</v>
      </c>
      <c r="F6009" t="s">
        <v>106</v>
      </c>
      <c r="G6009">
        <v>9.82</v>
      </c>
      <c r="H6009" t="s">
        <v>47</v>
      </c>
      <c r="I6009" t="s">
        <v>48</v>
      </c>
      <c r="J6009" t="s">
        <v>139</v>
      </c>
      <c r="K6009">
        <v>539.07000000000005</v>
      </c>
      <c r="L6009" t="s">
        <v>14140</v>
      </c>
      <c r="M6009">
        <f>VLOOKUP(H6009,'Stage Order'!$A$2:$B$8,2,FALSE)</f>
        <v>4</v>
      </c>
      <c r="N6009" t="str">
        <f t="shared" si="186"/>
        <v>2. 1-24 hours</v>
      </c>
      <c r="O6009" t="str">
        <f t="shared" si="187"/>
        <v>2026-05</v>
      </c>
    </row>
    <row r="6010" spans="1:15" x14ac:dyDescent="0.3">
      <c r="A6010" t="s">
        <v>14141</v>
      </c>
      <c r="B6010" t="s">
        <v>14142</v>
      </c>
      <c r="C6010" t="s">
        <v>58</v>
      </c>
      <c r="D6010" t="s">
        <v>77</v>
      </c>
      <c r="E6010" t="s">
        <v>45</v>
      </c>
      <c r="F6010" t="s">
        <v>94</v>
      </c>
      <c r="G6010">
        <v>11.3</v>
      </c>
      <c r="H6010" t="s">
        <v>146</v>
      </c>
      <c r="I6010" t="s">
        <v>48</v>
      </c>
      <c r="J6010" t="s">
        <v>742</v>
      </c>
      <c r="K6010">
        <v>864.8</v>
      </c>
      <c r="L6010" t="s">
        <v>14143</v>
      </c>
      <c r="M6010">
        <f>VLOOKUP(H6010,'Stage Order'!$A$2:$B$8,2,FALSE)</f>
        <v>5</v>
      </c>
      <c r="N6010" t="str">
        <f t="shared" si="186"/>
        <v>2. 1-24 hours</v>
      </c>
      <c r="O6010" t="str">
        <f t="shared" si="187"/>
        <v>2026-05</v>
      </c>
    </row>
    <row r="6011" spans="1:15" x14ac:dyDescent="0.3">
      <c r="A6011" t="s">
        <v>14144</v>
      </c>
      <c r="B6011" t="s">
        <v>14145</v>
      </c>
      <c r="C6011" t="s">
        <v>58</v>
      </c>
      <c r="D6011" t="s">
        <v>97</v>
      </c>
      <c r="E6011" t="s">
        <v>90</v>
      </c>
      <c r="F6011" t="s">
        <v>145</v>
      </c>
      <c r="G6011">
        <v>1.29</v>
      </c>
      <c r="H6011" t="s">
        <v>41</v>
      </c>
      <c r="I6011" t="s">
        <v>42</v>
      </c>
      <c r="M6011">
        <f>VLOOKUP(H6011,'Stage Order'!$A$2:$B$8,2,FALSE)</f>
        <v>2</v>
      </c>
      <c r="N6011" t="str">
        <f t="shared" si="186"/>
        <v>2. 1-24 hours</v>
      </c>
      <c r="O6011" t="str">
        <f t="shared" si="187"/>
        <v>2025-06</v>
      </c>
    </row>
    <row r="6012" spans="1:15" x14ac:dyDescent="0.3">
      <c r="A6012" t="s">
        <v>14146</v>
      </c>
      <c r="B6012" t="s">
        <v>14147</v>
      </c>
      <c r="C6012" t="s">
        <v>53</v>
      </c>
      <c r="D6012" t="s">
        <v>29</v>
      </c>
      <c r="E6012" t="s">
        <v>90</v>
      </c>
      <c r="F6012" t="s">
        <v>112</v>
      </c>
      <c r="G6012">
        <v>1.2</v>
      </c>
      <c r="H6012" t="s">
        <v>32</v>
      </c>
      <c r="I6012" t="s">
        <v>33</v>
      </c>
      <c r="K6012">
        <v>553.15</v>
      </c>
      <c r="L6012" t="s">
        <v>14148</v>
      </c>
      <c r="M6012">
        <f>VLOOKUP(H6012,'Stage Order'!$A$2:$B$8,2,FALSE)</f>
        <v>7</v>
      </c>
      <c r="N6012" t="str">
        <f t="shared" si="186"/>
        <v>2. 1-24 hours</v>
      </c>
      <c r="O6012" t="str">
        <f t="shared" si="187"/>
        <v>2025-10</v>
      </c>
    </row>
    <row r="6013" spans="1:15" x14ac:dyDescent="0.3">
      <c r="A6013" t="s">
        <v>14149</v>
      </c>
      <c r="B6013" t="s">
        <v>14150</v>
      </c>
      <c r="C6013" t="s">
        <v>28</v>
      </c>
      <c r="D6013" t="s">
        <v>29</v>
      </c>
      <c r="E6013" t="s">
        <v>45</v>
      </c>
      <c r="F6013" t="s">
        <v>46</v>
      </c>
      <c r="G6013">
        <v>15.75</v>
      </c>
      <c r="H6013" t="s">
        <v>146</v>
      </c>
      <c r="I6013" t="s">
        <v>48</v>
      </c>
      <c r="J6013" t="s">
        <v>98</v>
      </c>
      <c r="K6013">
        <v>761.1</v>
      </c>
      <c r="L6013" t="s">
        <v>14151</v>
      </c>
      <c r="M6013">
        <f>VLOOKUP(H6013,'Stage Order'!$A$2:$B$8,2,FALSE)</f>
        <v>5</v>
      </c>
      <c r="N6013" t="str">
        <f t="shared" si="186"/>
        <v>2. 1-24 hours</v>
      </c>
      <c r="O6013" t="str">
        <f t="shared" si="187"/>
        <v>2025-05</v>
      </c>
    </row>
    <row r="6014" spans="1:15" x14ac:dyDescent="0.3">
      <c r="A6014" t="s">
        <v>14152</v>
      </c>
      <c r="B6014" t="s">
        <v>14153</v>
      </c>
      <c r="C6014" t="s">
        <v>37</v>
      </c>
      <c r="D6014" t="s">
        <v>97</v>
      </c>
      <c r="E6014" t="s">
        <v>59</v>
      </c>
      <c r="F6014" t="s">
        <v>60</v>
      </c>
      <c r="G6014">
        <v>4.26</v>
      </c>
      <c r="H6014" t="s">
        <v>41</v>
      </c>
      <c r="I6014" t="s">
        <v>42</v>
      </c>
      <c r="M6014">
        <f>VLOOKUP(H6014,'Stage Order'!$A$2:$B$8,2,FALSE)</f>
        <v>2</v>
      </c>
      <c r="N6014" t="str">
        <f t="shared" si="186"/>
        <v>2. 1-24 hours</v>
      </c>
      <c r="O6014" t="str">
        <f t="shared" si="187"/>
        <v>2026-01</v>
      </c>
    </row>
    <row r="6015" spans="1:15" x14ac:dyDescent="0.3">
      <c r="A6015" t="s">
        <v>14154</v>
      </c>
      <c r="B6015" t="s">
        <v>14155</v>
      </c>
      <c r="C6015" t="s">
        <v>28</v>
      </c>
      <c r="D6015" t="s">
        <v>29</v>
      </c>
      <c r="E6015" t="s">
        <v>45</v>
      </c>
      <c r="F6015" t="s">
        <v>94</v>
      </c>
      <c r="G6015">
        <v>2.2999999999999998</v>
      </c>
      <c r="H6015" t="s">
        <v>41</v>
      </c>
      <c r="I6015" t="s">
        <v>42</v>
      </c>
      <c r="M6015">
        <f>VLOOKUP(H6015,'Stage Order'!$A$2:$B$8,2,FALSE)</f>
        <v>2</v>
      </c>
      <c r="N6015" t="str">
        <f t="shared" si="186"/>
        <v>2. 1-24 hours</v>
      </c>
      <c r="O6015" t="str">
        <f t="shared" si="187"/>
        <v>2025-05</v>
      </c>
    </row>
    <row r="6016" spans="1:15" x14ac:dyDescent="0.3">
      <c r="A6016" t="s">
        <v>14156</v>
      </c>
      <c r="B6016" t="s">
        <v>14157</v>
      </c>
      <c r="C6016" t="s">
        <v>58</v>
      </c>
      <c r="D6016" t="s">
        <v>54</v>
      </c>
      <c r="E6016" t="s">
        <v>90</v>
      </c>
      <c r="F6016" t="s">
        <v>145</v>
      </c>
      <c r="G6016">
        <v>4.78</v>
      </c>
      <c r="H6016" t="s">
        <v>41</v>
      </c>
      <c r="I6016" t="s">
        <v>42</v>
      </c>
      <c r="M6016">
        <f>VLOOKUP(H6016,'Stage Order'!$A$2:$B$8,2,FALSE)</f>
        <v>2</v>
      </c>
      <c r="N6016" t="str">
        <f t="shared" si="186"/>
        <v>2. 1-24 hours</v>
      </c>
      <c r="O6016" t="str">
        <f t="shared" si="187"/>
        <v>2025-09</v>
      </c>
    </row>
    <row r="6017" spans="1:15" x14ac:dyDescent="0.3">
      <c r="A6017" t="s">
        <v>14158</v>
      </c>
      <c r="B6017" t="s">
        <v>14159</v>
      </c>
      <c r="C6017" t="s">
        <v>81</v>
      </c>
      <c r="D6017" t="s">
        <v>54</v>
      </c>
      <c r="E6017" t="s">
        <v>90</v>
      </c>
      <c r="F6017" t="s">
        <v>112</v>
      </c>
      <c r="G6017">
        <v>0.69</v>
      </c>
      <c r="H6017" t="s">
        <v>41</v>
      </c>
      <c r="I6017" t="s">
        <v>42</v>
      </c>
      <c r="M6017">
        <f>VLOOKUP(H6017,'Stage Order'!$A$2:$B$8,2,FALSE)</f>
        <v>2</v>
      </c>
      <c r="N6017" t="str">
        <f t="shared" si="186"/>
        <v>1. Under 1 hour</v>
      </c>
      <c r="O6017" t="str">
        <f t="shared" si="187"/>
        <v>2025-04</v>
      </c>
    </row>
    <row r="6018" spans="1:15" x14ac:dyDescent="0.3">
      <c r="A6018" t="s">
        <v>14160</v>
      </c>
      <c r="B6018" t="s">
        <v>14161</v>
      </c>
      <c r="C6018" t="s">
        <v>37</v>
      </c>
      <c r="D6018" t="s">
        <v>38</v>
      </c>
      <c r="E6018" t="s">
        <v>39</v>
      </c>
      <c r="F6018" t="s">
        <v>106</v>
      </c>
      <c r="G6018">
        <v>17.09</v>
      </c>
      <c r="H6018" t="s">
        <v>138</v>
      </c>
      <c r="I6018" t="s">
        <v>48</v>
      </c>
      <c r="J6018" t="s">
        <v>49</v>
      </c>
      <c r="K6018">
        <v>402.15</v>
      </c>
      <c r="L6018" t="s">
        <v>14162</v>
      </c>
      <c r="M6018">
        <f>VLOOKUP(H6018,'Stage Order'!$A$2:$B$8,2,FALSE)</f>
        <v>6</v>
      </c>
      <c r="N6018" t="str">
        <f t="shared" ref="N6018:N6081" si="188">IF(G6018&lt;=1,"1. Under 1 hour",IF(G6018&lt;=24,"2. 1-24 hours",IF(G6018&lt;=72,"3. 1-3 days","4. Over 3 days")))</f>
        <v>2. 1-24 hours</v>
      </c>
      <c r="O6018" t="str">
        <f t="shared" ref="O6018:O6081" si="189">TEXT(B6018,"YYYY-MM")</f>
        <v>2025-09</v>
      </c>
    </row>
    <row r="6019" spans="1:15" x14ac:dyDescent="0.3">
      <c r="A6019" t="s">
        <v>14163</v>
      </c>
      <c r="B6019" t="s">
        <v>14164</v>
      </c>
      <c r="C6019" t="s">
        <v>53</v>
      </c>
      <c r="D6019" t="s">
        <v>77</v>
      </c>
      <c r="E6019" t="s">
        <v>45</v>
      </c>
      <c r="F6019" t="s">
        <v>46</v>
      </c>
      <c r="G6019">
        <v>2.8</v>
      </c>
      <c r="H6019" t="s">
        <v>41</v>
      </c>
      <c r="I6019" t="s">
        <v>42</v>
      </c>
      <c r="M6019">
        <f>VLOOKUP(H6019,'Stage Order'!$A$2:$B$8,2,FALSE)</f>
        <v>2</v>
      </c>
      <c r="N6019" t="str">
        <f t="shared" si="188"/>
        <v>2. 1-24 hours</v>
      </c>
      <c r="O6019" t="str">
        <f t="shared" si="189"/>
        <v>2025-10</v>
      </c>
    </row>
    <row r="6020" spans="1:15" x14ac:dyDescent="0.3">
      <c r="A6020" t="s">
        <v>14165</v>
      </c>
      <c r="B6020" t="s">
        <v>14166</v>
      </c>
      <c r="C6020" t="s">
        <v>53</v>
      </c>
      <c r="D6020" t="s">
        <v>38</v>
      </c>
      <c r="E6020" t="s">
        <v>90</v>
      </c>
      <c r="F6020" t="s">
        <v>145</v>
      </c>
      <c r="G6020">
        <v>0.41</v>
      </c>
      <c r="H6020" t="s">
        <v>41</v>
      </c>
      <c r="I6020" t="s">
        <v>42</v>
      </c>
      <c r="M6020">
        <f>VLOOKUP(H6020,'Stage Order'!$A$2:$B$8,2,FALSE)</f>
        <v>2</v>
      </c>
      <c r="N6020" t="str">
        <f t="shared" si="188"/>
        <v>1. Under 1 hour</v>
      </c>
      <c r="O6020" t="str">
        <f t="shared" si="189"/>
        <v>2025-06</v>
      </c>
    </row>
    <row r="6021" spans="1:15" x14ac:dyDescent="0.3">
      <c r="A6021" t="s">
        <v>14167</v>
      </c>
      <c r="B6021" t="s">
        <v>14168</v>
      </c>
      <c r="C6021" t="s">
        <v>58</v>
      </c>
      <c r="D6021" t="s">
        <v>29</v>
      </c>
      <c r="E6021" t="s">
        <v>90</v>
      </c>
      <c r="F6021" t="s">
        <v>91</v>
      </c>
      <c r="G6021">
        <v>0.68</v>
      </c>
      <c r="H6021" t="s">
        <v>41</v>
      </c>
      <c r="I6021" t="s">
        <v>42</v>
      </c>
      <c r="M6021">
        <f>VLOOKUP(H6021,'Stage Order'!$A$2:$B$8,2,FALSE)</f>
        <v>2</v>
      </c>
      <c r="N6021" t="str">
        <f t="shared" si="188"/>
        <v>1. Under 1 hour</v>
      </c>
      <c r="O6021" t="str">
        <f t="shared" si="189"/>
        <v>2026-01</v>
      </c>
    </row>
    <row r="6022" spans="1:15" x14ac:dyDescent="0.3">
      <c r="A6022" t="s">
        <v>14169</v>
      </c>
      <c r="B6022" t="s">
        <v>14170</v>
      </c>
      <c r="C6022" t="s">
        <v>58</v>
      </c>
      <c r="D6022" t="s">
        <v>77</v>
      </c>
      <c r="E6022" t="s">
        <v>39</v>
      </c>
      <c r="F6022" t="s">
        <v>40</v>
      </c>
      <c r="G6022">
        <v>9.01</v>
      </c>
      <c r="H6022" t="s">
        <v>41</v>
      </c>
      <c r="I6022" t="s">
        <v>42</v>
      </c>
      <c r="M6022">
        <f>VLOOKUP(H6022,'Stage Order'!$A$2:$B$8,2,FALSE)</f>
        <v>2</v>
      </c>
      <c r="N6022" t="str">
        <f t="shared" si="188"/>
        <v>2. 1-24 hours</v>
      </c>
      <c r="O6022" t="str">
        <f t="shared" si="189"/>
        <v>2025-12</v>
      </c>
    </row>
    <row r="6023" spans="1:15" x14ac:dyDescent="0.3">
      <c r="A6023" t="s">
        <v>14171</v>
      </c>
      <c r="B6023" t="s">
        <v>14172</v>
      </c>
      <c r="C6023" t="s">
        <v>76</v>
      </c>
      <c r="D6023" t="s">
        <v>54</v>
      </c>
      <c r="E6023" t="s">
        <v>30</v>
      </c>
      <c r="F6023" t="s">
        <v>78</v>
      </c>
      <c r="G6023">
        <v>4.78</v>
      </c>
      <c r="H6023" t="s">
        <v>128</v>
      </c>
      <c r="I6023" t="s">
        <v>42</v>
      </c>
      <c r="M6023">
        <f>VLOOKUP(H6023,'Stage Order'!$A$2:$B$8,2,FALSE)</f>
        <v>3</v>
      </c>
      <c r="N6023" t="str">
        <f t="shared" si="188"/>
        <v>2. 1-24 hours</v>
      </c>
      <c r="O6023" t="str">
        <f t="shared" si="189"/>
        <v>2025-07</v>
      </c>
    </row>
    <row r="6024" spans="1:15" x14ac:dyDescent="0.3">
      <c r="A6024" t="s">
        <v>14173</v>
      </c>
      <c r="B6024" t="s">
        <v>14174</v>
      </c>
      <c r="C6024" t="s">
        <v>125</v>
      </c>
      <c r="D6024" t="s">
        <v>54</v>
      </c>
      <c r="E6024" t="s">
        <v>59</v>
      </c>
      <c r="F6024" t="s">
        <v>137</v>
      </c>
      <c r="G6024">
        <v>2.78</v>
      </c>
      <c r="H6024" t="s">
        <v>61</v>
      </c>
      <c r="I6024" t="s">
        <v>42</v>
      </c>
      <c r="M6024">
        <f>VLOOKUP(H6024,'Stage Order'!$A$2:$B$8,2,FALSE)</f>
        <v>1</v>
      </c>
      <c r="N6024" t="str">
        <f t="shared" si="188"/>
        <v>2. 1-24 hours</v>
      </c>
      <c r="O6024" t="str">
        <f t="shared" si="189"/>
        <v>2026-02</v>
      </c>
    </row>
    <row r="6025" spans="1:15" x14ac:dyDescent="0.3">
      <c r="A6025" t="s">
        <v>14175</v>
      </c>
      <c r="B6025" t="s">
        <v>14176</v>
      </c>
      <c r="C6025" t="s">
        <v>125</v>
      </c>
      <c r="D6025" t="s">
        <v>38</v>
      </c>
      <c r="E6025" t="s">
        <v>39</v>
      </c>
      <c r="F6025" t="s">
        <v>66</v>
      </c>
      <c r="G6025">
        <v>16.7</v>
      </c>
      <c r="H6025" t="s">
        <v>41</v>
      </c>
      <c r="I6025" t="s">
        <v>42</v>
      </c>
      <c r="M6025">
        <f>VLOOKUP(H6025,'Stage Order'!$A$2:$B$8,2,FALSE)</f>
        <v>2</v>
      </c>
      <c r="N6025" t="str">
        <f t="shared" si="188"/>
        <v>2. 1-24 hours</v>
      </c>
      <c r="O6025" t="str">
        <f t="shared" si="189"/>
        <v>2026-04</v>
      </c>
    </row>
    <row r="6026" spans="1:15" x14ac:dyDescent="0.3">
      <c r="A6026" t="s">
        <v>14177</v>
      </c>
      <c r="B6026" t="s">
        <v>14178</v>
      </c>
      <c r="C6026" t="s">
        <v>58</v>
      </c>
      <c r="D6026" t="s">
        <v>97</v>
      </c>
      <c r="E6026" t="s">
        <v>90</v>
      </c>
      <c r="F6026" t="s">
        <v>91</v>
      </c>
      <c r="G6026">
        <v>1.2</v>
      </c>
      <c r="H6026" t="s">
        <v>41</v>
      </c>
      <c r="I6026" t="s">
        <v>42</v>
      </c>
      <c r="M6026">
        <f>VLOOKUP(H6026,'Stage Order'!$A$2:$B$8,2,FALSE)</f>
        <v>2</v>
      </c>
      <c r="N6026" t="str">
        <f t="shared" si="188"/>
        <v>2. 1-24 hours</v>
      </c>
      <c r="O6026" t="str">
        <f t="shared" si="189"/>
        <v>2026-03</v>
      </c>
    </row>
    <row r="6027" spans="1:15" x14ac:dyDescent="0.3">
      <c r="A6027" t="s">
        <v>14179</v>
      </c>
      <c r="B6027" t="s">
        <v>14180</v>
      </c>
      <c r="C6027" t="s">
        <v>125</v>
      </c>
      <c r="D6027" t="s">
        <v>54</v>
      </c>
      <c r="E6027" t="s">
        <v>45</v>
      </c>
      <c r="F6027" t="s">
        <v>46</v>
      </c>
      <c r="G6027">
        <v>1.58</v>
      </c>
      <c r="H6027" t="s">
        <v>41</v>
      </c>
      <c r="I6027" t="s">
        <v>42</v>
      </c>
      <c r="M6027">
        <f>VLOOKUP(H6027,'Stage Order'!$A$2:$B$8,2,FALSE)</f>
        <v>2</v>
      </c>
      <c r="N6027" t="str">
        <f t="shared" si="188"/>
        <v>2. 1-24 hours</v>
      </c>
      <c r="O6027" t="str">
        <f t="shared" si="189"/>
        <v>2026-05</v>
      </c>
    </row>
    <row r="6028" spans="1:15" x14ac:dyDescent="0.3">
      <c r="A6028" t="s">
        <v>14181</v>
      </c>
      <c r="B6028" t="s">
        <v>14182</v>
      </c>
      <c r="C6028" t="s">
        <v>58</v>
      </c>
      <c r="D6028" t="s">
        <v>97</v>
      </c>
      <c r="E6028" t="s">
        <v>45</v>
      </c>
      <c r="F6028" t="s">
        <v>46</v>
      </c>
      <c r="G6028">
        <v>4.63</v>
      </c>
      <c r="H6028" t="s">
        <v>41</v>
      </c>
      <c r="I6028" t="s">
        <v>42</v>
      </c>
      <c r="M6028">
        <f>VLOOKUP(H6028,'Stage Order'!$A$2:$B$8,2,FALSE)</f>
        <v>2</v>
      </c>
      <c r="N6028" t="str">
        <f t="shared" si="188"/>
        <v>2. 1-24 hours</v>
      </c>
      <c r="O6028" t="str">
        <f t="shared" si="189"/>
        <v>2025-04</v>
      </c>
    </row>
    <row r="6029" spans="1:15" x14ac:dyDescent="0.3">
      <c r="A6029" t="s">
        <v>14183</v>
      </c>
      <c r="B6029" t="s">
        <v>14184</v>
      </c>
      <c r="C6029" t="s">
        <v>125</v>
      </c>
      <c r="D6029" t="s">
        <v>29</v>
      </c>
      <c r="E6029" t="s">
        <v>59</v>
      </c>
      <c r="F6029" t="s">
        <v>60</v>
      </c>
      <c r="G6029">
        <v>2.4900000000000002</v>
      </c>
      <c r="H6029" t="s">
        <v>41</v>
      </c>
      <c r="I6029" t="s">
        <v>42</v>
      </c>
      <c r="M6029">
        <f>VLOOKUP(H6029,'Stage Order'!$A$2:$B$8,2,FALSE)</f>
        <v>2</v>
      </c>
      <c r="N6029" t="str">
        <f t="shared" si="188"/>
        <v>2. 1-24 hours</v>
      </c>
      <c r="O6029" t="str">
        <f t="shared" si="189"/>
        <v>2026-05</v>
      </c>
    </row>
    <row r="6030" spans="1:15" x14ac:dyDescent="0.3">
      <c r="A6030" t="s">
        <v>14185</v>
      </c>
      <c r="B6030" t="s">
        <v>3019</v>
      </c>
      <c r="C6030" t="s">
        <v>28</v>
      </c>
      <c r="D6030" t="s">
        <v>97</v>
      </c>
      <c r="E6030" t="s">
        <v>45</v>
      </c>
      <c r="F6030" t="s">
        <v>94</v>
      </c>
      <c r="G6030">
        <v>0.56999999999999995</v>
      </c>
      <c r="H6030" t="s">
        <v>138</v>
      </c>
      <c r="I6030" t="s">
        <v>48</v>
      </c>
      <c r="J6030" t="s">
        <v>139</v>
      </c>
      <c r="K6030">
        <v>1546.2</v>
      </c>
      <c r="L6030" t="s">
        <v>14186</v>
      </c>
      <c r="M6030">
        <f>VLOOKUP(H6030,'Stage Order'!$A$2:$B$8,2,FALSE)</f>
        <v>6</v>
      </c>
      <c r="N6030" t="str">
        <f t="shared" si="188"/>
        <v>1. Under 1 hour</v>
      </c>
      <c r="O6030" t="str">
        <f t="shared" si="189"/>
        <v>2026-01</v>
      </c>
    </row>
    <row r="6031" spans="1:15" x14ac:dyDescent="0.3">
      <c r="A6031" t="s">
        <v>14187</v>
      </c>
      <c r="B6031" t="s">
        <v>14188</v>
      </c>
      <c r="C6031" t="s">
        <v>53</v>
      </c>
      <c r="D6031" t="s">
        <v>97</v>
      </c>
      <c r="E6031" t="s">
        <v>45</v>
      </c>
      <c r="F6031" t="s">
        <v>46</v>
      </c>
      <c r="G6031">
        <v>10.19</v>
      </c>
      <c r="H6031" t="s">
        <v>138</v>
      </c>
      <c r="I6031" t="s">
        <v>48</v>
      </c>
      <c r="J6031" t="s">
        <v>742</v>
      </c>
      <c r="K6031">
        <v>1409.74</v>
      </c>
      <c r="L6031" t="s">
        <v>14189</v>
      </c>
      <c r="M6031">
        <f>VLOOKUP(H6031,'Stage Order'!$A$2:$B$8,2,FALSE)</f>
        <v>6</v>
      </c>
      <c r="N6031" t="str">
        <f t="shared" si="188"/>
        <v>2. 1-24 hours</v>
      </c>
      <c r="O6031" t="str">
        <f t="shared" si="189"/>
        <v>2025-08</v>
      </c>
    </row>
    <row r="6032" spans="1:15" x14ac:dyDescent="0.3">
      <c r="A6032" t="s">
        <v>14190</v>
      </c>
      <c r="B6032" t="s">
        <v>14191</v>
      </c>
      <c r="C6032" t="s">
        <v>58</v>
      </c>
      <c r="D6032" t="s">
        <v>54</v>
      </c>
      <c r="E6032" t="s">
        <v>59</v>
      </c>
      <c r="F6032" t="s">
        <v>137</v>
      </c>
      <c r="G6032">
        <v>3.24</v>
      </c>
      <c r="H6032" t="s">
        <v>41</v>
      </c>
      <c r="I6032" t="s">
        <v>42</v>
      </c>
      <c r="M6032">
        <f>VLOOKUP(H6032,'Stage Order'!$A$2:$B$8,2,FALSE)</f>
        <v>2</v>
      </c>
      <c r="N6032" t="str">
        <f t="shared" si="188"/>
        <v>2. 1-24 hours</v>
      </c>
      <c r="O6032" t="str">
        <f t="shared" si="189"/>
        <v>2025-11</v>
      </c>
    </row>
    <row r="6033" spans="1:15" x14ac:dyDescent="0.3">
      <c r="A6033" t="s">
        <v>14192</v>
      </c>
      <c r="B6033" t="s">
        <v>14193</v>
      </c>
      <c r="C6033" t="s">
        <v>58</v>
      </c>
      <c r="D6033" t="s">
        <v>54</v>
      </c>
      <c r="E6033" t="s">
        <v>39</v>
      </c>
      <c r="F6033" t="s">
        <v>106</v>
      </c>
      <c r="G6033">
        <v>11.22</v>
      </c>
      <c r="H6033" t="s">
        <v>41</v>
      </c>
      <c r="I6033" t="s">
        <v>42</v>
      </c>
      <c r="M6033">
        <f>VLOOKUP(H6033,'Stage Order'!$A$2:$B$8,2,FALSE)</f>
        <v>2</v>
      </c>
      <c r="N6033" t="str">
        <f t="shared" si="188"/>
        <v>2. 1-24 hours</v>
      </c>
      <c r="O6033" t="str">
        <f t="shared" si="189"/>
        <v>2025-12</v>
      </c>
    </row>
    <row r="6034" spans="1:15" x14ac:dyDescent="0.3">
      <c r="A6034" t="s">
        <v>14194</v>
      </c>
      <c r="B6034" t="s">
        <v>14195</v>
      </c>
      <c r="C6034" t="s">
        <v>81</v>
      </c>
      <c r="D6034" t="s">
        <v>97</v>
      </c>
      <c r="E6034" t="s">
        <v>59</v>
      </c>
      <c r="F6034" t="s">
        <v>60</v>
      </c>
      <c r="G6034">
        <v>2.73</v>
      </c>
      <c r="H6034" t="s">
        <v>41</v>
      </c>
      <c r="I6034" t="s">
        <v>42</v>
      </c>
      <c r="M6034">
        <f>VLOOKUP(H6034,'Stage Order'!$A$2:$B$8,2,FALSE)</f>
        <v>2</v>
      </c>
      <c r="N6034" t="str">
        <f t="shared" si="188"/>
        <v>2. 1-24 hours</v>
      </c>
      <c r="O6034" t="str">
        <f t="shared" si="189"/>
        <v>2026-03</v>
      </c>
    </row>
    <row r="6035" spans="1:15" x14ac:dyDescent="0.3">
      <c r="A6035" t="s">
        <v>14196</v>
      </c>
      <c r="B6035" t="s">
        <v>14197</v>
      </c>
      <c r="C6035" t="s">
        <v>76</v>
      </c>
      <c r="D6035" t="s">
        <v>38</v>
      </c>
      <c r="E6035" t="s">
        <v>45</v>
      </c>
      <c r="F6035" t="s">
        <v>55</v>
      </c>
      <c r="G6035">
        <v>1.89</v>
      </c>
      <c r="H6035" t="s">
        <v>41</v>
      </c>
      <c r="I6035" t="s">
        <v>42</v>
      </c>
      <c r="M6035">
        <f>VLOOKUP(H6035,'Stage Order'!$A$2:$B$8,2,FALSE)</f>
        <v>2</v>
      </c>
      <c r="N6035" t="str">
        <f t="shared" si="188"/>
        <v>2. 1-24 hours</v>
      </c>
      <c r="O6035" t="str">
        <f t="shared" si="189"/>
        <v>2025-04</v>
      </c>
    </row>
    <row r="6036" spans="1:15" x14ac:dyDescent="0.3">
      <c r="A6036" t="s">
        <v>14198</v>
      </c>
      <c r="B6036" t="s">
        <v>14199</v>
      </c>
      <c r="C6036" t="s">
        <v>53</v>
      </c>
      <c r="D6036" t="s">
        <v>97</v>
      </c>
      <c r="E6036" t="s">
        <v>90</v>
      </c>
      <c r="F6036" t="s">
        <v>112</v>
      </c>
      <c r="G6036">
        <v>17.239999999999998</v>
      </c>
      <c r="H6036" t="s">
        <v>32</v>
      </c>
      <c r="I6036" t="s">
        <v>33</v>
      </c>
      <c r="K6036">
        <v>1459.25</v>
      </c>
      <c r="L6036" t="s">
        <v>14200</v>
      </c>
      <c r="M6036">
        <f>VLOOKUP(H6036,'Stage Order'!$A$2:$B$8,2,FALSE)</f>
        <v>7</v>
      </c>
      <c r="N6036" t="str">
        <f t="shared" si="188"/>
        <v>2. 1-24 hours</v>
      </c>
      <c r="O6036" t="str">
        <f t="shared" si="189"/>
        <v>2025-09</v>
      </c>
    </row>
    <row r="6037" spans="1:15" x14ac:dyDescent="0.3">
      <c r="A6037" t="s">
        <v>14201</v>
      </c>
      <c r="B6037" t="s">
        <v>14202</v>
      </c>
      <c r="C6037" t="s">
        <v>37</v>
      </c>
      <c r="D6037" t="s">
        <v>77</v>
      </c>
      <c r="E6037" t="s">
        <v>39</v>
      </c>
      <c r="F6037" t="s">
        <v>106</v>
      </c>
      <c r="G6037">
        <v>4.76</v>
      </c>
      <c r="H6037" t="s">
        <v>41</v>
      </c>
      <c r="I6037" t="s">
        <v>42</v>
      </c>
      <c r="M6037">
        <f>VLOOKUP(H6037,'Stage Order'!$A$2:$B$8,2,FALSE)</f>
        <v>2</v>
      </c>
      <c r="N6037" t="str">
        <f t="shared" si="188"/>
        <v>2. 1-24 hours</v>
      </c>
      <c r="O6037" t="str">
        <f t="shared" si="189"/>
        <v>2026-01</v>
      </c>
    </row>
    <row r="6038" spans="1:15" x14ac:dyDescent="0.3">
      <c r="A6038" t="s">
        <v>14203</v>
      </c>
      <c r="B6038" t="s">
        <v>14204</v>
      </c>
      <c r="C6038" t="s">
        <v>37</v>
      </c>
      <c r="D6038" t="s">
        <v>38</v>
      </c>
      <c r="E6038" t="s">
        <v>39</v>
      </c>
      <c r="F6038" t="s">
        <v>106</v>
      </c>
      <c r="G6038">
        <v>21.41</v>
      </c>
      <c r="H6038" t="s">
        <v>41</v>
      </c>
      <c r="I6038" t="s">
        <v>42</v>
      </c>
      <c r="M6038">
        <f>VLOOKUP(H6038,'Stage Order'!$A$2:$B$8,2,FALSE)</f>
        <v>2</v>
      </c>
      <c r="N6038" t="str">
        <f t="shared" si="188"/>
        <v>2. 1-24 hours</v>
      </c>
      <c r="O6038" t="str">
        <f t="shared" si="189"/>
        <v>2026-05</v>
      </c>
    </row>
    <row r="6039" spans="1:15" x14ac:dyDescent="0.3">
      <c r="A6039" t="s">
        <v>14205</v>
      </c>
      <c r="B6039" t="s">
        <v>14206</v>
      </c>
      <c r="C6039" t="s">
        <v>125</v>
      </c>
      <c r="D6039" t="s">
        <v>38</v>
      </c>
      <c r="E6039" t="s">
        <v>30</v>
      </c>
      <c r="F6039" t="s">
        <v>78</v>
      </c>
      <c r="G6039">
        <v>3.05</v>
      </c>
      <c r="H6039" t="s">
        <v>47</v>
      </c>
      <c r="I6039" t="s">
        <v>48</v>
      </c>
      <c r="J6039" t="s">
        <v>98</v>
      </c>
      <c r="K6039">
        <v>377.5</v>
      </c>
      <c r="L6039" t="s">
        <v>14207</v>
      </c>
      <c r="M6039">
        <f>VLOOKUP(H6039,'Stage Order'!$A$2:$B$8,2,FALSE)</f>
        <v>4</v>
      </c>
      <c r="N6039" t="str">
        <f t="shared" si="188"/>
        <v>2. 1-24 hours</v>
      </c>
      <c r="O6039" t="str">
        <f t="shared" si="189"/>
        <v>2025-07</v>
      </c>
    </row>
    <row r="6040" spans="1:15" x14ac:dyDescent="0.3">
      <c r="A6040" t="s">
        <v>14208</v>
      </c>
      <c r="B6040" t="s">
        <v>14209</v>
      </c>
      <c r="C6040" t="s">
        <v>58</v>
      </c>
      <c r="D6040" t="s">
        <v>38</v>
      </c>
      <c r="E6040" t="s">
        <v>39</v>
      </c>
      <c r="F6040" t="s">
        <v>66</v>
      </c>
      <c r="G6040">
        <v>4.0599999999999996</v>
      </c>
      <c r="H6040" t="s">
        <v>61</v>
      </c>
      <c r="I6040" t="s">
        <v>42</v>
      </c>
      <c r="M6040">
        <f>VLOOKUP(H6040,'Stage Order'!$A$2:$B$8,2,FALSE)</f>
        <v>1</v>
      </c>
      <c r="N6040" t="str">
        <f t="shared" si="188"/>
        <v>2. 1-24 hours</v>
      </c>
      <c r="O6040" t="str">
        <f t="shared" si="189"/>
        <v>2025-10</v>
      </c>
    </row>
    <row r="6041" spans="1:15" x14ac:dyDescent="0.3">
      <c r="A6041" t="s">
        <v>14210</v>
      </c>
      <c r="B6041" t="s">
        <v>14211</v>
      </c>
      <c r="C6041" t="s">
        <v>28</v>
      </c>
      <c r="D6041" t="s">
        <v>77</v>
      </c>
      <c r="E6041" t="s">
        <v>59</v>
      </c>
      <c r="F6041" t="s">
        <v>117</v>
      </c>
      <c r="G6041">
        <v>9.5</v>
      </c>
      <c r="H6041" t="s">
        <v>41</v>
      </c>
      <c r="I6041" t="s">
        <v>42</v>
      </c>
      <c r="M6041">
        <f>VLOOKUP(H6041,'Stage Order'!$A$2:$B$8,2,FALSE)</f>
        <v>2</v>
      </c>
      <c r="N6041" t="str">
        <f t="shared" si="188"/>
        <v>2. 1-24 hours</v>
      </c>
      <c r="O6041" t="str">
        <f t="shared" si="189"/>
        <v>2025-08</v>
      </c>
    </row>
    <row r="6042" spans="1:15" x14ac:dyDescent="0.3">
      <c r="A6042" t="s">
        <v>14212</v>
      </c>
      <c r="B6042" t="s">
        <v>14213</v>
      </c>
      <c r="C6042" t="s">
        <v>53</v>
      </c>
      <c r="D6042" t="s">
        <v>77</v>
      </c>
      <c r="E6042" t="s">
        <v>39</v>
      </c>
      <c r="F6042" t="s">
        <v>40</v>
      </c>
      <c r="G6042">
        <v>2.13</v>
      </c>
      <c r="H6042" t="s">
        <v>128</v>
      </c>
      <c r="I6042" t="s">
        <v>42</v>
      </c>
      <c r="M6042">
        <f>VLOOKUP(H6042,'Stage Order'!$A$2:$B$8,2,FALSE)</f>
        <v>3</v>
      </c>
      <c r="N6042" t="str">
        <f t="shared" si="188"/>
        <v>2. 1-24 hours</v>
      </c>
      <c r="O6042" t="str">
        <f t="shared" si="189"/>
        <v>2025-11</v>
      </c>
    </row>
    <row r="6043" spans="1:15" x14ac:dyDescent="0.3">
      <c r="A6043" t="s">
        <v>14214</v>
      </c>
      <c r="B6043" t="s">
        <v>14215</v>
      </c>
      <c r="C6043" t="s">
        <v>37</v>
      </c>
      <c r="D6043" t="s">
        <v>77</v>
      </c>
      <c r="E6043" t="s">
        <v>90</v>
      </c>
      <c r="F6043" t="s">
        <v>91</v>
      </c>
      <c r="G6043">
        <v>14.58</v>
      </c>
      <c r="H6043" t="s">
        <v>61</v>
      </c>
      <c r="I6043" t="s">
        <v>42</v>
      </c>
      <c r="M6043">
        <f>VLOOKUP(H6043,'Stage Order'!$A$2:$B$8,2,FALSE)</f>
        <v>1</v>
      </c>
      <c r="N6043" t="str">
        <f t="shared" si="188"/>
        <v>2. 1-24 hours</v>
      </c>
      <c r="O6043" t="str">
        <f t="shared" si="189"/>
        <v>2025-11</v>
      </c>
    </row>
    <row r="6044" spans="1:15" x14ac:dyDescent="0.3">
      <c r="A6044" t="s">
        <v>14216</v>
      </c>
      <c r="B6044" t="s">
        <v>14217</v>
      </c>
      <c r="C6044" t="s">
        <v>37</v>
      </c>
      <c r="D6044" t="s">
        <v>97</v>
      </c>
      <c r="E6044" t="s">
        <v>59</v>
      </c>
      <c r="F6044" t="s">
        <v>137</v>
      </c>
      <c r="G6044">
        <v>3.66</v>
      </c>
      <c r="H6044" t="s">
        <v>138</v>
      </c>
      <c r="I6044" t="s">
        <v>48</v>
      </c>
      <c r="J6044" t="s">
        <v>113</v>
      </c>
      <c r="K6044">
        <v>1294.92</v>
      </c>
      <c r="L6044" t="s">
        <v>14218</v>
      </c>
      <c r="M6044">
        <f>VLOOKUP(H6044,'Stage Order'!$A$2:$B$8,2,FALSE)</f>
        <v>6</v>
      </c>
      <c r="N6044" t="str">
        <f t="shared" si="188"/>
        <v>2. 1-24 hours</v>
      </c>
      <c r="O6044" t="str">
        <f t="shared" si="189"/>
        <v>2025-01</v>
      </c>
    </row>
    <row r="6045" spans="1:15" x14ac:dyDescent="0.3">
      <c r="A6045" t="s">
        <v>14219</v>
      </c>
      <c r="B6045" t="s">
        <v>14220</v>
      </c>
      <c r="C6045" t="s">
        <v>125</v>
      </c>
      <c r="D6045" t="s">
        <v>77</v>
      </c>
      <c r="E6045" t="s">
        <v>59</v>
      </c>
      <c r="F6045" t="s">
        <v>137</v>
      </c>
      <c r="G6045">
        <v>0.43</v>
      </c>
      <c r="H6045" t="s">
        <v>61</v>
      </c>
      <c r="I6045" t="s">
        <v>42</v>
      </c>
      <c r="M6045">
        <f>VLOOKUP(H6045,'Stage Order'!$A$2:$B$8,2,FALSE)</f>
        <v>1</v>
      </c>
      <c r="N6045" t="str">
        <f t="shared" si="188"/>
        <v>1. Under 1 hour</v>
      </c>
      <c r="O6045" t="str">
        <f t="shared" si="189"/>
        <v>2025-05</v>
      </c>
    </row>
    <row r="6046" spans="1:15" x14ac:dyDescent="0.3">
      <c r="A6046" t="s">
        <v>14221</v>
      </c>
      <c r="B6046" t="s">
        <v>14222</v>
      </c>
      <c r="C6046" t="s">
        <v>76</v>
      </c>
      <c r="D6046" t="s">
        <v>29</v>
      </c>
      <c r="E6046" t="s">
        <v>45</v>
      </c>
      <c r="F6046" t="s">
        <v>94</v>
      </c>
      <c r="G6046">
        <v>0.96</v>
      </c>
      <c r="H6046" t="s">
        <v>41</v>
      </c>
      <c r="I6046" t="s">
        <v>42</v>
      </c>
      <c r="M6046">
        <f>VLOOKUP(H6046,'Stage Order'!$A$2:$B$8,2,FALSE)</f>
        <v>2</v>
      </c>
      <c r="N6046" t="str">
        <f t="shared" si="188"/>
        <v>1. Under 1 hour</v>
      </c>
      <c r="O6046" t="str">
        <f t="shared" si="189"/>
        <v>2025-06</v>
      </c>
    </row>
    <row r="6047" spans="1:15" x14ac:dyDescent="0.3">
      <c r="A6047" t="s">
        <v>14223</v>
      </c>
      <c r="B6047" t="s">
        <v>14224</v>
      </c>
      <c r="C6047" t="s">
        <v>37</v>
      </c>
      <c r="D6047" t="s">
        <v>29</v>
      </c>
      <c r="E6047" t="s">
        <v>59</v>
      </c>
      <c r="F6047" t="s">
        <v>117</v>
      </c>
      <c r="G6047">
        <v>2.89</v>
      </c>
      <c r="H6047" t="s">
        <v>41</v>
      </c>
      <c r="I6047" t="s">
        <v>42</v>
      </c>
      <c r="M6047">
        <f>VLOOKUP(H6047,'Stage Order'!$A$2:$B$8,2,FALSE)</f>
        <v>2</v>
      </c>
      <c r="N6047" t="str">
        <f t="shared" si="188"/>
        <v>2. 1-24 hours</v>
      </c>
      <c r="O6047" t="str">
        <f t="shared" si="189"/>
        <v>2025-08</v>
      </c>
    </row>
    <row r="6048" spans="1:15" x14ac:dyDescent="0.3">
      <c r="A6048" t="s">
        <v>14225</v>
      </c>
      <c r="B6048" t="s">
        <v>14226</v>
      </c>
      <c r="C6048" t="s">
        <v>76</v>
      </c>
      <c r="D6048" t="s">
        <v>38</v>
      </c>
      <c r="E6048" t="s">
        <v>90</v>
      </c>
      <c r="F6048" t="s">
        <v>145</v>
      </c>
      <c r="G6048">
        <v>8.3699999999999992</v>
      </c>
      <c r="H6048" t="s">
        <v>32</v>
      </c>
      <c r="I6048" t="s">
        <v>33</v>
      </c>
      <c r="K6048">
        <v>399.66</v>
      </c>
      <c r="L6048" t="s">
        <v>14227</v>
      </c>
      <c r="M6048">
        <f>VLOOKUP(H6048,'Stage Order'!$A$2:$B$8,2,FALSE)</f>
        <v>7</v>
      </c>
      <c r="N6048" t="str">
        <f t="shared" si="188"/>
        <v>2. 1-24 hours</v>
      </c>
      <c r="O6048" t="str">
        <f t="shared" si="189"/>
        <v>2025-07</v>
      </c>
    </row>
    <row r="6049" spans="1:15" x14ac:dyDescent="0.3">
      <c r="A6049" t="s">
        <v>14228</v>
      </c>
      <c r="B6049" t="s">
        <v>14229</v>
      </c>
      <c r="C6049" t="s">
        <v>53</v>
      </c>
      <c r="D6049" t="s">
        <v>77</v>
      </c>
      <c r="E6049" t="s">
        <v>59</v>
      </c>
      <c r="F6049" t="s">
        <v>60</v>
      </c>
      <c r="G6049">
        <v>1.06</v>
      </c>
      <c r="H6049" t="s">
        <v>146</v>
      </c>
      <c r="I6049" t="s">
        <v>48</v>
      </c>
      <c r="J6049" t="s">
        <v>139</v>
      </c>
      <c r="K6049">
        <v>1156.01</v>
      </c>
      <c r="L6049" t="s">
        <v>14230</v>
      </c>
      <c r="M6049">
        <f>VLOOKUP(H6049,'Stage Order'!$A$2:$B$8,2,FALSE)</f>
        <v>5</v>
      </c>
      <c r="N6049" t="str">
        <f t="shared" si="188"/>
        <v>2. 1-24 hours</v>
      </c>
      <c r="O6049" t="str">
        <f t="shared" si="189"/>
        <v>2026-05</v>
      </c>
    </row>
    <row r="6050" spans="1:15" x14ac:dyDescent="0.3">
      <c r="A6050" t="s">
        <v>14231</v>
      </c>
      <c r="B6050" t="s">
        <v>14232</v>
      </c>
      <c r="C6050" t="s">
        <v>76</v>
      </c>
      <c r="D6050" t="s">
        <v>38</v>
      </c>
      <c r="E6050" t="s">
        <v>39</v>
      </c>
      <c r="F6050" t="s">
        <v>40</v>
      </c>
      <c r="G6050">
        <v>9.7200000000000006</v>
      </c>
      <c r="H6050" t="s">
        <v>41</v>
      </c>
      <c r="I6050" t="s">
        <v>42</v>
      </c>
      <c r="M6050">
        <f>VLOOKUP(H6050,'Stage Order'!$A$2:$B$8,2,FALSE)</f>
        <v>2</v>
      </c>
      <c r="N6050" t="str">
        <f t="shared" si="188"/>
        <v>2. 1-24 hours</v>
      </c>
      <c r="O6050" t="str">
        <f t="shared" si="189"/>
        <v>2026-03</v>
      </c>
    </row>
    <row r="6051" spans="1:15" x14ac:dyDescent="0.3">
      <c r="A6051" t="s">
        <v>14233</v>
      </c>
      <c r="B6051" t="s">
        <v>14234</v>
      </c>
      <c r="C6051" t="s">
        <v>125</v>
      </c>
      <c r="D6051" t="s">
        <v>54</v>
      </c>
      <c r="E6051" t="s">
        <v>45</v>
      </c>
      <c r="F6051" t="s">
        <v>55</v>
      </c>
      <c r="G6051">
        <v>2.0299999999999998</v>
      </c>
      <c r="H6051" t="s">
        <v>41</v>
      </c>
      <c r="I6051" t="s">
        <v>42</v>
      </c>
      <c r="M6051">
        <f>VLOOKUP(H6051,'Stage Order'!$A$2:$B$8,2,FALSE)</f>
        <v>2</v>
      </c>
      <c r="N6051" t="str">
        <f t="shared" si="188"/>
        <v>2. 1-24 hours</v>
      </c>
      <c r="O6051" t="str">
        <f t="shared" si="189"/>
        <v>2025-09</v>
      </c>
    </row>
    <row r="6052" spans="1:15" x14ac:dyDescent="0.3">
      <c r="A6052" t="s">
        <v>14235</v>
      </c>
      <c r="B6052" t="s">
        <v>14236</v>
      </c>
      <c r="C6052" t="s">
        <v>76</v>
      </c>
      <c r="D6052" t="s">
        <v>77</v>
      </c>
      <c r="E6052" t="s">
        <v>39</v>
      </c>
      <c r="F6052" t="s">
        <v>66</v>
      </c>
      <c r="G6052">
        <v>4.13</v>
      </c>
      <c r="H6052" t="s">
        <v>32</v>
      </c>
      <c r="I6052" t="s">
        <v>33</v>
      </c>
      <c r="K6052">
        <v>872.98</v>
      </c>
      <c r="L6052" t="s">
        <v>14237</v>
      </c>
      <c r="M6052">
        <f>VLOOKUP(H6052,'Stage Order'!$A$2:$B$8,2,FALSE)</f>
        <v>7</v>
      </c>
      <c r="N6052" t="str">
        <f t="shared" si="188"/>
        <v>2. 1-24 hours</v>
      </c>
      <c r="O6052" t="str">
        <f t="shared" si="189"/>
        <v>2025-06</v>
      </c>
    </row>
    <row r="6053" spans="1:15" x14ac:dyDescent="0.3">
      <c r="A6053" t="s">
        <v>14238</v>
      </c>
      <c r="B6053" t="s">
        <v>14239</v>
      </c>
      <c r="C6053" t="s">
        <v>58</v>
      </c>
      <c r="D6053" t="s">
        <v>38</v>
      </c>
      <c r="E6053" t="s">
        <v>45</v>
      </c>
      <c r="F6053" t="s">
        <v>94</v>
      </c>
      <c r="G6053">
        <v>1.03</v>
      </c>
      <c r="H6053" t="s">
        <v>41</v>
      </c>
      <c r="I6053" t="s">
        <v>42</v>
      </c>
      <c r="M6053">
        <f>VLOOKUP(H6053,'Stage Order'!$A$2:$B$8,2,FALSE)</f>
        <v>2</v>
      </c>
      <c r="N6053" t="str">
        <f t="shared" si="188"/>
        <v>2. 1-24 hours</v>
      </c>
      <c r="O6053" t="str">
        <f t="shared" si="189"/>
        <v>2025-09</v>
      </c>
    </row>
    <row r="6054" spans="1:15" x14ac:dyDescent="0.3">
      <c r="A6054" t="s">
        <v>14240</v>
      </c>
      <c r="B6054" t="s">
        <v>14241</v>
      </c>
      <c r="C6054" t="s">
        <v>28</v>
      </c>
      <c r="D6054" t="s">
        <v>54</v>
      </c>
      <c r="E6054" t="s">
        <v>39</v>
      </c>
      <c r="F6054" t="s">
        <v>66</v>
      </c>
      <c r="G6054">
        <v>0.43</v>
      </c>
      <c r="H6054" t="s">
        <v>41</v>
      </c>
      <c r="I6054" t="s">
        <v>42</v>
      </c>
      <c r="M6054">
        <f>VLOOKUP(H6054,'Stage Order'!$A$2:$B$8,2,FALSE)</f>
        <v>2</v>
      </c>
      <c r="N6054" t="str">
        <f t="shared" si="188"/>
        <v>1. Under 1 hour</v>
      </c>
      <c r="O6054" t="str">
        <f t="shared" si="189"/>
        <v>2025-01</v>
      </c>
    </row>
    <row r="6055" spans="1:15" x14ac:dyDescent="0.3">
      <c r="A6055" t="s">
        <v>14242</v>
      </c>
      <c r="B6055" t="s">
        <v>14243</v>
      </c>
      <c r="C6055" t="s">
        <v>81</v>
      </c>
      <c r="D6055" t="s">
        <v>38</v>
      </c>
      <c r="E6055" t="s">
        <v>39</v>
      </c>
      <c r="F6055" t="s">
        <v>106</v>
      </c>
      <c r="G6055">
        <v>0.34</v>
      </c>
      <c r="H6055" t="s">
        <v>128</v>
      </c>
      <c r="I6055" t="s">
        <v>42</v>
      </c>
      <c r="M6055">
        <f>VLOOKUP(H6055,'Stage Order'!$A$2:$B$8,2,FALSE)</f>
        <v>3</v>
      </c>
      <c r="N6055" t="str">
        <f t="shared" si="188"/>
        <v>1. Under 1 hour</v>
      </c>
      <c r="O6055" t="str">
        <f t="shared" si="189"/>
        <v>2025-12</v>
      </c>
    </row>
    <row r="6056" spans="1:15" x14ac:dyDescent="0.3">
      <c r="A6056" t="s">
        <v>14244</v>
      </c>
      <c r="B6056" t="s">
        <v>14245</v>
      </c>
      <c r="C6056" t="s">
        <v>58</v>
      </c>
      <c r="D6056" t="s">
        <v>54</v>
      </c>
      <c r="E6056" t="s">
        <v>39</v>
      </c>
      <c r="F6056" t="s">
        <v>66</v>
      </c>
      <c r="G6056">
        <v>0.38</v>
      </c>
      <c r="H6056" t="s">
        <v>128</v>
      </c>
      <c r="I6056" t="s">
        <v>42</v>
      </c>
      <c r="M6056">
        <f>VLOOKUP(H6056,'Stage Order'!$A$2:$B$8,2,FALSE)</f>
        <v>3</v>
      </c>
      <c r="N6056" t="str">
        <f t="shared" si="188"/>
        <v>1. Under 1 hour</v>
      </c>
      <c r="O6056" t="str">
        <f t="shared" si="189"/>
        <v>2025-04</v>
      </c>
    </row>
    <row r="6057" spans="1:15" x14ac:dyDescent="0.3">
      <c r="A6057" t="s">
        <v>14246</v>
      </c>
      <c r="B6057" t="s">
        <v>14247</v>
      </c>
      <c r="C6057" t="s">
        <v>125</v>
      </c>
      <c r="D6057" t="s">
        <v>97</v>
      </c>
      <c r="E6057" t="s">
        <v>90</v>
      </c>
      <c r="F6057" t="s">
        <v>112</v>
      </c>
      <c r="G6057">
        <v>3.34</v>
      </c>
      <c r="H6057" t="s">
        <v>41</v>
      </c>
      <c r="I6057" t="s">
        <v>42</v>
      </c>
      <c r="M6057">
        <f>VLOOKUP(H6057,'Stage Order'!$A$2:$B$8,2,FALSE)</f>
        <v>2</v>
      </c>
      <c r="N6057" t="str">
        <f t="shared" si="188"/>
        <v>2. 1-24 hours</v>
      </c>
      <c r="O6057" t="str">
        <f t="shared" si="189"/>
        <v>2026-05</v>
      </c>
    </row>
    <row r="6058" spans="1:15" x14ac:dyDescent="0.3">
      <c r="A6058" t="s">
        <v>14248</v>
      </c>
      <c r="B6058" t="s">
        <v>14249</v>
      </c>
      <c r="C6058" t="s">
        <v>125</v>
      </c>
      <c r="D6058" t="s">
        <v>38</v>
      </c>
      <c r="E6058" t="s">
        <v>45</v>
      </c>
      <c r="F6058" t="s">
        <v>46</v>
      </c>
      <c r="G6058">
        <v>4.0999999999999996</v>
      </c>
      <c r="H6058" t="s">
        <v>61</v>
      </c>
      <c r="I6058" t="s">
        <v>42</v>
      </c>
      <c r="M6058">
        <f>VLOOKUP(H6058,'Stage Order'!$A$2:$B$8,2,FALSE)</f>
        <v>1</v>
      </c>
      <c r="N6058" t="str">
        <f t="shared" si="188"/>
        <v>2. 1-24 hours</v>
      </c>
      <c r="O6058" t="str">
        <f t="shared" si="189"/>
        <v>2025-03</v>
      </c>
    </row>
    <row r="6059" spans="1:15" x14ac:dyDescent="0.3">
      <c r="A6059" t="s">
        <v>14250</v>
      </c>
      <c r="B6059" t="s">
        <v>14251</v>
      </c>
      <c r="C6059" t="s">
        <v>81</v>
      </c>
      <c r="D6059" t="s">
        <v>77</v>
      </c>
      <c r="E6059" t="s">
        <v>39</v>
      </c>
      <c r="F6059" t="s">
        <v>40</v>
      </c>
      <c r="G6059">
        <v>1.1399999999999999</v>
      </c>
      <c r="H6059" t="s">
        <v>61</v>
      </c>
      <c r="I6059" t="s">
        <v>42</v>
      </c>
      <c r="M6059">
        <f>VLOOKUP(H6059,'Stage Order'!$A$2:$B$8,2,FALSE)</f>
        <v>1</v>
      </c>
      <c r="N6059" t="str">
        <f t="shared" si="188"/>
        <v>2. 1-24 hours</v>
      </c>
      <c r="O6059" t="str">
        <f t="shared" si="189"/>
        <v>2025-04</v>
      </c>
    </row>
    <row r="6060" spans="1:15" x14ac:dyDescent="0.3">
      <c r="A6060" t="s">
        <v>14252</v>
      </c>
      <c r="B6060" t="s">
        <v>14253</v>
      </c>
      <c r="C6060" t="s">
        <v>37</v>
      </c>
      <c r="D6060" t="s">
        <v>54</v>
      </c>
      <c r="E6060" t="s">
        <v>39</v>
      </c>
      <c r="F6060" t="s">
        <v>40</v>
      </c>
      <c r="G6060">
        <v>9.15</v>
      </c>
      <c r="H6060" t="s">
        <v>41</v>
      </c>
      <c r="I6060" t="s">
        <v>42</v>
      </c>
      <c r="M6060">
        <f>VLOOKUP(H6060,'Stage Order'!$A$2:$B$8,2,FALSE)</f>
        <v>2</v>
      </c>
      <c r="N6060" t="str">
        <f t="shared" si="188"/>
        <v>2. 1-24 hours</v>
      </c>
      <c r="O6060" t="str">
        <f t="shared" si="189"/>
        <v>2025-12</v>
      </c>
    </row>
    <row r="6061" spans="1:15" x14ac:dyDescent="0.3">
      <c r="A6061" t="s">
        <v>14254</v>
      </c>
      <c r="B6061" t="s">
        <v>14255</v>
      </c>
      <c r="C6061" t="s">
        <v>37</v>
      </c>
      <c r="D6061" t="s">
        <v>54</v>
      </c>
      <c r="E6061" t="s">
        <v>39</v>
      </c>
      <c r="F6061" t="s">
        <v>40</v>
      </c>
      <c r="G6061">
        <v>7.95</v>
      </c>
      <c r="H6061" t="s">
        <v>47</v>
      </c>
      <c r="I6061" t="s">
        <v>48</v>
      </c>
      <c r="J6061" t="s">
        <v>139</v>
      </c>
      <c r="K6061">
        <v>455.51</v>
      </c>
      <c r="L6061" t="s">
        <v>14256</v>
      </c>
      <c r="M6061">
        <f>VLOOKUP(H6061,'Stage Order'!$A$2:$B$8,2,FALSE)</f>
        <v>4</v>
      </c>
      <c r="N6061" t="str">
        <f t="shared" si="188"/>
        <v>2. 1-24 hours</v>
      </c>
      <c r="O6061" t="str">
        <f t="shared" si="189"/>
        <v>2025-11</v>
      </c>
    </row>
    <row r="6062" spans="1:15" x14ac:dyDescent="0.3">
      <c r="A6062" t="s">
        <v>14257</v>
      </c>
      <c r="B6062" t="s">
        <v>14258</v>
      </c>
      <c r="C6062" t="s">
        <v>37</v>
      </c>
      <c r="D6062" t="s">
        <v>38</v>
      </c>
      <c r="E6062" t="s">
        <v>59</v>
      </c>
      <c r="F6062" t="s">
        <v>117</v>
      </c>
      <c r="G6062">
        <v>0.88</v>
      </c>
      <c r="H6062" t="s">
        <v>32</v>
      </c>
      <c r="I6062" t="s">
        <v>33</v>
      </c>
      <c r="K6062">
        <v>299.07</v>
      </c>
      <c r="L6062" t="s">
        <v>14259</v>
      </c>
      <c r="M6062">
        <f>VLOOKUP(H6062,'Stage Order'!$A$2:$B$8,2,FALSE)</f>
        <v>7</v>
      </c>
      <c r="N6062" t="str">
        <f t="shared" si="188"/>
        <v>1. Under 1 hour</v>
      </c>
      <c r="O6062" t="str">
        <f t="shared" si="189"/>
        <v>2026-06</v>
      </c>
    </row>
    <row r="6063" spans="1:15" x14ac:dyDescent="0.3">
      <c r="A6063" t="s">
        <v>14260</v>
      </c>
      <c r="B6063" t="s">
        <v>14261</v>
      </c>
      <c r="C6063" t="s">
        <v>53</v>
      </c>
      <c r="D6063" t="s">
        <v>54</v>
      </c>
      <c r="E6063" t="s">
        <v>45</v>
      </c>
      <c r="F6063" t="s">
        <v>94</v>
      </c>
      <c r="G6063">
        <v>0.69</v>
      </c>
      <c r="H6063" t="s">
        <v>32</v>
      </c>
      <c r="I6063" t="s">
        <v>33</v>
      </c>
      <c r="K6063">
        <v>489.51</v>
      </c>
      <c r="L6063" t="s">
        <v>14262</v>
      </c>
      <c r="M6063">
        <f>VLOOKUP(H6063,'Stage Order'!$A$2:$B$8,2,FALSE)</f>
        <v>7</v>
      </c>
      <c r="N6063" t="str">
        <f t="shared" si="188"/>
        <v>1. Under 1 hour</v>
      </c>
      <c r="O6063" t="str">
        <f t="shared" si="189"/>
        <v>2025-03</v>
      </c>
    </row>
    <row r="6064" spans="1:15" x14ac:dyDescent="0.3">
      <c r="A6064" t="s">
        <v>14263</v>
      </c>
      <c r="B6064" t="s">
        <v>3094</v>
      </c>
      <c r="C6064" t="s">
        <v>53</v>
      </c>
      <c r="D6064" t="s">
        <v>54</v>
      </c>
      <c r="E6064" t="s">
        <v>59</v>
      </c>
      <c r="F6064" t="s">
        <v>117</v>
      </c>
      <c r="G6064">
        <v>9.83</v>
      </c>
      <c r="H6064" t="s">
        <v>32</v>
      </c>
      <c r="I6064" t="s">
        <v>33</v>
      </c>
      <c r="K6064">
        <v>480.05</v>
      </c>
      <c r="L6064" t="s">
        <v>14264</v>
      </c>
      <c r="M6064">
        <f>VLOOKUP(H6064,'Stage Order'!$A$2:$B$8,2,FALSE)</f>
        <v>7</v>
      </c>
      <c r="N6064" t="str">
        <f t="shared" si="188"/>
        <v>2. 1-24 hours</v>
      </c>
      <c r="O6064" t="str">
        <f t="shared" si="189"/>
        <v>2025-11</v>
      </c>
    </row>
    <row r="6065" spans="1:15" x14ac:dyDescent="0.3">
      <c r="A6065" t="s">
        <v>14265</v>
      </c>
      <c r="B6065" t="s">
        <v>14266</v>
      </c>
      <c r="C6065" t="s">
        <v>58</v>
      </c>
      <c r="D6065" t="s">
        <v>54</v>
      </c>
      <c r="E6065" t="s">
        <v>59</v>
      </c>
      <c r="F6065" t="s">
        <v>117</v>
      </c>
      <c r="G6065">
        <v>10.11</v>
      </c>
      <c r="H6065" t="s">
        <v>32</v>
      </c>
      <c r="I6065" t="s">
        <v>33</v>
      </c>
      <c r="K6065">
        <v>482.81</v>
      </c>
      <c r="L6065" t="s">
        <v>14267</v>
      </c>
      <c r="M6065">
        <f>VLOOKUP(H6065,'Stage Order'!$A$2:$B$8,2,FALSE)</f>
        <v>7</v>
      </c>
      <c r="N6065" t="str">
        <f t="shared" si="188"/>
        <v>2. 1-24 hours</v>
      </c>
      <c r="O6065" t="str">
        <f t="shared" si="189"/>
        <v>2025-10</v>
      </c>
    </row>
    <row r="6066" spans="1:15" x14ac:dyDescent="0.3">
      <c r="A6066" t="s">
        <v>14268</v>
      </c>
      <c r="B6066" t="s">
        <v>11747</v>
      </c>
      <c r="C6066" t="s">
        <v>37</v>
      </c>
      <c r="D6066" t="s">
        <v>38</v>
      </c>
      <c r="E6066" t="s">
        <v>30</v>
      </c>
      <c r="F6066" t="s">
        <v>31</v>
      </c>
      <c r="G6066">
        <v>2.52</v>
      </c>
      <c r="H6066" t="s">
        <v>47</v>
      </c>
      <c r="I6066" t="s">
        <v>48</v>
      </c>
      <c r="J6066" t="s">
        <v>98</v>
      </c>
      <c r="K6066">
        <v>325.61</v>
      </c>
      <c r="L6066" t="s">
        <v>14269</v>
      </c>
      <c r="M6066">
        <f>VLOOKUP(H6066,'Stage Order'!$A$2:$B$8,2,FALSE)</f>
        <v>4</v>
      </c>
      <c r="N6066" t="str">
        <f t="shared" si="188"/>
        <v>2. 1-24 hours</v>
      </c>
      <c r="O6066" t="str">
        <f t="shared" si="189"/>
        <v>2025-12</v>
      </c>
    </row>
    <row r="6067" spans="1:15" x14ac:dyDescent="0.3">
      <c r="A6067" t="s">
        <v>14270</v>
      </c>
      <c r="B6067" t="s">
        <v>14271</v>
      </c>
      <c r="C6067" t="s">
        <v>28</v>
      </c>
      <c r="D6067" t="s">
        <v>38</v>
      </c>
      <c r="E6067" t="s">
        <v>45</v>
      </c>
      <c r="F6067" t="s">
        <v>94</v>
      </c>
      <c r="G6067">
        <v>3.89</v>
      </c>
      <c r="H6067" t="s">
        <v>32</v>
      </c>
      <c r="I6067" t="s">
        <v>33</v>
      </c>
      <c r="K6067">
        <v>378.32</v>
      </c>
      <c r="L6067" t="s">
        <v>14272</v>
      </c>
      <c r="M6067">
        <f>VLOOKUP(H6067,'Stage Order'!$A$2:$B$8,2,FALSE)</f>
        <v>7</v>
      </c>
      <c r="N6067" t="str">
        <f t="shared" si="188"/>
        <v>2. 1-24 hours</v>
      </c>
      <c r="O6067" t="str">
        <f t="shared" si="189"/>
        <v>2025-02</v>
      </c>
    </row>
    <row r="6068" spans="1:15" x14ac:dyDescent="0.3">
      <c r="A6068" t="s">
        <v>14273</v>
      </c>
      <c r="B6068" t="s">
        <v>14274</v>
      </c>
      <c r="C6068" t="s">
        <v>81</v>
      </c>
      <c r="D6068" t="s">
        <v>77</v>
      </c>
      <c r="E6068" t="s">
        <v>90</v>
      </c>
      <c r="F6068" t="s">
        <v>112</v>
      </c>
      <c r="G6068">
        <v>5.07</v>
      </c>
      <c r="H6068" t="s">
        <v>61</v>
      </c>
      <c r="I6068" t="s">
        <v>42</v>
      </c>
      <c r="M6068">
        <f>VLOOKUP(H6068,'Stage Order'!$A$2:$B$8,2,FALSE)</f>
        <v>1</v>
      </c>
      <c r="N6068" t="str">
        <f t="shared" si="188"/>
        <v>2. 1-24 hours</v>
      </c>
      <c r="O6068" t="str">
        <f t="shared" si="189"/>
        <v>2025-11</v>
      </c>
    </row>
    <row r="6069" spans="1:15" x14ac:dyDescent="0.3">
      <c r="A6069" t="s">
        <v>14275</v>
      </c>
      <c r="B6069" t="s">
        <v>14276</v>
      </c>
      <c r="C6069" t="s">
        <v>37</v>
      </c>
      <c r="D6069" t="s">
        <v>54</v>
      </c>
      <c r="E6069" t="s">
        <v>45</v>
      </c>
      <c r="F6069" t="s">
        <v>94</v>
      </c>
      <c r="G6069">
        <v>3.78</v>
      </c>
      <c r="H6069" t="s">
        <v>32</v>
      </c>
      <c r="I6069" t="s">
        <v>33</v>
      </c>
      <c r="K6069">
        <v>482</v>
      </c>
      <c r="L6069" t="s">
        <v>14277</v>
      </c>
      <c r="M6069">
        <f>VLOOKUP(H6069,'Stage Order'!$A$2:$B$8,2,FALSE)</f>
        <v>7</v>
      </c>
      <c r="N6069" t="str">
        <f t="shared" si="188"/>
        <v>2. 1-24 hours</v>
      </c>
      <c r="O6069" t="str">
        <f t="shared" si="189"/>
        <v>2026-02</v>
      </c>
    </row>
    <row r="6070" spans="1:15" x14ac:dyDescent="0.3">
      <c r="A6070" t="s">
        <v>14278</v>
      </c>
      <c r="B6070" t="s">
        <v>14279</v>
      </c>
      <c r="C6070" t="s">
        <v>58</v>
      </c>
      <c r="D6070" t="s">
        <v>77</v>
      </c>
      <c r="E6070" t="s">
        <v>39</v>
      </c>
      <c r="F6070" t="s">
        <v>106</v>
      </c>
      <c r="G6070">
        <v>0.64</v>
      </c>
      <c r="H6070" t="s">
        <v>41</v>
      </c>
      <c r="I6070" t="s">
        <v>42</v>
      </c>
      <c r="M6070">
        <f>VLOOKUP(H6070,'Stage Order'!$A$2:$B$8,2,FALSE)</f>
        <v>2</v>
      </c>
      <c r="N6070" t="str">
        <f t="shared" si="188"/>
        <v>1. Under 1 hour</v>
      </c>
      <c r="O6070" t="str">
        <f t="shared" si="189"/>
        <v>2025-01</v>
      </c>
    </row>
    <row r="6071" spans="1:15" x14ac:dyDescent="0.3">
      <c r="A6071" t="s">
        <v>14280</v>
      </c>
      <c r="B6071" t="s">
        <v>14281</v>
      </c>
      <c r="C6071" t="s">
        <v>37</v>
      </c>
      <c r="D6071" t="s">
        <v>29</v>
      </c>
      <c r="E6071" t="s">
        <v>45</v>
      </c>
      <c r="F6071" t="s">
        <v>94</v>
      </c>
      <c r="G6071">
        <v>2.23</v>
      </c>
      <c r="H6071" t="s">
        <v>41</v>
      </c>
      <c r="I6071" t="s">
        <v>42</v>
      </c>
      <c r="M6071">
        <f>VLOOKUP(H6071,'Stage Order'!$A$2:$B$8,2,FALSE)</f>
        <v>2</v>
      </c>
      <c r="N6071" t="str">
        <f t="shared" si="188"/>
        <v>2. 1-24 hours</v>
      </c>
      <c r="O6071" t="str">
        <f t="shared" si="189"/>
        <v>2025-11</v>
      </c>
    </row>
    <row r="6072" spans="1:15" x14ac:dyDescent="0.3">
      <c r="A6072" t="s">
        <v>14282</v>
      </c>
      <c r="B6072" t="s">
        <v>14283</v>
      </c>
      <c r="C6072" t="s">
        <v>37</v>
      </c>
      <c r="D6072" t="s">
        <v>29</v>
      </c>
      <c r="E6072" t="s">
        <v>45</v>
      </c>
      <c r="F6072" t="s">
        <v>55</v>
      </c>
      <c r="G6072">
        <v>1.35</v>
      </c>
      <c r="H6072" t="s">
        <v>32</v>
      </c>
      <c r="I6072" t="s">
        <v>33</v>
      </c>
      <c r="K6072">
        <v>597.87</v>
      </c>
      <c r="L6072" t="s">
        <v>14284</v>
      </c>
      <c r="M6072">
        <f>VLOOKUP(H6072,'Stage Order'!$A$2:$B$8,2,FALSE)</f>
        <v>7</v>
      </c>
      <c r="N6072" t="str">
        <f t="shared" si="188"/>
        <v>2. 1-24 hours</v>
      </c>
      <c r="O6072" t="str">
        <f t="shared" si="189"/>
        <v>2025-01</v>
      </c>
    </row>
    <row r="6073" spans="1:15" x14ac:dyDescent="0.3">
      <c r="A6073" t="s">
        <v>14285</v>
      </c>
      <c r="B6073" t="s">
        <v>14286</v>
      </c>
      <c r="C6073" t="s">
        <v>58</v>
      </c>
      <c r="D6073" t="s">
        <v>38</v>
      </c>
      <c r="E6073" t="s">
        <v>30</v>
      </c>
      <c r="F6073" t="s">
        <v>78</v>
      </c>
      <c r="G6073">
        <v>1.27</v>
      </c>
      <c r="H6073" t="s">
        <v>41</v>
      </c>
      <c r="I6073" t="s">
        <v>42</v>
      </c>
      <c r="M6073">
        <f>VLOOKUP(H6073,'Stage Order'!$A$2:$B$8,2,FALSE)</f>
        <v>2</v>
      </c>
      <c r="N6073" t="str">
        <f t="shared" si="188"/>
        <v>2. 1-24 hours</v>
      </c>
      <c r="O6073" t="str">
        <f t="shared" si="189"/>
        <v>2025-09</v>
      </c>
    </row>
    <row r="6074" spans="1:15" x14ac:dyDescent="0.3">
      <c r="A6074" t="s">
        <v>14287</v>
      </c>
      <c r="B6074" t="s">
        <v>14288</v>
      </c>
      <c r="C6074" t="s">
        <v>37</v>
      </c>
      <c r="D6074" t="s">
        <v>97</v>
      </c>
      <c r="E6074" t="s">
        <v>59</v>
      </c>
      <c r="F6074" t="s">
        <v>60</v>
      </c>
      <c r="G6074">
        <v>15.94</v>
      </c>
      <c r="H6074" t="s">
        <v>138</v>
      </c>
      <c r="I6074" t="s">
        <v>48</v>
      </c>
      <c r="J6074" t="s">
        <v>139</v>
      </c>
      <c r="K6074">
        <v>1446.17</v>
      </c>
      <c r="L6074" t="s">
        <v>14289</v>
      </c>
      <c r="M6074">
        <f>VLOOKUP(H6074,'Stage Order'!$A$2:$B$8,2,FALSE)</f>
        <v>6</v>
      </c>
      <c r="N6074" t="str">
        <f t="shared" si="188"/>
        <v>2. 1-24 hours</v>
      </c>
      <c r="O6074" t="str">
        <f t="shared" si="189"/>
        <v>2025-11</v>
      </c>
    </row>
    <row r="6075" spans="1:15" x14ac:dyDescent="0.3">
      <c r="A6075" t="s">
        <v>14290</v>
      </c>
      <c r="B6075" t="s">
        <v>14291</v>
      </c>
      <c r="C6075" t="s">
        <v>125</v>
      </c>
      <c r="D6075" t="s">
        <v>29</v>
      </c>
      <c r="E6075" t="s">
        <v>45</v>
      </c>
      <c r="F6075" t="s">
        <v>55</v>
      </c>
      <c r="G6075">
        <v>4.7699999999999996</v>
      </c>
      <c r="H6075" t="s">
        <v>41</v>
      </c>
      <c r="I6075" t="s">
        <v>42</v>
      </c>
      <c r="M6075">
        <f>VLOOKUP(H6075,'Stage Order'!$A$2:$B$8,2,FALSE)</f>
        <v>2</v>
      </c>
      <c r="N6075" t="str">
        <f t="shared" si="188"/>
        <v>2. 1-24 hours</v>
      </c>
      <c r="O6075" t="str">
        <f t="shared" si="189"/>
        <v>2025-01</v>
      </c>
    </row>
    <row r="6076" spans="1:15" x14ac:dyDescent="0.3">
      <c r="A6076" t="s">
        <v>14292</v>
      </c>
      <c r="B6076" t="s">
        <v>14293</v>
      </c>
      <c r="C6076" t="s">
        <v>58</v>
      </c>
      <c r="D6076" t="s">
        <v>97</v>
      </c>
      <c r="E6076" t="s">
        <v>39</v>
      </c>
      <c r="F6076" t="s">
        <v>40</v>
      </c>
      <c r="G6076">
        <v>1.08</v>
      </c>
      <c r="H6076" t="s">
        <v>41</v>
      </c>
      <c r="I6076" t="s">
        <v>42</v>
      </c>
      <c r="M6076">
        <f>VLOOKUP(H6076,'Stage Order'!$A$2:$B$8,2,FALSE)</f>
        <v>2</v>
      </c>
      <c r="N6076" t="str">
        <f t="shared" si="188"/>
        <v>2. 1-24 hours</v>
      </c>
      <c r="O6076" t="str">
        <f t="shared" si="189"/>
        <v>2026-04</v>
      </c>
    </row>
    <row r="6077" spans="1:15" x14ac:dyDescent="0.3">
      <c r="A6077" t="s">
        <v>14294</v>
      </c>
      <c r="B6077" t="s">
        <v>14295</v>
      </c>
      <c r="C6077" t="s">
        <v>81</v>
      </c>
      <c r="D6077" t="s">
        <v>38</v>
      </c>
      <c r="E6077" t="s">
        <v>39</v>
      </c>
      <c r="F6077" t="s">
        <v>66</v>
      </c>
      <c r="G6077">
        <v>1.23</v>
      </c>
      <c r="H6077" t="s">
        <v>41</v>
      </c>
      <c r="I6077" t="s">
        <v>42</v>
      </c>
      <c r="M6077">
        <f>VLOOKUP(H6077,'Stage Order'!$A$2:$B$8,2,FALSE)</f>
        <v>2</v>
      </c>
      <c r="N6077" t="str">
        <f t="shared" si="188"/>
        <v>2. 1-24 hours</v>
      </c>
      <c r="O6077" t="str">
        <f t="shared" si="189"/>
        <v>2025-08</v>
      </c>
    </row>
    <row r="6078" spans="1:15" x14ac:dyDescent="0.3">
      <c r="A6078" t="s">
        <v>14296</v>
      </c>
      <c r="B6078" t="s">
        <v>14297</v>
      </c>
      <c r="C6078" t="s">
        <v>37</v>
      </c>
      <c r="D6078" t="s">
        <v>54</v>
      </c>
      <c r="E6078" t="s">
        <v>39</v>
      </c>
      <c r="F6078" t="s">
        <v>106</v>
      </c>
      <c r="G6078">
        <v>4.26</v>
      </c>
      <c r="H6078" t="s">
        <v>41</v>
      </c>
      <c r="I6078" t="s">
        <v>42</v>
      </c>
      <c r="M6078">
        <f>VLOOKUP(H6078,'Stage Order'!$A$2:$B$8,2,FALSE)</f>
        <v>2</v>
      </c>
      <c r="N6078" t="str">
        <f t="shared" si="188"/>
        <v>2. 1-24 hours</v>
      </c>
      <c r="O6078" t="str">
        <f t="shared" si="189"/>
        <v>2025-07</v>
      </c>
    </row>
    <row r="6079" spans="1:15" x14ac:dyDescent="0.3">
      <c r="A6079" t="s">
        <v>14298</v>
      </c>
      <c r="B6079" t="s">
        <v>14299</v>
      </c>
      <c r="C6079" t="s">
        <v>37</v>
      </c>
      <c r="D6079" t="s">
        <v>77</v>
      </c>
      <c r="E6079" t="s">
        <v>45</v>
      </c>
      <c r="F6079" t="s">
        <v>94</v>
      </c>
      <c r="G6079">
        <v>4.46</v>
      </c>
      <c r="H6079" t="s">
        <v>32</v>
      </c>
      <c r="I6079" t="s">
        <v>33</v>
      </c>
      <c r="K6079">
        <v>934.43</v>
      </c>
      <c r="L6079" t="s">
        <v>14300</v>
      </c>
      <c r="M6079">
        <f>VLOOKUP(H6079,'Stage Order'!$A$2:$B$8,2,FALSE)</f>
        <v>7</v>
      </c>
      <c r="N6079" t="str">
        <f t="shared" si="188"/>
        <v>2. 1-24 hours</v>
      </c>
      <c r="O6079" t="str">
        <f t="shared" si="189"/>
        <v>2025-11</v>
      </c>
    </row>
    <row r="6080" spans="1:15" x14ac:dyDescent="0.3">
      <c r="A6080" t="s">
        <v>14301</v>
      </c>
      <c r="B6080" t="s">
        <v>14302</v>
      </c>
      <c r="C6080" t="s">
        <v>81</v>
      </c>
      <c r="D6080" t="s">
        <v>77</v>
      </c>
      <c r="E6080" t="s">
        <v>45</v>
      </c>
      <c r="F6080" t="s">
        <v>94</v>
      </c>
      <c r="G6080">
        <v>0.94</v>
      </c>
      <c r="H6080" t="s">
        <v>61</v>
      </c>
      <c r="I6080" t="s">
        <v>42</v>
      </c>
      <c r="M6080">
        <f>VLOOKUP(H6080,'Stage Order'!$A$2:$B$8,2,FALSE)</f>
        <v>1</v>
      </c>
      <c r="N6080" t="str">
        <f t="shared" si="188"/>
        <v>1. Under 1 hour</v>
      </c>
      <c r="O6080" t="str">
        <f t="shared" si="189"/>
        <v>2025-06</v>
      </c>
    </row>
    <row r="6081" spans="1:15" x14ac:dyDescent="0.3">
      <c r="A6081" t="s">
        <v>14303</v>
      </c>
      <c r="B6081" t="s">
        <v>14304</v>
      </c>
      <c r="C6081" t="s">
        <v>37</v>
      </c>
      <c r="D6081" t="s">
        <v>77</v>
      </c>
      <c r="E6081" t="s">
        <v>45</v>
      </c>
      <c r="F6081" t="s">
        <v>55</v>
      </c>
      <c r="G6081">
        <v>3.06</v>
      </c>
      <c r="H6081" t="s">
        <v>146</v>
      </c>
      <c r="I6081" t="s">
        <v>48</v>
      </c>
      <c r="J6081" t="s">
        <v>113</v>
      </c>
      <c r="K6081">
        <v>1180.57</v>
      </c>
      <c r="L6081" t="s">
        <v>14305</v>
      </c>
      <c r="M6081">
        <f>VLOOKUP(H6081,'Stage Order'!$A$2:$B$8,2,FALSE)</f>
        <v>5</v>
      </c>
      <c r="N6081" t="str">
        <f t="shared" si="188"/>
        <v>2. 1-24 hours</v>
      </c>
      <c r="O6081" t="str">
        <f t="shared" si="189"/>
        <v>2026-04</v>
      </c>
    </row>
    <row r="6082" spans="1:15" x14ac:dyDescent="0.3">
      <c r="A6082" t="s">
        <v>14306</v>
      </c>
      <c r="B6082" t="s">
        <v>14307</v>
      </c>
      <c r="C6082" t="s">
        <v>28</v>
      </c>
      <c r="D6082" t="s">
        <v>38</v>
      </c>
      <c r="E6082" t="s">
        <v>90</v>
      </c>
      <c r="F6082" t="s">
        <v>145</v>
      </c>
      <c r="G6082">
        <v>20.82</v>
      </c>
      <c r="H6082" t="s">
        <v>146</v>
      </c>
      <c r="I6082" t="s">
        <v>48</v>
      </c>
      <c r="J6082" t="s">
        <v>98</v>
      </c>
      <c r="K6082">
        <v>357.53</v>
      </c>
      <c r="L6082" t="s">
        <v>14308</v>
      </c>
      <c r="M6082">
        <f>VLOOKUP(H6082,'Stage Order'!$A$2:$B$8,2,FALSE)</f>
        <v>5</v>
      </c>
      <c r="N6082" t="str">
        <f t="shared" ref="N6082:N6145" si="190">IF(G6082&lt;=1,"1. Under 1 hour",IF(G6082&lt;=24,"2. 1-24 hours",IF(G6082&lt;=72,"3. 1-3 days","4. Over 3 days")))</f>
        <v>2. 1-24 hours</v>
      </c>
      <c r="O6082" t="str">
        <f t="shared" ref="O6082:O6145" si="191">TEXT(B6082,"YYYY-MM")</f>
        <v>2025-02</v>
      </c>
    </row>
    <row r="6083" spans="1:15" x14ac:dyDescent="0.3">
      <c r="A6083" t="s">
        <v>14309</v>
      </c>
      <c r="B6083" t="s">
        <v>14310</v>
      </c>
      <c r="C6083" t="s">
        <v>28</v>
      </c>
      <c r="D6083" t="s">
        <v>97</v>
      </c>
      <c r="E6083" t="s">
        <v>39</v>
      </c>
      <c r="F6083" t="s">
        <v>40</v>
      </c>
      <c r="G6083">
        <v>2.63</v>
      </c>
      <c r="H6083" t="s">
        <v>32</v>
      </c>
      <c r="I6083" t="s">
        <v>33</v>
      </c>
      <c r="K6083">
        <v>1373.97</v>
      </c>
      <c r="L6083" t="s">
        <v>14311</v>
      </c>
      <c r="M6083">
        <f>VLOOKUP(H6083,'Stage Order'!$A$2:$B$8,2,FALSE)</f>
        <v>7</v>
      </c>
      <c r="N6083" t="str">
        <f t="shared" si="190"/>
        <v>2. 1-24 hours</v>
      </c>
      <c r="O6083" t="str">
        <f t="shared" si="191"/>
        <v>2025-08</v>
      </c>
    </row>
    <row r="6084" spans="1:15" x14ac:dyDescent="0.3">
      <c r="A6084" t="s">
        <v>14312</v>
      </c>
      <c r="B6084" t="s">
        <v>14313</v>
      </c>
      <c r="C6084" t="s">
        <v>37</v>
      </c>
      <c r="D6084" t="s">
        <v>54</v>
      </c>
      <c r="E6084" t="s">
        <v>59</v>
      </c>
      <c r="F6084" t="s">
        <v>117</v>
      </c>
      <c r="G6084">
        <v>2.92</v>
      </c>
      <c r="H6084" t="s">
        <v>32</v>
      </c>
      <c r="I6084" t="s">
        <v>33</v>
      </c>
      <c r="K6084">
        <v>431.37</v>
      </c>
      <c r="L6084" t="s">
        <v>14314</v>
      </c>
      <c r="M6084">
        <f>VLOOKUP(H6084,'Stage Order'!$A$2:$B$8,2,FALSE)</f>
        <v>7</v>
      </c>
      <c r="N6084" t="str">
        <f t="shared" si="190"/>
        <v>2. 1-24 hours</v>
      </c>
      <c r="O6084" t="str">
        <f t="shared" si="191"/>
        <v>2025-08</v>
      </c>
    </row>
    <row r="6085" spans="1:15" x14ac:dyDescent="0.3">
      <c r="A6085" t="s">
        <v>14315</v>
      </c>
      <c r="B6085" t="s">
        <v>14316</v>
      </c>
      <c r="C6085" t="s">
        <v>81</v>
      </c>
      <c r="D6085" t="s">
        <v>54</v>
      </c>
      <c r="E6085" t="s">
        <v>45</v>
      </c>
      <c r="F6085" t="s">
        <v>94</v>
      </c>
      <c r="G6085">
        <v>1.48</v>
      </c>
      <c r="H6085" t="s">
        <v>61</v>
      </c>
      <c r="I6085" t="s">
        <v>42</v>
      </c>
      <c r="M6085">
        <f>VLOOKUP(H6085,'Stage Order'!$A$2:$B$8,2,FALSE)</f>
        <v>1</v>
      </c>
      <c r="N6085" t="str">
        <f t="shared" si="190"/>
        <v>2. 1-24 hours</v>
      </c>
      <c r="O6085" t="str">
        <f t="shared" si="191"/>
        <v>2026-01</v>
      </c>
    </row>
    <row r="6086" spans="1:15" x14ac:dyDescent="0.3">
      <c r="A6086" t="s">
        <v>14317</v>
      </c>
      <c r="B6086" t="s">
        <v>14318</v>
      </c>
      <c r="C6086" t="s">
        <v>76</v>
      </c>
      <c r="D6086" t="s">
        <v>29</v>
      </c>
      <c r="E6086" t="s">
        <v>45</v>
      </c>
      <c r="F6086" t="s">
        <v>94</v>
      </c>
      <c r="G6086">
        <v>12.04</v>
      </c>
      <c r="H6086" t="s">
        <v>47</v>
      </c>
      <c r="I6086" t="s">
        <v>48</v>
      </c>
      <c r="J6086" t="s">
        <v>139</v>
      </c>
      <c r="K6086">
        <v>590.98</v>
      </c>
      <c r="L6086" t="s">
        <v>14319</v>
      </c>
      <c r="M6086">
        <f>VLOOKUP(H6086,'Stage Order'!$A$2:$B$8,2,FALSE)</f>
        <v>4</v>
      </c>
      <c r="N6086" t="str">
        <f t="shared" si="190"/>
        <v>2. 1-24 hours</v>
      </c>
      <c r="O6086" t="str">
        <f t="shared" si="191"/>
        <v>2025-10</v>
      </c>
    </row>
    <row r="6087" spans="1:15" x14ac:dyDescent="0.3">
      <c r="A6087" t="s">
        <v>14320</v>
      </c>
      <c r="B6087" t="s">
        <v>14321</v>
      </c>
      <c r="C6087" t="s">
        <v>37</v>
      </c>
      <c r="D6087" t="s">
        <v>38</v>
      </c>
      <c r="E6087" t="s">
        <v>59</v>
      </c>
      <c r="F6087" t="s">
        <v>117</v>
      </c>
      <c r="G6087">
        <v>8.86</v>
      </c>
      <c r="H6087" t="s">
        <v>41</v>
      </c>
      <c r="I6087" t="s">
        <v>42</v>
      </c>
      <c r="M6087">
        <f>VLOOKUP(H6087,'Stage Order'!$A$2:$B$8,2,FALSE)</f>
        <v>2</v>
      </c>
      <c r="N6087" t="str">
        <f t="shared" si="190"/>
        <v>2. 1-24 hours</v>
      </c>
      <c r="O6087" t="str">
        <f t="shared" si="191"/>
        <v>2025-07</v>
      </c>
    </row>
    <row r="6088" spans="1:15" x14ac:dyDescent="0.3">
      <c r="A6088" t="s">
        <v>14322</v>
      </c>
      <c r="B6088" t="s">
        <v>14323</v>
      </c>
      <c r="C6088" t="s">
        <v>53</v>
      </c>
      <c r="D6088" t="s">
        <v>77</v>
      </c>
      <c r="E6088" t="s">
        <v>59</v>
      </c>
      <c r="F6088" t="s">
        <v>137</v>
      </c>
      <c r="G6088">
        <v>0.96</v>
      </c>
      <c r="H6088" t="s">
        <v>32</v>
      </c>
      <c r="I6088" t="s">
        <v>33</v>
      </c>
      <c r="K6088">
        <v>1148.98</v>
      </c>
      <c r="L6088" t="s">
        <v>14324</v>
      </c>
      <c r="M6088">
        <f>VLOOKUP(H6088,'Stage Order'!$A$2:$B$8,2,FALSE)</f>
        <v>7</v>
      </c>
      <c r="N6088" t="str">
        <f t="shared" si="190"/>
        <v>1. Under 1 hour</v>
      </c>
      <c r="O6088" t="str">
        <f t="shared" si="191"/>
        <v>2025-12</v>
      </c>
    </row>
    <row r="6089" spans="1:15" x14ac:dyDescent="0.3">
      <c r="A6089" t="s">
        <v>14325</v>
      </c>
      <c r="B6089" t="s">
        <v>14326</v>
      </c>
      <c r="C6089" t="s">
        <v>37</v>
      </c>
      <c r="D6089" t="s">
        <v>77</v>
      </c>
      <c r="E6089" t="s">
        <v>59</v>
      </c>
      <c r="F6089" t="s">
        <v>60</v>
      </c>
      <c r="G6089">
        <v>1.03</v>
      </c>
      <c r="H6089" t="s">
        <v>128</v>
      </c>
      <c r="I6089" t="s">
        <v>42</v>
      </c>
      <c r="M6089">
        <f>VLOOKUP(H6089,'Stage Order'!$A$2:$B$8,2,FALSE)</f>
        <v>3</v>
      </c>
      <c r="N6089" t="str">
        <f t="shared" si="190"/>
        <v>2. 1-24 hours</v>
      </c>
      <c r="O6089" t="str">
        <f t="shared" si="191"/>
        <v>2025-08</v>
      </c>
    </row>
    <row r="6090" spans="1:15" x14ac:dyDescent="0.3">
      <c r="A6090" t="s">
        <v>14327</v>
      </c>
      <c r="B6090" t="s">
        <v>14328</v>
      </c>
      <c r="C6090" t="s">
        <v>58</v>
      </c>
      <c r="D6090" t="s">
        <v>54</v>
      </c>
      <c r="E6090" t="s">
        <v>90</v>
      </c>
      <c r="F6090" t="s">
        <v>112</v>
      </c>
      <c r="G6090">
        <v>6.82</v>
      </c>
      <c r="H6090" t="s">
        <v>41</v>
      </c>
      <c r="I6090" t="s">
        <v>42</v>
      </c>
      <c r="M6090">
        <f>VLOOKUP(H6090,'Stage Order'!$A$2:$B$8,2,FALSE)</f>
        <v>2</v>
      </c>
      <c r="N6090" t="str">
        <f t="shared" si="190"/>
        <v>2. 1-24 hours</v>
      </c>
      <c r="O6090" t="str">
        <f t="shared" si="191"/>
        <v>2026-04</v>
      </c>
    </row>
    <row r="6091" spans="1:15" x14ac:dyDescent="0.3">
      <c r="A6091" t="s">
        <v>14329</v>
      </c>
      <c r="B6091" t="s">
        <v>14330</v>
      </c>
      <c r="C6091" t="s">
        <v>53</v>
      </c>
      <c r="D6091" t="s">
        <v>29</v>
      </c>
      <c r="E6091" t="s">
        <v>30</v>
      </c>
      <c r="F6091" t="s">
        <v>31</v>
      </c>
      <c r="G6091">
        <v>5.36</v>
      </c>
      <c r="H6091" t="s">
        <v>41</v>
      </c>
      <c r="I6091" t="s">
        <v>42</v>
      </c>
      <c r="M6091">
        <f>VLOOKUP(H6091,'Stage Order'!$A$2:$B$8,2,FALSE)</f>
        <v>2</v>
      </c>
      <c r="N6091" t="str">
        <f t="shared" si="190"/>
        <v>2. 1-24 hours</v>
      </c>
      <c r="O6091" t="str">
        <f t="shared" si="191"/>
        <v>2025-07</v>
      </c>
    </row>
    <row r="6092" spans="1:15" x14ac:dyDescent="0.3">
      <c r="A6092" t="s">
        <v>14331</v>
      </c>
      <c r="B6092" t="s">
        <v>14332</v>
      </c>
      <c r="C6092" t="s">
        <v>37</v>
      </c>
      <c r="D6092" t="s">
        <v>77</v>
      </c>
      <c r="E6092" t="s">
        <v>59</v>
      </c>
      <c r="F6092" t="s">
        <v>60</v>
      </c>
      <c r="G6092">
        <v>7.66</v>
      </c>
      <c r="H6092" t="s">
        <v>41</v>
      </c>
      <c r="I6092" t="s">
        <v>42</v>
      </c>
      <c r="M6092">
        <f>VLOOKUP(H6092,'Stage Order'!$A$2:$B$8,2,FALSE)</f>
        <v>2</v>
      </c>
      <c r="N6092" t="str">
        <f t="shared" si="190"/>
        <v>2. 1-24 hours</v>
      </c>
      <c r="O6092" t="str">
        <f t="shared" si="191"/>
        <v>2026-04</v>
      </c>
    </row>
    <row r="6093" spans="1:15" x14ac:dyDescent="0.3">
      <c r="A6093" t="s">
        <v>14333</v>
      </c>
      <c r="B6093" t="s">
        <v>14334</v>
      </c>
      <c r="C6093" t="s">
        <v>28</v>
      </c>
      <c r="D6093" t="s">
        <v>54</v>
      </c>
      <c r="E6093" t="s">
        <v>90</v>
      </c>
      <c r="F6093" t="s">
        <v>91</v>
      </c>
      <c r="G6093">
        <v>3.78</v>
      </c>
      <c r="H6093" t="s">
        <v>41</v>
      </c>
      <c r="I6093" t="s">
        <v>42</v>
      </c>
      <c r="M6093">
        <f>VLOOKUP(H6093,'Stage Order'!$A$2:$B$8,2,FALSE)</f>
        <v>2</v>
      </c>
      <c r="N6093" t="str">
        <f t="shared" si="190"/>
        <v>2. 1-24 hours</v>
      </c>
      <c r="O6093" t="str">
        <f t="shared" si="191"/>
        <v>2025-10</v>
      </c>
    </row>
    <row r="6094" spans="1:15" x14ac:dyDescent="0.3">
      <c r="A6094" t="s">
        <v>14335</v>
      </c>
      <c r="B6094" t="s">
        <v>14336</v>
      </c>
      <c r="C6094" t="s">
        <v>81</v>
      </c>
      <c r="D6094" t="s">
        <v>29</v>
      </c>
      <c r="E6094" t="s">
        <v>59</v>
      </c>
      <c r="F6094" t="s">
        <v>117</v>
      </c>
      <c r="G6094">
        <v>0.7</v>
      </c>
      <c r="H6094" t="s">
        <v>41</v>
      </c>
      <c r="I6094" t="s">
        <v>42</v>
      </c>
      <c r="M6094">
        <f>VLOOKUP(H6094,'Stage Order'!$A$2:$B$8,2,FALSE)</f>
        <v>2</v>
      </c>
      <c r="N6094" t="str">
        <f t="shared" si="190"/>
        <v>1. Under 1 hour</v>
      </c>
      <c r="O6094" t="str">
        <f t="shared" si="191"/>
        <v>2025-05</v>
      </c>
    </row>
    <row r="6095" spans="1:15" x14ac:dyDescent="0.3">
      <c r="A6095" t="s">
        <v>14337</v>
      </c>
      <c r="B6095" t="s">
        <v>14338</v>
      </c>
      <c r="C6095" t="s">
        <v>53</v>
      </c>
      <c r="D6095" t="s">
        <v>38</v>
      </c>
      <c r="E6095" t="s">
        <v>39</v>
      </c>
      <c r="F6095" t="s">
        <v>106</v>
      </c>
      <c r="G6095">
        <v>2.37</v>
      </c>
      <c r="H6095" t="s">
        <v>32</v>
      </c>
      <c r="I6095" t="s">
        <v>33</v>
      </c>
      <c r="K6095">
        <v>298.39999999999998</v>
      </c>
      <c r="L6095" t="s">
        <v>14339</v>
      </c>
      <c r="M6095">
        <f>VLOOKUP(H6095,'Stage Order'!$A$2:$B$8,2,FALSE)</f>
        <v>7</v>
      </c>
      <c r="N6095" t="str">
        <f t="shared" si="190"/>
        <v>2. 1-24 hours</v>
      </c>
      <c r="O6095" t="str">
        <f t="shared" si="191"/>
        <v>2025-08</v>
      </c>
    </row>
    <row r="6096" spans="1:15" x14ac:dyDescent="0.3">
      <c r="A6096" t="s">
        <v>14340</v>
      </c>
      <c r="B6096" t="s">
        <v>14341</v>
      </c>
      <c r="C6096" t="s">
        <v>37</v>
      </c>
      <c r="D6096" t="s">
        <v>54</v>
      </c>
      <c r="E6096" t="s">
        <v>45</v>
      </c>
      <c r="F6096" t="s">
        <v>94</v>
      </c>
      <c r="G6096">
        <v>1.5</v>
      </c>
      <c r="H6096" t="s">
        <v>47</v>
      </c>
      <c r="I6096" t="s">
        <v>48</v>
      </c>
      <c r="J6096" t="s">
        <v>49</v>
      </c>
      <c r="K6096">
        <v>572.80999999999995</v>
      </c>
      <c r="L6096" t="s">
        <v>14342</v>
      </c>
      <c r="M6096">
        <f>VLOOKUP(H6096,'Stage Order'!$A$2:$B$8,2,FALSE)</f>
        <v>4</v>
      </c>
      <c r="N6096" t="str">
        <f t="shared" si="190"/>
        <v>2. 1-24 hours</v>
      </c>
      <c r="O6096" t="str">
        <f t="shared" si="191"/>
        <v>2026-03</v>
      </c>
    </row>
    <row r="6097" spans="1:15" x14ac:dyDescent="0.3">
      <c r="A6097" t="s">
        <v>14343</v>
      </c>
      <c r="B6097" t="s">
        <v>14344</v>
      </c>
      <c r="C6097" t="s">
        <v>53</v>
      </c>
      <c r="D6097" t="s">
        <v>77</v>
      </c>
      <c r="E6097" t="s">
        <v>45</v>
      </c>
      <c r="F6097" t="s">
        <v>55</v>
      </c>
      <c r="G6097">
        <v>8.9700000000000006</v>
      </c>
      <c r="H6097" t="s">
        <v>32</v>
      </c>
      <c r="I6097" t="s">
        <v>33</v>
      </c>
      <c r="K6097">
        <v>818.12</v>
      </c>
      <c r="L6097" t="s">
        <v>14345</v>
      </c>
      <c r="M6097">
        <f>VLOOKUP(H6097,'Stage Order'!$A$2:$B$8,2,FALSE)</f>
        <v>7</v>
      </c>
      <c r="N6097" t="str">
        <f t="shared" si="190"/>
        <v>2. 1-24 hours</v>
      </c>
      <c r="O6097" t="str">
        <f t="shared" si="191"/>
        <v>2026-03</v>
      </c>
    </row>
    <row r="6098" spans="1:15" x14ac:dyDescent="0.3">
      <c r="A6098" t="s">
        <v>14346</v>
      </c>
      <c r="B6098" t="s">
        <v>14347</v>
      </c>
      <c r="C6098" t="s">
        <v>125</v>
      </c>
      <c r="D6098" t="s">
        <v>54</v>
      </c>
      <c r="E6098" t="s">
        <v>45</v>
      </c>
      <c r="F6098" t="s">
        <v>55</v>
      </c>
      <c r="G6098">
        <v>0.56000000000000005</v>
      </c>
      <c r="H6098" t="s">
        <v>41</v>
      </c>
      <c r="I6098" t="s">
        <v>42</v>
      </c>
      <c r="M6098">
        <f>VLOOKUP(H6098,'Stage Order'!$A$2:$B$8,2,FALSE)</f>
        <v>2</v>
      </c>
      <c r="N6098" t="str">
        <f t="shared" si="190"/>
        <v>1. Under 1 hour</v>
      </c>
      <c r="O6098" t="str">
        <f t="shared" si="191"/>
        <v>2025-10</v>
      </c>
    </row>
    <row r="6099" spans="1:15" x14ac:dyDescent="0.3">
      <c r="A6099" t="s">
        <v>14348</v>
      </c>
      <c r="B6099" t="s">
        <v>14349</v>
      </c>
      <c r="C6099" t="s">
        <v>125</v>
      </c>
      <c r="D6099" t="s">
        <v>38</v>
      </c>
      <c r="E6099" t="s">
        <v>59</v>
      </c>
      <c r="F6099" t="s">
        <v>137</v>
      </c>
      <c r="G6099">
        <v>6.82</v>
      </c>
      <c r="H6099" t="s">
        <v>146</v>
      </c>
      <c r="I6099" t="s">
        <v>48</v>
      </c>
      <c r="J6099" t="s">
        <v>49</v>
      </c>
      <c r="K6099">
        <v>422.07</v>
      </c>
      <c r="L6099" t="s">
        <v>14350</v>
      </c>
      <c r="M6099">
        <f>VLOOKUP(H6099,'Stage Order'!$A$2:$B$8,2,FALSE)</f>
        <v>5</v>
      </c>
      <c r="N6099" t="str">
        <f t="shared" si="190"/>
        <v>2. 1-24 hours</v>
      </c>
      <c r="O6099" t="str">
        <f t="shared" si="191"/>
        <v>2026-06</v>
      </c>
    </row>
    <row r="6100" spans="1:15" x14ac:dyDescent="0.3">
      <c r="A6100" t="s">
        <v>14351</v>
      </c>
      <c r="B6100" t="s">
        <v>14352</v>
      </c>
      <c r="C6100" t="s">
        <v>58</v>
      </c>
      <c r="D6100" t="s">
        <v>29</v>
      </c>
      <c r="E6100" t="s">
        <v>45</v>
      </c>
      <c r="F6100" t="s">
        <v>46</v>
      </c>
      <c r="G6100">
        <v>6.95</v>
      </c>
      <c r="H6100" t="s">
        <v>61</v>
      </c>
      <c r="I6100" t="s">
        <v>42</v>
      </c>
      <c r="M6100">
        <f>VLOOKUP(H6100,'Stage Order'!$A$2:$B$8,2,FALSE)</f>
        <v>1</v>
      </c>
      <c r="N6100" t="str">
        <f t="shared" si="190"/>
        <v>2. 1-24 hours</v>
      </c>
      <c r="O6100" t="str">
        <f t="shared" si="191"/>
        <v>2025-10</v>
      </c>
    </row>
    <row r="6101" spans="1:15" x14ac:dyDescent="0.3">
      <c r="A6101" t="s">
        <v>14353</v>
      </c>
      <c r="B6101" t="s">
        <v>14354</v>
      </c>
      <c r="C6101" t="s">
        <v>125</v>
      </c>
      <c r="D6101" t="s">
        <v>54</v>
      </c>
      <c r="E6101" t="s">
        <v>59</v>
      </c>
      <c r="F6101" t="s">
        <v>137</v>
      </c>
      <c r="G6101">
        <v>8.8699999999999992</v>
      </c>
      <c r="H6101" t="s">
        <v>41</v>
      </c>
      <c r="I6101" t="s">
        <v>42</v>
      </c>
      <c r="M6101">
        <f>VLOOKUP(H6101,'Stage Order'!$A$2:$B$8,2,FALSE)</f>
        <v>2</v>
      </c>
      <c r="N6101" t="str">
        <f t="shared" si="190"/>
        <v>2. 1-24 hours</v>
      </c>
      <c r="O6101" t="str">
        <f t="shared" si="191"/>
        <v>2025-02</v>
      </c>
    </row>
    <row r="6102" spans="1:15" x14ac:dyDescent="0.3">
      <c r="A6102" t="s">
        <v>14355</v>
      </c>
      <c r="B6102" t="s">
        <v>14356</v>
      </c>
      <c r="C6102" t="s">
        <v>125</v>
      </c>
      <c r="D6102" t="s">
        <v>29</v>
      </c>
      <c r="E6102" t="s">
        <v>59</v>
      </c>
      <c r="F6102" t="s">
        <v>60</v>
      </c>
      <c r="G6102">
        <v>3.93</v>
      </c>
      <c r="H6102" t="s">
        <v>41</v>
      </c>
      <c r="I6102" t="s">
        <v>42</v>
      </c>
      <c r="M6102">
        <f>VLOOKUP(H6102,'Stage Order'!$A$2:$B$8,2,FALSE)</f>
        <v>2</v>
      </c>
      <c r="N6102" t="str">
        <f t="shared" si="190"/>
        <v>2. 1-24 hours</v>
      </c>
      <c r="O6102" t="str">
        <f t="shared" si="191"/>
        <v>2025-07</v>
      </c>
    </row>
    <row r="6103" spans="1:15" x14ac:dyDescent="0.3">
      <c r="A6103" t="s">
        <v>14357</v>
      </c>
      <c r="B6103" t="s">
        <v>14358</v>
      </c>
      <c r="C6103" t="s">
        <v>28</v>
      </c>
      <c r="D6103" t="s">
        <v>77</v>
      </c>
      <c r="E6103" t="s">
        <v>59</v>
      </c>
      <c r="F6103" t="s">
        <v>117</v>
      </c>
      <c r="G6103">
        <v>1.87</v>
      </c>
      <c r="H6103" t="s">
        <v>32</v>
      </c>
      <c r="I6103" t="s">
        <v>33</v>
      </c>
      <c r="K6103">
        <v>1145.8499999999999</v>
      </c>
      <c r="L6103" t="s">
        <v>14359</v>
      </c>
      <c r="M6103">
        <f>VLOOKUP(H6103,'Stage Order'!$A$2:$B$8,2,FALSE)</f>
        <v>7</v>
      </c>
      <c r="N6103" t="str">
        <f t="shared" si="190"/>
        <v>2. 1-24 hours</v>
      </c>
      <c r="O6103" t="str">
        <f t="shared" si="191"/>
        <v>2025-02</v>
      </c>
    </row>
    <row r="6104" spans="1:15" x14ac:dyDescent="0.3">
      <c r="A6104" t="s">
        <v>14360</v>
      </c>
      <c r="B6104" t="s">
        <v>14361</v>
      </c>
      <c r="C6104" t="s">
        <v>58</v>
      </c>
      <c r="D6104" t="s">
        <v>77</v>
      </c>
      <c r="E6104" t="s">
        <v>90</v>
      </c>
      <c r="F6104" t="s">
        <v>91</v>
      </c>
      <c r="G6104">
        <v>4.55</v>
      </c>
      <c r="H6104" t="s">
        <v>138</v>
      </c>
      <c r="I6104" t="s">
        <v>48</v>
      </c>
      <c r="J6104" t="s">
        <v>742</v>
      </c>
      <c r="K6104">
        <v>1052.98</v>
      </c>
      <c r="L6104" t="s">
        <v>14362</v>
      </c>
      <c r="M6104">
        <f>VLOOKUP(H6104,'Stage Order'!$A$2:$B$8,2,FALSE)</f>
        <v>6</v>
      </c>
      <c r="N6104" t="str">
        <f t="shared" si="190"/>
        <v>2. 1-24 hours</v>
      </c>
      <c r="O6104" t="str">
        <f t="shared" si="191"/>
        <v>2025-08</v>
      </c>
    </row>
    <row r="6105" spans="1:15" x14ac:dyDescent="0.3">
      <c r="A6105" t="s">
        <v>14363</v>
      </c>
      <c r="B6105" t="s">
        <v>14364</v>
      </c>
      <c r="C6105" t="s">
        <v>37</v>
      </c>
      <c r="D6105" t="s">
        <v>54</v>
      </c>
      <c r="E6105" t="s">
        <v>39</v>
      </c>
      <c r="F6105" t="s">
        <v>40</v>
      </c>
      <c r="G6105">
        <v>3.21</v>
      </c>
      <c r="H6105" t="s">
        <v>138</v>
      </c>
      <c r="I6105" t="s">
        <v>48</v>
      </c>
      <c r="J6105" t="s">
        <v>49</v>
      </c>
      <c r="K6105">
        <v>580.26</v>
      </c>
      <c r="L6105" t="s">
        <v>14365</v>
      </c>
      <c r="M6105">
        <f>VLOOKUP(H6105,'Stage Order'!$A$2:$B$8,2,FALSE)</f>
        <v>6</v>
      </c>
      <c r="N6105" t="str">
        <f t="shared" si="190"/>
        <v>2. 1-24 hours</v>
      </c>
      <c r="O6105" t="str">
        <f t="shared" si="191"/>
        <v>2026-05</v>
      </c>
    </row>
    <row r="6106" spans="1:15" x14ac:dyDescent="0.3">
      <c r="A6106" t="s">
        <v>14366</v>
      </c>
      <c r="B6106" t="s">
        <v>14367</v>
      </c>
      <c r="C6106" t="s">
        <v>76</v>
      </c>
      <c r="D6106" t="s">
        <v>54</v>
      </c>
      <c r="E6106" t="s">
        <v>45</v>
      </c>
      <c r="F6106" t="s">
        <v>94</v>
      </c>
      <c r="G6106">
        <v>11.56</v>
      </c>
      <c r="H6106" t="s">
        <v>41</v>
      </c>
      <c r="I6106" t="s">
        <v>42</v>
      </c>
      <c r="M6106">
        <f>VLOOKUP(H6106,'Stage Order'!$A$2:$B$8,2,FALSE)</f>
        <v>2</v>
      </c>
      <c r="N6106" t="str">
        <f t="shared" si="190"/>
        <v>2. 1-24 hours</v>
      </c>
      <c r="O6106" t="str">
        <f t="shared" si="191"/>
        <v>2025-02</v>
      </c>
    </row>
    <row r="6107" spans="1:15" x14ac:dyDescent="0.3">
      <c r="A6107" t="s">
        <v>14368</v>
      </c>
      <c r="B6107" t="s">
        <v>14369</v>
      </c>
      <c r="C6107" t="s">
        <v>28</v>
      </c>
      <c r="D6107" t="s">
        <v>77</v>
      </c>
      <c r="E6107" t="s">
        <v>45</v>
      </c>
      <c r="F6107" t="s">
        <v>94</v>
      </c>
      <c r="G6107">
        <v>3.28</v>
      </c>
      <c r="H6107" t="s">
        <v>138</v>
      </c>
      <c r="I6107" t="s">
        <v>48</v>
      </c>
      <c r="J6107" t="s">
        <v>49</v>
      </c>
      <c r="K6107">
        <v>992.96</v>
      </c>
      <c r="L6107" t="s">
        <v>14370</v>
      </c>
      <c r="M6107">
        <f>VLOOKUP(H6107,'Stage Order'!$A$2:$B$8,2,FALSE)</f>
        <v>6</v>
      </c>
      <c r="N6107" t="str">
        <f t="shared" si="190"/>
        <v>2. 1-24 hours</v>
      </c>
      <c r="O6107" t="str">
        <f t="shared" si="191"/>
        <v>2025-10</v>
      </c>
    </row>
    <row r="6108" spans="1:15" x14ac:dyDescent="0.3">
      <c r="A6108" t="s">
        <v>14371</v>
      </c>
      <c r="B6108" t="s">
        <v>14372</v>
      </c>
      <c r="C6108" t="s">
        <v>58</v>
      </c>
      <c r="D6108" t="s">
        <v>54</v>
      </c>
      <c r="E6108" t="s">
        <v>39</v>
      </c>
      <c r="F6108" t="s">
        <v>40</v>
      </c>
      <c r="G6108">
        <v>1.66</v>
      </c>
      <c r="H6108" t="s">
        <v>41</v>
      </c>
      <c r="I6108" t="s">
        <v>42</v>
      </c>
      <c r="M6108">
        <f>VLOOKUP(H6108,'Stage Order'!$A$2:$B$8,2,FALSE)</f>
        <v>2</v>
      </c>
      <c r="N6108" t="str">
        <f t="shared" si="190"/>
        <v>2. 1-24 hours</v>
      </c>
      <c r="O6108" t="str">
        <f t="shared" si="191"/>
        <v>2025-03</v>
      </c>
    </row>
    <row r="6109" spans="1:15" x14ac:dyDescent="0.3">
      <c r="A6109" t="s">
        <v>14373</v>
      </c>
      <c r="B6109" t="s">
        <v>14374</v>
      </c>
      <c r="C6109" t="s">
        <v>37</v>
      </c>
      <c r="D6109" t="s">
        <v>77</v>
      </c>
      <c r="E6109" t="s">
        <v>30</v>
      </c>
      <c r="F6109" t="s">
        <v>31</v>
      </c>
      <c r="G6109">
        <v>0.72</v>
      </c>
      <c r="H6109" t="s">
        <v>32</v>
      </c>
      <c r="I6109" t="s">
        <v>33</v>
      </c>
      <c r="K6109">
        <v>1029.04</v>
      </c>
      <c r="L6109" t="s">
        <v>14375</v>
      </c>
      <c r="M6109">
        <f>VLOOKUP(H6109,'Stage Order'!$A$2:$B$8,2,FALSE)</f>
        <v>7</v>
      </c>
      <c r="N6109" t="str">
        <f t="shared" si="190"/>
        <v>1. Under 1 hour</v>
      </c>
      <c r="O6109" t="str">
        <f t="shared" si="191"/>
        <v>2025-10</v>
      </c>
    </row>
    <row r="6110" spans="1:15" x14ac:dyDescent="0.3">
      <c r="A6110" t="s">
        <v>14376</v>
      </c>
      <c r="B6110" t="s">
        <v>14377</v>
      </c>
      <c r="C6110" t="s">
        <v>125</v>
      </c>
      <c r="D6110" t="s">
        <v>77</v>
      </c>
      <c r="E6110" t="s">
        <v>59</v>
      </c>
      <c r="F6110" t="s">
        <v>137</v>
      </c>
      <c r="G6110">
        <v>6.74</v>
      </c>
      <c r="H6110" t="s">
        <v>61</v>
      </c>
      <c r="I6110" t="s">
        <v>42</v>
      </c>
      <c r="M6110">
        <f>VLOOKUP(H6110,'Stage Order'!$A$2:$B$8,2,FALSE)</f>
        <v>1</v>
      </c>
      <c r="N6110" t="str">
        <f t="shared" si="190"/>
        <v>2. 1-24 hours</v>
      </c>
      <c r="O6110" t="str">
        <f t="shared" si="191"/>
        <v>2026-03</v>
      </c>
    </row>
    <row r="6111" spans="1:15" x14ac:dyDescent="0.3">
      <c r="A6111" t="s">
        <v>14378</v>
      </c>
      <c r="B6111" t="s">
        <v>14379</v>
      </c>
      <c r="C6111" t="s">
        <v>37</v>
      </c>
      <c r="D6111" t="s">
        <v>77</v>
      </c>
      <c r="E6111" t="s">
        <v>30</v>
      </c>
      <c r="F6111" t="s">
        <v>82</v>
      </c>
      <c r="G6111">
        <v>3.08</v>
      </c>
      <c r="H6111" t="s">
        <v>41</v>
      </c>
      <c r="I6111" t="s">
        <v>42</v>
      </c>
      <c r="M6111">
        <f>VLOOKUP(H6111,'Stage Order'!$A$2:$B$8,2,FALSE)</f>
        <v>2</v>
      </c>
      <c r="N6111" t="str">
        <f t="shared" si="190"/>
        <v>2. 1-24 hours</v>
      </c>
      <c r="O6111" t="str">
        <f t="shared" si="191"/>
        <v>2025-01</v>
      </c>
    </row>
    <row r="6112" spans="1:15" x14ac:dyDescent="0.3">
      <c r="A6112" t="s">
        <v>14380</v>
      </c>
      <c r="B6112" t="s">
        <v>14381</v>
      </c>
      <c r="C6112" t="s">
        <v>28</v>
      </c>
      <c r="D6112" t="s">
        <v>29</v>
      </c>
      <c r="E6112" t="s">
        <v>45</v>
      </c>
      <c r="F6112" t="s">
        <v>94</v>
      </c>
      <c r="G6112">
        <v>9.39</v>
      </c>
      <c r="H6112" t="s">
        <v>41</v>
      </c>
      <c r="I6112" t="s">
        <v>42</v>
      </c>
      <c r="M6112">
        <f>VLOOKUP(H6112,'Stage Order'!$A$2:$B$8,2,FALSE)</f>
        <v>2</v>
      </c>
      <c r="N6112" t="str">
        <f t="shared" si="190"/>
        <v>2. 1-24 hours</v>
      </c>
      <c r="O6112" t="str">
        <f t="shared" si="191"/>
        <v>2025-12</v>
      </c>
    </row>
    <row r="6113" spans="1:15" x14ac:dyDescent="0.3">
      <c r="A6113" t="s">
        <v>14382</v>
      </c>
      <c r="B6113" t="s">
        <v>14383</v>
      </c>
      <c r="C6113" t="s">
        <v>53</v>
      </c>
      <c r="D6113" t="s">
        <v>54</v>
      </c>
      <c r="E6113" t="s">
        <v>39</v>
      </c>
      <c r="F6113" t="s">
        <v>40</v>
      </c>
      <c r="G6113">
        <v>1.95</v>
      </c>
      <c r="H6113" t="s">
        <v>138</v>
      </c>
      <c r="I6113" t="s">
        <v>48</v>
      </c>
      <c r="J6113" t="s">
        <v>98</v>
      </c>
      <c r="K6113">
        <v>486.85</v>
      </c>
      <c r="L6113" t="s">
        <v>14384</v>
      </c>
      <c r="M6113">
        <f>VLOOKUP(H6113,'Stage Order'!$A$2:$B$8,2,FALSE)</f>
        <v>6</v>
      </c>
      <c r="N6113" t="str">
        <f t="shared" si="190"/>
        <v>2. 1-24 hours</v>
      </c>
      <c r="O6113" t="str">
        <f t="shared" si="191"/>
        <v>2025-03</v>
      </c>
    </row>
    <row r="6114" spans="1:15" x14ac:dyDescent="0.3">
      <c r="A6114" t="s">
        <v>14385</v>
      </c>
      <c r="B6114" t="s">
        <v>14386</v>
      </c>
      <c r="C6114" t="s">
        <v>37</v>
      </c>
      <c r="D6114" t="s">
        <v>54</v>
      </c>
      <c r="E6114" t="s">
        <v>59</v>
      </c>
      <c r="F6114" t="s">
        <v>117</v>
      </c>
      <c r="G6114">
        <v>1.35</v>
      </c>
      <c r="H6114" t="s">
        <v>32</v>
      </c>
      <c r="I6114" t="s">
        <v>33</v>
      </c>
      <c r="K6114">
        <v>595.52</v>
      </c>
      <c r="L6114" t="s">
        <v>14387</v>
      </c>
      <c r="M6114">
        <f>VLOOKUP(H6114,'Stage Order'!$A$2:$B$8,2,FALSE)</f>
        <v>7</v>
      </c>
      <c r="N6114" t="str">
        <f t="shared" si="190"/>
        <v>2. 1-24 hours</v>
      </c>
      <c r="O6114" t="str">
        <f t="shared" si="191"/>
        <v>2026-05</v>
      </c>
    </row>
    <row r="6115" spans="1:15" x14ac:dyDescent="0.3">
      <c r="A6115" t="s">
        <v>14388</v>
      </c>
      <c r="B6115" t="s">
        <v>14389</v>
      </c>
      <c r="C6115" t="s">
        <v>37</v>
      </c>
      <c r="D6115" t="s">
        <v>54</v>
      </c>
      <c r="E6115" t="s">
        <v>59</v>
      </c>
      <c r="F6115" t="s">
        <v>60</v>
      </c>
      <c r="G6115">
        <v>5.24</v>
      </c>
      <c r="H6115" t="s">
        <v>41</v>
      </c>
      <c r="I6115" t="s">
        <v>42</v>
      </c>
      <c r="M6115">
        <f>VLOOKUP(H6115,'Stage Order'!$A$2:$B$8,2,FALSE)</f>
        <v>2</v>
      </c>
      <c r="N6115" t="str">
        <f t="shared" si="190"/>
        <v>2. 1-24 hours</v>
      </c>
      <c r="O6115" t="str">
        <f t="shared" si="191"/>
        <v>2025-09</v>
      </c>
    </row>
    <row r="6116" spans="1:15" x14ac:dyDescent="0.3">
      <c r="A6116" t="s">
        <v>14390</v>
      </c>
      <c r="B6116" t="s">
        <v>14391</v>
      </c>
      <c r="C6116" t="s">
        <v>37</v>
      </c>
      <c r="D6116" t="s">
        <v>77</v>
      </c>
      <c r="E6116" t="s">
        <v>30</v>
      </c>
      <c r="F6116" t="s">
        <v>31</v>
      </c>
      <c r="G6116">
        <v>5.22</v>
      </c>
      <c r="H6116" t="s">
        <v>41</v>
      </c>
      <c r="I6116" t="s">
        <v>42</v>
      </c>
      <c r="M6116">
        <f>VLOOKUP(H6116,'Stage Order'!$A$2:$B$8,2,FALSE)</f>
        <v>2</v>
      </c>
      <c r="N6116" t="str">
        <f t="shared" si="190"/>
        <v>2. 1-24 hours</v>
      </c>
      <c r="O6116" t="str">
        <f t="shared" si="191"/>
        <v>2025-04</v>
      </c>
    </row>
    <row r="6117" spans="1:15" x14ac:dyDescent="0.3">
      <c r="A6117" t="s">
        <v>14392</v>
      </c>
      <c r="B6117" t="s">
        <v>14393</v>
      </c>
      <c r="C6117" t="s">
        <v>58</v>
      </c>
      <c r="D6117" t="s">
        <v>77</v>
      </c>
      <c r="E6117" t="s">
        <v>45</v>
      </c>
      <c r="F6117" t="s">
        <v>55</v>
      </c>
      <c r="G6117">
        <v>2.85</v>
      </c>
      <c r="H6117" t="s">
        <v>138</v>
      </c>
      <c r="I6117" t="s">
        <v>48</v>
      </c>
      <c r="J6117" t="s">
        <v>139</v>
      </c>
      <c r="K6117">
        <v>1113.71</v>
      </c>
      <c r="L6117" t="s">
        <v>14394</v>
      </c>
      <c r="M6117">
        <f>VLOOKUP(H6117,'Stage Order'!$A$2:$B$8,2,FALSE)</f>
        <v>6</v>
      </c>
      <c r="N6117" t="str">
        <f t="shared" si="190"/>
        <v>2. 1-24 hours</v>
      </c>
      <c r="O6117" t="str">
        <f t="shared" si="191"/>
        <v>2025-06</v>
      </c>
    </row>
    <row r="6118" spans="1:15" x14ac:dyDescent="0.3">
      <c r="A6118" t="s">
        <v>14395</v>
      </c>
      <c r="B6118" t="s">
        <v>14396</v>
      </c>
      <c r="C6118" t="s">
        <v>37</v>
      </c>
      <c r="D6118" t="s">
        <v>54</v>
      </c>
      <c r="E6118" t="s">
        <v>39</v>
      </c>
      <c r="F6118" t="s">
        <v>106</v>
      </c>
      <c r="G6118">
        <v>2.5099999999999998</v>
      </c>
      <c r="H6118" t="s">
        <v>32</v>
      </c>
      <c r="I6118" t="s">
        <v>33</v>
      </c>
      <c r="K6118">
        <v>569.9</v>
      </c>
      <c r="L6118" t="s">
        <v>14397</v>
      </c>
      <c r="M6118">
        <f>VLOOKUP(H6118,'Stage Order'!$A$2:$B$8,2,FALSE)</f>
        <v>7</v>
      </c>
      <c r="N6118" t="str">
        <f t="shared" si="190"/>
        <v>2. 1-24 hours</v>
      </c>
      <c r="O6118" t="str">
        <f t="shared" si="191"/>
        <v>2025-08</v>
      </c>
    </row>
    <row r="6119" spans="1:15" x14ac:dyDescent="0.3">
      <c r="A6119" t="s">
        <v>14398</v>
      </c>
      <c r="B6119" t="s">
        <v>14399</v>
      </c>
      <c r="C6119" t="s">
        <v>37</v>
      </c>
      <c r="D6119" t="s">
        <v>54</v>
      </c>
      <c r="E6119" t="s">
        <v>59</v>
      </c>
      <c r="F6119" t="s">
        <v>137</v>
      </c>
      <c r="G6119">
        <v>0.84</v>
      </c>
      <c r="H6119" t="s">
        <v>41</v>
      </c>
      <c r="I6119" t="s">
        <v>42</v>
      </c>
      <c r="M6119">
        <f>VLOOKUP(H6119,'Stage Order'!$A$2:$B$8,2,FALSE)</f>
        <v>2</v>
      </c>
      <c r="N6119" t="str">
        <f t="shared" si="190"/>
        <v>1. Under 1 hour</v>
      </c>
      <c r="O6119" t="str">
        <f t="shared" si="191"/>
        <v>2025-07</v>
      </c>
    </row>
    <row r="6120" spans="1:15" x14ac:dyDescent="0.3">
      <c r="A6120" t="s">
        <v>14400</v>
      </c>
      <c r="B6120" t="s">
        <v>14401</v>
      </c>
      <c r="C6120" t="s">
        <v>37</v>
      </c>
      <c r="D6120" t="s">
        <v>38</v>
      </c>
      <c r="E6120" t="s">
        <v>39</v>
      </c>
      <c r="F6120" t="s">
        <v>40</v>
      </c>
      <c r="G6120">
        <v>15.48</v>
      </c>
      <c r="H6120" t="s">
        <v>41</v>
      </c>
      <c r="I6120" t="s">
        <v>42</v>
      </c>
      <c r="M6120">
        <f>VLOOKUP(H6120,'Stage Order'!$A$2:$B$8,2,FALSE)</f>
        <v>2</v>
      </c>
      <c r="N6120" t="str">
        <f t="shared" si="190"/>
        <v>2. 1-24 hours</v>
      </c>
      <c r="O6120" t="str">
        <f t="shared" si="191"/>
        <v>2026-03</v>
      </c>
    </row>
    <row r="6121" spans="1:15" x14ac:dyDescent="0.3">
      <c r="A6121" t="s">
        <v>14402</v>
      </c>
      <c r="B6121" t="s">
        <v>14403</v>
      </c>
      <c r="C6121" t="s">
        <v>125</v>
      </c>
      <c r="D6121" t="s">
        <v>97</v>
      </c>
      <c r="E6121" t="s">
        <v>30</v>
      </c>
      <c r="F6121" t="s">
        <v>78</v>
      </c>
      <c r="G6121">
        <v>1.46</v>
      </c>
      <c r="H6121" t="s">
        <v>41</v>
      </c>
      <c r="I6121" t="s">
        <v>42</v>
      </c>
      <c r="M6121">
        <f>VLOOKUP(H6121,'Stage Order'!$A$2:$B$8,2,FALSE)</f>
        <v>2</v>
      </c>
      <c r="N6121" t="str">
        <f t="shared" si="190"/>
        <v>2. 1-24 hours</v>
      </c>
      <c r="O6121" t="str">
        <f t="shared" si="191"/>
        <v>2026-04</v>
      </c>
    </row>
    <row r="6122" spans="1:15" x14ac:dyDescent="0.3">
      <c r="A6122" t="s">
        <v>14404</v>
      </c>
      <c r="B6122" t="s">
        <v>14405</v>
      </c>
      <c r="C6122" t="s">
        <v>81</v>
      </c>
      <c r="D6122" t="s">
        <v>38</v>
      </c>
      <c r="E6122" t="s">
        <v>59</v>
      </c>
      <c r="F6122" t="s">
        <v>117</v>
      </c>
      <c r="G6122">
        <v>0.5</v>
      </c>
      <c r="H6122" t="s">
        <v>41</v>
      </c>
      <c r="I6122" t="s">
        <v>42</v>
      </c>
      <c r="M6122">
        <f>VLOOKUP(H6122,'Stage Order'!$A$2:$B$8,2,FALSE)</f>
        <v>2</v>
      </c>
      <c r="N6122" t="str">
        <f t="shared" si="190"/>
        <v>1. Under 1 hour</v>
      </c>
      <c r="O6122" t="str">
        <f t="shared" si="191"/>
        <v>2025-04</v>
      </c>
    </row>
    <row r="6123" spans="1:15" x14ac:dyDescent="0.3">
      <c r="A6123" t="s">
        <v>14406</v>
      </c>
      <c r="B6123" t="s">
        <v>14407</v>
      </c>
      <c r="C6123" t="s">
        <v>58</v>
      </c>
      <c r="D6123" t="s">
        <v>97</v>
      </c>
      <c r="E6123" t="s">
        <v>90</v>
      </c>
      <c r="F6123" t="s">
        <v>91</v>
      </c>
      <c r="G6123">
        <v>4.05</v>
      </c>
      <c r="H6123" t="s">
        <v>61</v>
      </c>
      <c r="I6123" t="s">
        <v>42</v>
      </c>
      <c r="M6123">
        <f>VLOOKUP(H6123,'Stage Order'!$A$2:$B$8,2,FALSE)</f>
        <v>1</v>
      </c>
      <c r="N6123" t="str">
        <f t="shared" si="190"/>
        <v>2. 1-24 hours</v>
      </c>
      <c r="O6123" t="str">
        <f t="shared" si="191"/>
        <v>2025-07</v>
      </c>
    </row>
    <row r="6124" spans="1:15" x14ac:dyDescent="0.3">
      <c r="A6124" t="s">
        <v>14408</v>
      </c>
      <c r="B6124" t="s">
        <v>14409</v>
      </c>
      <c r="C6124" t="s">
        <v>28</v>
      </c>
      <c r="D6124" t="s">
        <v>54</v>
      </c>
      <c r="E6124" t="s">
        <v>59</v>
      </c>
      <c r="F6124" t="s">
        <v>117</v>
      </c>
      <c r="G6124">
        <v>1.37</v>
      </c>
      <c r="H6124" t="s">
        <v>41</v>
      </c>
      <c r="I6124" t="s">
        <v>42</v>
      </c>
      <c r="M6124">
        <f>VLOOKUP(H6124,'Stage Order'!$A$2:$B$8,2,FALSE)</f>
        <v>2</v>
      </c>
      <c r="N6124" t="str">
        <f t="shared" si="190"/>
        <v>2. 1-24 hours</v>
      </c>
      <c r="O6124" t="str">
        <f t="shared" si="191"/>
        <v>2025-01</v>
      </c>
    </row>
    <row r="6125" spans="1:15" x14ac:dyDescent="0.3">
      <c r="A6125" t="s">
        <v>14410</v>
      </c>
      <c r="B6125" t="s">
        <v>14411</v>
      </c>
      <c r="C6125" t="s">
        <v>125</v>
      </c>
      <c r="D6125" t="s">
        <v>29</v>
      </c>
      <c r="E6125" t="s">
        <v>59</v>
      </c>
      <c r="F6125" t="s">
        <v>60</v>
      </c>
      <c r="G6125">
        <v>1.99</v>
      </c>
      <c r="H6125" t="s">
        <v>41</v>
      </c>
      <c r="I6125" t="s">
        <v>42</v>
      </c>
      <c r="M6125">
        <f>VLOOKUP(H6125,'Stage Order'!$A$2:$B$8,2,FALSE)</f>
        <v>2</v>
      </c>
      <c r="N6125" t="str">
        <f t="shared" si="190"/>
        <v>2. 1-24 hours</v>
      </c>
      <c r="O6125" t="str">
        <f t="shared" si="191"/>
        <v>2025-09</v>
      </c>
    </row>
    <row r="6126" spans="1:15" x14ac:dyDescent="0.3">
      <c r="A6126" t="s">
        <v>14412</v>
      </c>
      <c r="B6126" t="s">
        <v>14413</v>
      </c>
      <c r="C6126" t="s">
        <v>37</v>
      </c>
      <c r="D6126" t="s">
        <v>38</v>
      </c>
      <c r="E6126" t="s">
        <v>90</v>
      </c>
      <c r="F6126" t="s">
        <v>112</v>
      </c>
      <c r="G6126">
        <v>13.55</v>
      </c>
      <c r="H6126" t="s">
        <v>41</v>
      </c>
      <c r="I6126" t="s">
        <v>42</v>
      </c>
      <c r="M6126">
        <f>VLOOKUP(H6126,'Stage Order'!$A$2:$B$8,2,FALSE)</f>
        <v>2</v>
      </c>
      <c r="N6126" t="str">
        <f t="shared" si="190"/>
        <v>2. 1-24 hours</v>
      </c>
      <c r="O6126" t="str">
        <f t="shared" si="191"/>
        <v>2025-06</v>
      </c>
    </row>
    <row r="6127" spans="1:15" x14ac:dyDescent="0.3">
      <c r="A6127" t="s">
        <v>14414</v>
      </c>
      <c r="B6127" t="s">
        <v>14415</v>
      </c>
      <c r="C6127" t="s">
        <v>125</v>
      </c>
      <c r="D6127" t="s">
        <v>97</v>
      </c>
      <c r="E6127" t="s">
        <v>39</v>
      </c>
      <c r="F6127" t="s">
        <v>66</v>
      </c>
      <c r="G6127">
        <v>2.11</v>
      </c>
      <c r="H6127" t="s">
        <v>61</v>
      </c>
      <c r="I6127" t="s">
        <v>42</v>
      </c>
      <c r="M6127">
        <f>VLOOKUP(H6127,'Stage Order'!$A$2:$B$8,2,FALSE)</f>
        <v>1</v>
      </c>
      <c r="N6127" t="str">
        <f t="shared" si="190"/>
        <v>2. 1-24 hours</v>
      </c>
      <c r="O6127" t="str">
        <f t="shared" si="191"/>
        <v>2025-08</v>
      </c>
    </row>
    <row r="6128" spans="1:15" x14ac:dyDescent="0.3">
      <c r="A6128" t="s">
        <v>14416</v>
      </c>
      <c r="B6128" t="s">
        <v>14417</v>
      </c>
      <c r="C6128" t="s">
        <v>125</v>
      </c>
      <c r="D6128" t="s">
        <v>38</v>
      </c>
      <c r="E6128" t="s">
        <v>59</v>
      </c>
      <c r="F6128" t="s">
        <v>117</v>
      </c>
      <c r="G6128">
        <v>1.57</v>
      </c>
      <c r="H6128" t="s">
        <v>41</v>
      </c>
      <c r="I6128" t="s">
        <v>42</v>
      </c>
      <c r="M6128">
        <f>VLOOKUP(H6128,'Stage Order'!$A$2:$B$8,2,FALSE)</f>
        <v>2</v>
      </c>
      <c r="N6128" t="str">
        <f t="shared" si="190"/>
        <v>2. 1-24 hours</v>
      </c>
      <c r="O6128" t="str">
        <f t="shared" si="191"/>
        <v>2025-05</v>
      </c>
    </row>
    <row r="6129" spans="1:15" x14ac:dyDescent="0.3">
      <c r="A6129" t="s">
        <v>14418</v>
      </c>
      <c r="B6129" t="s">
        <v>14419</v>
      </c>
      <c r="C6129" t="s">
        <v>37</v>
      </c>
      <c r="D6129" t="s">
        <v>29</v>
      </c>
      <c r="E6129" t="s">
        <v>45</v>
      </c>
      <c r="F6129" t="s">
        <v>94</v>
      </c>
      <c r="G6129">
        <v>1.49</v>
      </c>
      <c r="H6129" t="s">
        <v>41</v>
      </c>
      <c r="I6129" t="s">
        <v>42</v>
      </c>
      <c r="M6129">
        <f>VLOOKUP(H6129,'Stage Order'!$A$2:$B$8,2,FALSE)</f>
        <v>2</v>
      </c>
      <c r="N6129" t="str">
        <f t="shared" si="190"/>
        <v>2. 1-24 hours</v>
      </c>
      <c r="O6129" t="str">
        <f t="shared" si="191"/>
        <v>2025-01</v>
      </c>
    </row>
    <row r="6130" spans="1:15" x14ac:dyDescent="0.3">
      <c r="A6130" t="s">
        <v>14420</v>
      </c>
      <c r="B6130" t="s">
        <v>14421</v>
      </c>
      <c r="C6130" t="s">
        <v>28</v>
      </c>
      <c r="D6130" t="s">
        <v>77</v>
      </c>
      <c r="E6130" t="s">
        <v>59</v>
      </c>
      <c r="F6130" t="s">
        <v>137</v>
      </c>
      <c r="G6130">
        <v>3.18</v>
      </c>
      <c r="H6130" t="s">
        <v>41</v>
      </c>
      <c r="I6130" t="s">
        <v>42</v>
      </c>
      <c r="M6130">
        <f>VLOOKUP(H6130,'Stage Order'!$A$2:$B$8,2,FALSE)</f>
        <v>2</v>
      </c>
      <c r="N6130" t="str">
        <f t="shared" si="190"/>
        <v>2. 1-24 hours</v>
      </c>
      <c r="O6130" t="str">
        <f t="shared" si="191"/>
        <v>2025-04</v>
      </c>
    </row>
    <row r="6131" spans="1:15" x14ac:dyDescent="0.3">
      <c r="A6131" t="s">
        <v>14422</v>
      </c>
      <c r="B6131" t="s">
        <v>14423</v>
      </c>
      <c r="C6131" t="s">
        <v>125</v>
      </c>
      <c r="D6131" t="s">
        <v>38</v>
      </c>
      <c r="E6131" t="s">
        <v>90</v>
      </c>
      <c r="F6131" t="s">
        <v>91</v>
      </c>
      <c r="G6131">
        <v>2.86</v>
      </c>
      <c r="H6131" t="s">
        <v>41</v>
      </c>
      <c r="I6131" t="s">
        <v>42</v>
      </c>
      <c r="M6131">
        <f>VLOOKUP(H6131,'Stage Order'!$A$2:$B$8,2,FALSE)</f>
        <v>2</v>
      </c>
      <c r="N6131" t="str">
        <f t="shared" si="190"/>
        <v>2. 1-24 hours</v>
      </c>
      <c r="O6131" t="str">
        <f t="shared" si="191"/>
        <v>2025-04</v>
      </c>
    </row>
    <row r="6132" spans="1:15" x14ac:dyDescent="0.3">
      <c r="A6132" t="s">
        <v>14424</v>
      </c>
      <c r="B6132" t="s">
        <v>14425</v>
      </c>
      <c r="C6132" t="s">
        <v>125</v>
      </c>
      <c r="D6132" t="s">
        <v>29</v>
      </c>
      <c r="E6132" t="s">
        <v>39</v>
      </c>
      <c r="F6132" t="s">
        <v>66</v>
      </c>
      <c r="G6132">
        <v>1.28</v>
      </c>
      <c r="H6132" t="s">
        <v>61</v>
      </c>
      <c r="I6132" t="s">
        <v>42</v>
      </c>
      <c r="M6132">
        <f>VLOOKUP(H6132,'Stage Order'!$A$2:$B$8,2,FALSE)</f>
        <v>1</v>
      </c>
      <c r="N6132" t="str">
        <f t="shared" si="190"/>
        <v>2. 1-24 hours</v>
      </c>
      <c r="O6132" t="str">
        <f t="shared" si="191"/>
        <v>2025-06</v>
      </c>
    </row>
    <row r="6133" spans="1:15" x14ac:dyDescent="0.3">
      <c r="A6133" t="s">
        <v>14426</v>
      </c>
      <c r="B6133" t="s">
        <v>14427</v>
      </c>
      <c r="C6133" t="s">
        <v>58</v>
      </c>
      <c r="D6133" t="s">
        <v>77</v>
      </c>
      <c r="E6133" t="s">
        <v>59</v>
      </c>
      <c r="F6133" t="s">
        <v>137</v>
      </c>
      <c r="G6133">
        <v>15.11</v>
      </c>
      <c r="H6133" t="s">
        <v>61</v>
      </c>
      <c r="I6133" t="s">
        <v>42</v>
      </c>
      <c r="M6133">
        <f>VLOOKUP(H6133,'Stage Order'!$A$2:$B$8,2,FALSE)</f>
        <v>1</v>
      </c>
      <c r="N6133" t="str">
        <f t="shared" si="190"/>
        <v>2. 1-24 hours</v>
      </c>
      <c r="O6133" t="str">
        <f t="shared" si="191"/>
        <v>2026-03</v>
      </c>
    </row>
    <row r="6134" spans="1:15" x14ac:dyDescent="0.3">
      <c r="A6134" t="s">
        <v>14428</v>
      </c>
      <c r="B6134" t="s">
        <v>14429</v>
      </c>
      <c r="C6134" t="s">
        <v>125</v>
      </c>
      <c r="D6134" t="s">
        <v>77</v>
      </c>
      <c r="E6134" t="s">
        <v>59</v>
      </c>
      <c r="F6134" t="s">
        <v>137</v>
      </c>
      <c r="G6134">
        <v>12.06</v>
      </c>
      <c r="H6134" t="s">
        <v>41</v>
      </c>
      <c r="I6134" t="s">
        <v>42</v>
      </c>
      <c r="M6134">
        <f>VLOOKUP(H6134,'Stage Order'!$A$2:$B$8,2,FALSE)</f>
        <v>2</v>
      </c>
      <c r="N6134" t="str">
        <f t="shared" si="190"/>
        <v>2. 1-24 hours</v>
      </c>
      <c r="O6134" t="str">
        <f t="shared" si="191"/>
        <v>2026-05</v>
      </c>
    </row>
    <row r="6135" spans="1:15" x14ac:dyDescent="0.3">
      <c r="A6135" t="s">
        <v>14430</v>
      </c>
      <c r="B6135" t="s">
        <v>14431</v>
      </c>
      <c r="C6135" t="s">
        <v>125</v>
      </c>
      <c r="D6135" t="s">
        <v>29</v>
      </c>
      <c r="E6135" t="s">
        <v>45</v>
      </c>
      <c r="F6135" t="s">
        <v>46</v>
      </c>
      <c r="G6135">
        <v>1.77</v>
      </c>
      <c r="H6135" t="s">
        <v>138</v>
      </c>
      <c r="I6135" t="s">
        <v>48</v>
      </c>
      <c r="J6135" t="s">
        <v>98</v>
      </c>
      <c r="K6135">
        <v>652.74</v>
      </c>
      <c r="L6135" t="s">
        <v>14432</v>
      </c>
      <c r="M6135">
        <f>VLOOKUP(H6135,'Stage Order'!$A$2:$B$8,2,FALSE)</f>
        <v>6</v>
      </c>
      <c r="N6135" t="str">
        <f t="shared" si="190"/>
        <v>2. 1-24 hours</v>
      </c>
      <c r="O6135" t="str">
        <f t="shared" si="191"/>
        <v>2025-02</v>
      </c>
    </row>
    <row r="6136" spans="1:15" x14ac:dyDescent="0.3">
      <c r="A6136" t="s">
        <v>14433</v>
      </c>
      <c r="B6136" t="s">
        <v>14434</v>
      </c>
      <c r="C6136" t="s">
        <v>76</v>
      </c>
      <c r="D6136" t="s">
        <v>77</v>
      </c>
      <c r="E6136" t="s">
        <v>39</v>
      </c>
      <c r="F6136" t="s">
        <v>66</v>
      </c>
      <c r="G6136">
        <v>2.4700000000000002</v>
      </c>
      <c r="H6136" t="s">
        <v>41</v>
      </c>
      <c r="I6136" t="s">
        <v>42</v>
      </c>
      <c r="M6136">
        <f>VLOOKUP(H6136,'Stage Order'!$A$2:$B$8,2,FALSE)</f>
        <v>2</v>
      </c>
      <c r="N6136" t="str">
        <f t="shared" si="190"/>
        <v>2. 1-24 hours</v>
      </c>
      <c r="O6136" t="str">
        <f t="shared" si="191"/>
        <v>2025-09</v>
      </c>
    </row>
    <row r="6137" spans="1:15" x14ac:dyDescent="0.3">
      <c r="A6137" t="s">
        <v>14435</v>
      </c>
      <c r="B6137" t="s">
        <v>14436</v>
      </c>
      <c r="C6137" t="s">
        <v>58</v>
      </c>
      <c r="D6137" t="s">
        <v>54</v>
      </c>
      <c r="E6137" t="s">
        <v>90</v>
      </c>
      <c r="F6137" t="s">
        <v>112</v>
      </c>
      <c r="G6137">
        <v>3.1</v>
      </c>
      <c r="H6137" t="s">
        <v>41</v>
      </c>
      <c r="I6137" t="s">
        <v>42</v>
      </c>
      <c r="M6137">
        <f>VLOOKUP(H6137,'Stage Order'!$A$2:$B$8,2,FALSE)</f>
        <v>2</v>
      </c>
      <c r="N6137" t="str">
        <f t="shared" si="190"/>
        <v>2. 1-24 hours</v>
      </c>
      <c r="O6137" t="str">
        <f t="shared" si="191"/>
        <v>2025-01</v>
      </c>
    </row>
    <row r="6138" spans="1:15" x14ac:dyDescent="0.3">
      <c r="A6138" t="s">
        <v>14437</v>
      </c>
      <c r="B6138" t="s">
        <v>14438</v>
      </c>
      <c r="C6138" t="s">
        <v>37</v>
      </c>
      <c r="D6138" t="s">
        <v>29</v>
      </c>
      <c r="E6138" t="s">
        <v>59</v>
      </c>
      <c r="F6138" t="s">
        <v>60</v>
      </c>
      <c r="G6138">
        <v>1.65</v>
      </c>
      <c r="H6138" t="s">
        <v>41</v>
      </c>
      <c r="I6138" t="s">
        <v>42</v>
      </c>
      <c r="M6138">
        <f>VLOOKUP(H6138,'Stage Order'!$A$2:$B$8,2,FALSE)</f>
        <v>2</v>
      </c>
      <c r="N6138" t="str">
        <f t="shared" si="190"/>
        <v>2. 1-24 hours</v>
      </c>
      <c r="O6138" t="str">
        <f t="shared" si="191"/>
        <v>2025-09</v>
      </c>
    </row>
    <row r="6139" spans="1:15" x14ac:dyDescent="0.3">
      <c r="A6139" t="s">
        <v>14439</v>
      </c>
      <c r="B6139" t="s">
        <v>14440</v>
      </c>
      <c r="C6139" t="s">
        <v>125</v>
      </c>
      <c r="D6139" t="s">
        <v>54</v>
      </c>
      <c r="E6139" t="s">
        <v>45</v>
      </c>
      <c r="F6139" t="s">
        <v>94</v>
      </c>
      <c r="G6139">
        <v>0.97</v>
      </c>
      <c r="H6139" t="s">
        <v>41</v>
      </c>
      <c r="I6139" t="s">
        <v>42</v>
      </c>
      <c r="M6139">
        <f>VLOOKUP(H6139,'Stage Order'!$A$2:$B$8,2,FALSE)</f>
        <v>2</v>
      </c>
      <c r="N6139" t="str">
        <f t="shared" si="190"/>
        <v>1. Under 1 hour</v>
      </c>
      <c r="O6139" t="str">
        <f t="shared" si="191"/>
        <v>2025-11</v>
      </c>
    </row>
    <row r="6140" spans="1:15" x14ac:dyDescent="0.3">
      <c r="A6140" t="s">
        <v>14441</v>
      </c>
      <c r="B6140" t="s">
        <v>14442</v>
      </c>
      <c r="C6140" t="s">
        <v>37</v>
      </c>
      <c r="D6140" t="s">
        <v>29</v>
      </c>
      <c r="E6140" t="s">
        <v>39</v>
      </c>
      <c r="F6140" t="s">
        <v>40</v>
      </c>
      <c r="G6140">
        <v>1.91</v>
      </c>
      <c r="H6140" t="s">
        <v>47</v>
      </c>
      <c r="I6140" t="s">
        <v>48</v>
      </c>
      <c r="J6140" t="s">
        <v>742</v>
      </c>
      <c r="K6140">
        <v>568.45000000000005</v>
      </c>
      <c r="L6140" t="s">
        <v>14443</v>
      </c>
      <c r="M6140">
        <f>VLOOKUP(H6140,'Stage Order'!$A$2:$B$8,2,FALSE)</f>
        <v>4</v>
      </c>
      <c r="N6140" t="str">
        <f t="shared" si="190"/>
        <v>2. 1-24 hours</v>
      </c>
      <c r="O6140" t="str">
        <f t="shared" si="191"/>
        <v>2025-06</v>
      </c>
    </row>
    <row r="6141" spans="1:15" x14ac:dyDescent="0.3">
      <c r="A6141" t="s">
        <v>14444</v>
      </c>
      <c r="B6141" t="s">
        <v>14445</v>
      </c>
      <c r="C6141" t="s">
        <v>28</v>
      </c>
      <c r="D6141" t="s">
        <v>54</v>
      </c>
      <c r="E6141" t="s">
        <v>90</v>
      </c>
      <c r="F6141" t="s">
        <v>91</v>
      </c>
      <c r="G6141">
        <v>0.71</v>
      </c>
      <c r="H6141" t="s">
        <v>146</v>
      </c>
      <c r="I6141" t="s">
        <v>48</v>
      </c>
      <c r="J6141" t="s">
        <v>98</v>
      </c>
      <c r="K6141">
        <v>449.6</v>
      </c>
      <c r="L6141" t="s">
        <v>14446</v>
      </c>
      <c r="M6141">
        <f>VLOOKUP(H6141,'Stage Order'!$A$2:$B$8,2,FALSE)</f>
        <v>5</v>
      </c>
      <c r="N6141" t="str">
        <f t="shared" si="190"/>
        <v>1. Under 1 hour</v>
      </c>
      <c r="O6141" t="str">
        <f t="shared" si="191"/>
        <v>2025-05</v>
      </c>
    </row>
    <row r="6142" spans="1:15" x14ac:dyDescent="0.3">
      <c r="A6142" t="s">
        <v>14447</v>
      </c>
      <c r="B6142" t="s">
        <v>14448</v>
      </c>
      <c r="C6142" t="s">
        <v>58</v>
      </c>
      <c r="D6142" t="s">
        <v>54</v>
      </c>
      <c r="E6142" t="s">
        <v>90</v>
      </c>
      <c r="F6142" t="s">
        <v>145</v>
      </c>
      <c r="G6142">
        <v>1.9</v>
      </c>
      <c r="H6142" t="s">
        <v>41</v>
      </c>
      <c r="I6142" t="s">
        <v>42</v>
      </c>
      <c r="M6142">
        <f>VLOOKUP(H6142,'Stage Order'!$A$2:$B$8,2,FALSE)</f>
        <v>2</v>
      </c>
      <c r="N6142" t="str">
        <f t="shared" si="190"/>
        <v>2. 1-24 hours</v>
      </c>
      <c r="O6142" t="str">
        <f t="shared" si="191"/>
        <v>2026-01</v>
      </c>
    </row>
    <row r="6143" spans="1:15" x14ac:dyDescent="0.3">
      <c r="A6143" t="s">
        <v>14449</v>
      </c>
      <c r="B6143" t="s">
        <v>14450</v>
      </c>
      <c r="C6143" t="s">
        <v>125</v>
      </c>
      <c r="D6143" t="s">
        <v>54</v>
      </c>
      <c r="E6143" t="s">
        <v>39</v>
      </c>
      <c r="F6143" t="s">
        <v>66</v>
      </c>
      <c r="G6143">
        <v>5.91</v>
      </c>
      <c r="H6143" t="s">
        <v>61</v>
      </c>
      <c r="I6143" t="s">
        <v>42</v>
      </c>
      <c r="M6143">
        <f>VLOOKUP(H6143,'Stage Order'!$A$2:$B$8,2,FALSE)</f>
        <v>1</v>
      </c>
      <c r="N6143" t="str">
        <f t="shared" si="190"/>
        <v>2. 1-24 hours</v>
      </c>
      <c r="O6143" t="str">
        <f t="shared" si="191"/>
        <v>2025-10</v>
      </c>
    </row>
    <row r="6144" spans="1:15" x14ac:dyDescent="0.3">
      <c r="A6144" t="s">
        <v>14451</v>
      </c>
      <c r="B6144" t="s">
        <v>14452</v>
      </c>
      <c r="C6144" t="s">
        <v>53</v>
      </c>
      <c r="D6144" t="s">
        <v>54</v>
      </c>
      <c r="E6144" t="s">
        <v>59</v>
      </c>
      <c r="F6144" t="s">
        <v>60</v>
      </c>
      <c r="G6144">
        <v>6.8</v>
      </c>
      <c r="H6144" t="s">
        <v>32</v>
      </c>
      <c r="I6144" t="s">
        <v>33</v>
      </c>
      <c r="K6144">
        <v>564.65</v>
      </c>
      <c r="L6144" t="s">
        <v>14453</v>
      </c>
      <c r="M6144">
        <f>VLOOKUP(H6144,'Stage Order'!$A$2:$B$8,2,FALSE)</f>
        <v>7</v>
      </c>
      <c r="N6144" t="str">
        <f t="shared" si="190"/>
        <v>2. 1-24 hours</v>
      </c>
      <c r="O6144" t="str">
        <f t="shared" si="191"/>
        <v>2025-02</v>
      </c>
    </row>
    <row r="6145" spans="1:15" x14ac:dyDescent="0.3">
      <c r="A6145" t="s">
        <v>14454</v>
      </c>
      <c r="B6145" t="s">
        <v>14455</v>
      </c>
      <c r="C6145" t="s">
        <v>37</v>
      </c>
      <c r="D6145" t="s">
        <v>77</v>
      </c>
      <c r="E6145" t="s">
        <v>39</v>
      </c>
      <c r="F6145" t="s">
        <v>40</v>
      </c>
      <c r="G6145">
        <v>1.67</v>
      </c>
      <c r="H6145" t="s">
        <v>41</v>
      </c>
      <c r="I6145" t="s">
        <v>42</v>
      </c>
      <c r="M6145">
        <f>VLOOKUP(H6145,'Stage Order'!$A$2:$B$8,2,FALSE)</f>
        <v>2</v>
      </c>
      <c r="N6145" t="str">
        <f t="shared" si="190"/>
        <v>2. 1-24 hours</v>
      </c>
      <c r="O6145" t="str">
        <f t="shared" si="191"/>
        <v>2025-01</v>
      </c>
    </row>
    <row r="6146" spans="1:15" x14ac:dyDescent="0.3">
      <c r="A6146" t="s">
        <v>14456</v>
      </c>
      <c r="B6146" t="s">
        <v>14457</v>
      </c>
      <c r="C6146" t="s">
        <v>76</v>
      </c>
      <c r="D6146" t="s">
        <v>97</v>
      </c>
      <c r="E6146" t="s">
        <v>90</v>
      </c>
      <c r="F6146" t="s">
        <v>145</v>
      </c>
      <c r="G6146">
        <v>3.97</v>
      </c>
      <c r="H6146" t="s">
        <v>41</v>
      </c>
      <c r="I6146" t="s">
        <v>42</v>
      </c>
      <c r="M6146">
        <f>VLOOKUP(H6146,'Stage Order'!$A$2:$B$8,2,FALSE)</f>
        <v>2</v>
      </c>
      <c r="N6146" t="str">
        <f t="shared" ref="N6146:N6209" si="192">IF(G6146&lt;=1,"1. Under 1 hour",IF(G6146&lt;=24,"2. 1-24 hours",IF(G6146&lt;=72,"3. 1-3 days","4. Over 3 days")))</f>
        <v>2. 1-24 hours</v>
      </c>
      <c r="O6146" t="str">
        <f t="shared" ref="O6146:O6209" si="193">TEXT(B6146,"YYYY-MM")</f>
        <v>2025-12</v>
      </c>
    </row>
    <row r="6147" spans="1:15" x14ac:dyDescent="0.3">
      <c r="A6147" t="s">
        <v>14458</v>
      </c>
      <c r="B6147" t="s">
        <v>14459</v>
      </c>
      <c r="C6147" t="s">
        <v>28</v>
      </c>
      <c r="D6147" t="s">
        <v>38</v>
      </c>
      <c r="E6147" t="s">
        <v>90</v>
      </c>
      <c r="F6147" t="s">
        <v>145</v>
      </c>
      <c r="G6147">
        <v>4.01</v>
      </c>
      <c r="H6147" t="s">
        <v>32</v>
      </c>
      <c r="I6147" t="s">
        <v>33</v>
      </c>
      <c r="K6147">
        <v>331.67</v>
      </c>
      <c r="L6147" t="s">
        <v>14460</v>
      </c>
      <c r="M6147">
        <f>VLOOKUP(H6147,'Stage Order'!$A$2:$B$8,2,FALSE)</f>
        <v>7</v>
      </c>
      <c r="N6147" t="str">
        <f t="shared" si="192"/>
        <v>2. 1-24 hours</v>
      </c>
      <c r="O6147" t="str">
        <f t="shared" si="193"/>
        <v>2025-10</v>
      </c>
    </row>
    <row r="6148" spans="1:15" x14ac:dyDescent="0.3">
      <c r="A6148" t="s">
        <v>14461</v>
      </c>
      <c r="B6148" t="s">
        <v>14462</v>
      </c>
      <c r="C6148" t="s">
        <v>53</v>
      </c>
      <c r="D6148" t="s">
        <v>54</v>
      </c>
      <c r="E6148" t="s">
        <v>59</v>
      </c>
      <c r="F6148" t="s">
        <v>117</v>
      </c>
      <c r="G6148">
        <v>0.42</v>
      </c>
      <c r="H6148" t="s">
        <v>32</v>
      </c>
      <c r="I6148" t="s">
        <v>33</v>
      </c>
      <c r="K6148">
        <v>467.45</v>
      </c>
      <c r="L6148" t="s">
        <v>14463</v>
      </c>
      <c r="M6148">
        <f>VLOOKUP(H6148,'Stage Order'!$A$2:$B$8,2,FALSE)</f>
        <v>7</v>
      </c>
      <c r="N6148" t="str">
        <f t="shared" si="192"/>
        <v>1. Under 1 hour</v>
      </c>
      <c r="O6148" t="str">
        <f t="shared" si="193"/>
        <v>2026-03</v>
      </c>
    </row>
    <row r="6149" spans="1:15" x14ac:dyDescent="0.3">
      <c r="A6149" t="s">
        <v>14464</v>
      </c>
      <c r="B6149" t="s">
        <v>14465</v>
      </c>
      <c r="C6149" t="s">
        <v>58</v>
      </c>
      <c r="D6149" t="s">
        <v>54</v>
      </c>
      <c r="E6149" t="s">
        <v>45</v>
      </c>
      <c r="F6149" t="s">
        <v>55</v>
      </c>
      <c r="G6149">
        <v>8.6300000000000008</v>
      </c>
      <c r="H6149" t="s">
        <v>41</v>
      </c>
      <c r="I6149" t="s">
        <v>42</v>
      </c>
      <c r="M6149">
        <f>VLOOKUP(H6149,'Stage Order'!$A$2:$B$8,2,FALSE)</f>
        <v>2</v>
      </c>
      <c r="N6149" t="str">
        <f t="shared" si="192"/>
        <v>2. 1-24 hours</v>
      </c>
      <c r="O6149" t="str">
        <f t="shared" si="193"/>
        <v>2025-12</v>
      </c>
    </row>
    <row r="6150" spans="1:15" x14ac:dyDescent="0.3">
      <c r="A6150" t="s">
        <v>14466</v>
      </c>
      <c r="B6150" t="s">
        <v>14467</v>
      </c>
      <c r="C6150" t="s">
        <v>37</v>
      </c>
      <c r="D6150" t="s">
        <v>54</v>
      </c>
      <c r="E6150" t="s">
        <v>59</v>
      </c>
      <c r="F6150" t="s">
        <v>117</v>
      </c>
      <c r="G6150">
        <v>0.59</v>
      </c>
      <c r="H6150" t="s">
        <v>41</v>
      </c>
      <c r="I6150" t="s">
        <v>42</v>
      </c>
      <c r="M6150">
        <f>VLOOKUP(H6150,'Stage Order'!$A$2:$B$8,2,FALSE)</f>
        <v>2</v>
      </c>
      <c r="N6150" t="str">
        <f t="shared" si="192"/>
        <v>1. Under 1 hour</v>
      </c>
      <c r="O6150" t="str">
        <f t="shared" si="193"/>
        <v>2025-12</v>
      </c>
    </row>
    <row r="6151" spans="1:15" x14ac:dyDescent="0.3">
      <c r="A6151" t="s">
        <v>14468</v>
      </c>
      <c r="B6151" t="s">
        <v>14469</v>
      </c>
      <c r="C6151" t="s">
        <v>37</v>
      </c>
      <c r="D6151" t="s">
        <v>29</v>
      </c>
      <c r="E6151" t="s">
        <v>45</v>
      </c>
      <c r="F6151" t="s">
        <v>55</v>
      </c>
      <c r="G6151">
        <v>1.81</v>
      </c>
      <c r="H6151" t="s">
        <v>47</v>
      </c>
      <c r="I6151" t="s">
        <v>48</v>
      </c>
      <c r="J6151" t="s">
        <v>49</v>
      </c>
      <c r="K6151">
        <v>764.46</v>
      </c>
      <c r="L6151" t="s">
        <v>14470</v>
      </c>
      <c r="M6151">
        <f>VLOOKUP(H6151,'Stage Order'!$A$2:$B$8,2,FALSE)</f>
        <v>4</v>
      </c>
      <c r="N6151" t="str">
        <f t="shared" si="192"/>
        <v>2. 1-24 hours</v>
      </c>
      <c r="O6151" t="str">
        <f t="shared" si="193"/>
        <v>2025-06</v>
      </c>
    </row>
    <row r="6152" spans="1:15" x14ac:dyDescent="0.3">
      <c r="A6152" t="s">
        <v>14471</v>
      </c>
      <c r="B6152" t="s">
        <v>14472</v>
      </c>
      <c r="C6152" t="s">
        <v>58</v>
      </c>
      <c r="D6152" t="s">
        <v>54</v>
      </c>
      <c r="E6152" t="s">
        <v>39</v>
      </c>
      <c r="F6152" t="s">
        <v>40</v>
      </c>
      <c r="G6152">
        <v>2.4700000000000002</v>
      </c>
      <c r="H6152" t="s">
        <v>41</v>
      </c>
      <c r="I6152" t="s">
        <v>42</v>
      </c>
      <c r="M6152">
        <f>VLOOKUP(H6152,'Stage Order'!$A$2:$B$8,2,FALSE)</f>
        <v>2</v>
      </c>
      <c r="N6152" t="str">
        <f t="shared" si="192"/>
        <v>2. 1-24 hours</v>
      </c>
      <c r="O6152" t="str">
        <f t="shared" si="193"/>
        <v>2025-09</v>
      </c>
    </row>
    <row r="6153" spans="1:15" x14ac:dyDescent="0.3">
      <c r="A6153" t="s">
        <v>14473</v>
      </c>
      <c r="B6153" t="s">
        <v>14474</v>
      </c>
      <c r="C6153" t="s">
        <v>81</v>
      </c>
      <c r="D6153" t="s">
        <v>77</v>
      </c>
      <c r="E6153" t="s">
        <v>45</v>
      </c>
      <c r="F6153" t="s">
        <v>46</v>
      </c>
      <c r="G6153">
        <v>2.86</v>
      </c>
      <c r="H6153" t="s">
        <v>61</v>
      </c>
      <c r="I6153" t="s">
        <v>42</v>
      </c>
      <c r="M6153">
        <f>VLOOKUP(H6153,'Stage Order'!$A$2:$B$8,2,FALSE)</f>
        <v>1</v>
      </c>
      <c r="N6153" t="str">
        <f t="shared" si="192"/>
        <v>2. 1-24 hours</v>
      </c>
      <c r="O6153" t="str">
        <f t="shared" si="193"/>
        <v>2026-04</v>
      </c>
    </row>
    <row r="6154" spans="1:15" x14ac:dyDescent="0.3">
      <c r="A6154" t="s">
        <v>14475</v>
      </c>
      <c r="B6154" t="s">
        <v>14476</v>
      </c>
      <c r="C6154" t="s">
        <v>28</v>
      </c>
      <c r="D6154" t="s">
        <v>38</v>
      </c>
      <c r="E6154" t="s">
        <v>59</v>
      </c>
      <c r="F6154" t="s">
        <v>60</v>
      </c>
      <c r="G6154">
        <v>11.42</v>
      </c>
      <c r="H6154" t="s">
        <v>32</v>
      </c>
      <c r="I6154" t="s">
        <v>33</v>
      </c>
      <c r="K6154">
        <v>303.27</v>
      </c>
      <c r="L6154" t="s">
        <v>14477</v>
      </c>
      <c r="M6154">
        <f>VLOOKUP(H6154,'Stage Order'!$A$2:$B$8,2,FALSE)</f>
        <v>7</v>
      </c>
      <c r="N6154" t="str">
        <f t="shared" si="192"/>
        <v>2. 1-24 hours</v>
      </c>
      <c r="O6154" t="str">
        <f t="shared" si="193"/>
        <v>2025-11</v>
      </c>
    </row>
    <row r="6155" spans="1:15" x14ac:dyDescent="0.3">
      <c r="A6155" t="s">
        <v>14478</v>
      </c>
      <c r="B6155" t="s">
        <v>14479</v>
      </c>
      <c r="C6155" t="s">
        <v>125</v>
      </c>
      <c r="D6155" t="s">
        <v>54</v>
      </c>
      <c r="E6155" t="s">
        <v>90</v>
      </c>
      <c r="F6155" t="s">
        <v>112</v>
      </c>
      <c r="G6155">
        <v>2.57</v>
      </c>
      <c r="H6155" t="s">
        <v>61</v>
      </c>
      <c r="I6155" t="s">
        <v>42</v>
      </c>
      <c r="M6155">
        <f>VLOOKUP(H6155,'Stage Order'!$A$2:$B$8,2,FALSE)</f>
        <v>1</v>
      </c>
      <c r="N6155" t="str">
        <f t="shared" si="192"/>
        <v>2. 1-24 hours</v>
      </c>
      <c r="O6155" t="str">
        <f t="shared" si="193"/>
        <v>2025-07</v>
      </c>
    </row>
    <row r="6156" spans="1:15" x14ac:dyDescent="0.3">
      <c r="A6156" t="s">
        <v>14480</v>
      </c>
      <c r="B6156" t="s">
        <v>14481</v>
      </c>
      <c r="C6156" t="s">
        <v>125</v>
      </c>
      <c r="D6156" t="s">
        <v>29</v>
      </c>
      <c r="E6156" t="s">
        <v>59</v>
      </c>
      <c r="F6156" t="s">
        <v>117</v>
      </c>
      <c r="G6156">
        <v>16.170000000000002</v>
      </c>
      <c r="H6156" t="s">
        <v>61</v>
      </c>
      <c r="I6156" t="s">
        <v>42</v>
      </c>
      <c r="M6156">
        <f>VLOOKUP(H6156,'Stage Order'!$A$2:$B$8,2,FALSE)</f>
        <v>1</v>
      </c>
      <c r="N6156" t="str">
        <f t="shared" si="192"/>
        <v>2. 1-24 hours</v>
      </c>
      <c r="O6156" t="str">
        <f t="shared" si="193"/>
        <v>2025-11</v>
      </c>
    </row>
    <row r="6157" spans="1:15" x14ac:dyDescent="0.3">
      <c r="A6157" t="s">
        <v>14482</v>
      </c>
      <c r="B6157" t="s">
        <v>14483</v>
      </c>
      <c r="C6157" t="s">
        <v>58</v>
      </c>
      <c r="D6157" t="s">
        <v>54</v>
      </c>
      <c r="E6157" t="s">
        <v>39</v>
      </c>
      <c r="F6157" t="s">
        <v>106</v>
      </c>
      <c r="G6157">
        <v>2.12</v>
      </c>
      <c r="H6157" t="s">
        <v>41</v>
      </c>
      <c r="I6157" t="s">
        <v>42</v>
      </c>
      <c r="M6157">
        <f>VLOOKUP(H6157,'Stage Order'!$A$2:$B$8,2,FALSE)</f>
        <v>2</v>
      </c>
      <c r="N6157" t="str">
        <f t="shared" si="192"/>
        <v>2. 1-24 hours</v>
      </c>
      <c r="O6157" t="str">
        <f t="shared" si="193"/>
        <v>2025-04</v>
      </c>
    </row>
    <row r="6158" spans="1:15" x14ac:dyDescent="0.3">
      <c r="A6158" t="s">
        <v>14484</v>
      </c>
      <c r="B6158" t="s">
        <v>14485</v>
      </c>
      <c r="C6158" t="s">
        <v>125</v>
      </c>
      <c r="D6158" t="s">
        <v>97</v>
      </c>
      <c r="E6158" t="s">
        <v>45</v>
      </c>
      <c r="F6158" t="s">
        <v>94</v>
      </c>
      <c r="G6158">
        <v>2.5299999999999998</v>
      </c>
      <c r="H6158" t="s">
        <v>41</v>
      </c>
      <c r="I6158" t="s">
        <v>42</v>
      </c>
      <c r="M6158">
        <f>VLOOKUP(H6158,'Stage Order'!$A$2:$B$8,2,FALSE)</f>
        <v>2</v>
      </c>
      <c r="N6158" t="str">
        <f t="shared" si="192"/>
        <v>2. 1-24 hours</v>
      </c>
      <c r="O6158" t="str">
        <f t="shared" si="193"/>
        <v>2026-04</v>
      </c>
    </row>
    <row r="6159" spans="1:15" x14ac:dyDescent="0.3">
      <c r="A6159" t="s">
        <v>14486</v>
      </c>
      <c r="B6159" t="s">
        <v>14487</v>
      </c>
      <c r="C6159" t="s">
        <v>28</v>
      </c>
      <c r="D6159" t="s">
        <v>29</v>
      </c>
      <c r="E6159" t="s">
        <v>39</v>
      </c>
      <c r="F6159" t="s">
        <v>40</v>
      </c>
      <c r="G6159">
        <v>3.1</v>
      </c>
      <c r="H6159" t="s">
        <v>146</v>
      </c>
      <c r="I6159" t="s">
        <v>48</v>
      </c>
      <c r="J6159" t="s">
        <v>49</v>
      </c>
      <c r="K6159">
        <v>678.82</v>
      </c>
      <c r="L6159" t="s">
        <v>14488</v>
      </c>
      <c r="M6159">
        <f>VLOOKUP(H6159,'Stage Order'!$A$2:$B$8,2,FALSE)</f>
        <v>5</v>
      </c>
      <c r="N6159" t="str">
        <f t="shared" si="192"/>
        <v>2. 1-24 hours</v>
      </c>
      <c r="O6159" t="str">
        <f t="shared" si="193"/>
        <v>2026-01</v>
      </c>
    </row>
    <row r="6160" spans="1:15" x14ac:dyDescent="0.3">
      <c r="A6160" t="s">
        <v>14489</v>
      </c>
      <c r="B6160" t="s">
        <v>14490</v>
      </c>
      <c r="C6160" t="s">
        <v>125</v>
      </c>
      <c r="D6160" t="s">
        <v>77</v>
      </c>
      <c r="E6160" t="s">
        <v>30</v>
      </c>
      <c r="F6160" t="s">
        <v>78</v>
      </c>
      <c r="G6160">
        <v>2.67</v>
      </c>
      <c r="H6160" t="s">
        <v>41</v>
      </c>
      <c r="I6160" t="s">
        <v>42</v>
      </c>
      <c r="M6160">
        <f>VLOOKUP(H6160,'Stage Order'!$A$2:$B$8,2,FALSE)</f>
        <v>2</v>
      </c>
      <c r="N6160" t="str">
        <f t="shared" si="192"/>
        <v>2. 1-24 hours</v>
      </c>
      <c r="O6160" t="str">
        <f t="shared" si="193"/>
        <v>2025-12</v>
      </c>
    </row>
    <row r="6161" spans="1:15" x14ac:dyDescent="0.3">
      <c r="A6161" t="s">
        <v>14491</v>
      </c>
      <c r="B6161" t="s">
        <v>14492</v>
      </c>
      <c r="C6161" t="s">
        <v>37</v>
      </c>
      <c r="D6161" t="s">
        <v>38</v>
      </c>
      <c r="E6161" t="s">
        <v>39</v>
      </c>
      <c r="F6161" t="s">
        <v>106</v>
      </c>
      <c r="G6161">
        <v>2.25</v>
      </c>
      <c r="H6161" t="s">
        <v>32</v>
      </c>
      <c r="I6161" t="s">
        <v>33</v>
      </c>
      <c r="K6161">
        <v>300.16000000000003</v>
      </c>
      <c r="L6161" t="s">
        <v>14493</v>
      </c>
      <c r="M6161">
        <f>VLOOKUP(H6161,'Stage Order'!$A$2:$B$8,2,FALSE)</f>
        <v>7</v>
      </c>
      <c r="N6161" t="str">
        <f t="shared" si="192"/>
        <v>2. 1-24 hours</v>
      </c>
      <c r="O6161" t="str">
        <f t="shared" si="193"/>
        <v>2025-11</v>
      </c>
    </row>
    <row r="6162" spans="1:15" x14ac:dyDescent="0.3">
      <c r="A6162" t="s">
        <v>14494</v>
      </c>
      <c r="B6162" t="s">
        <v>14495</v>
      </c>
      <c r="C6162" t="s">
        <v>53</v>
      </c>
      <c r="D6162" t="s">
        <v>77</v>
      </c>
      <c r="E6162" t="s">
        <v>90</v>
      </c>
      <c r="F6162" t="s">
        <v>145</v>
      </c>
      <c r="G6162">
        <v>7.41</v>
      </c>
      <c r="H6162" t="s">
        <v>128</v>
      </c>
      <c r="I6162" t="s">
        <v>42</v>
      </c>
      <c r="M6162">
        <f>VLOOKUP(H6162,'Stage Order'!$A$2:$B$8,2,FALSE)</f>
        <v>3</v>
      </c>
      <c r="N6162" t="str">
        <f t="shared" si="192"/>
        <v>2. 1-24 hours</v>
      </c>
      <c r="O6162" t="str">
        <f t="shared" si="193"/>
        <v>2025-09</v>
      </c>
    </row>
    <row r="6163" spans="1:15" x14ac:dyDescent="0.3">
      <c r="A6163" t="s">
        <v>14496</v>
      </c>
      <c r="B6163" t="s">
        <v>14497</v>
      </c>
      <c r="C6163" t="s">
        <v>37</v>
      </c>
      <c r="D6163" t="s">
        <v>77</v>
      </c>
      <c r="E6163" t="s">
        <v>39</v>
      </c>
      <c r="F6163" t="s">
        <v>106</v>
      </c>
      <c r="G6163">
        <v>7.47</v>
      </c>
      <c r="H6163" t="s">
        <v>32</v>
      </c>
      <c r="I6163" t="s">
        <v>33</v>
      </c>
      <c r="K6163">
        <v>1147.9000000000001</v>
      </c>
      <c r="L6163" t="s">
        <v>14498</v>
      </c>
      <c r="M6163">
        <f>VLOOKUP(H6163,'Stage Order'!$A$2:$B$8,2,FALSE)</f>
        <v>7</v>
      </c>
      <c r="N6163" t="str">
        <f t="shared" si="192"/>
        <v>2. 1-24 hours</v>
      </c>
      <c r="O6163" t="str">
        <f t="shared" si="193"/>
        <v>2025-05</v>
      </c>
    </row>
    <row r="6164" spans="1:15" x14ac:dyDescent="0.3">
      <c r="A6164" t="s">
        <v>14499</v>
      </c>
      <c r="B6164" t="s">
        <v>14500</v>
      </c>
      <c r="C6164" t="s">
        <v>58</v>
      </c>
      <c r="D6164" t="s">
        <v>38</v>
      </c>
      <c r="E6164" t="s">
        <v>45</v>
      </c>
      <c r="F6164" t="s">
        <v>46</v>
      </c>
      <c r="G6164">
        <v>3.48</v>
      </c>
      <c r="H6164" t="s">
        <v>41</v>
      </c>
      <c r="I6164" t="s">
        <v>42</v>
      </c>
      <c r="M6164">
        <f>VLOOKUP(H6164,'Stage Order'!$A$2:$B$8,2,FALSE)</f>
        <v>2</v>
      </c>
      <c r="N6164" t="str">
        <f t="shared" si="192"/>
        <v>2. 1-24 hours</v>
      </c>
      <c r="O6164" t="str">
        <f t="shared" si="193"/>
        <v>2025-09</v>
      </c>
    </row>
    <row r="6165" spans="1:15" x14ac:dyDescent="0.3">
      <c r="A6165" t="s">
        <v>14501</v>
      </c>
      <c r="B6165" t="s">
        <v>14502</v>
      </c>
      <c r="C6165" t="s">
        <v>53</v>
      </c>
      <c r="D6165" t="s">
        <v>38</v>
      </c>
      <c r="E6165" t="s">
        <v>59</v>
      </c>
      <c r="F6165" t="s">
        <v>137</v>
      </c>
      <c r="G6165">
        <v>11.27</v>
      </c>
      <c r="H6165" t="s">
        <v>41</v>
      </c>
      <c r="I6165" t="s">
        <v>42</v>
      </c>
      <c r="M6165">
        <f>VLOOKUP(H6165,'Stage Order'!$A$2:$B$8,2,FALSE)</f>
        <v>2</v>
      </c>
      <c r="N6165" t="str">
        <f t="shared" si="192"/>
        <v>2. 1-24 hours</v>
      </c>
      <c r="O6165" t="str">
        <f t="shared" si="193"/>
        <v>2025-05</v>
      </c>
    </row>
    <row r="6166" spans="1:15" x14ac:dyDescent="0.3">
      <c r="A6166" t="s">
        <v>14503</v>
      </c>
      <c r="B6166" t="s">
        <v>14504</v>
      </c>
      <c r="C6166" t="s">
        <v>28</v>
      </c>
      <c r="D6166" t="s">
        <v>38</v>
      </c>
      <c r="E6166" t="s">
        <v>39</v>
      </c>
      <c r="F6166" t="s">
        <v>106</v>
      </c>
      <c r="G6166">
        <v>9.24</v>
      </c>
      <c r="H6166" t="s">
        <v>41</v>
      </c>
      <c r="I6166" t="s">
        <v>42</v>
      </c>
      <c r="M6166">
        <f>VLOOKUP(H6166,'Stage Order'!$A$2:$B$8,2,FALSE)</f>
        <v>2</v>
      </c>
      <c r="N6166" t="str">
        <f t="shared" si="192"/>
        <v>2. 1-24 hours</v>
      </c>
      <c r="O6166" t="str">
        <f t="shared" si="193"/>
        <v>2025-11</v>
      </c>
    </row>
    <row r="6167" spans="1:15" x14ac:dyDescent="0.3">
      <c r="A6167" t="s">
        <v>14505</v>
      </c>
      <c r="B6167" t="s">
        <v>14506</v>
      </c>
      <c r="C6167" t="s">
        <v>125</v>
      </c>
      <c r="D6167" t="s">
        <v>97</v>
      </c>
      <c r="E6167" t="s">
        <v>30</v>
      </c>
      <c r="F6167" t="s">
        <v>82</v>
      </c>
      <c r="G6167">
        <v>4.07</v>
      </c>
      <c r="H6167" t="s">
        <v>41</v>
      </c>
      <c r="I6167" t="s">
        <v>42</v>
      </c>
      <c r="M6167">
        <f>VLOOKUP(H6167,'Stage Order'!$A$2:$B$8,2,FALSE)</f>
        <v>2</v>
      </c>
      <c r="N6167" t="str">
        <f t="shared" si="192"/>
        <v>2. 1-24 hours</v>
      </c>
      <c r="O6167" t="str">
        <f t="shared" si="193"/>
        <v>2026-02</v>
      </c>
    </row>
    <row r="6168" spans="1:15" x14ac:dyDescent="0.3">
      <c r="A6168" t="s">
        <v>14507</v>
      </c>
      <c r="B6168" t="s">
        <v>14508</v>
      </c>
      <c r="C6168" t="s">
        <v>37</v>
      </c>
      <c r="D6168" t="s">
        <v>38</v>
      </c>
      <c r="E6168" t="s">
        <v>90</v>
      </c>
      <c r="F6168" t="s">
        <v>145</v>
      </c>
      <c r="G6168">
        <v>5.09</v>
      </c>
      <c r="H6168" t="s">
        <v>47</v>
      </c>
      <c r="I6168" t="s">
        <v>48</v>
      </c>
      <c r="J6168" t="s">
        <v>49</v>
      </c>
      <c r="K6168">
        <v>419.98</v>
      </c>
      <c r="L6168" t="s">
        <v>14509</v>
      </c>
      <c r="M6168">
        <f>VLOOKUP(H6168,'Stage Order'!$A$2:$B$8,2,FALSE)</f>
        <v>4</v>
      </c>
      <c r="N6168" t="str">
        <f t="shared" si="192"/>
        <v>2. 1-24 hours</v>
      </c>
      <c r="O6168" t="str">
        <f t="shared" si="193"/>
        <v>2025-12</v>
      </c>
    </row>
    <row r="6169" spans="1:15" x14ac:dyDescent="0.3">
      <c r="A6169" t="s">
        <v>14510</v>
      </c>
      <c r="B6169" t="s">
        <v>14511</v>
      </c>
      <c r="C6169" t="s">
        <v>76</v>
      </c>
      <c r="D6169" t="s">
        <v>77</v>
      </c>
      <c r="E6169" t="s">
        <v>45</v>
      </c>
      <c r="F6169" t="s">
        <v>55</v>
      </c>
      <c r="G6169">
        <v>1.49</v>
      </c>
      <c r="H6169" t="s">
        <v>41</v>
      </c>
      <c r="I6169" t="s">
        <v>42</v>
      </c>
      <c r="M6169">
        <f>VLOOKUP(H6169,'Stage Order'!$A$2:$B$8,2,FALSE)</f>
        <v>2</v>
      </c>
      <c r="N6169" t="str">
        <f t="shared" si="192"/>
        <v>2. 1-24 hours</v>
      </c>
      <c r="O6169" t="str">
        <f t="shared" si="193"/>
        <v>2025-02</v>
      </c>
    </row>
    <row r="6170" spans="1:15" x14ac:dyDescent="0.3">
      <c r="A6170" t="s">
        <v>14512</v>
      </c>
      <c r="B6170" t="s">
        <v>14513</v>
      </c>
      <c r="C6170" t="s">
        <v>28</v>
      </c>
      <c r="D6170" t="s">
        <v>29</v>
      </c>
      <c r="E6170" t="s">
        <v>59</v>
      </c>
      <c r="F6170" t="s">
        <v>117</v>
      </c>
      <c r="G6170">
        <v>1.37</v>
      </c>
      <c r="H6170" t="s">
        <v>32</v>
      </c>
      <c r="I6170" t="s">
        <v>33</v>
      </c>
      <c r="K6170">
        <v>757.62</v>
      </c>
      <c r="L6170" t="s">
        <v>14514</v>
      </c>
      <c r="M6170">
        <f>VLOOKUP(H6170,'Stage Order'!$A$2:$B$8,2,FALSE)</f>
        <v>7</v>
      </c>
      <c r="N6170" t="str">
        <f t="shared" si="192"/>
        <v>2. 1-24 hours</v>
      </c>
      <c r="O6170" t="str">
        <f t="shared" si="193"/>
        <v>2025-08</v>
      </c>
    </row>
    <row r="6171" spans="1:15" x14ac:dyDescent="0.3">
      <c r="A6171" t="s">
        <v>14515</v>
      </c>
      <c r="B6171" t="s">
        <v>14516</v>
      </c>
      <c r="C6171" t="s">
        <v>28</v>
      </c>
      <c r="D6171" t="s">
        <v>54</v>
      </c>
      <c r="E6171" t="s">
        <v>59</v>
      </c>
      <c r="F6171" t="s">
        <v>117</v>
      </c>
      <c r="G6171">
        <v>4.5199999999999996</v>
      </c>
      <c r="H6171" t="s">
        <v>32</v>
      </c>
      <c r="I6171" t="s">
        <v>33</v>
      </c>
      <c r="K6171">
        <v>525.49</v>
      </c>
      <c r="L6171" t="s">
        <v>14517</v>
      </c>
      <c r="M6171">
        <f>VLOOKUP(H6171,'Stage Order'!$A$2:$B$8,2,FALSE)</f>
        <v>7</v>
      </c>
      <c r="N6171" t="str">
        <f t="shared" si="192"/>
        <v>2. 1-24 hours</v>
      </c>
      <c r="O6171" t="str">
        <f t="shared" si="193"/>
        <v>2025-03</v>
      </c>
    </row>
    <row r="6172" spans="1:15" x14ac:dyDescent="0.3">
      <c r="A6172" t="s">
        <v>14518</v>
      </c>
      <c r="B6172" t="s">
        <v>14519</v>
      </c>
      <c r="C6172" t="s">
        <v>37</v>
      </c>
      <c r="D6172" t="s">
        <v>54</v>
      </c>
      <c r="E6172" t="s">
        <v>39</v>
      </c>
      <c r="F6172" t="s">
        <v>66</v>
      </c>
      <c r="G6172">
        <v>3.02</v>
      </c>
      <c r="H6172" t="s">
        <v>61</v>
      </c>
      <c r="I6172" t="s">
        <v>42</v>
      </c>
      <c r="M6172">
        <f>VLOOKUP(H6172,'Stage Order'!$A$2:$B$8,2,FALSE)</f>
        <v>1</v>
      </c>
      <c r="N6172" t="str">
        <f t="shared" si="192"/>
        <v>2. 1-24 hours</v>
      </c>
      <c r="O6172" t="str">
        <f t="shared" si="193"/>
        <v>2026-04</v>
      </c>
    </row>
    <row r="6173" spans="1:15" x14ac:dyDescent="0.3">
      <c r="A6173" t="s">
        <v>14520</v>
      </c>
      <c r="B6173" t="s">
        <v>14448</v>
      </c>
      <c r="C6173" t="s">
        <v>37</v>
      </c>
      <c r="D6173" t="s">
        <v>29</v>
      </c>
      <c r="E6173" t="s">
        <v>39</v>
      </c>
      <c r="F6173" t="s">
        <v>40</v>
      </c>
      <c r="G6173">
        <v>12.67</v>
      </c>
      <c r="H6173" t="s">
        <v>146</v>
      </c>
      <c r="I6173" t="s">
        <v>48</v>
      </c>
      <c r="J6173" t="s">
        <v>113</v>
      </c>
      <c r="K6173">
        <v>528.33000000000004</v>
      </c>
      <c r="L6173" t="s">
        <v>14521</v>
      </c>
      <c r="M6173">
        <f>VLOOKUP(H6173,'Stage Order'!$A$2:$B$8,2,FALSE)</f>
        <v>5</v>
      </c>
      <c r="N6173" t="str">
        <f t="shared" si="192"/>
        <v>2. 1-24 hours</v>
      </c>
      <c r="O6173" t="str">
        <f t="shared" si="193"/>
        <v>2026-01</v>
      </c>
    </row>
    <row r="6174" spans="1:15" x14ac:dyDescent="0.3">
      <c r="A6174" t="s">
        <v>14522</v>
      </c>
      <c r="B6174" t="s">
        <v>14523</v>
      </c>
      <c r="C6174" t="s">
        <v>28</v>
      </c>
      <c r="D6174" t="s">
        <v>77</v>
      </c>
      <c r="E6174" t="s">
        <v>39</v>
      </c>
      <c r="F6174" t="s">
        <v>66</v>
      </c>
      <c r="G6174">
        <v>3.62</v>
      </c>
      <c r="H6174" t="s">
        <v>41</v>
      </c>
      <c r="I6174" t="s">
        <v>42</v>
      </c>
      <c r="M6174">
        <f>VLOOKUP(H6174,'Stage Order'!$A$2:$B$8,2,FALSE)</f>
        <v>2</v>
      </c>
      <c r="N6174" t="str">
        <f t="shared" si="192"/>
        <v>2. 1-24 hours</v>
      </c>
      <c r="O6174" t="str">
        <f t="shared" si="193"/>
        <v>2025-05</v>
      </c>
    </row>
    <row r="6175" spans="1:15" x14ac:dyDescent="0.3">
      <c r="A6175" t="s">
        <v>14524</v>
      </c>
      <c r="B6175" t="s">
        <v>14525</v>
      </c>
      <c r="C6175" t="s">
        <v>81</v>
      </c>
      <c r="D6175" t="s">
        <v>54</v>
      </c>
      <c r="E6175" t="s">
        <v>45</v>
      </c>
      <c r="F6175" t="s">
        <v>55</v>
      </c>
      <c r="G6175">
        <v>1.81</v>
      </c>
      <c r="H6175" t="s">
        <v>61</v>
      </c>
      <c r="I6175" t="s">
        <v>42</v>
      </c>
      <c r="M6175">
        <f>VLOOKUP(H6175,'Stage Order'!$A$2:$B$8,2,FALSE)</f>
        <v>1</v>
      </c>
      <c r="N6175" t="str">
        <f t="shared" si="192"/>
        <v>2. 1-24 hours</v>
      </c>
      <c r="O6175" t="str">
        <f t="shared" si="193"/>
        <v>2025-08</v>
      </c>
    </row>
    <row r="6176" spans="1:15" x14ac:dyDescent="0.3">
      <c r="A6176" t="s">
        <v>14526</v>
      </c>
      <c r="B6176" t="s">
        <v>14527</v>
      </c>
      <c r="C6176" t="s">
        <v>37</v>
      </c>
      <c r="D6176" t="s">
        <v>29</v>
      </c>
      <c r="E6176" t="s">
        <v>30</v>
      </c>
      <c r="F6176" t="s">
        <v>82</v>
      </c>
      <c r="G6176">
        <v>2.36</v>
      </c>
      <c r="H6176" t="s">
        <v>138</v>
      </c>
      <c r="I6176" t="s">
        <v>48</v>
      </c>
      <c r="J6176" t="s">
        <v>139</v>
      </c>
      <c r="K6176">
        <v>671.05</v>
      </c>
      <c r="L6176" t="s">
        <v>14528</v>
      </c>
      <c r="M6176">
        <f>VLOOKUP(H6176,'Stage Order'!$A$2:$B$8,2,FALSE)</f>
        <v>6</v>
      </c>
      <c r="N6176" t="str">
        <f t="shared" si="192"/>
        <v>2. 1-24 hours</v>
      </c>
      <c r="O6176" t="str">
        <f t="shared" si="193"/>
        <v>2025-02</v>
      </c>
    </row>
    <row r="6177" spans="1:15" x14ac:dyDescent="0.3">
      <c r="A6177" t="s">
        <v>14529</v>
      </c>
      <c r="B6177" t="s">
        <v>14530</v>
      </c>
      <c r="C6177" t="s">
        <v>58</v>
      </c>
      <c r="D6177" t="s">
        <v>38</v>
      </c>
      <c r="E6177" t="s">
        <v>90</v>
      </c>
      <c r="F6177" t="s">
        <v>145</v>
      </c>
      <c r="G6177">
        <v>2.14</v>
      </c>
      <c r="H6177" t="s">
        <v>41</v>
      </c>
      <c r="I6177" t="s">
        <v>42</v>
      </c>
      <c r="M6177">
        <f>VLOOKUP(H6177,'Stage Order'!$A$2:$B$8,2,FALSE)</f>
        <v>2</v>
      </c>
      <c r="N6177" t="str">
        <f t="shared" si="192"/>
        <v>2. 1-24 hours</v>
      </c>
      <c r="O6177" t="str">
        <f t="shared" si="193"/>
        <v>2026-03</v>
      </c>
    </row>
    <row r="6178" spans="1:15" x14ac:dyDescent="0.3">
      <c r="A6178" t="s">
        <v>14531</v>
      </c>
      <c r="B6178" t="s">
        <v>14532</v>
      </c>
      <c r="C6178" t="s">
        <v>53</v>
      </c>
      <c r="D6178" t="s">
        <v>29</v>
      </c>
      <c r="E6178" t="s">
        <v>39</v>
      </c>
      <c r="F6178" t="s">
        <v>106</v>
      </c>
      <c r="G6178">
        <v>1.95</v>
      </c>
      <c r="H6178" t="s">
        <v>32</v>
      </c>
      <c r="I6178" t="s">
        <v>33</v>
      </c>
      <c r="K6178">
        <v>638.53</v>
      </c>
      <c r="L6178" t="s">
        <v>14533</v>
      </c>
      <c r="M6178">
        <f>VLOOKUP(H6178,'Stage Order'!$A$2:$B$8,2,FALSE)</f>
        <v>7</v>
      </c>
      <c r="N6178" t="str">
        <f t="shared" si="192"/>
        <v>2. 1-24 hours</v>
      </c>
      <c r="O6178" t="str">
        <f t="shared" si="193"/>
        <v>2026-06</v>
      </c>
    </row>
    <row r="6179" spans="1:15" x14ac:dyDescent="0.3">
      <c r="A6179" t="s">
        <v>14534</v>
      </c>
      <c r="B6179" t="s">
        <v>14535</v>
      </c>
      <c r="C6179" t="s">
        <v>28</v>
      </c>
      <c r="D6179" t="s">
        <v>29</v>
      </c>
      <c r="E6179" t="s">
        <v>59</v>
      </c>
      <c r="F6179" t="s">
        <v>117</v>
      </c>
      <c r="G6179">
        <v>7.58</v>
      </c>
      <c r="H6179" t="s">
        <v>32</v>
      </c>
      <c r="I6179" t="s">
        <v>33</v>
      </c>
      <c r="K6179">
        <v>570.27</v>
      </c>
      <c r="L6179" t="s">
        <v>14536</v>
      </c>
      <c r="M6179">
        <f>VLOOKUP(H6179,'Stage Order'!$A$2:$B$8,2,FALSE)</f>
        <v>7</v>
      </c>
      <c r="N6179" t="str">
        <f t="shared" si="192"/>
        <v>2. 1-24 hours</v>
      </c>
      <c r="O6179" t="str">
        <f t="shared" si="193"/>
        <v>2025-12</v>
      </c>
    </row>
    <row r="6180" spans="1:15" x14ac:dyDescent="0.3">
      <c r="A6180" t="s">
        <v>14537</v>
      </c>
      <c r="B6180" t="s">
        <v>14538</v>
      </c>
      <c r="C6180" t="s">
        <v>125</v>
      </c>
      <c r="D6180" t="s">
        <v>77</v>
      </c>
      <c r="E6180" t="s">
        <v>90</v>
      </c>
      <c r="F6180" t="s">
        <v>145</v>
      </c>
      <c r="G6180">
        <v>3.48</v>
      </c>
      <c r="H6180" t="s">
        <v>128</v>
      </c>
      <c r="I6180" t="s">
        <v>42</v>
      </c>
      <c r="M6180">
        <f>VLOOKUP(H6180,'Stage Order'!$A$2:$B$8,2,FALSE)</f>
        <v>3</v>
      </c>
      <c r="N6180" t="str">
        <f t="shared" si="192"/>
        <v>2. 1-24 hours</v>
      </c>
      <c r="O6180" t="str">
        <f t="shared" si="193"/>
        <v>2026-01</v>
      </c>
    </row>
    <row r="6181" spans="1:15" x14ac:dyDescent="0.3">
      <c r="A6181" t="s">
        <v>14539</v>
      </c>
      <c r="B6181" t="s">
        <v>14540</v>
      </c>
      <c r="C6181" t="s">
        <v>37</v>
      </c>
      <c r="D6181" t="s">
        <v>29</v>
      </c>
      <c r="E6181" t="s">
        <v>59</v>
      </c>
      <c r="F6181" t="s">
        <v>60</v>
      </c>
      <c r="G6181">
        <v>7.76</v>
      </c>
      <c r="H6181" t="s">
        <v>41</v>
      </c>
      <c r="I6181" t="s">
        <v>42</v>
      </c>
      <c r="M6181">
        <f>VLOOKUP(H6181,'Stage Order'!$A$2:$B$8,2,FALSE)</f>
        <v>2</v>
      </c>
      <c r="N6181" t="str">
        <f t="shared" si="192"/>
        <v>2. 1-24 hours</v>
      </c>
      <c r="O6181" t="str">
        <f t="shared" si="193"/>
        <v>2026-02</v>
      </c>
    </row>
    <row r="6182" spans="1:15" x14ac:dyDescent="0.3">
      <c r="A6182" t="s">
        <v>14541</v>
      </c>
      <c r="B6182" t="s">
        <v>14542</v>
      </c>
      <c r="C6182" t="s">
        <v>125</v>
      </c>
      <c r="D6182" t="s">
        <v>54</v>
      </c>
      <c r="E6182" t="s">
        <v>45</v>
      </c>
      <c r="F6182" t="s">
        <v>55</v>
      </c>
      <c r="G6182">
        <v>1</v>
      </c>
      <c r="H6182" t="s">
        <v>47</v>
      </c>
      <c r="I6182" t="s">
        <v>48</v>
      </c>
      <c r="J6182" t="s">
        <v>49</v>
      </c>
      <c r="K6182">
        <v>508.4</v>
      </c>
      <c r="L6182" t="s">
        <v>14543</v>
      </c>
      <c r="M6182">
        <f>VLOOKUP(H6182,'Stage Order'!$A$2:$B$8,2,FALSE)</f>
        <v>4</v>
      </c>
      <c r="N6182" t="str">
        <f t="shared" si="192"/>
        <v>1. Under 1 hour</v>
      </c>
      <c r="O6182" t="str">
        <f t="shared" si="193"/>
        <v>2026-06</v>
      </c>
    </row>
    <row r="6183" spans="1:15" x14ac:dyDescent="0.3">
      <c r="A6183" t="s">
        <v>14544</v>
      </c>
      <c r="B6183" t="s">
        <v>14545</v>
      </c>
      <c r="C6183" t="s">
        <v>28</v>
      </c>
      <c r="D6183" t="s">
        <v>38</v>
      </c>
      <c r="E6183" t="s">
        <v>90</v>
      </c>
      <c r="F6183" t="s">
        <v>145</v>
      </c>
      <c r="G6183">
        <v>2.99</v>
      </c>
      <c r="H6183" t="s">
        <v>41</v>
      </c>
      <c r="I6183" t="s">
        <v>42</v>
      </c>
      <c r="M6183">
        <f>VLOOKUP(H6183,'Stage Order'!$A$2:$B$8,2,FALSE)</f>
        <v>2</v>
      </c>
      <c r="N6183" t="str">
        <f t="shared" si="192"/>
        <v>2. 1-24 hours</v>
      </c>
      <c r="O6183" t="str">
        <f t="shared" si="193"/>
        <v>2025-05</v>
      </c>
    </row>
    <row r="6184" spans="1:15" x14ac:dyDescent="0.3">
      <c r="A6184" t="s">
        <v>14546</v>
      </c>
      <c r="B6184" t="s">
        <v>14547</v>
      </c>
      <c r="C6184" t="s">
        <v>53</v>
      </c>
      <c r="D6184" t="s">
        <v>29</v>
      </c>
      <c r="E6184" t="s">
        <v>39</v>
      </c>
      <c r="F6184" t="s">
        <v>40</v>
      </c>
      <c r="G6184">
        <v>4.8499999999999996</v>
      </c>
      <c r="H6184" t="s">
        <v>138</v>
      </c>
      <c r="I6184" t="s">
        <v>48</v>
      </c>
      <c r="J6184" t="s">
        <v>98</v>
      </c>
      <c r="K6184">
        <v>649.12</v>
      </c>
      <c r="L6184" t="s">
        <v>14548</v>
      </c>
      <c r="M6184">
        <f>VLOOKUP(H6184,'Stage Order'!$A$2:$B$8,2,FALSE)</f>
        <v>6</v>
      </c>
      <c r="N6184" t="str">
        <f t="shared" si="192"/>
        <v>2. 1-24 hours</v>
      </c>
      <c r="O6184" t="str">
        <f t="shared" si="193"/>
        <v>2025-11</v>
      </c>
    </row>
    <row r="6185" spans="1:15" x14ac:dyDescent="0.3">
      <c r="A6185" t="s">
        <v>14549</v>
      </c>
      <c r="B6185" t="s">
        <v>14550</v>
      </c>
      <c r="C6185" t="s">
        <v>125</v>
      </c>
      <c r="D6185" t="s">
        <v>77</v>
      </c>
      <c r="E6185" t="s">
        <v>39</v>
      </c>
      <c r="F6185" t="s">
        <v>106</v>
      </c>
      <c r="G6185">
        <v>1.08</v>
      </c>
      <c r="H6185" t="s">
        <v>41</v>
      </c>
      <c r="I6185" t="s">
        <v>42</v>
      </c>
      <c r="M6185">
        <f>VLOOKUP(H6185,'Stage Order'!$A$2:$B$8,2,FALSE)</f>
        <v>2</v>
      </c>
      <c r="N6185" t="str">
        <f t="shared" si="192"/>
        <v>2. 1-24 hours</v>
      </c>
      <c r="O6185" t="str">
        <f t="shared" si="193"/>
        <v>2025-01</v>
      </c>
    </row>
    <row r="6186" spans="1:15" x14ac:dyDescent="0.3">
      <c r="A6186" t="s">
        <v>14551</v>
      </c>
      <c r="B6186" t="s">
        <v>14552</v>
      </c>
      <c r="C6186" t="s">
        <v>58</v>
      </c>
      <c r="D6186" t="s">
        <v>54</v>
      </c>
      <c r="E6186" t="s">
        <v>59</v>
      </c>
      <c r="F6186" t="s">
        <v>137</v>
      </c>
      <c r="G6186">
        <v>2.37</v>
      </c>
      <c r="H6186" t="s">
        <v>47</v>
      </c>
      <c r="I6186" t="s">
        <v>48</v>
      </c>
      <c r="J6186" t="s">
        <v>139</v>
      </c>
      <c r="K6186">
        <v>550.12</v>
      </c>
      <c r="L6186" t="s">
        <v>14553</v>
      </c>
      <c r="M6186">
        <f>VLOOKUP(H6186,'Stage Order'!$A$2:$B$8,2,FALSE)</f>
        <v>4</v>
      </c>
      <c r="N6186" t="str">
        <f t="shared" si="192"/>
        <v>2. 1-24 hours</v>
      </c>
      <c r="O6186" t="str">
        <f t="shared" si="193"/>
        <v>2026-06</v>
      </c>
    </row>
    <row r="6187" spans="1:15" x14ac:dyDescent="0.3">
      <c r="A6187" t="s">
        <v>14554</v>
      </c>
      <c r="B6187" t="s">
        <v>14555</v>
      </c>
      <c r="C6187" t="s">
        <v>37</v>
      </c>
      <c r="D6187" t="s">
        <v>97</v>
      </c>
      <c r="E6187" t="s">
        <v>90</v>
      </c>
      <c r="F6187" t="s">
        <v>91</v>
      </c>
      <c r="G6187">
        <v>1.41</v>
      </c>
      <c r="H6187" t="s">
        <v>41</v>
      </c>
      <c r="I6187" t="s">
        <v>42</v>
      </c>
      <c r="M6187">
        <f>VLOOKUP(H6187,'Stage Order'!$A$2:$B$8,2,FALSE)</f>
        <v>2</v>
      </c>
      <c r="N6187" t="str">
        <f t="shared" si="192"/>
        <v>2. 1-24 hours</v>
      </c>
      <c r="O6187" t="str">
        <f t="shared" si="193"/>
        <v>2026-06</v>
      </c>
    </row>
    <row r="6188" spans="1:15" x14ac:dyDescent="0.3">
      <c r="A6188" t="s">
        <v>14556</v>
      </c>
      <c r="B6188" t="s">
        <v>14557</v>
      </c>
      <c r="C6188" t="s">
        <v>37</v>
      </c>
      <c r="D6188" t="s">
        <v>54</v>
      </c>
      <c r="E6188" t="s">
        <v>45</v>
      </c>
      <c r="F6188" t="s">
        <v>55</v>
      </c>
      <c r="G6188">
        <v>1.17</v>
      </c>
      <c r="H6188" t="s">
        <v>138</v>
      </c>
      <c r="I6188" t="s">
        <v>48</v>
      </c>
      <c r="J6188" t="s">
        <v>139</v>
      </c>
      <c r="K6188">
        <v>455.41</v>
      </c>
      <c r="L6188" t="s">
        <v>14558</v>
      </c>
      <c r="M6188">
        <f>VLOOKUP(H6188,'Stage Order'!$A$2:$B$8,2,FALSE)</f>
        <v>6</v>
      </c>
      <c r="N6188" t="str">
        <f t="shared" si="192"/>
        <v>2. 1-24 hours</v>
      </c>
      <c r="O6188" t="str">
        <f t="shared" si="193"/>
        <v>2025-07</v>
      </c>
    </row>
    <row r="6189" spans="1:15" x14ac:dyDescent="0.3">
      <c r="A6189" t="s">
        <v>14559</v>
      </c>
      <c r="B6189" t="s">
        <v>14560</v>
      </c>
      <c r="C6189" t="s">
        <v>81</v>
      </c>
      <c r="D6189" t="s">
        <v>54</v>
      </c>
      <c r="E6189" t="s">
        <v>59</v>
      </c>
      <c r="F6189" t="s">
        <v>60</v>
      </c>
      <c r="G6189">
        <v>2.48</v>
      </c>
      <c r="H6189" t="s">
        <v>41</v>
      </c>
      <c r="I6189" t="s">
        <v>42</v>
      </c>
      <c r="M6189">
        <f>VLOOKUP(H6189,'Stage Order'!$A$2:$B$8,2,FALSE)</f>
        <v>2</v>
      </c>
      <c r="N6189" t="str">
        <f t="shared" si="192"/>
        <v>2. 1-24 hours</v>
      </c>
      <c r="O6189" t="str">
        <f t="shared" si="193"/>
        <v>2025-07</v>
      </c>
    </row>
    <row r="6190" spans="1:15" x14ac:dyDescent="0.3">
      <c r="A6190" t="s">
        <v>14561</v>
      </c>
      <c r="B6190" t="s">
        <v>14562</v>
      </c>
      <c r="C6190" t="s">
        <v>58</v>
      </c>
      <c r="D6190" t="s">
        <v>97</v>
      </c>
      <c r="E6190" t="s">
        <v>39</v>
      </c>
      <c r="F6190" t="s">
        <v>106</v>
      </c>
      <c r="G6190">
        <v>2.8</v>
      </c>
      <c r="H6190" t="s">
        <v>47</v>
      </c>
      <c r="I6190" t="s">
        <v>48</v>
      </c>
      <c r="J6190" t="s">
        <v>113</v>
      </c>
      <c r="K6190">
        <v>1246.33</v>
      </c>
      <c r="L6190" t="s">
        <v>14563</v>
      </c>
      <c r="M6190">
        <f>VLOOKUP(H6190,'Stage Order'!$A$2:$B$8,2,FALSE)</f>
        <v>4</v>
      </c>
      <c r="N6190" t="str">
        <f t="shared" si="192"/>
        <v>2. 1-24 hours</v>
      </c>
      <c r="O6190" t="str">
        <f t="shared" si="193"/>
        <v>2025-06</v>
      </c>
    </row>
    <row r="6191" spans="1:15" x14ac:dyDescent="0.3">
      <c r="A6191" t="s">
        <v>14564</v>
      </c>
      <c r="B6191" t="s">
        <v>14565</v>
      </c>
      <c r="C6191" t="s">
        <v>53</v>
      </c>
      <c r="D6191" t="s">
        <v>97</v>
      </c>
      <c r="E6191" t="s">
        <v>45</v>
      </c>
      <c r="F6191" t="s">
        <v>46</v>
      </c>
      <c r="G6191">
        <v>2.25</v>
      </c>
      <c r="H6191" t="s">
        <v>32</v>
      </c>
      <c r="I6191" t="s">
        <v>33</v>
      </c>
      <c r="K6191">
        <v>1426.05</v>
      </c>
      <c r="L6191" t="s">
        <v>14566</v>
      </c>
      <c r="M6191">
        <f>VLOOKUP(H6191,'Stage Order'!$A$2:$B$8,2,FALSE)</f>
        <v>7</v>
      </c>
      <c r="N6191" t="str">
        <f t="shared" si="192"/>
        <v>2. 1-24 hours</v>
      </c>
      <c r="O6191" t="str">
        <f t="shared" si="193"/>
        <v>2026-01</v>
      </c>
    </row>
    <row r="6192" spans="1:15" x14ac:dyDescent="0.3">
      <c r="A6192" t="s">
        <v>14567</v>
      </c>
      <c r="B6192" t="s">
        <v>14568</v>
      </c>
      <c r="C6192" t="s">
        <v>125</v>
      </c>
      <c r="D6192" t="s">
        <v>29</v>
      </c>
      <c r="E6192" t="s">
        <v>59</v>
      </c>
      <c r="F6192" t="s">
        <v>60</v>
      </c>
      <c r="G6192">
        <v>1.58</v>
      </c>
      <c r="H6192" t="s">
        <v>41</v>
      </c>
      <c r="I6192" t="s">
        <v>42</v>
      </c>
      <c r="M6192">
        <f>VLOOKUP(H6192,'Stage Order'!$A$2:$B$8,2,FALSE)</f>
        <v>2</v>
      </c>
      <c r="N6192" t="str">
        <f t="shared" si="192"/>
        <v>2. 1-24 hours</v>
      </c>
      <c r="O6192" t="str">
        <f t="shared" si="193"/>
        <v>2026-04</v>
      </c>
    </row>
    <row r="6193" spans="1:15" x14ac:dyDescent="0.3">
      <c r="A6193" t="s">
        <v>14569</v>
      </c>
      <c r="B6193" t="s">
        <v>14570</v>
      </c>
      <c r="C6193" t="s">
        <v>58</v>
      </c>
      <c r="D6193" t="s">
        <v>38</v>
      </c>
      <c r="E6193" t="s">
        <v>90</v>
      </c>
      <c r="F6193" t="s">
        <v>112</v>
      </c>
      <c r="G6193">
        <v>3.36</v>
      </c>
      <c r="H6193" t="s">
        <v>61</v>
      </c>
      <c r="I6193" t="s">
        <v>42</v>
      </c>
      <c r="M6193">
        <f>VLOOKUP(H6193,'Stage Order'!$A$2:$B$8,2,FALSE)</f>
        <v>1</v>
      </c>
      <c r="N6193" t="str">
        <f t="shared" si="192"/>
        <v>2. 1-24 hours</v>
      </c>
      <c r="O6193" t="str">
        <f t="shared" si="193"/>
        <v>2026-04</v>
      </c>
    </row>
    <row r="6194" spans="1:15" x14ac:dyDescent="0.3">
      <c r="A6194" t="s">
        <v>14571</v>
      </c>
      <c r="B6194" t="s">
        <v>14572</v>
      </c>
      <c r="C6194" t="s">
        <v>58</v>
      </c>
      <c r="D6194" t="s">
        <v>54</v>
      </c>
      <c r="E6194" t="s">
        <v>90</v>
      </c>
      <c r="F6194" t="s">
        <v>91</v>
      </c>
      <c r="G6194">
        <v>3.02</v>
      </c>
      <c r="H6194" t="s">
        <v>32</v>
      </c>
      <c r="I6194" t="s">
        <v>33</v>
      </c>
      <c r="K6194">
        <v>502.89</v>
      </c>
      <c r="L6194" t="s">
        <v>14573</v>
      </c>
      <c r="M6194">
        <f>VLOOKUP(H6194,'Stage Order'!$A$2:$B$8,2,FALSE)</f>
        <v>7</v>
      </c>
      <c r="N6194" t="str">
        <f t="shared" si="192"/>
        <v>2. 1-24 hours</v>
      </c>
      <c r="O6194" t="str">
        <f t="shared" si="193"/>
        <v>2025-04</v>
      </c>
    </row>
    <row r="6195" spans="1:15" x14ac:dyDescent="0.3">
      <c r="A6195" t="s">
        <v>14574</v>
      </c>
      <c r="B6195" t="s">
        <v>14575</v>
      </c>
      <c r="C6195" t="s">
        <v>76</v>
      </c>
      <c r="D6195" t="s">
        <v>54</v>
      </c>
      <c r="E6195" t="s">
        <v>45</v>
      </c>
      <c r="F6195" t="s">
        <v>55</v>
      </c>
      <c r="G6195">
        <v>2.73</v>
      </c>
      <c r="H6195" t="s">
        <v>138</v>
      </c>
      <c r="I6195" t="s">
        <v>48</v>
      </c>
      <c r="J6195" t="s">
        <v>139</v>
      </c>
      <c r="K6195">
        <v>532</v>
      </c>
      <c r="L6195" t="s">
        <v>14576</v>
      </c>
      <c r="M6195">
        <f>VLOOKUP(H6195,'Stage Order'!$A$2:$B$8,2,FALSE)</f>
        <v>6</v>
      </c>
      <c r="N6195" t="str">
        <f t="shared" si="192"/>
        <v>2. 1-24 hours</v>
      </c>
      <c r="O6195" t="str">
        <f t="shared" si="193"/>
        <v>2026-03</v>
      </c>
    </row>
    <row r="6196" spans="1:15" x14ac:dyDescent="0.3">
      <c r="A6196" t="s">
        <v>14577</v>
      </c>
      <c r="B6196" t="s">
        <v>14578</v>
      </c>
      <c r="C6196" t="s">
        <v>76</v>
      </c>
      <c r="D6196" t="s">
        <v>29</v>
      </c>
      <c r="E6196" t="s">
        <v>59</v>
      </c>
      <c r="F6196" t="s">
        <v>117</v>
      </c>
      <c r="G6196">
        <v>2.36</v>
      </c>
      <c r="H6196" t="s">
        <v>32</v>
      </c>
      <c r="I6196" t="s">
        <v>33</v>
      </c>
      <c r="K6196">
        <v>629.65</v>
      </c>
      <c r="L6196" t="s">
        <v>14579</v>
      </c>
      <c r="M6196">
        <f>VLOOKUP(H6196,'Stage Order'!$A$2:$B$8,2,FALSE)</f>
        <v>7</v>
      </c>
      <c r="N6196" t="str">
        <f t="shared" si="192"/>
        <v>2. 1-24 hours</v>
      </c>
      <c r="O6196" t="str">
        <f t="shared" si="193"/>
        <v>2025-06</v>
      </c>
    </row>
    <row r="6197" spans="1:15" x14ac:dyDescent="0.3">
      <c r="A6197" t="s">
        <v>14580</v>
      </c>
      <c r="B6197" t="s">
        <v>14581</v>
      </c>
      <c r="C6197" t="s">
        <v>76</v>
      </c>
      <c r="D6197" t="s">
        <v>38</v>
      </c>
      <c r="E6197" t="s">
        <v>39</v>
      </c>
      <c r="F6197" t="s">
        <v>40</v>
      </c>
      <c r="G6197">
        <v>5.17</v>
      </c>
      <c r="H6197" t="s">
        <v>61</v>
      </c>
      <c r="I6197" t="s">
        <v>42</v>
      </c>
      <c r="M6197">
        <f>VLOOKUP(H6197,'Stage Order'!$A$2:$B$8,2,FALSE)</f>
        <v>1</v>
      </c>
      <c r="N6197" t="str">
        <f t="shared" si="192"/>
        <v>2. 1-24 hours</v>
      </c>
      <c r="O6197" t="str">
        <f t="shared" si="193"/>
        <v>2026-01</v>
      </c>
    </row>
    <row r="6198" spans="1:15" x14ac:dyDescent="0.3">
      <c r="A6198" t="s">
        <v>14582</v>
      </c>
      <c r="B6198" t="s">
        <v>14583</v>
      </c>
      <c r="C6198" t="s">
        <v>125</v>
      </c>
      <c r="D6198" t="s">
        <v>77</v>
      </c>
      <c r="E6198" t="s">
        <v>45</v>
      </c>
      <c r="F6198" t="s">
        <v>55</v>
      </c>
      <c r="G6198">
        <v>1.78</v>
      </c>
      <c r="H6198" t="s">
        <v>41</v>
      </c>
      <c r="I6198" t="s">
        <v>42</v>
      </c>
      <c r="M6198">
        <f>VLOOKUP(H6198,'Stage Order'!$A$2:$B$8,2,FALSE)</f>
        <v>2</v>
      </c>
      <c r="N6198" t="str">
        <f t="shared" si="192"/>
        <v>2. 1-24 hours</v>
      </c>
      <c r="O6198" t="str">
        <f t="shared" si="193"/>
        <v>2026-04</v>
      </c>
    </row>
    <row r="6199" spans="1:15" x14ac:dyDescent="0.3">
      <c r="A6199" t="s">
        <v>14584</v>
      </c>
      <c r="B6199" t="s">
        <v>14585</v>
      </c>
      <c r="C6199" t="s">
        <v>37</v>
      </c>
      <c r="D6199" t="s">
        <v>54</v>
      </c>
      <c r="E6199" t="s">
        <v>30</v>
      </c>
      <c r="F6199" t="s">
        <v>78</v>
      </c>
      <c r="G6199">
        <v>1.21</v>
      </c>
      <c r="H6199" t="s">
        <v>41</v>
      </c>
      <c r="I6199" t="s">
        <v>42</v>
      </c>
      <c r="M6199">
        <f>VLOOKUP(H6199,'Stage Order'!$A$2:$B$8,2,FALSE)</f>
        <v>2</v>
      </c>
      <c r="N6199" t="str">
        <f t="shared" si="192"/>
        <v>2. 1-24 hours</v>
      </c>
      <c r="O6199" t="str">
        <f t="shared" si="193"/>
        <v>2025-03</v>
      </c>
    </row>
    <row r="6200" spans="1:15" x14ac:dyDescent="0.3">
      <c r="A6200" t="s">
        <v>14586</v>
      </c>
      <c r="B6200" t="s">
        <v>14587</v>
      </c>
      <c r="C6200" t="s">
        <v>58</v>
      </c>
      <c r="D6200" t="s">
        <v>54</v>
      </c>
      <c r="E6200" t="s">
        <v>39</v>
      </c>
      <c r="F6200" t="s">
        <v>40</v>
      </c>
      <c r="G6200">
        <v>10.09</v>
      </c>
      <c r="H6200" t="s">
        <v>41</v>
      </c>
      <c r="I6200" t="s">
        <v>42</v>
      </c>
      <c r="M6200">
        <f>VLOOKUP(H6200,'Stage Order'!$A$2:$B$8,2,FALSE)</f>
        <v>2</v>
      </c>
      <c r="N6200" t="str">
        <f t="shared" si="192"/>
        <v>2. 1-24 hours</v>
      </c>
      <c r="O6200" t="str">
        <f t="shared" si="193"/>
        <v>2026-01</v>
      </c>
    </row>
    <row r="6201" spans="1:15" x14ac:dyDescent="0.3">
      <c r="A6201" t="s">
        <v>14588</v>
      </c>
      <c r="B6201" t="s">
        <v>14589</v>
      </c>
      <c r="C6201" t="s">
        <v>125</v>
      </c>
      <c r="D6201" t="s">
        <v>77</v>
      </c>
      <c r="E6201" t="s">
        <v>45</v>
      </c>
      <c r="F6201" t="s">
        <v>55</v>
      </c>
      <c r="G6201">
        <v>8.99</v>
      </c>
      <c r="H6201" t="s">
        <v>41</v>
      </c>
      <c r="I6201" t="s">
        <v>42</v>
      </c>
      <c r="M6201">
        <f>VLOOKUP(H6201,'Stage Order'!$A$2:$B$8,2,FALSE)</f>
        <v>2</v>
      </c>
      <c r="N6201" t="str">
        <f t="shared" si="192"/>
        <v>2. 1-24 hours</v>
      </c>
      <c r="O6201" t="str">
        <f t="shared" si="193"/>
        <v>2025-09</v>
      </c>
    </row>
    <row r="6202" spans="1:15" x14ac:dyDescent="0.3">
      <c r="A6202" t="s">
        <v>14590</v>
      </c>
      <c r="B6202" t="s">
        <v>14591</v>
      </c>
      <c r="C6202" t="s">
        <v>37</v>
      </c>
      <c r="D6202" t="s">
        <v>77</v>
      </c>
      <c r="E6202" t="s">
        <v>90</v>
      </c>
      <c r="F6202" t="s">
        <v>145</v>
      </c>
      <c r="G6202">
        <v>2.59</v>
      </c>
      <c r="H6202" t="s">
        <v>41</v>
      </c>
      <c r="I6202" t="s">
        <v>42</v>
      </c>
      <c r="M6202">
        <f>VLOOKUP(H6202,'Stage Order'!$A$2:$B$8,2,FALSE)</f>
        <v>2</v>
      </c>
      <c r="N6202" t="str">
        <f t="shared" si="192"/>
        <v>2. 1-24 hours</v>
      </c>
      <c r="O6202" t="str">
        <f t="shared" si="193"/>
        <v>2025-10</v>
      </c>
    </row>
    <row r="6203" spans="1:15" x14ac:dyDescent="0.3">
      <c r="A6203" t="s">
        <v>14592</v>
      </c>
      <c r="B6203" t="s">
        <v>14593</v>
      </c>
      <c r="C6203" t="s">
        <v>37</v>
      </c>
      <c r="D6203" t="s">
        <v>38</v>
      </c>
      <c r="E6203" t="s">
        <v>90</v>
      </c>
      <c r="F6203" t="s">
        <v>112</v>
      </c>
      <c r="G6203">
        <v>6.5</v>
      </c>
      <c r="H6203" t="s">
        <v>41</v>
      </c>
      <c r="I6203" t="s">
        <v>42</v>
      </c>
      <c r="M6203">
        <f>VLOOKUP(H6203,'Stage Order'!$A$2:$B$8,2,FALSE)</f>
        <v>2</v>
      </c>
      <c r="N6203" t="str">
        <f t="shared" si="192"/>
        <v>2. 1-24 hours</v>
      </c>
      <c r="O6203" t="str">
        <f t="shared" si="193"/>
        <v>2026-05</v>
      </c>
    </row>
    <row r="6204" spans="1:15" x14ac:dyDescent="0.3">
      <c r="A6204" t="s">
        <v>14594</v>
      </c>
      <c r="B6204" t="s">
        <v>14595</v>
      </c>
      <c r="C6204" t="s">
        <v>58</v>
      </c>
      <c r="D6204" t="s">
        <v>97</v>
      </c>
      <c r="E6204" t="s">
        <v>39</v>
      </c>
      <c r="F6204" t="s">
        <v>66</v>
      </c>
      <c r="G6204">
        <v>1.99</v>
      </c>
      <c r="H6204" t="s">
        <v>61</v>
      </c>
      <c r="I6204" t="s">
        <v>42</v>
      </c>
      <c r="M6204">
        <f>VLOOKUP(H6204,'Stage Order'!$A$2:$B$8,2,FALSE)</f>
        <v>1</v>
      </c>
      <c r="N6204" t="str">
        <f t="shared" si="192"/>
        <v>2. 1-24 hours</v>
      </c>
      <c r="O6204" t="str">
        <f t="shared" si="193"/>
        <v>2025-07</v>
      </c>
    </row>
    <row r="6205" spans="1:15" x14ac:dyDescent="0.3">
      <c r="A6205" t="s">
        <v>14596</v>
      </c>
      <c r="B6205" t="s">
        <v>14597</v>
      </c>
      <c r="C6205" t="s">
        <v>53</v>
      </c>
      <c r="D6205" t="s">
        <v>38</v>
      </c>
      <c r="E6205" t="s">
        <v>90</v>
      </c>
      <c r="F6205" t="s">
        <v>91</v>
      </c>
      <c r="G6205">
        <v>1.72</v>
      </c>
      <c r="H6205" t="s">
        <v>146</v>
      </c>
      <c r="I6205" t="s">
        <v>48</v>
      </c>
      <c r="J6205" t="s">
        <v>139</v>
      </c>
      <c r="K6205">
        <v>342.9</v>
      </c>
      <c r="L6205" t="s">
        <v>14598</v>
      </c>
      <c r="M6205">
        <f>VLOOKUP(H6205,'Stage Order'!$A$2:$B$8,2,FALSE)</f>
        <v>5</v>
      </c>
      <c r="N6205" t="str">
        <f t="shared" si="192"/>
        <v>2. 1-24 hours</v>
      </c>
      <c r="O6205" t="str">
        <f t="shared" si="193"/>
        <v>2026-04</v>
      </c>
    </row>
    <row r="6206" spans="1:15" x14ac:dyDescent="0.3">
      <c r="A6206" t="s">
        <v>14599</v>
      </c>
      <c r="B6206" t="s">
        <v>14600</v>
      </c>
      <c r="C6206" t="s">
        <v>76</v>
      </c>
      <c r="D6206" t="s">
        <v>29</v>
      </c>
      <c r="E6206" t="s">
        <v>45</v>
      </c>
      <c r="F6206" t="s">
        <v>55</v>
      </c>
      <c r="G6206">
        <v>0.39</v>
      </c>
      <c r="H6206" t="s">
        <v>138</v>
      </c>
      <c r="I6206" t="s">
        <v>48</v>
      </c>
      <c r="J6206" t="s">
        <v>139</v>
      </c>
      <c r="K6206">
        <v>699.34</v>
      </c>
      <c r="L6206" t="s">
        <v>14601</v>
      </c>
      <c r="M6206">
        <f>VLOOKUP(H6206,'Stage Order'!$A$2:$B$8,2,FALSE)</f>
        <v>6</v>
      </c>
      <c r="N6206" t="str">
        <f t="shared" si="192"/>
        <v>1. Under 1 hour</v>
      </c>
      <c r="O6206" t="str">
        <f t="shared" si="193"/>
        <v>2025-09</v>
      </c>
    </row>
    <row r="6207" spans="1:15" x14ac:dyDescent="0.3">
      <c r="A6207" t="s">
        <v>14602</v>
      </c>
      <c r="B6207" t="s">
        <v>14603</v>
      </c>
      <c r="C6207" t="s">
        <v>53</v>
      </c>
      <c r="D6207" t="s">
        <v>97</v>
      </c>
      <c r="E6207" t="s">
        <v>39</v>
      </c>
      <c r="F6207" t="s">
        <v>106</v>
      </c>
      <c r="G6207">
        <v>1.1499999999999999</v>
      </c>
      <c r="H6207" t="s">
        <v>138</v>
      </c>
      <c r="I6207" t="s">
        <v>48</v>
      </c>
      <c r="J6207" t="s">
        <v>98</v>
      </c>
      <c r="K6207">
        <v>1429.53</v>
      </c>
      <c r="L6207" t="s">
        <v>14604</v>
      </c>
      <c r="M6207">
        <f>VLOOKUP(H6207,'Stage Order'!$A$2:$B$8,2,FALSE)</f>
        <v>6</v>
      </c>
      <c r="N6207" t="str">
        <f t="shared" si="192"/>
        <v>2. 1-24 hours</v>
      </c>
      <c r="O6207" t="str">
        <f t="shared" si="193"/>
        <v>2025-09</v>
      </c>
    </row>
    <row r="6208" spans="1:15" x14ac:dyDescent="0.3">
      <c r="A6208" t="s">
        <v>14605</v>
      </c>
      <c r="B6208" t="s">
        <v>14606</v>
      </c>
      <c r="C6208" t="s">
        <v>53</v>
      </c>
      <c r="D6208" t="s">
        <v>97</v>
      </c>
      <c r="E6208" t="s">
        <v>30</v>
      </c>
      <c r="F6208" t="s">
        <v>78</v>
      </c>
      <c r="G6208">
        <v>3.12</v>
      </c>
      <c r="H6208" t="s">
        <v>47</v>
      </c>
      <c r="I6208" t="s">
        <v>48</v>
      </c>
      <c r="J6208" t="s">
        <v>139</v>
      </c>
      <c r="K6208">
        <v>1286.92</v>
      </c>
      <c r="L6208" t="s">
        <v>14607</v>
      </c>
      <c r="M6208">
        <f>VLOOKUP(H6208,'Stage Order'!$A$2:$B$8,2,FALSE)</f>
        <v>4</v>
      </c>
      <c r="N6208" t="str">
        <f t="shared" si="192"/>
        <v>2. 1-24 hours</v>
      </c>
      <c r="O6208" t="str">
        <f t="shared" si="193"/>
        <v>2026-03</v>
      </c>
    </row>
    <row r="6209" spans="1:15" x14ac:dyDescent="0.3">
      <c r="A6209" t="s">
        <v>14608</v>
      </c>
      <c r="B6209" t="s">
        <v>14609</v>
      </c>
      <c r="C6209" t="s">
        <v>28</v>
      </c>
      <c r="D6209" t="s">
        <v>38</v>
      </c>
      <c r="E6209" t="s">
        <v>45</v>
      </c>
      <c r="F6209" t="s">
        <v>94</v>
      </c>
      <c r="G6209">
        <v>3.27</v>
      </c>
      <c r="H6209" t="s">
        <v>146</v>
      </c>
      <c r="I6209" t="s">
        <v>48</v>
      </c>
      <c r="J6209" t="s">
        <v>742</v>
      </c>
      <c r="K6209">
        <v>293.06</v>
      </c>
      <c r="L6209" t="s">
        <v>14610</v>
      </c>
      <c r="M6209">
        <f>VLOOKUP(H6209,'Stage Order'!$A$2:$B$8,2,FALSE)</f>
        <v>5</v>
      </c>
      <c r="N6209" t="str">
        <f t="shared" si="192"/>
        <v>2. 1-24 hours</v>
      </c>
      <c r="O6209" t="str">
        <f t="shared" si="193"/>
        <v>2026-02</v>
      </c>
    </row>
    <row r="6210" spans="1:15" x14ac:dyDescent="0.3">
      <c r="A6210" t="s">
        <v>14611</v>
      </c>
      <c r="B6210" t="s">
        <v>14612</v>
      </c>
      <c r="C6210" t="s">
        <v>58</v>
      </c>
      <c r="D6210" t="s">
        <v>38</v>
      </c>
      <c r="E6210" t="s">
        <v>39</v>
      </c>
      <c r="F6210" t="s">
        <v>106</v>
      </c>
      <c r="G6210">
        <v>3.84</v>
      </c>
      <c r="H6210" t="s">
        <v>41</v>
      </c>
      <c r="I6210" t="s">
        <v>42</v>
      </c>
      <c r="M6210">
        <f>VLOOKUP(H6210,'Stage Order'!$A$2:$B$8,2,FALSE)</f>
        <v>2</v>
      </c>
      <c r="N6210" t="str">
        <f t="shared" ref="N6210:N6273" si="194">IF(G6210&lt;=1,"1. Under 1 hour",IF(G6210&lt;=24,"2. 1-24 hours",IF(G6210&lt;=72,"3. 1-3 days","4. Over 3 days")))</f>
        <v>2. 1-24 hours</v>
      </c>
      <c r="O6210" t="str">
        <f t="shared" ref="O6210:O6273" si="195">TEXT(B6210,"YYYY-MM")</f>
        <v>2026-01</v>
      </c>
    </row>
    <row r="6211" spans="1:15" x14ac:dyDescent="0.3">
      <c r="A6211" t="s">
        <v>14613</v>
      </c>
      <c r="B6211" t="s">
        <v>14614</v>
      </c>
      <c r="C6211" t="s">
        <v>58</v>
      </c>
      <c r="D6211" t="s">
        <v>54</v>
      </c>
      <c r="E6211" t="s">
        <v>90</v>
      </c>
      <c r="F6211" t="s">
        <v>91</v>
      </c>
      <c r="G6211">
        <v>0.56999999999999995</v>
      </c>
      <c r="H6211" t="s">
        <v>61</v>
      </c>
      <c r="I6211" t="s">
        <v>42</v>
      </c>
      <c r="M6211">
        <f>VLOOKUP(H6211,'Stage Order'!$A$2:$B$8,2,FALSE)</f>
        <v>1</v>
      </c>
      <c r="N6211" t="str">
        <f t="shared" si="194"/>
        <v>1. Under 1 hour</v>
      </c>
      <c r="O6211" t="str">
        <f t="shared" si="195"/>
        <v>2025-06</v>
      </c>
    </row>
    <row r="6212" spans="1:15" x14ac:dyDescent="0.3">
      <c r="A6212" t="s">
        <v>14615</v>
      </c>
      <c r="B6212" t="s">
        <v>14616</v>
      </c>
      <c r="C6212" t="s">
        <v>81</v>
      </c>
      <c r="D6212" t="s">
        <v>38</v>
      </c>
      <c r="E6212" t="s">
        <v>90</v>
      </c>
      <c r="F6212" t="s">
        <v>112</v>
      </c>
      <c r="G6212">
        <v>2.95</v>
      </c>
      <c r="H6212" t="s">
        <v>41</v>
      </c>
      <c r="I6212" t="s">
        <v>42</v>
      </c>
      <c r="M6212">
        <f>VLOOKUP(H6212,'Stage Order'!$A$2:$B$8,2,FALSE)</f>
        <v>2</v>
      </c>
      <c r="N6212" t="str">
        <f t="shared" si="194"/>
        <v>2. 1-24 hours</v>
      </c>
      <c r="O6212" t="str">
        <f t="shared" si="195"/>
        <v>2025-10</v>
      </c>
    </row>
    <row r="6213" spans="1:15" x14ac:dyDescent="0.3">
      <c r="A6213" t="s">
        <v>14617</v>
      </c>
      <c r="B6213" t="s">
        <v>14618</v>
      </c>
      <c r="C6213" t="s">
        <v>53</v>
      </c>
      <c r="D6213" t="s">
        <v>38</v>
      </c>
      <c r="E6213" t="s">
        <v>39</v>
      </c>
      <c r="F6213" t="s">
        <v>40</v>
      </c>
      <c r="G6213">
        <v>1.4</v>
      </c>
      <c r="H6213" t="s">
        <v>41</v>
      </c>
      <c r="I6213" t="s">
        <v>42</v>
      </c>
      <c r="M6213">
        <f>VLOOKUP(H6213,'Stage Order'!$A$2:$B$8,2,FALSE)</f>
        <v>2</v>
      </c>
      <c r="N6213" t="str">
        <f t="shared" si="194"/>
        <v>2. 1-24 hours</v>
      </c>
      <c r="O6213" t="str">
        <f t="shared" si="195"/>
        <v>2025-07</v>
      </c>
    </row>
    <row r="6214" spans="1:15" x14ac:dyDescent="0.3">
      <c r="A6214" t="s">
        <v>14619</v>
      </c>
      <c r="B6214" t="s">
        <v>14620</v>
      </c>
      <c r="C6214" t="s">
        <v>125</v>
      </c>
      <c r="D6214" t="s">
        <v>77</v>
      </c>
      <c r="E6214" t="s">
        <v>45</v>
      </c>
      <c r="F6214" t="s">
        <v>94</v>
      </c>
      <c r="G6214">
        <v>8.09</v>
      </c>
      <c r="H6214" t="s">
        <v>146</v>
      </c>
      <c r="I6214" t="s">
        <v>48</v>
      </c>
      <c r="J6214" t="s">
        <v>98</v>
      </c>
      <c r="K6214">
        <v>949.79</v>
      </c>
      <c r="L6214" t="s">
        <v>14621</v>
      </c>
      <c r="M6214">
        <f>VLOOKUP(H6214,'Stage Order'!$A$2:$B$8,2,FALSE)</f>
        <v>5</v>
      </c>
      <c r="N6214" t="str">
        <f t="shared" si="194"/>
        <v>2. 1-24 hours</v>
      </c>
      <c r="O6214" t="str">
        <f t="shared" si="195"/>
        <v>2025-01</v>
      </c>
    </row>
    <row r="6215" spans="1:15" x14ac:dyDescent="0.3">
      <c r="A6215" t="s">
        <v>14622</v>
      </c>
      <c r="B6215" t="s">
        <v>14623</v>
      </c>
      <c r="C6215" t="s">
        <v>28</v>
      </c>
      <c r="D6215" t="s">
        <v>54</v>
      </c>
      <c r="E6215" t="s">
        <v>30</v>
      </c>
      <c r="F6215" t="s">
        <v>31</v>
      </c>
      <c r="G6215">
        <v>4.55</v>
      </c>
      <c r="H6215" t="s">
        <v>41</v>
      </c>
      <c r="I6215" t="s">
        <v>42</v>
      </c>
      <c r="M6215">
        <f>VLOOKUP(H6215,'Stage Order'!$A$2:$B$8,2,FALSE)</f>
        <v>2</v>
      </c>
      <c r="N6215" t="str">
        <f t="shared" si="194"/>
        <v>2. 1-24 hours</v>
      </c>
      <c r="O6215" t="str">
        <f t="shared" si="195"/>
        <v>2026-02</v>
      </c>
    </row>
    <row r="6216" spans="1:15" x14ac:dyDescent="0.3">
      <c r="A6216" t="s">
        <v>14624</v>
      </c>
      <c r="B6216" t="s">
        <v>14625</v>
      </c>
      <c r="C6216" t="s">
        <v>37</v>
      </c>
      <c r="D6216" t="s">
        <v>38</v>
      </c>
      <c r="E6216" t="s">
        <v>90</v>
      </c>
      <c r="F6216" t="s">
        <v>112</v>
      </c>
      <c r="G6216">
        <v>4.87</v>
      </c>
      <c r="H6216" t="s">
        <v>41</v>
      </c>
      <c r="I6216" t="s">
        <v>42</v>
      </c>
      <c r="M6216">
        <f>VLOOKUP(H6216,'Stage Order'!$A$2:$B$8,2,FALSE)</f>
        <v>2</v>
      </c>
      <c r="N6216" t="str">
        <f t="shared" si="194"/>
        <v>2. 1-24 hours</v>
      </c>
      <c r="O6216" t="str">
        <f t="shared" si="195"/>
        <v>2026-06</v>
      </c>
    </row>
    <row r="6217" spans="1:15" x14ac:dyDescent="0.3">
      <c r="A6217" t="s">
        <v>14626</v>
      </c>
      <c r="B6217" t="s">
        <v>14627</v>
      </c>
      <c r="C6217" t="s">
        <v>28</v>
      </c>
      <c r="D6217" t="s">
        <v>54</v>
      </c>
      <c r="E6217" t="s">
        <v>39</v>
      </c>
      <c r="F6217" t="s">
        <v>66</v>
      </c>
      <c r="G6217">
        <v>1.98</v>
      </c>
      <c r="H6217" t="s">
        <v>146</v>
      </c>
      <c r="I6217" t="s">
        <v>48</v>
      </c>
      <c r="J6217" t="s">
        <v>139</v>
      </c>
      <c r="K6217">
        <v>562.9</v>
      </c>
      <c r="L6217" t="s">
        <v>14628</v>
      </c>
      <c r="M6217">
        <f>VLOOKUP(H6217,'Stage Order'!$A$2:$B$8,2,FALSE)</f>
        <v>5</v>
      </c>
      <c r="N6217" t="str">
        <f t="shared" si="194"/>
        <v>2. 1-24 hours</v>
      </c>
      <c r="O6217" t="str">
        <f t="shared" si="195"/>
        <v>2025-09</v>
      </c>
    </row>
    <row r="6218" spans="1:15" x14ac:dyDescent="0.3">
      <c r="A6218" t="s">
        <v>14629</v>
      </c>
      <c r="B6218" t="s">
        <v>14630</v>
      </c>
      <c r="C6218" t="s">
        <v>81</v>
      </c>
      <c r="D6218" t="s">
        <v>29</v>
      </c>
      <c r="E6218" t="s">
        <v>39</v>
      </c>
      <c r="F6218" t="s">
        <v>66</v>
      </c>
      <c r="G6218">
        <v>6.24</v>
      </c>
      <c r="H6218" t="s">
        <v>61</v>
      </c>
      <c r="I6218" t="s">
        <v>42</v>
      </c>
      <c r="M6218">
        <f>VLOOKUP(H6218,'Stage Order'!$A$2:$B$8,2,FALSE)</f>
        <v>1</v>
      </c>
      <c r="N6218" t="str">
        <f t="shared" si="194"/>
        <v>2. 1-24 hours</v>
      </c>
      <c r="O6218" t="str">
        <f t="shared" si="195"/>
        <v>2026-05</v>
      </c>
    </row>
    <row r="6219" spans="1:15" x14ac:dyDescent="0.3">
      <c r="A6219" t="s">
        <v>14631</v>
      </c>
      <c r="B6219" t="s">
        <v>14632</v>
      </c>
      <c r="C6219" t="s">
        <v>76</v>
      </c>
      <c r="D6219" t="s">
        <v>38</v>
      </c>
      <c r="E6219" t="s">
        <v>45</v>
      </c>
      <c r="F6219" t="s">
        <v>55</v>
      </c>
      <c r="G6219">
        <v>11.21</v>
      </c>
      <c r="H6219" t="s">
        <v>41</v>
      </c>
      <c r="I6219" t="s">
        <v>42</v>
      </c>
      <c r="M6219">
        <f>VLOOKUP(H6219,'Stage Order'!$A$2:$B$8,2,FALSE)</f>
        <v>2</v>
      </c>
      <c r="N6219" t="str">
        <f t="shared" si="194"/>
        <v>2. 1-24 hours</v>
      </c>
      <c r="O6219" t="str">
        <f t="shared" si="195"/>
        <v>2025-09</v>
      </c>
    </row>
    <row r="6220" spans="1:15" x14ac:dyDescent="0.3">
      <c r="A6220" t="s">
        <v>14633</v>
      </c>
      <c r="B6220" t="s">
        <v>14634</v>
      </c>
      <c r="C6220" t="s">
        <v>37</v>
      </c>
      <c r="D6220" t="s">
        <v>29</v>
      </c>
      <c r="E6220" t="s">
        <v>59</v>
      </c>
      <c r="F6220" t="s">
        <v>137</v>
      </c>
      <c r="G6220">
        <v>9.98</v>
      </c>
      <c r="H6220" t="s">
        <v>138</v>
      </c>
      <c r="I6220" t="s">
        <v>48</v>
      </c>
      <c r="J6220" t="s">
        <v>49</v>
      </c>
      <c r="K6220">
        <v>774.73</v>
      </c>
      <c r="L6220" t="s">
        <v>14635</v>
      </c>
      <c r="M6220">
        <f>VLOOKUP(H6220,'Stage Order'!$A$2:$B$8,2,FALSE)</f>
        <v>6</v>
      </c>
      <c r="N6220" t="str">
        <f t="shared" si="194"/>
        <v>2. 1-24 hours</v>
      </c>
      <c r="O6220" t="str">
        <f t="shared" si="195"/>
        <v>2026-01</v>
      </c>
    </row>
    <row r="6221" spans="1:15" x14ac:dyDescent="0.3">
      <c r="A6221" t="s">
        <v>14636</v>
      </c>
      <c r="B6221" t="s">
        <v>14637</v>
      </c>
      <c r="C6221" t="s">
        <v>37</v>
      </c>
      <c r="D6221" t="s">
        <v>54</v>
      </c>
      <c r="E6221" t="s">
        <v>59</v>
      </c>
      <c r="F6221" t="s">
        <v>137</v>
      </c>
      <c r="G6221">
        <v>1.62</v>
      </c>
      <c r="H6221" t="s">
        <v>41</v>
      </c>
      <c r="I6221" t="s">
        <v>42</v>
      </c>
      <c r="M6221">
        <f>VLOOKUP(H6221,'Stage Order'!$A$2:$B$8,2,FALSE)</f>
        <v>2</v>
      </c>
      <c r="N6221" t="str">
        <f t="shared" si="194"/>
        <v>2. 1-24 hours</v>
      </c>
      <c r="O6221" t="str">
        <f t="shared" si="195"/>
        <v>2025-02</v>
      </c>
    </row>
    <row r="6222" spans="1:15" x14ac:dyDescent="0.3">
      <c r="A6222" t="s">
        <v>14638</v>
      </c>
      <c r="B6222" t="s">
        <v>14639</v>
      </c>
      <c r="C6222" t="s">
        <v>28</v>
      </c>
      <c r="D6222" t="s">
        <v>29</v>
      </c>
      <c r="E6222" t="s">
        <v>39</v>
      </c>
      <c r="F6222" t="s">
        <v>66</v>
      </c>
      <c r="G6222">
        <v>1.0900000000000001</v>
      </c>
      <c r="H6222" t="s">
        <v>138</v>
      </c>
      <c r="I6222" t="s">
        <v>48</v>
      </c>
      <c r="J6222" t="s">
        <v>49</v>
      </c>
      <c r="K6222">
        <v>615.20000000000005</v>
      </c>
      <c r="L6222" t="s">
        <v>14640</v>
      </c>
      <c r="M6222">
        <f>VLOOKUP(H6222,'Stage Order'!$A$2:$B$8,2,FALSE)</f>
        <v>6</v>
      </c>
      <c r="N6222" t="str">
        <f t="shared" si="194"/>
        <v>2. 1-24 hours</v>
      </c>
      <c r="O6222" t="str">
        <f t="shared" si="195"/>
        <v>2025-05</v>
      </c>
    </row>
    <row r="6223" spans="1:15" x14ac:dyDescent="0.3">
      <c r="A6223" t="s">
        <v>14641</v>
      </c>
      <c r="B6223" t="s">
        <v>14642</v>
      </c>
      <c r="C6223" t="s">
        <v>76</v>
      </c>
      <c r="D6223" t="s">
        <v>54</v>
      </c>
      <c r="E6223" t="s">
        <v>90</v>
      </c>
      <c r="F6223" t="s">
        <v>112</v>
      </c>
      <c r="G6223">
        <v>3.37</v>
      </c>
      <c r="H6223" t="s">
        <v>41</v>
      </c>
      <c r="I6223" t="s">
        <v>42</v>
      </c>
      <c r="M6223">
        <f>VLOOKUP(H6223,'Stage Order'!$A$2:$B$8,2,FALSE)</f>
        <v>2</v>
      </c>
      <c r="N6223" t="str">
        <f t="shared" si="194"/>
        <v>2. 1-24 hours</v>
      </c>
      <c r="O6223" t="str">
        <f t="shared" si="195"/>
        <v>2025-12</v>
      </c>
    </row>
    <row r="6224" spans="1:15" x14ac:dyDescent="0.3">
      <c r="A6224" t="s">
        <v>14643</v>
      </c>
      <c r="B6224" t="s">
        <v>14644</v>
      </c>
      <c r="C6224" t="s">
        <v>81</v>
      </c>
      <c r="D6224" t="s">
        <v>97</v>
      </c>
      <c r="E6224" t="s">
        <v>39</v>
      </c>
      <c r="F6224" t="s">
        <v>66</v>
      </c>
      <c r="G6224">
        <v>3.61</v>
      </c>
      <c r="H6224" t="s">
        <v>61</v>
      </c>
      <c r="I6224" t="s">
        <v>42</v>
      </c>
      <c r="M6224">
        <f>VLOOKUP(H6224,'Stage Order'!$A$2:$B$8,2,FALSE)</f>
        <v>1</v>
      </c>
      <c r="N6224" t="str">
        <f t="shared" si="194"/>
        <v>2. 1-24 hours</v>
      </c>
      <c r="O6224" t="str">
        <f t="shared" si="195"/>
        <v>2025-06</v>
      </c>
    </row>
    <row r="6225" spans="1:15" x14ac:dyDescent="0.3">
      <c r="A6225" t="s">
        <v>14645</v>
      </c>
      <c r="B6225" t="s">
        <v>14646</v>
      </c>
      <c r="C6225" t="s">
        <v>81</v>
      </c>
      <c r="D6225" t="s">
        <v>77</v>
      </c>
      <c r="E6225" t="s">
        <v>45</v>
      </c>
      <c r="F6225" t="s">
        <v>94</v>
      </c>
      <c r="G6225">
        <v>0.55000000000000004</v>
      </c>
      <c r="H6225" t="s">
        <v>47</v>
      </c>
      <c r="I6225" t="s">
        <v>48</v>
      </c>
      <c r="J6225" t="s">
        <v>98</v>
      </c>
      <c r="K6225">
        <v>886.25</v>
      </c>
      <c r="L6225" t="s">
        <v>14647</v>
      </c>
      <c r="M6225">
        <f>VLOOKUP(H6225,'Stage Order'!$A$2:$B$8,2,FALSE)</f>
        <v>4</v>
      </c>
      <c r="N6225" t="str">
        <f t="shared" si="194"/>
        <v>1. Under 1 hour</v>
      </c>
      <c r="O6225" t="str">
        <f t="shared" si="195"/>
        <v>2026-05</v>
      </c>
    </row>
    <row r="6226" spans="1:15" x14ac:dyDescent="0.3">
      <c r="A6226" t="s">
        <v>14648</v>
      </c>
      <c r="B6226" t="s">
        <v>14649</v>
      </c>
      <c r="C6226" t="s">
        <v>53</v>
      </c>
      <c r="D6226" t="s">
        <v>77</v>
      </c>
      <c r="E6226" t="s">
        <v>90</v>
      </c>
      <c r="F6226" t="s">
        <v>145</v>
      </c>
      <c r="G6226">
        <v>1.23</v>
      </c>
      <c r="H6226" t="s">
        <v>47</v>
      </c>
      <c r="I6226" t="s">
        <v>48</v>
      </c>
      <c r="J6226" t="s">
        <v>98</v>
      </c>
      <c r="K6226">
        <v>973.33</v>
      </c>
      <c r="L6226" t="s">
        <v>14650</v>
      </c>
      <c r="M6226">
        <f>VLOOKUP(H6226,'Stage Order'!$A$2:$B$8,2,FALSE)</f>
        <v>4</v>
      </c>
      <c r="N6226" t="str">
        <f t="shared" si="194"/>
        <v>2. 1-24 hours</v>
      </c>
      <c r="O6226" t="str">
        <f t="shared" si="195"/>
        <v>2026-02</v>
      </c>
    </row>
    <row r="6227" spans="1:15" x14ac:dyDescent="0.3">
      <c r="A6227" t="s">
        <v>14651</v>
      </c>
      <c r="B6227" t="s">
        <v>14652</v>
      </c>
      <c r="C6227" t="s">
        <v>37</v>
      </c>
      <c r="D6227" t="s">
        <v>38</v>
      </c>
      <c r="E6227" t="s">
        <v>39</v>
      </c>
      <c r="F6227" t="s">
        <v>106</v>
      </c>
      <c r="G6227">
        <v>1.78</v>
      </c>
      <c r="H6227" t="s">
        <v>32</v>
      </c>
      <c r="I6227" t="s">
        <v>33</v>
      </c>
      <c r="K6227">
        <v>328.73</v>
      </c>
      <c r="L6227" t="s">
        <v>14653</v>
      </c>
      <c r="M6227">
        <f>VLOOKUP(H6227,'Stage Order'!$A$2:$B$8,2,FALSE)</f>
        <v>7</v>
      </c>
      <c r="N6227" t="str">
        <f t="shared" si="194"/>
        <v>2. 1-24 hours</v>
      </c>
      <c r="O6227" t="str">
        <f t="shared" si="195"/>
        <v>2025-04</v>
      </c>
    </row>
    <row r="6228" spans="1:15" x14ac:dyDescent="0.3">
      <c r="A6228" t="s">
        <v>14654</v>
      </c>
      <c r="B6228" t="s">
        <v>14655</v>
      </c>
      <c r="C6228" t="s">
        <v>76</v>
      </c>
      <c r="D6228" t="s">
        <v>54</v>
      </c>
      <c r="E6228" t="s">
        <v>59</v>
      </c>
      <c r="F6228" t="s">
        <v>117</v>
      </c>
      <c r="G6228">
        <v>1</v>
      </c>
      <c r="H6228" t="s">
        <v>41</v>
      </c>
      <c r="I6228" t="s">
        <v>42</v>
      </c>
      <c r="M6228">
        <f>VLOOKUP(H6228,'Stage Order'!$A$2:$B$8,2,FALSE)</f>
        <v>2</v>
      </c>
      <c r="N6228" t="str">
        <f t="shared" si="194"/>
        <v>1. Under 1 hour</v>
      </c>
      <c r="O6228" t="str">
        <f t="shared" si="195"/>
        <v>2025-09</v>
      </c>
    </row>
    <row r="6229" spans="1:15" x14ac:dyDescent="0.3">
      <c r="A6229" t="s">
        <v>14656</v>
      </c>
      <c r="B6229" t="s">
        <v>14657</v>
      </c>
      <c r="C6229" t="s">
        <v>37</v>
      </c>
      <c r="D6229" t="s">
        <v>38</v>
      </c>
      <c r="E6229" t="s">
        <v>45</v>
      </c>
      <c r="F6229" t="s">
        <v>55</v>
      </c>
      <c r="G6229">
        <v>3.72</v>
      </c>
      <c r="H6229" t="s">
        <v>41</v>
      </c>
      <c r="I6229" t="s">
        <v>42</v>
      </c>
      <c r="M6229">
        <f>VLOOKUP(H6229,'Stage Order'!$A$2:$B$8,2,FALSE)</f>
        <v>2</v>
      </c>
      <c r="N6229" t="str">
        <f t="shared" si="194"/>
        <v>2. 1-24 hours</v>
      </c>
      <c r="O6229" t="str">
        <f t="shared" si="195"/>
        <v>2025-05</v>
      </c>
    </row>
    <row r="6230" spans="1:15" x14ac:dyDescent="0.3">
      <c r="A6230" t="s">
        <v>14658</v>
      </c>
      <c r="B6230" t="s">
        <v>14659</v>
      </c>
      <c r="C6230" t="s">
        <v>58</v>
      </c>
      <c r="D6230" t="s">
        <v>38</v>
      </c>
      <c r="E6230" t="s">
        <v>59</v>
      </c>
      <c r="F6230" t="s">
        <v>137</v>
      </c>
      <c r="G6230">
        <v>1.4</v>
      </c>
      <c r="H6230" t="s">
        <v>41</v>
      </c>
      <c r="I6230" t="s">
        <v>42</v>
      </c>
      <c r="M6230">
        <f>VLOOKUP(H6230,'Stage Order'!$A$2:$B$8,2,FALSE)</f>
        <v>2</v>
      </c>
      <c r="N6230" t="str">
        <f t="shared" si="194"/>
        <v>2. 1-24 hours</v>
      </c>
      <c r="O6230" t="str">
        <f t="shared" si="195"/>
        <v>2026-06</v>
      </c>
    </row>
    <row r="6231" spans="1:15" x14ac:dyDescent="0.3">
      <c r="A6231" t="s">
        <v>14660</v>
      </c>
      <c r="B6231" t="s">
        <v>14661</v>
      </c>
      <c r="C6231" t="s">
        <v>37</v>
      </c>
      <c r="D6231" t="s">
        <v>77</v>
      </c>
      <c r="E6231" t="s">
        <v>45</v>
      </c>
      <c r="F6231" t="s">
        <v>94</v>
      </c>
      <c r="G6231">
        <v>1.82</v>
      </c>
      <c r="H6231" t="s">
        <v>41</v>
      </c>
      <c r="I6231" t="s">
        <v>42</v>
      </c>
      <c r="M6231">
        <f>VLOOKUP(H6231,'Stage Order'!$A$2:$B$8,2,FALSE)</f>
        <v>2</v>
      </c>
      <c r="N6231" t="str">
        <f t="shared" si="194"/>
        <v>2. 1-24 hours</v>
      </c>
      <c r="O6231" t="str">
        <f t="shared" si="195"/>
        <v>2025-07</v>
      </c>
    </row>
    <row r="6232" spans="1:15" x14ac:dyDescent="0.3">
      <c r="A6232" t="s">
        <v>14662</v>
      </c>
      <c r="B6232" t="s">
        <v>14663</v>
      </c>
      <c r="C6232" t="s">
        <v>58</v>
      </c>
      <c r="D6232" t="s">
        <v>54</v>
      </c>
      <c r="E6232" t="s">
        <v>30</v>
      </c>
      <c r="F6232" t="s">
        <v>78</v>
      </c>
      <c r="G6232">
        <v>10.16</v>
      </c>
      <c r="H6232" t="s">
        <v>61</v>
      </c>
      <c r="I6232" t="s">
        <v>42</v>
      </c>
      <c r="M6232">
        <f>VLOOKUP(H6232,'Stage Order'!$A$2:$B$8,2,FALSE)</f>
        <v>1</v>
      </c>
      <c r="N6232" t="str">
        <f t="shared" si="194"/>
        <v>2. 1-24 hours</v>
      </c>
      <c r="O6232" t="str">
        <f t="shared" si="195"/>
        <v>2026-06</v>
      </c>
    </row>
    <row r="6233" spans="1:15" x14ac:dyDescent="0.3">
      <c r="A6233" t="s">
        <v>14664</v>
      </c>
      <c r="B6233" t="s">
        <v>14665</v>
      </c>
      <c r="C6233" t="s">
        <v>37</v>
      </c>
      <c r="D6233" t="s">
        <v>38</v>
      </c>
      <c r="E6233" t="s">
        <v>45</v>
      </c>
      <c r="F6233" t="s">
        <v>94</v>
      </c>
      <c r="G6233">
        <v>3.77</v>
      </c>
      <c r="H6233" t="s">
        <v>61</v>
      </c>
      <c r="I6233" t="s">
        <v>42</v>
      </c>
      <c r="M6233">
        <f>VLOOKUP(H6233,'Stage Order'!$A$2:$B$8,2,FALSE)</f>
        <v>1</v>
      </c>
      <c r="N6233" t="str">
        <f t="shared" si="194"/>
        <v>2. 1-24 hours</v>
      </c>
      <c r="O6233" t="str">
        <f t="shared" si="195"/>
        <v>2026-06</v>
      </c>
    </row>
    <row r="6234" spans="1:15" x14ac:dyDescent="0.3">
      <c r="A6234" t="s">
        <v>14666</v>
      </c>
      <c r="B6234" t="s">
        <v>14667</v>
      </c>
      <c r="C6234" t="s">
        <v>76</v>
      </c>
      <c r="D6234" t="s">
        <v>54</v>
      </c>
      <c r="E6234" t="s">
        <v>90</v>
      </c>
      <c r="F6234" t="s">
        <v>145</v>
      </c>
      <c r="G6234">
        <v>1.37</v>
      </c>
      <c r="H6234" t="s">
        <v>128</v>
      </c>
      <c r="I6234" t="s">
        <v>42</v>
      </c>
      <c r="M6234">
        <f>VLOOKUP(H6234,'Stage Order'!$A$2:$B$8,2,FALSE)</f>
        <v>3</v>
      </c>
      <c r="N6234" t="str">
        <f t="shared" si="194"/>
        <v>2. 1-24 hours</v>
      </c>
      <c r="O6234" t="str">
        <f t="shared" si="195"/>
        <v>2025-04</v>
      </c>
    </row>
    <row r="6235" spans="1:15" x14ac:dyDescent="0.3">
      <c r="A6235" t="s">
        <v>14668</v>
      </c>
      <c r="B6235" t="s">
        <v>14669</v>
      </c>
      <c r="C6235" t="s">
        <v>28</v>
      </c>
      <c r="D6235" t="s">
        <v>29</v>
      </c>
      <c r="E6235" t="s">
        <v>59</v>
      </c>
      <c r="F6235" t="s">
        <v>60</v>
      </c>
      <c r="G6235">
        <v>5.74</v>
      </c>
      <c r="H6235" t="s">
        <v>32</v>
      </c>
      <c r="I6235" t="s">
        <v>33</v>
      </c>
      <c r="K6235">
        <v>628.46</v>
      </c>
      <c r="L6235" t="s">
        <v>14670</v>
      </c>
      <c r="M6235">
        <f>VLOOKUP(H6235,'Stage Order'!$A$2:$B$8,2,FALSE)</f>
        <v>7</v>
      </c>
      <c r="N6235" t="str">
        <f t="shared" si="194"/>
        <v>2. 1-24 hours</v>
      </c>
      <c r="O6235" t="str">
        <f t="shared" si="195"/>
        <v>2025-08</v>
      </c>
    </row>
    <row r="6236" spans="1:15" x14ac:dyDescent="0.3">
      <c r="A6236" t="s">
        <v>14671</v>
      </c>
      <c r="B6236" t="s">
        <v>14672</v>
      </c>
      <c r="C6236" t="s">
        <v>58</v>
      </c>
      <c r="D6236" t="s">
        <v>54</v>
      </c>
      <c r="E6236" t="s">
        <v>39</v>
      </c>
      <c r="F6236" t="s">
        <v>66</v>
      </c>
      <c r="G6236">
        <v>4.76</v>
      </c>
      <c r="H6236" t="s">
        <v>61</v>
      </c>
      <c r="I6236" t="s">
        <v>42</v>
      </c>
      <c r="M6236">
        <f>VLOOKUP(H6236,'Stage Order'!$A$2:$B$8,2,FALSE)</f>
        <v>1</v>
      </c>
      <c r="N6236" t="str">
        <f t="shared" si="194"/>
        <v>2. 1-24 hours</v>
      </c>
      <c r="O6236" t="str">
        <f t="shared" si="195"/>
        <v>2025-12</v>
      </c>
    </row>
    <row r="6237" spans="1:15" x14ac:dyDescent="0.3">
      <c r="A6237" t="s">
        <v>14673</v>
      </c>
      <c r="B6237" t="s">
        <v>14674</v>
      </c>
      <c r="C6237" t="s">
        <v>37</v>
      </c>
      <c r="D6237" t="s">
        <v>38</v>
      </c>
      <c r="E6237" t="s">
        <v>39</v>
      </c>
      <c r="F6237" t="s">
        <v>106</v>
      </c>
      <c r="G6237">
        <v>5.85</v>
      </c>
      <c r="H6237" t="s">
        <v>138</v>
      </c>
      <c r="I6237" t="s">
        <v>48</v>
      </c>
      <c r="J6237" t="s">
        <v>49</v>
      </c>
      <c r="K6237">
        <v>337.74</v>
      </c>
      <c r="L6237" t="s">
        <v>14675</v>
      </c>
      <c r="M6237">
        <f>VLOOKUP(H6237,'Stage Order'!$A$2:$B$8,2,FALSE)</f>
        <v>6</v>
      </c>
      <c r="N6237" t="str">
        <f t="shared" si="194"/>
        <v>2. 1-24 hours</v>
      </c>
      <c r="O6237" t="str">
        <f t="shared" si="195"/>
        <v>2025-06</v>
      </c>
    </row>
    <row r="6238" spans="1:15" x14ac:dyDescent="0.3">
      <c r="A6238" t="s">
        <v>14676</v>
      </c>
      <c r="B6238" t="s">
        <v>14677</v>
      </c>
      <c r="C6238" t="s">
        <v>37</v>
      </c>
      <c r="D6238" t="s">
        <v>77</v>
      </c>
      <c r="E6238" t="s">
        <v>45</v>
      </c>
      <c r="F6238" t="s">
        <v>55</v>
      </c>
      <c r="G6238">
        <v>3.29</v>
      </c>
      <c r="H6238" t="s">
        <v>41</v>
      </c>
      <c r="I6238" t="s">
        <v>42</v>
      </c>
      <c r="M6238">
        <f>VLOOKUP(H6238,'Stage Order'!$A$2:$B$8,2,FALSE)</f>
        <v>2</v>
      </c>
      <c r="N6238" t="str">
        <f t="shared" si="194"/>
        <v>2. 1-24 hours</v>
      </c>
      <c r="O6238" t="str">
        <f t="shared" si="195"/>
        <v>2025-07</v>
      </c>
    </row>
    <row r="6239" spans="1:15" x14ac:dyDescent="0.3">
      <c r="A6239" t="s">
        <v>14678</v>
      </c>
      <c r="B6239" t="s">
        <v>14679</v>
      </c>
      <c r="C6239" t="s">
        <v>125</v>
      </c>
      <c r="D6239" t="s">
        <v>97</v>
      </c>
      <c r="E6239" t="s">
        <v>59</v>
      </c>
      <c r="F6239" t="s">
        <v>137</v>
      </c>
      <c r="G6239">
        <v>4.0599999999999996</v>
      </c>
      <c r="H6239" t="s">
        <v>41</v>
      </c>
      <c r="I6239" t="s">
        <v>42</v>
      </c>
      <c r="M6239">
        <f>VLOOKUP(H6239,'Stage Order'!$A$2:$B$8,2,FALSE)</f>
        <v>2</v>
      </c>
      <c r="N6239" t="str">
        <f t="shared" si="194"/>
        <v>2. 1-24 hours</v>
      </c>
      <c r="O6239" t="str">
        <f t="shared" si="195"/>
        <v>2025-06</v>
      </c>
    </row>
    <row r="6240" spans="1:15" x14ac:dyDescent="0.3">
      <c r="A6240" t="s">
        <v>14680</v>
      </c>
      <c r="B6240" t="s">
        <v>14681</v>
      </c>
      <c r="C6240" t="s">
        <v>76</v>
      </c>
      <c r="D6240" t="s">
        <v>77</v>
      </c>
      <c r="E6240" t="s">
        <v>39</v>
      </c>
      <c r="F6240" t="s">
        <v>66</v>
      </c>
      <c r="G6240">
        <v>4.88</v>
      </c>
      <c r="H6240" t="s">
        <v>41</v>
      </c>
      <c r="I6240" t="s">
        <v>42</v>
      </c>
      <c r="M6240">
        <f>VLOOKUP(H6240,'Stage Order'!$A$2:$B$8,2,FALSE)</f>
        <v>2</v>
      </c>
      <c r="N6240" t="str">
        <f t="shared" si="194"/>
        <v>2. 1-24 hours</v>
      </c>
      <c r="O6240" t="str">
        <f t="shared" si="195"/>
        <v>2025-07</v>
      </c>
    </row>
    <row r="6241" spans="1:15" x14ac:dyDescent="0.3">
      <c r="A6241" t="s">
        <v>14682</v>
      </c>
      <c r="B6241" t="s">
        <v>14683</v>
      </c>
      <c r="C6241" t="s">
        <v>58</v>
      </c>
      <c r="D6241" t="s">
        <v>38</v>
      </c>
      <c r="E6241" t="s">
        <v>45</v>
      </c>
      <c r="F6241" t="s">
        <v>55</v>
      </c>
      <c r="G6241">
        <v>10.95</v>
      </c>
      <c r="H6241" t="s">
        <v>47</v>
      </c>
      <c r="I6241" t="s">
        <v>48</v>
      </c>
      <c r="J6241" t="s">
        <v>98</v>
      </c>
      <c r="K6241">
        <v>341.11</v>
      </c>
      <c r="L6241" t="s">
        <v>14684</v>
      </c>
      <c r="M6241">
        <f>VLOOKUP(H6241,'Stage Order'!$A$2:$B$8,2,FALSE)</f>
        <v>4</v>
      </c>
      <c r="N6241" t="str">
        <f t="shared" si="194"/>
        <v>2. 1-24 hours</v>
      </c>
      <c r="O6241" t="str">
        <f t="shared" si="195"/>
        <v>2026-02</v>
      </c>
    </row>
    <row r="6242" spans="1:15" x14ac:dyDescent="0.3">
      <c r="A6242" t="s">
        <v>14685</v>
      </c>
      <c r="B6242" t="s">
        <v>14686</v>
      </c>
      <c r="C6242" t="s">
        <v>58</v>
      </c>
      <c r="D6242" t="s">
        <v>54</v>
      </c>
      <c r="E6242" t="s">
        <v>59</v>
      </c>
      <c r="F6242" t="s">
        <v>60</v>
      </c>
      <c r="G6242">
        <v>4.03</v>
      </c>
      <c r="H6242" t="s">
        <v>32</v>
      </c>
      <c r="I6242" t="s">
        <v>33</v>
      </c>
      <c r="K6242">
        <v>439.04</v>
      </c>
      <c r="L6242" t="s">
        <v>14687</v>
      </c>
      <c r="M6242">
        <f>VLOOKUP(H6242,'Stage Order'!$A$2:$B$8,2,FALSE)</f>
        <v>7</v>
      </c>
      <c r="N6242" t="str">
        <f t="shared" si="194"/>
        <v>2. 1-24 hours</v>
      </c>
      <c r="O6242" t="str">
        <f t="shared" si="195"/>
        <v>2025-05</v>
      </c>
    </row>
    <row r="6243" spans="1:15" x14ac:dyDescent="0.3">
      <c r="A6243" t="s">
        <v>14688</v>
      </c>
      <c r="B6243" t="s">
        <v>8214</v>
      </c>
      <c r="C6243" t="s">
        <v>53</v>
      </c>
      <c r="D6243" t="s">
        <v>29</v>
      </c>
      <c r="E6243" t="s">
        <v>59</v>
      </c>
      <c r="F6243" t="s">
        <v>60</v>
      </c>
      <c r="G6243">
        <v>2.1800000000000002</v>
      </c>
      <c r="H6243" t="s">
        <v>41</v>
      </c>
      <c r="I6243" t="s">
        <v>42</v>
      </c>
      <c r="M6243">
        <f>VLOOKUP(H6243,'Stage Order'!$A$2:$B$8,2,FALSE)</f>
        <v>2</v>
      </c>
      <c r="N6243" t="str">
        <f t="shared" si="194"/>
        <v>2. 1-24 hours</v>
      </c>
      <c r="O6243" t="str">
        <f t="shared" si="195"/>
        <v>2025-11</v>
      </c>
    </row>
    <row r="6244" spans="1:15" x14ac:dyDescent="0.3">
      <c r="A6244" t="s">
        <v>14689</v>
      </c>
      <c r="B6244" t="s">
        <v>14690</v>
      </c>
      <c r="C6244" t="s">
        <v>76</v>
      </c>
      <c r="D6244" t="s">
        <v>38</v>
      </c>
      <c r="E6244" t="s">
        <v>39</v>
      </c>
      <c r="F6244" t="s">
        <v>40</v>
      </c>
      <c r="G6244">
        <v>0.67</v>
      </c>
      <c r="H6244" t="s">
        <v>32</v>
      </c>
      <c r="I6244" t="s">
        <v>33</v>
      </c>
      <c r="K6244">
        <v>395.61</v>
      </c>
      <c r="L6244" t="s">
        <v>14691</v>
      </c>
      <c r="M6244">
        <f>VLOOKUP(H6244,'Stage Order'!$A$2:$B$8,2,FALSE)</f>
        <v>7</v>
      </c>
      <c r="N6244" t="str">
        <f t="shared" si="194"/>
        <v>1. Under 1 hour</v>
      </c>
      <c r="O6244" t="str">
        <f t="shared" si="195"/>
        <v>2025-10</v>
      </c>
    </row>
    <row r="6245" spans="1:15" x14ac:dyDescent="0.3">
      <c r="A6245" t="s">
        <v>14692</v>
      </c>
      <c r="B6245" t="s">
        <v>14693</v>
      </c>
      <c r="C6245" t="s">
        <v>37</v>
      </c>
      <c r="D6245" t="s">
        <v>38</v>
      </c>
      <c r="E6245" t="s">
        <v>45</v>
      </c>
      <c r="F6245" t="s">
        <v>55</v>
      </c>
      <c r="G6245">
        <v>1.56</v>
      </c>
      <c r="H6245" t="s">
        <v>32</v>
      </c>
      <c r="I6245" t="s">
        <v>33</v>
      </c>
      <c r="K6245">
        <v>382.97</v>
      </c>
      <c r="L6245" t="s">
        <v>14694</v>
      </c>
      <c r="M6245">
        <f>VLOOKUP(H6245,'Stage Order'!$A$2:$B$8,2,FALSE)</f>
        <v>7</v>
      </c>
      <c r="N6245" t="str">
        <f t="shared" si="194"/>
        <v>2. 1-24 hours</v>
      </c>
      <c r="O6245" t="str">
        <f t="shared" si="195"/>
        <v>2026-02</v>
      </c>
    </row>
    <row r="6246" spans="1:15" x14ac:dyDescent="0.3">
      <c r="A6246" t="s">
        <v>14695</v>
      </c>
      <c r="B6246" t="s">
        <v>14696</v>
      </c>
      <c r="C6246" t="s">
        <v>53</v>
      </c>
      <c r="D6246" t="s">
        <v>77</v>
      </c>
      <c r="E6246" t="s">
        <v>90</v>
      </c>
      <c r="F6246" t="s">
        <v>91</v>
      </c>
      <c r="G6246">
        <v>3.22</v>
      </c>
      <c r="H6246" t="s">
        <v>146</v>
      </c>
      <c r="I6246" t="s">
        <v>48</v>
      </c>
      <c r="J6246" t="s">
        <v>113</v>
      </c>
      <c r="K6246">
        <v>1108.1199999999999</v>
      </c>
      <c r="L6246" t="s">
        <v>14697</v>
      </c>
      <c r="M6246">
        <f>VLOOKUP(H6246,'Stage Order'!$A$2:$B$8,2,FALSE)</f>
        <v>5</v>
      </c>
      <c r="N6246" t="str">
        <f t="shared" si="194"/>
        <v>2. 1-24 hours</v>
      </c>
      <c r="O6246" t="str">
        <f t="shared" si="195"/>
        <v>2025-10</v>
      </c>
    </row>
    <row r="6247" spans="1:15" x14ac:dyDescent="0.3">
      <c r="A6247" t="s">
        <v>14698</v>
      </c>
      <c r="B6247" t="s">
        <v>14699</v>
      </c>
      <c r="C6247" t="s">
        <v>53</v>
      </c>
      <c r="D6247" t="s">
        <v>77</v>
      </c>
      <c r="E6247" t="s">
        <v>59</v>
      </c>
      <c r="F6247" t="s">
        <v>117</v>
      </c>
      <c r="G6247">
        <v>1.35</v>
      </c>
      <c r="H6247" t="s">
        <v>32</v>
      </c>
      <c r="I6247" t="s">
        <v>33</v>
      </c>
      <c r="K6247">
        <v>951.94</v>
      </c>
      <c r="L6247" t="s">
        <v>14700</v>
      </c>
      <c r="M6247">
        <f>VLOOKUP(H6247,'Stage Order'!$A$2:$B$8,2,FALSE)</f>
        <v>7</v>
      </c>
      <c r="N6247" t="str">
        <f t="shared" si="194"/>
        <v>2. 1-24 hours</v>
      </c>
      <c r="O6247" t="str">
        <f t="shared" si="195"/>
        <v>2026-03</v>
      </c>
    </row>
    <row r="6248" spans="1:15" x14ac:dyDescent="0.3">
      <c r="A6248" t="s">
        <v>14701</v>
      </c>
      <c r="B6248" t="s">
        <v>14702</v>
      </c>
      <c r="C6248" t="s">
        <v>37</v>
      </c>
      <c r="D6248" t="s">
        <v>97</v>
      </c>
      <c r="E6248" t="s">
        <v>59</v>
      </c>
      <c r="F6248" t="s">
        <v>137</v>
      </c>
      <c r="G6248">
        <v>5.41</v>
      </c>
      <c r="H6248" t="s">
        <v>41</v>
      </c>
      <c r="I6248" t="s">
        <v>42</v>
      </c>
      <c r="M6248">
        <f>VLOOKUP(H6248,'Stage Order'!$A$2:$B$8,2,FALSE)</f>
        <v>2</v>
      </c>
      <c r="N6248" t="str">
        <f t="shared" si="194"/>
        <v>2. 1-24 hours</v>
      </c>
      <c r="O6248" t="str">
        <f t="shared" si="195"/>
        <v>2025-08</v>
      </c>
    </row>
    <row r="6249" spans="1:15" x14ac:dyDescent="0.3">
      <c r="A6249" t="s">
        <v>14703</v>
      </c>
      <c r="B6249" t="s">
        <v>14704</v>
      </c>
      <c r="C6249" t="s">
        <v>53</v>
      </c>
      <c r="D6249" t="s">
        <v>77</v>
      </c>
      <c r="E6249" t="s">
        <v>39</v>
      </c>
      <c r="F6249" t="s">
        <v>66</v>
      </c>
      <c r="G6249">
        <v>0.9</v>
      </c>
      <c r="H6249" t="s">
        <v>41</v>
      </c>
      <c r="I6249" t="s">
        <v>42</v>
      </c>
      <c r="M6249">
        <f>VLOOKUP(H6249,'Stage Order'!$A$2:$B$8,2,FALSE)</f>
        <v>2</v>
      </c>
      <c r="N6249" t="str">
        <f t="shared" si="194"/>
        <v>1. Under 1 hour</v>
      </c>
      <c r="O6249" t="str">
        <f t="shared" si="195"/>
        <v>2026-03</v>
      </c>
    </row>
    <row r="6250" spans="1:15" x14ac:dyDescent="0.3">
      <c r="A6250" t="s">
        <v>14705</v>
      </c>
      <c r="B6250" t="s">
        <v>14706</v>
      </c>
      <c r="C6250" t="s">
        <v>125</v>
      </c>
      <c r="D6250" t="s">
        <v>54</v>
      </c>
      <c r="E6250" t="s">
        <v>45</v>
      </c>
      <c r="F6250" t="s">
        <v>46</v>
      </c>
      <c r="G6250">
        <v>0.46</v>
      </c>
      <c r="H6250" t="s">
        <v>61</v>
      </c>
      <c r="I6250" t="s">
        <v>42</v>
      </c>
      <c r="M6250">
        <f>VLOOKUP(H6250,'Stage Order'!$A$2:$B$8,2,FALSE)</f>
        <v>1</v>
      </c>
      <c r="N6250" t="str">
        <f t="shared" si="194"/>
        <v>1. Under 1 hour</v>
      </c>
      <c r="O6250" t="str">
        <f t="shared" si="195"/>
        <v>2025-01</v>
      </c>
    </row>
    <row r="6251" spans="1:15" x14ac:dyDescent="0.3">
      <c r="A6251" t="s">
        <v>14707</v>
      </c>
      <c r="B6251" t="s">
        <v>14708</v>
      </c>
      <c r="C6251" t="s">
        <v>58</v>
      </c>
      <c r="D6251" t="s">
        <v>38</v>
      </c>
      <c r="E6251" t="s">
        <v>90</v>
      </c>
      <c r="F6251" t="s">
        <v>145</v>
      </c>
      <c r="G6251">
        <v>1.73</v>
      </c>
      <c r="H6251" t="s">
        <v>41</v>
      </c>
      <c r="I6251" t="s">
        <v>42</v>
      </c>
      <c r="M6251">
        <f>VLOOKUP(H6251,'Stage Order'!$A$2:$B$8,2,FALSE)</f>
        <v>2</v>
      </c>
      <c r="N6251" t="str">
        <f t="shared" si="194"/>
        <v>2. 1-24 hours</v>
      </c>
      <c r="O6251" t="str">
        <f t="shared" si="195"/>
        <v>2025-04</v>
      </c>
    </row>
    <row r="6252" spans="1:15" x14ac:dyDescent="0.3">
      <c r="A6252" t="s">
        <v>14709</v>
      </c>
      <c r="B6252" t="s">
        <v>14710</v>
      </c>
      <c r="C6252" t="s">
        <v>58</v>
      </c>
      <c r="D6252" t="s">
        <v>97</v>
      </c>
      <c r="E6252" t="s">
        <v>90</v>
      </c>
      <c r="F6252" t="s">
        <v>145</v>
      </c>
      <c r="G6252">
        <v>13.28</v>
      </c>
      <c r="H6252" t="s">
        <v>41</v>
      </c>
      <c r="I6252" t="s">
        <v>42</v>
      </c>
      <c r="M6252">
        <f>VLOOKUP(H6252,'Stage Order'!$A$2:$B$8,2,FALSE)</f>
        <v>2</v>
      </c>
      <c r="N6252" t="str">
        <f t="shared" si="194"/>
        <v>2. 1-24 hours</v>
      </c>
      <c r="O6252" t="str">
        <f t="shared" si="195"/>
        <v>2025-10</v>
      </c>
    </row>
    <row r="6253" spans="1:15" x14ac:dyDescent="0.3">
      <c r="A6253" t="s">
        <v>14711</v>
      </c>
      <c r="B6253" t="s">
        <v>14712</v>
      </c>
      <c r="C6253" t="s">
        <v>81</v>
      </c>
      <c r="D6253" t="s">
        <v>77</v>
      </c>
      <c r="E6253" t="s">
        <v>39</v>
      </c>
      <c r="F6253" t="s">
        <v>66</v>
      </c>
      <c r="G6253">
        <v>4.1500000000000004</v>
      </c>
      <c r="H6253" t="s">
        <v>61</v>
      </c>
      <c r="I6253" t="s">
        <v>42</v>
      </c>
      <c r="M6253">
        <f>VLOOKUP(H6253,'Stage Order'!$A$2:$B$8,2,FALSE)</f>
        <v>1</v>
      </c>
      <c r="N6253" t="str">
        <f t="shared" si="194"/>
        <v>2. 1-24 hours</v>
      </c>
      <c r="O6253" t="str">
        <f t="shared" si="195"/>
        <v>2026-03</v>
      </c>
    </row>
    <row r="6254" spans="1:15" x14ac:dyDescent="0.3">
      <c r="A6254" t="s">
        <v>14713</v>
      </c>
      <c r="B6254" t="s">
        <v>14714</v>
      </c>
      <c r="C6254" t="s">
        <v>53</v>
      </c>
      <c r="D6254" t="s">
        <v>38</v>
      </c>
      <c r="E6254" t="s">
        <v>39</v>
      </c>
      <c r="F6254" t="s">
        <v>66</v>
      </c>
      <c r="G6254">
        <v>30.08</v>
      </c>
      <c r="H6254" t="s">
        <v>41</v>
      </c>
      <c r="I6254" t="s">
        <v>42</v>
      </c>
      <c r="M6254">
        <f>VLOOKUP(H6254,'Stage Order'!$A$2:$B$8,2,FALSE)</f>
        <v>2</v>
      </c>
      <c r="N6254" t="str">
        <f t="shared" si="194"/>
        <v>3. 1-3 days</v>
      </c>
      <c r="O6254" t="str">
        <f t="shared" si="195"/>
        <v>2025-01</v>
      </c>
    </row>
    <row r="6255" spans="1:15" x14ac:dyDescent="0.3">
      <c r="A6255" t="s">
        <v>14715</v>
      </c>
      <c r="B6255" t="s">
        <v>14716</v>
      </c>
      <c r="C6255" t="s">
        <v>125</v>
      </c>
      <c r="D6255" t="s">
        <v>54</v>
      </c>
      <c r="E6255" t="s">
        <v>39</v>
      </c>
      <c r="F6255" t="s">
        <v>66</v>
      </c>
      <c r="G6255">
        <v>1.22</v>
      </c>
      <c r="H6255" t="s">
        <v>61</v>
      </c>
      <c r="I6255" t="s">
        <v>42</v>
      </c>
      <c r="M6255">
        <f>VLOOKUP(H6255,'Stage Order'!$A$2:$B$8,2,FALSE)</f>
        <v>1</v>
      </c>
      <c r="N6255" t="str">
        <f t="shared" si="194"/>
        <v>2. 1-24 hours</v>
      </c>
      <c r="O6255" t="str">
        <f t="shared" si="195"/>
        <v>2025-07</v>
      </c>
    </row>
    <row r="6256" spans="1:15" x14ac:dyDescent="0.3">
      <c r="A6256" t="s">
        <v>14717</v>
      </c>
      <c r="B6256" t="s">
        <v>14718</v>
      </c>
      <c r="C6256" t="s">
        <v>125</v>
      </c>
      <c r="D6256" t="s">
        <v>97</v>
      </c>
      <c r="E6256" t="s">
        <v>59</v>
      </c>
      <c r="F6256" t="s">
        <v>137</v>
      </c>
      <c r="G6256">
        <v>2.02</v>
      </c>
      <c r="H6256" t="s">
        <v>41</v>
      </c>
      <c r="I6256" t="s">
        <v>42</v>
      </c>
      <c r="M6256">
        <f>VLOOKUP(H6256,'Stage Order'!$A$2:$B$8,2,FALSE)</f>
        <v>2</v>
      </c>
      <c r="N6256" t="str">
        <f t="shared" si="194"/>
        <v>2. 1-24 hours</v>
      </c>
      <c r="O6256" t="str">
        <f t="shared" si="195"/>
        <v>2025-09</v>
      </c>
    </row>
    <row r="6257" spans="1:15" x14ac:dyDescent="0.3">
      <c r="A6257" t="s">
        <v>14719</v>
      </c>
      <c r="B6257" t="s">
        <v>14720</v>
      </c>
      <c r="C6257" t="s">
        <v>53</v>
      </c>
      <c r="D6257" t="s">
        <v>54</v>
      </c>
      <c r="E6257" t="s">
        <v>90</v>
      </c>
      <c r="F6257" t="s">
        <v>91</v>
      </c>
      <c r="G6257">
        <v>18.850000000000001</v>
      </c>
      <c r="H6257" t="s">
        <v>41</v>
      </c>
      <c r="I6257" t="s">
        <v>42</v>
      </c>
      <c r="M6257">
        <f>VLOOKUP(H6257,'Stage Order'!$A$2:$B$8,2,FALSE)</f>
        <v>2</v>
      </c>
      <c r="N6257" t="str">
        <f t="shared" si="194"/>
        <v>2. 1-24 hours</v>
      </c>
      <c r="O6257" t="str">
        <f t="shared" si="195"/>
        <v>2026-03</v>
      </c>
    </row>
    <row r="6258" spans="1:15" x14ac:dyDescent="0.3">
      <c r="A6258" t="s">
        <v>14721</v>
      </c>
      <c r="B6258" t="s">
        <v>14722</v>
      </c>
      <c r="C6258" t="s">
        <v>125</v>
      </c>
      <c r="D6258" t="s">
        <v>54</v>
      </c>
      <c r="E6258" t="s">
        <v>39</v>
      </c>
      <c r="F6258" t="s">
        <v>106</v>
      </c>
      <c r="G6258">
        <v>1.21</v>
      </c>
      <c r="H6258" t="s">
        <v>41</v>
      </c>
      <c r="I6258" t="s">
        <v>42</v>
      </c>
      <c r="M6258">
        <f>VLOOKUP(H6258,'Stage Order'!$A$2:$B$8,2,FALSE)</f>
        <v>2</v>
      </c>
      <c r="N6258" t="str">
        <f t="shared" si="194"/>
        <v>2. 1-24 hours</v>
      </c>
      <c r="O6258" t="str">
        <f t="shared" si="195"/>
        <v>2025-05</v>
      </c>
    </row>
    <row r="6259" spans="1:15" x14ac:dyDescent="0.3">
      <c r="A6259" t="s">
        <v>14723</v>
      </c>
      <c r="B6259" t="s">
        <v>14724</v>
      </c>
      <c r="C6259" t="s">
        <v>53</v>
      </c>
      <c r="D6259" t="s">
        <v>38</v>
      </c>
      <c r="E6259" t="s">
        <v>39</v>
      </c>
      <c r="F6259" t="s">
        <v>66</v>
      </c>
      <c r="G6259">
        <v>2.84</v>
      </c>
      <c r="H6259" t="s">
        <v>41</v>
      </c>
      <c r="I6259" t="s">
        <v>42</v>
      </c>
      <c r="M6259">
        <f>VLOOKUP(H6259,'Stage Order'!$A$2:$B$8,2,FALSE)</f>
        <v>2</v>
      </c>
      <c r="N6259" t="str">
        <f t="shared" si="194"/>
        <v>2. 1-24 hours</v>
      </c>
      <c r="O6259" t="str">
        <f t="shared" si="195"/>
        <v>2025-05</v>
      </c>
    </row>
    <row r="6260" spans="1:15" x14ac:dyDescent="0.3">
      <c r="A6260" t="s">
        <v>14725</v>
      </c>
      <c r="B6260" t="s">
        <v>14726</v>
      </c>
      <c r="C6260" t="s">
        <v>37</v>
      </c>
      <c r="D6260" t="s">
        <v>77</v>
      </c>
      <c r="E6260" t="s">
        <v>30</v>
      </c>
      <c r="F6260" t="s">
        <v>78</v>
      </c>
      <c r="G6260">
        <v>2.8</v>
      </c>
      <c r="H6260" t="s">
        <v>61</v>
      </c>
      <c r="I6260" t="s">
        <v>42</v>
      </c>
      <c r="M6260">
        <f>VLOOKUP(H6260,'Stage Order'!$A$2:$B$8,2,FALSE)</f>
        <v>1</v>
      </c>
      <c r="N6260" t="str">
        <f t="shared" si="194"/>
        <v>2. 1-24 hours</v>
      </c>
      <c r="O6260" t="str">
        <f t="shared" si="195"/>
        <v>2025-07</v>
      </c>
    </row>
    <row r="6261" spans="1:15" x14ac:dyDescent="0.3">
      <c r="A6261" t="s">
        <v>14727</v>
      </c>
      <c r="B6261" t="s">
        <v>14728</v>
      </c>
      <c r="C6261" t="s">
        <v>81</v>
      </c>
      <c r="D6261" t="s">
        <v>54</v>
      </c>
      <c r="E6261" t="s">
        <v>39</v>
      </c>
      <c r="F6261" t="s">
        <v>106</v>
      </c>
      <c r="G6261">
        <v>9.3699999999999992</v>
      </c>
      <c r="H6261" t="s">
        <v>146</v>
      </c>
      <c r="I6261" t="s">
        <v>48</v>
      </c>
      <c r="J6261" t="s">
        <v>113</v>
      </c>
      <c r="K6261">
        <v>443.34</v>
      </c>
      <c r="L6261" t="s">
        <v>14729</v>
      </c>
      <c r="M6261">
        <f>VLOOKUP(H6261,'Stage Order'!$A$2:$B$8,2,FALSE)</f>
        <v>5</v>
      </c>
      <c r="N6261" t="str">
        <f t="shared" si="194"/>
        <v>2. 1-24 hours</v>
      </c>
      <c r="O6261" t="str">
        <f t="shared" si="195"/>
        <v>2025-06</v>
      </c>
    </row>
    <row r="6262" spans="1:15" x14ac:dyDescent="0.3">
      <c r="A6262" t="s">
        <v>14730</v>
      </c>
      <c r="B6262" t="s">
        <v>14731</v>
      </c>
      <c r="C6262" t="s">
        <v>58</v>
      </c>
      <c r="D6262" t="s">
        <v>29</v>
      </c>
      <c r="E6262" t="s">
        <v>45</v>
      </c>
      <c r="F6262" t="s">
        <v>55</v>
      </c>
      <c r="G6262">
        <v>2.79</v>
      </c>
      <c r="H6262" t="s">
        <v>61</v>
      </c>
      <c r="I6262" t="s">
        <v>42</v>
      </c>
      <c r="M6262">
        <f>VLOOKUP(H6262,'Stage Order'!$A$2:$B$8,2,FALSE)</f>
        <v>1</v>
      </c>
      <c r="N6262" t="str">
        <f t="shared" si="194"/>
        <v>2. 1-24 hours</v>
      </c>
      <c r="O6262" t="str">
        <f t="shared" si="195"/>
        <v>2026-05</v>
      </c>
    </row>
    <row r="6263" spans="1:15" x14ac:dyDescent="0.3">
      <c r="A6263" t="s">
        <v>14732</v>
      </c>
      <c r="B6263" t="s">
        <v>14733</v>
      </c>
      <c r="C6263" t="s">
        <v>53</v>
      </c>
      <c r="D6263" t="s">
        <v>54</v>
      </c>
      <c r="E6263" t="s">
        <v>59</v>
      </c>
      <c r="F6263" t="s">
        <v>117</v>
      </c>
      <c r="G6263">
        <v>4.24</v>
      </c>
      <c r="H6263" t="s">
        <v>138</v>
      </c>
      <c r="I6263" t="s">
        <v>48</v>
      </c>
      <c r="J6263" t="s">
        <v>98</v>
      </c>
      <c r="K6263">
        <v>447.29</v>
      </c>
      <c r="L6263" t="s">
        <v>14734</v>
      </c>
      <c r="M6263">
        <f>VLOOKUP(H6263,'Stage Order'!$A$2:$B$8,2,FALSE)</f>
        <v>6</v>
      </c>
      <c r="N6263" t="str">
        <f t="shared" si="194"/>
        <v>2. 1-24 hours</v>
      </c>
      <c r="O6263" t="str">
        <f t="shared" si="195"/>
        <v>2026-04</v>
      </c>
    </row>
    <row r="6264" spans="1:15" x14ac:dyDescent="0.3">
      <c r="A6264" t="s">
        <v>14735</v>
      </c>
      <c r="B6264" t="s">
        <v>14736</v>
      </c>
      <c r="C6264" t="s">
        <v>53</v>
      </c>
      <c r="D6264" t="s">
        <v>29</v>
      </c>
      <c r="E6264" t="s">
        <v>30</v>
      </c>
      <c r="F6264" t="s">
        <v>31</v>
      </c>
      <c r="G6264">
        <v>1.78</v>
      </c>
      <c r="H6264" t="s">
        <v>41</v>
      </c>
      <c r="I6264" t="s">
        <v>42</v>
      </c>
      <c r="M6264">
        <f>VLOOKUP(H6264,'Stage Order'!$A$2:$B$8,2,FALSE)</f>
        <v>2</v>
      </c>
      <c r="N6264" t="str">
        <f t="shared" si="194"/>
        <v>2. 1-24 hours</v>
      </c>
      <c r="O6264" t="str">
        <f t="shared" si="195"/>
        <v>2025-12</v>
      </c>
    </row>
    <row r="6265" spans="1:15" x14ac:dyDescent="0.3">
      <c r="A6265" t="s">
        <v>14737</v>
      </c>
      <c r="B6265" t="s">
        <v>14738</v>
      </c>
      <c r="C6265" t="s">
        <v>53</v>
      </c>
      <c r="D6265" t="s">
        <v>29</v>
      </c>
      <c r="E6265" t="s">
        <v>90</v>
      </c>
      <c r="F6265" t="s">
        <v>145</v>
      </c>
      <c r="G6265">
        <v>3.49</v>
      </c>
      <c r="H6265" t="s">
        <v>41</v>
      </c>
      <c r="I6265" t="s">
        <v>42</v>
      </c>
      <c r="M6265">
        <f>VLOOKUP(H6265,'Stage Order'!$A$2:$B$8,2,FALSE)</f>
        <v>2</v>
      </c>
      <c r="N6265" t="str">
        <f t="shared" si="194"/>
        <v>2. 1-24 hours</v>
      </c>
      <c r="O6265" t="str">
        <f t="shared" si="195"/>
        <v>2026-04</v>
      </c>
    </row>
    <row r="6266" spans="1:15" x14ac:dyDescent="0.3">
      <c r="A6266" t="s">
        <v>14739</v>
      </c>
      <c r="B6266" t="s">
        <v>13174</v>
      </c>
      <c r="C6266" t="s">
        <v>125</v>
      </c>
      <c r="D6266" t="s">
        <v>77</v>
      </c>
      <c r="E6266" t="s">
        <v>45</v>
      </c>
      <c r="F6266" t="s">
        <v>55</v>
      </c>
      <c r="G6266">
        <v>1.4</v>
      </c>
      <c r="H6266" t="s">
        <v>61</v>
      </c>
      <c r="I6266" t="s">
        <v>42</v>
      </c>
      <c r="M6266">
        <f>VLOOKUP(H6266,'Stage Order'!$A$2:$B$8,2,FALSE)</f>
        <v>1</v>
      </c>
      <c r="N6266" t="str">
        <f t="shared" si="194"/>
        <v>2. 1-24 hours</v>
      </c>
      <c r="O6266" t="str">
        <f t="shared" si="195"/>
        <v>2025-02</v>
      </c>
    </row>
    <row r="6267" spans="1:15" x14ac:dyDescent="0.3">
      <c r="A6267" t="s">
        <v>14740</v>
      </c>
      <c r="B6267" t="s">
        <v>14741</v>
      </c>
      <c r="C6267" t="s">
        <v>28</v>
      </c>
      <c r="D6267" t="s">
        <v>77</v>
      </c>
      <c r="E6267" t="s">
        <v>30</v>
      </c>
      <c r="F6267" t="s">
        <v>82</v>
      </c>
      <c r="G6267">
        <v>3.54</v>
      </c>
      <c r="H6267" t="s">
        <v>41</v>
      </c>
      <c r="I6267" t="s">
        <v>42</v>
      </c>
      <c r="M6267">
        <f>VLOOKUP(H6267,'Stage Order'!$A$2:$B$8,2,FALSE)</f>
        <v>2</v>
      </c>
      <c r="N6267" t="str">
        <f t="shared" si="194"/>
        <v>2. 1-24 hours</v>
      </c>
      <c r="O6267" t="str">
        <f t="shared" si="195"/>
        <v>2026-04</v>
      </c>
    </row>
    <row r="6268" spans="1:15" x14ac:dyDescent="0.3">
      <c r="A6268" t="s">
        <v>14742</v>
      </c>
      <c r="B6268" t="s">
        <v>14743</v>
      </c>
      <c r="C6268" t="s">
        <v>58</v>
      </c>
      <c r="D6268" t="s">
        <v>29</v>
      </c>
      <c r="E6268" t="s">
        <v>39</v>
      </c>
      <c r="F6268" t="s">
        <v>66</v>
      </c>
      <c r="G6268">
        <v>2.15</v>
      </c>
      <c r="H6268" t="s">
        <v>41</v>
      </c>
      <c r="I6268" t="s">
        <v>42</v>
      </c>
      <c r="M6268">
        <f>VLOOKUP(H6268,'Stage Order'!$A$2:$B$8,2,FALSE)</f>
        <v>2</v>
      </c>
      <c r="N6268" t="str">
        <f t="shared" si="194"/>
        <v>2. 1-24 hours</v>
      </c>
      <c r="O6268" t="str">
        <f t="shared" si="195"/>
        <v>2026-02</v>
      </c>
    </row>
    <row r="6269" spans="1:15" x14ac:dyDescent="0.3">
      <c r="A6269" t="s">
        <v>14744</v>
      </c>
      <c r="B6269" t="s">
        <v>14745</v>
      </c>
      <c r="C6269" t="s">
        <v>58</v>
      </c>
      <c r="D6269" t="s">
        <v>38</v>
      </c>
      <c r="E6269" t="s">
        <v>39</v>
      </c>
      <c r="F6269" t="s">
        <v>106</v>
      </c>
      <c r="G6269">
        <v>2.04</v>
      </c>
      <c r="H6269" t="s">
        <v>138</v>
      </c>
      <c r="I6269" t="s">
        <v>48</v>
      </c>
      <c r="J6269" t="s">
        <v>98</v>
      </c>
      <c r="K6269">
        <v>354.43</v>
      </c>
      <c r="L6269" t="s">
        <v>14746</v>
      </c>
      <c r="M6269">
        <f>VLOOKUP(H6269,'Stage Order'!$A$2:$B$8,2,FALSE)</f>
        <v>6</v>
      </c>
      <c r="N6269" t="str">
        <f t="shared" si="194"/>
        <v>2. 1-24 hours</v>
      </c>
      <c r="O6269" t="str">
        <f t="shared" si="195"/>
        <v>2025-05</v>
      </c>
    </row>
    <row r="6270" spans="1:15" x14ac:dyDescent="0.3">
      <c r="A6270" t="s">
        <v>14747</v>
      </c>
      <c r="B6270" t="s">
        <v>14748</v>
      </c>
      <c r="C6270" t="s">
        <v>125</v>
      </c>
      <c r="D6270" t="s">
        <v>29</v>
      </c>
      <c r="E6270" t="s">
        <v>39</v>
      </c>
      <c r="F6270" t="s">
        <v>66</v>
      </c>
      <c r="G6270">
        <v>5.18</v>
      </c>
      <c r="H6270" t="s">
        <v>41</v>
      </c>
      <c r="I6270" t="s">
        <v>42</v>
      </c>
      <c r="M6270">
        <f>VLOOKUP(H6270,'Stage Order'!$A$2:$B$8,2,FALSE)</f>
        <v>2</v>
      </c>
      <c r="N6270" t="str">
        <f t="shared" si="194"/>
        <v>2. 1-24 hours</v>
      </c>
      <c r="O6270" t="str">
        <f t="shared" si="195"/>
        <v>2025-05</v>
      </c>
    </row>
    <row r="6271" spans="1:15" x14ac:dyDescent="0.3">
      <c r="A6271" t="s">
        <v>14749</v>
      </c>
      <c r="B6271" t="s">
        <v>14750</v>
      </c>
      <c r="C6271" t="s">
        <v>37</v>
      </c>
      <c r="D6271" t="s">
        <v>54</v>
      </c>
      <c r="E6271" t="s">
        <v>30</v>
      </c>
      <c r="F6271" t="s">
        <v>31</v>
      </c>
      <c r="G6271">
        <v>6.19</v>
      </c>
      <c r="H6271" t="s">
        <v>32</v>
      </c>
      <c r="I6271" t="s">
        <v>33</v>
      </c>
      <c r="K6271">
        <v>573.07000000000005</v>
      </c>
      <c r="L6271" t="s">
        <v>14751</v>
      </c>
      <c r="M6271">
        <f>VLOOKUP(H6271,'Stage Order'!$A$2:$B$8,2,FALSE)</f>
        <v>7</v>
      </c>
      <c r="N6271" t="str">
        <f t="shared" si="194"/>
        <v>2. 1-24 hours</v>
      </c>
      <c r="O6271" t="str">
        <f t="shared" si="195"/>
        <v>2026-03</v>
      </c>
    </row>
    <row r="6272" spans="1:15" x14ac:dyDescent="0.3">
      <c r="A6272" t="s">
        <v>14752</v>
      </c>
      <c r="B6272" t="s">
        <v>14753</v>
      </c>
      <c r="C6272" t="s">
        <v>125</v>
      </c>
      <c r="D6272" t="s">
        <v>54</v>
      </c>
      <c r="E6272" t="s">
        <v>45</v>
      </c>
      <c r="F6272" t="s">
        <v>55</v>
      </c>
      <c r="G6272">
        <v>0.95</v>
      </c>
      <c r="H6272" t="s">
        <v>41</v>
      </c>
      <c r="I6272" t="s">
        <v>42</v>
      </c>
      <c r="M6272">
        <f>VLOOKUP(H6272,'Stage Order'!$A$2:$B$8,2,FALSE)</f>
        <v>2</v>
      </c>
      <c r="N6272" t="str">
        <f t="shared" si="194"/>
        <v>1. Under 1 hour</v>
      </c>
      <c r="O6272" t="str">
        <f t="shared" si="195"/>
        <v>2025-07</v>
      </c>
    </row>
    <row r="6273" spans="1:15" x14ac:dyDescent="0.3">
      <c r="A6273" t="s">
        <v>14754</v>
      </c>
      <c r="B6273" t="s">
        <v>4821</v>
      </c>
      <c r="C6273" t="s">
        <v>81</v>
      </c>
      <c r="D6273" t="s">
        <v>77</v>
      </c>
      <c r="E6273" t="s">
        <v>45</v>
      </c>
      <c r="F6273" t="s">
        <v>46</v>
      </c>
      <c r="G6273">
        <v>4.46</v>
      </c>
      <c r="H6273" t="s">
        <v>47</v>
      </c>
      <c r="I6273" t="s">
        <v>48</v>
      </c>
      <c r="J6273" t="s">
        <v>98</v>
      </c>
      <c r="K6273">
        <v>1162.57</v>
      </c>
      <c r="L6273" t="s">
        <v>14755</v>
      </c>
      <c r="M6273">
        <f>VLOOKUP(H6273,'Stage Order'!$A$2:$B$8,2,FALSE)</f>
        <v>4</v>
      </c>
      <c r="N6273" t="str">
        <f t="shared" si="194"/>
        <v>2. 1-24 hours</v>
      </c>
      <c r="O6273" t="str">
        <f t="shared" si="195"/>
        <v>2025-02</v>
      </c>
    </row>
    <row r="6274" spans="1:15" x14ac:dyDescent="0.3">
      <c r="A6274" t="s">
        <v>14756</v>
      </c>
      <c r="B6274" t="s">
        <v>14757</v>
      </c>
      <c r="C6274" t="s">
        <v>53</v>
      </c>
      <c r="D6274" t="s">
        <v>97</v>
      </c>
      <c r="E6274" t="s">
        <v>45</v>
      </c>
      <c r="F6274" t="s">
        <v>94</v>
      </c>
      <c r="G6274">
        <v>22.37</v>
      </c>
      <c r="H6274" t="s">
        <v>32</v>
      </c>
      <c r="I6274" t="s">
        <v>33</v>
      </c>
      <c r="K6274">
        <v>1604.62</v>
      </c>
      <c r="L6274" t="s">
        <v>14758</v>
      </c>
      <c r="M6274">
        <f>VLOOKUP(H6274,'Stage Order'!$A$2:$B$8,2,FALSE)</f>
        <v>7</v>
      </c>
      <c r="N6274" t="str">
        <f t="shared" ref="N6274:N6337" si="196">IF(G6274&lt;=1,"1. Under 1 hour",IF(G6274&lt;=24,"2. 1-24 hours",IF(G6274&lt;=72,"3. 1-3 days","4. Over 3 days")))</f>
        <v>2. 1-24 hours</v>
      </c>
      <c r="O6274" t="str">
        <f t="shared" ref="O6274:O6337" si="197">TEXT(B6274,"YYYY-MM")</f>
        <v>2026-04</v>
      </c>
    </row>
    <row r="6275" spans="1:15" x14ac:dyDescent="0.3">
      <c r="A6275" t="s">
        <v>14759</v>
      </c>
      <c r="B6275" t="s">
        <v>14760</v>
      </c>
      <c r="C6275" t="s">
        <v>58</v>
      </c>
      <c r="D6275" t="s">
        <v>54</v>
      </c>
      <c r="E6275" t="s">
        <v>39</v>
      </c>
      <c r="F6275" t="s">
        <v>106</v>
      </c>
      <c r="G6275">
        <v>6.08</v>
      </c>
      <c r="H6275" t="s">
        <v>61</v>
      </c>
      <c r="I6275" t="s">
        <v>42</v>
      </c>
      <c r="M6275">
        <f>VLOOKUP(H6275,'Stage Order'!$A$2:$B$8,2,FALSE)</f>
        <v>1</v>
      </c>
      <c r="N6275" t="str">
        <f t="shared" si="196"/>
        <v>2. 1-24 hours</v>
      </c>
      <c r="O6275" t="str">
        <f t="shared" si="197"/>
        <v>2025-09</v>
      </c>
    </row>
    <row r="6276" spans="1:15" x14ac:dyDescent="0.3">
      <c r="A6276" t="s">
        <v>14761</v>
      </c>
      <c r="B6276" t="s">
        <v>14762</v>
      </c>
      <c r="C6276" t="s">
        <v>76</v>
      </c>
      <c r="D6276" t="s">
        <v>54</v>
      </c>
      <c r="E6276" t="s">
        <v>45</v>
      </c>
      <c r="F6276" t="s">
        <v>55</v>
      </c>
      <c r="G6276">
        <v>2.4300000000000002</v>
      </c>
      <c r="H6276" t="s">
        <v>41</v>
      </c>
      <c r="I6276" t="s">
        <v>42</v>
      </c>
      <c r="M6276">
        <f>VLOOKUP(H6276,'Stage Order'!$A$2:$B$8,2,FALSE)</f>
        <v>2</v>
      </c>
      <c r="N6276" t="str">
        <f t="shared" si="196"/>
        <v>2. 1-24 hours</v>
      </c>
      <c r="O6276" t="str">
        <f t="shared" si="197"/>
        <v>2025-04</v>
      </c>
    </row>
    <row r="6277" spans="1:15" x14ac:dyDescent="0.3">
      <c r="A6277" t="s">
        <v>14763</v>
      </c>
      <c r="B6277" t="s">
        <v>14764</v>
      </c>
      <c r="C6277" t="s">
        <v>37</v>
      </c>
      <c r="D6277" t="s">
        <v>54</v>
      </c>
      <c r="E6277" t="s">
        <v>45</v>
      </c>
      <c r="F6277" t="s">
        <v>94</v>
      </c>
      <c r="G6277">
        <v>9.4499999999999993</v>
      </c>
      <c r="H6277" t="s">
        <v>47</v>
      </c>
      <c r="I6277" t="s">
        <v>48</v>
      </c>
      <c r="J6277" t="s">
        <v>113</v>
      </c>
      <c r="K6277">
        <v>490.06</v>
      </c>
      <c r="L6277" t="s">
        <v>14765</v>
      </c>
      <c r="M6277">
        <f>VLOOKUP(H6277,'Stage Order'!$A$2:$B$8,2,FALSE)</f>
        <v>4</v>
      </c>
      <c r="N6277" t="str">
        <f t="shared" si="196"/>
        <v>2. 1-24 hours</v>
      </c>
      <c r="O6277" t="str">
        <f t="shared" si="197"/>
        <v>2025-04</v>
      </c>
    </row>
    <row r="6278" spans="1:15" x14ac:dyDescent="0.3">
      <c r="A6278" t="s">
        <v>14766</v>
      </c>
      <c r="B6278" t="s">
        <v>14767</v>
      </c>
      <c r="C6278" t="s">
        <v>37</v>
      </c>
      <c r="D6278" t="s">
        <v>38</v>
      </c>
      <c r="E6278" t="s">
        <v>39</v>
      </c>
      <c r="F6278" t="s">
        <v>40</v>
      </c>
      <c r="G6278">
        <v>2.3199999999999998</v>
      </c>
      <c r="H6278" t="s">
        <v>41</v>
      </c>
      <c r="I6278" t="s">
        <v>42</v>
      </c>
      <c r="M6278">
        <f>VLOOKUP(H6278,'Stage Order'!$A$2:$B$8,2,FALSE)</f>
        <v>2</v>
      </c>
      <c r="N6278" t="str">
        <f t="shared" si="196"/>
        <v>2. 1-24 hours</v>
      </c>
      <c r="O6278" t="str">
        <f t="shared" si="197"/>
        <v>2026-05</v>
      </c>
    </row>
    <row r="6279" spans="1:15" x14ac:dyDescent="0.3">
      <c r="A6279" t="s">
        <v>14768</v>
      </c>
      <c r="B6279" t="s">
        <v>14769</v>
      </c>
      <c r="C6279" t="s">
        <v>53</v>
      </c>
      <c r="D6279" t="s">
        <v>97</v>
      </c>
      <c r="E6279" t="s">
        <v>30</v>
      </c>
      <c r="F6279" t="s">
        <v>78</v>
      </c>
      <c r="G6279">
        <v>1.28</v>
      </c>
      <c r="H6279" t="s">
        <v>47</v>
      </c>
      <c r="I6279" t="s">
        <v>48</v>
      </c>
      <c r="J6279" t="s">
        <v>113</v>
      </c>
      <c r="K6279">
        <v>1610.98</v>
      </c>
      <c r="L6279" t="s">
        <v>14770</v>
      </c>
      <c r="M6279">
        <f>VLOOKUP(H6279,'Stage Order'!$A$2:$B$8,2,FALSE)</f>
        <v>4</v>
      </c>
      <c r="N6279" t="str">
        <f t="shared" si="196"/>
        <v>2. 1-24 hours</v>
      </c>
      <c r="O6279" t="str">
        <f t="shared" si="197"/>
        <v>2026-02</v>
      </c>
    </row>
    <row r="6280" spans="1:15" x14ac:dyDescent="0.3">
      <c r="A6280" t="s">
        <v>14771</v>
      </c>
      <c r="B6280" t="s">
        <v>14772</v>
      </c>
      <c r="C6280" t="s">
        <v>28</v>
      </c>
      <c r="D6280" t="s">
        <v>29</v>
      </c>
      <c r="E6280" t="s">
        <v>39</v>
      </c>
      <c r="F6280" t="s">
        <v>106</v>
      </c>
      <c r="G6280">
        <v>2.34</v>
      </c>
      <c r="H6280" t="s">
        <v>41</v>
      </c>
      <c r="I6280" t="s">
        <v>42</v>
      </c>
      <c r="M6280">
        <f>VLOOKUP(H6280,'Stage Order'!$A$2:$B$8,2,FALSE)</f>
        <v>2</v>
      </c>
      <c r="N6280" t="str">
        <f t="shared" si="196"/>
        <v>2. 1-24 hours</v>
      </c>
      <c r="O6280" t="str">
        <f t="shared" si="197"/>
        <v>2025-07</v>
      </c>
    </row>
    <row r="6281" spans="1:15" x14ac:dyDescent="0.3">
      <c r="A6281" t="s">
        <v>14773</v>
      </c>
      <c r="B6281" t="s">
        <v>14774</v>
      </c>
      <c r="C6281" t="s">
        <v>37</v>
      </c>
      <c r="D6281" t="s">
        <v>54</v>
      </c>
      <c r="E6281" t="s">
        <v>59</v>
      </c>
      <c r="F6281" t="s">
        <v>137</v>
      </c>
      <c r="G6281">
        <v>0.89</v>
      </c>
      <c r="H6281" t="s">
        <v>41</v>
      </c>
      <c r="I6281" t="s">
        <v>42</v>
      </c>
      <c r="M6281">
        <f>VLOOKUP(H6281,'Stage Order'!$A$2:$B$8,2,FALSE)</f>
        <v>2</v>
      </c>
      <c r="N6281" t="str">
        <f t="shared" si="196"/>
        <v>1. Under 1 hour</v>
      </c>
      <c r="O6281" t="str">
        <f t="shared" si="197"/>
        <v>2025-06</v>
      </c>
    </row>
    <row r="6282" spans="1:15" x14ac:dyDescent="0.3">
      <c r="A6282" t="s">
        <v>14775</v>
      </c>
      <c r="B6282" t="s">
        <v>14776</v>
      </c>
      <c r="C6282" t="s">
        <v>58</v>
      </c>
      <c r="D6282" t="s">
        <v>77</v>
      </c>
      <c r="E6282" t="s">
        <v>39</v>
      </c>
      <c r="F6282" t="s">
        <v>66</v>
      </c>
      <c r="G6282">
        <v>5.21</v>
      </c>
      <c r="H6282" t="s">
        <v>128</v>
      </c>
      <c r="I6282" t="s">
        <v>42</v>
      </c>
      <c r="M6282">
        <f>VLOOKUP(H6282,'Stage Order'!$A$2:$B$8,2,FALSE)</f>
        <v>3</v>
      </c>
      <c r="N6282" t="str">
        <f t="shared" si="196"/>
        <v>2. 1-24 hours</v>
      </c>
      <c r="O6282" t="str">
        <f t="shared" si="197"/>
        <v>2026-01</v>
      </c>
    </row>
    <row r="6283" spans="1:15" x14ac:dyDescent="0.3">
      <c r="A6283" t="s">
        <v>14777</v>
      </c>
      <c r="B6283" t="s">
        <v>14778</v>
      </c>
      <c r="C6283" t="s">
        <v>53</v>
      </c>
      <c r="D6283" t="s">
        <v>77</v>
      </c>
      <c r="E6283" t="s">
        <v>45</v>
      </c>
      <c r="F6283" t="s">
        <v>94</v>
      </c>
      <c r="G6283">
        <v>1.43</v>
      </c>
      <c r="H6283" t="s">
        <v>32</v>
      </c>
      <c r="I6283" t="s">
        <v>33</v>
      </c>
      <c r="K6283">
        <v>908.52</v>
      </c>
      <c r="L6283" t="s">
        <v>14779</v>
      </c>
      <c r="M6283">
        <f>VLOOKUP(H6283,'Stage Order'!$A$2:$B$8,2,FALSE)</f>
        <v>7</v>
      </c>
      <c r="N6283" t="str">
        <f t="shared" si="196"/>
        <v>2. 1-24 hours</v>
      </c>
      <c r="O6283" t="str">
        <f t="shared" si="197"/>
        <v>2026-04</v>
      </c>
    </row>
    <row r="6284" spans="1:15" x14ac:dyDescent="0.3">
      <c r="A6284" t="s">
        <v>14780</v>
      </c>
      <c r="B6284" t="s">
        <v>14781</v>
      </c>
      <c r="C6284" t="s">
        <v>37</v>
      </c>
      <c r="D6284" t="s">
        <v>29</v>
      </c>
      <c r="E6284" t="s">
        <v>30</v>
      </c>
      <c r="F6284" t="s">
        <v>82</v>
      </c>
      <c r="G6284">
        <v>1.42</v>
      </c>
      <c r="H6284" t="s">
        <v>41</v>
      </c>
      <c r="I6284" t="s">
        <v>42</v>
      </c>
      <c r="M6284">
        <f>VLOOKUP(H6284,'Stage Order'!$A$2:$B$8,2,FALSE)</f>
        <v>2</v>
      </c>
      <c r="N6284" t="str">
        <f t="shared" si="196"/>
        <v>2. 1-24 hours</v>
      </c>
      <c r="O6284" t="str">
        <f t="shared" si="197"/>
        <v>2025-12</v>
      </c>
    </row>
    <row r="6285" spans="1:15" x14ac:dyDescent="0.3">
      <c r="A6285" t="s">
        <v>14782</v>
      </c>
      <c r="B6285" t="s">
        <v>14783</v>
      </c>
      <c r="C6285" t="s">
        <v>37</v>
      </c>
      <c r="D6285" t="s">
        <v>29</v>
      </c>
      <c r="E6285" t="s">
        <v>90</v>
      </c>
      <c r="F6285" t="s">
        <v>145</v>
      </c>
      <c r="G6285">
        <v>10.99</v>
      </c>
      <c r="H6285" t="s">
        <v>41</v>
      </c>
      <c r="I6285" t="s">
        <v>42</v>
      </c>
      <c r="M6285">
        <f>VLOOKUP(H6285,'Stage Order'!$A$2:$B$8,2,FALSE)</f>
        <v>2</v>
      </c>
      <c r="N6285" t="str">
        <f t="shared" si="196"/>
        <v>2. 1-24 hours</v>
      </c>
      <c r="O6285" t="str">
        <f t="shared" si="197"/>
        <v>2025-06</v>
      </c>
    </row>
    <row r="6286" spans="1:15" x14ac:dyDescent="0.3">
      <c r="A6286" t="s">
        <v>14784</v>
      </c>
      <c r="B6286" t="s">
        <v>14785</v>
      </c>
      <c r="C6286" t="s">
        <v>125</v>
      </c>
      <c r="D6286" t="s">
        <v>97</v>
      </c>
      <c r="E6286" t="s">
        <v>39</v>
      </c>
      <c r="F6286" t="s">
        <v>66</v>
      </c>
      <c r="G6286">
        <v>2.41</v>
      </c>
      <c r="H6286" t="s">
        <v>61</v>
      </c>
      <c r="I6286" t="s">
        <v>42</v>
      </c>
      <c r="M6286">
        <f>VLOOKUP(H6286,'Stage Order'!$A$2:$B$8,2,FALSE)</f>
        <v>1</v>
      </c>
      <c r="N6286" t="str">
        <f t="shared" si="196"/>
        <v>2. 1-24 hours</v>
      </c>
      <c r="O6286" t="str">
        <f t="shared" si="197"/>
        <v>2025-08</v>
      </c>
    </row>
    <row r="6287" spans="1:15" x14ac:dyDescent="0.3">
      <c r="A6287" t="s">
        <v>14786</v>
      </c>
      <c r="B6287" t="s">
        <v>14787</v>
      </c>
      <c r="C6287" t="s">
        <v>125</v>
      </c>
      <c r="D6287" t="s">
        <v>77</v>
      </c>
      <c r="E6287" t="s">
        <v>59</v>
      </c>
      <c r="F6287" t="s">
        <v>137</v>
      </c>
      <c r="G6287">
        <v>1.33</v>
      </c>
      <c r="H6287" t="s">
        <v>47</v>
      </c>
      <c r="I6287" t="s">
        <v>48</v>
      </c>
      <c r="J6287" t="s">
        <v>742</v>
      </c>
      <c r="K6287">
        <v>996.3</v>
      </c>
      <c r="L6287" t="s">
        <v>14788</v>
      </c>
      <c r="M6287">
        <f>VLOOKUP(H6287,'Stage Order'!$A$2:$B$8,2,FALSE)</f>
        <v>4</v>
      </c>
      <c r="N6287" t="str">
        <f t="shared" si="196"/>
        <v>2. 1-24 hours</v>
      </c>
      <c r="O6287" t="str">
        <f t="shared" si="197"/>
        <v>2025-01</v>
      </c>
    </row>
    <row r="6288" spans="1:15" x14ac:dyDescent="0.3">
      <c r="A6288" t="s">
        <v>14789</v>
      </c>
      <c r="B6288" t="s">
        <v>14790</v>
      </c>
      <c r="C6288" t="s">
        <v>37</v>
      </c>
      <c r="D6288" t="s">
        <v>77</v>
      </c>
      <c r="E6288" t="s">
        <v>59</v>
      </c>
      <c r="F6288" t="s">
        <v>117</v>
      </c>
      <c r="G6288">
        <v>2.79</v>
      </c>
      <c r="H6288" t="s">
        <v>41</v>
      </c>
      <c r="I6288" t="s">
        <v>42</v>
      </c>
      <c r="M6288">
        <f>VLOOKUP(H6288,'Stage Order'!$A$2:$B$8,2,FALSE)</f>
        <v>2</v>
      </c>
      <c r="N6288" t="str">
        <f t="shared" si="196"/>
        <v>2. 1-24 hours</v>
      </c>
      <c r="O6288" t="str">
        <f t="shared" si="197"/>
        <v>2026-01</v>
      </c>
    </row>
    <row r="6289" spans="1:15" x14ac:dyDescent="0.3">
      <c r="A6289" t="s">
        <v>14791</v>
      </c>
      <c r="B6289" t="s">
        <v>14792</v>
      </c>
      <c r="C6289" t="s">
        <v>58</v>
      </c>
      <c r="D6289" t="s">
        <v>38</v>
      </c>
      <c r="E6289" t="s">
        <v>90</v>
      </c>
      <c r="F6289" t="s">
        <v>112</v>
      </c>
      <c r="G6289">
        <v>3.92</v>
      </c>
      <c r="H6289" t="s">
        <v>41</v>
      </c>
      <c r="I6289" t="s">
        <v>42</v>
      </c>
      <c r="M6289">
        <f>VLOOKUP(H6289,'Stage Order'!$A$2:$B$8,2,FALSE)</f>
        <v>2</v>
      </c>
      <c r="N6289" t="str">
        <f t="shared" si="196"/>
        <v>2. 1-24 hours</v>
      </c>
      <c r="O6289" t="str">
        <f t="shared" si="197"/>
        <v>2025-04</v>
      </c>
    </row>
    <row r="6290" spans="1:15" x14ac:dyDescent="0.3">
      <c r="A6290" t="s">
        <v>14793</v>
      </c>
      <c r="B6290" t="s">
        <v>14794</v>
      </c>
      <c r="C6290" t="s">
        <v>125</v>
      </c>
      <c r="D6290" t="s">
        <v>38</v>
      </c>
      <c r="E6290" t="s">
        <v>59</v>
      </c>
      <c r="F6290" t="s">
        <v>60</v>
      </c>
      <c r="G6290">
        <v>2.97</v>
      </c>
      <c r="H6290" t="s">
        <v>41</v>
      </c>
      <c r="I6290" t="s">
        <v>42</v>
      </c>
      <c r="M6290">
        <f>VLOOKUP(H6290,'Stage Order'!$A$2:$B$8,2,FALSE)</f>
        <v>2</v>
      </c>
      <c r="N6290" t="str">
        <f t="shared" si="196"/>
        <v>2. 1-24 hours</v>
      </c>
      <c r="O6290" t="str">
        <f t="shared" si="197"/>
        <v>2025-09</v>
      </c>
    </row>
    <row r="6291" spans="1:15" x14ac:dyDescent="0.3">
      <c r="A6291" t="s">
        <v>14795</v>
      </c>
      <c r="B6291" t="s">
        <v>14796</v>
      </c>
      <c r="C6291" t="s">
        <v>37</v>
      </c>
      <c r="D6291" t="s">
        <v>54</v>
      </c>
      <c r="E6291" t="s">
        <v>45</v>
      </c>
      <c r="F6291" t="s">
        <v>46</v>
      </c>
      <c r="G6291">
        <v>1.03</v>
      </c>
      <c r="H6291" t="s">
        <v>138</v>
      </c>
      <c r="I6291" t="s">
        <v>48</v>
      </c>
      <c r="J6291" t="s">
        <v>113</v>
      </c>
      <c r="K6291">
        <v>438.91</v>
      </c>
      <c r="L6291" t="s">
        <v>14797</v>
      </c>
      <c r="M6291">
        <f>VLOOKUP(H6291,'Stage Order'!$A$2:$B$8,2,FALSE)</f>
        <v>6</v>
      </c>
      <c r="N6291" t="str">
        <f t="shared" si="196"/>
        <v>2. 1-24 hours</v>
      </c>
      <c r="O6291" t="str">
        <f t="shared" si="197"/>
        <v>2026-03</v>
      </c>
    </row>
    <row r="6292" spans="1:15" x14ac:dyDescent="0.3">
      <c r="A6292" t="s">
        <v>14798</v>
      </c>
      <c r="B6292" t="s">
        <v>14799</v>
      </c>
      <c r="C6292" t="s">
        <v>37</v>
      </c>
      <c r="D6292" t="s">
        <v>29</v>
      </c>
      <c r="E6292" t="s">
        <v>45</v>
      </c>
      <c r="F6292" t="s">
        <v>94</v>
      </c>
      <c r="G6292">
        <v>5.7</v>
      </c>
      <c r="H6292" t="s">
        <v>32</v>
      </c>
      <c r="I6292" t="s">
        <v>33</v>
      </c>
      <c r="K6292">
        <v>731.34</v>
      </c>
      <c r="L6292" t="s">
        <v>14800</v>
      </c>
      <c r="M6292">
        <f>VLOOKUP(H6292,'Stage Order'!$A$2:$B$8,2,FALSE)</f>
        <v>7</v>
      </c>
      <c r="N6292" t="str">
        <f t="shared" si="196"/>
        <v>2. 1-24 hours</v>
      </c>
      <c r="O6292" t="str">
        <f t="shared" si="197"/>
        <v>2026-03</v>
      </c>
    </row>
    <row r="6293" spans="1:15" x14ac:dyDescent="0.3">
      <c r="A6293" t="s">
        <v>14801</v>
      </c>
      <c r="B6293" t="s">
        <v>14802</v>
      </c>
      <c r="C6293" t="s">
        <v>58</v>
      </c>
      <c r="D6293" t="s">
        <v>38</v>
      </c>
      <c r="E6293" t="s">
        <v>45</v>
      </c>
      <c r="F6293" t="s">
        <v>55</v>
      </c>
      <c r="G6293">
        <v>27.85</v>
      </c>
      <c r="H6293" t="s">
        <v>41</v>
      </c>
      <c r="I6293" t="s">
        <v>42</v>
      </c>
      <c r="M6293">
        <f>VLOOKUP(H6293,'Stage Order'!$A$2:$B$8,2,FALSE)</f>
        <v>2</v>
      </c>
      <c r="N6293" t="str">
        <f t="shared" si="196"/>
        <v>3. 1-3 days</v>
      </c>
      <c r="O6293" t="str">
        <f t="shared" si="197"/>
        <v>2025-02</v>
      </c>
    </row>
    <row r="6294" spans="1:15" x14ac:dyDescent="0.3">
      <c r="A6294" t="s">
        <v>14803</v>
      </c>
      <c r="B6294" t="s">
        <v>14804</v>
      </c>
      <c r="C6294" t="s">
        <v>81</v>
      </c>
      <c r="D6294" t="s">
        <v>77</v>
      </c>
      <c r="E6294" t="s">
        <v>30</v>
      </c>
      <c r="F6294" t="s">
        <v>78</v>
      </c>
      <c r="G6294">
        <v>4.6100000000000003</v>
      </c>
      <c r="H6294" t="s">
        <v>61</v>
      </c>
      <c r="I6294" t="s">
        <v>42</v>
      </c>
      <c r="M6294">
        <f>VLOOKUP(H6294,'Stage Order'!$A$2:$B$8,2,FALSE)</f>
        <v>1</v>
      </c>
      <c r="N6294" t="str">
        <f t="shared" si="196"/>
        <v>2. 1-24 hours</v>
      </c>
      <c r="O6294" t="str">
        <f t="shared" si="197"/>
        <v>2025-06</v>
      </c>
    </row>
    <row r="6295" spans="1:15" x14ac:dyDescent="0.3">
      <c r="A6295" t="s">
        <v>14805</v>
      </c>
      <c r="B6295" t="s">
        <v>14806</v>
      </c>
      <c r="C6295" t="s">
        <v>28</v>
      </c>
      <c r="D6295" t="s">
        <v>38</v>
      </c>
      <c r="E6295" t="s">
        <v>39</v>
      </c>
      <c r="F6295" t="s">
        <v>66</v>
      </c>
      <c r="G6295">
        <v>22.29</v>
      </c>
      <c r="H6295" t="s">
        <v>47</v>
      </c>
      <c r="I6295" t="s">
        <v>48</v>
      </c>
      <c r="J6295" t="s">
        <v>742</v>
      </c>
      <c r="K6295">
        <v>321.08999999999997</v>
      </c>
      <c r="L6295" t="s">
        <v>14807</v>
      </c>
      <c r="M6295">
        <f>VLOOKUP(H6295,'Stage Order'!$A$2:$B$8,2,FALSE)</f>
        <v>4</v>
      </c>
      <c r="N6295" t="str">
        <f t="shared" si="196"/>
        <v>2. 1-24 hours</v>
      </c>
      <c r="O6295" t="str">
        <f t="shared" si="197"/>
        <v>2025-01</v>
      </c>
    </row>
    <row r="6296" spans="1:15" x14ac:dyDescent="0.3">
      <c r="A6296" t="s">
        <v>14808</v>
      </c>
      <c r="B6296" t="s">
        <v>14809</v>
      </c>
      <c r="C6296" t="s">
        <v>58</v>
      </c>
      <c r="D6296" t="s">
        <v>29</v>
      </c>
      <c r="E6296" t="s">
        <v>45</v>
      </c>
      <c r="F6296" t="s">
        <v>46</v>
      </c>
      <c r="G6296">
        <v>2.0499999999999998</v>
      </c>
      <c r="H6296" t="s">
        <v>61</v>
      </c>
      <c r="I6296" t="s">
        <v>42</v>
      </c>
      <c r="M6296">
        <f>VLOOKUP(H6296,'Stage Order'!$A$2:$B$8,2,FALSE)</f>
        <v>1</v>
      </c>
      <c r="N6296" t="str">
        <f t="shared" si="196"/>
        <v>2. 1-24 hours</v>
      </c>
      <c r="O6296" t="str">
        <f t="shared" si="197"/>
        <v>2025-02</v>
      </c>
    </row>
    <row r="6297" spans="1:15" x14ac:dyDescent="0.3">
      <c r="A6297" t="s">
        <v>14810</v>
      </c>
      <c r="B6297" t="s">
        <v>14811</v>
      </c>
      <c r="C6297" t="s">
        <v>37</v>
      </c>
      <c r="D6297" t="s">
        <v>29</v>
      </c>
      <c r="E6297" t="s">
        <v>59</v>
      </c>
      <c r="F6297" t="s">
        <v>60</v>
      </c>
      <c r="G6297">
        <v>0.61</v>
      </c>
      <c r="H6297" t="s">
        <v>41</v>
      </c>
      <c r="I6297" t="s">
        <v>42</v>
      </c>
      <c r="M6297">
        <f>VLOOKUP(H6297,'Stage Order'!$A$2:$B$8,2,FALSE)</f>
        <v>2</v>
      </c>
      <c r="N6297" t="str">
        <f t="shared" si="196"/>
        <v>1. Under 1 hour</v>
      </c>
      <c r="O6297" t="str">
        <f t="shared" si="197"/>
        <v>2026-06</v>
      </c>
    </row>
    <row r="6298" spans="1:15" x14ac:dyDescent="0.3">
      <c r="A6298" t="s">
        <v>14812</v>
      </c>
      <c r="B6298" t="s">
        <v>14813</v>
      </c>
      <c r="C6298" t="s">
        <v>37</v>
      </c>
      <c r="D6298" t="s">
        <v>54</v>
      </c>
      <c r="E6298" t="s">
        <v>90</v>
      </c>
      <c r="F6298" t="s">
        <v>145</v>
      </c>
      <c r="G6298">
        <v>0.92</v>
      </c>
      <c r="H6298" t="s">
        <v>146</v>
      </c>
      <c r="I6298" t="s">
        <v>48</v>
      </c>
      <c r="J6298" t="s">
        <v>742</v>
      </c>
      <c r="K6298">
        <v>540.83000000000004</v>
      </c>
      <c r="L6298" t="s">
        <v>14814</v>
      </c>
      <c r="M6298">
        <f>VLOOKUP(H6298,'Stage Order'!$A$2:$B$8,2,FALSE)</f>
        <v>5</v>
      </c>
      <c r="N6298" t="str">
        <f t="shared" si="196"/>
        <v>1. Under 1 hour</v>
      </c>
      <c r="O6298" t="str">
        <f t="shared" si="197"/>
        <v>2025-04</v>
      </c>
    </row>
    <row r="6299" spans="1:15" x14ac:dyDescent="0.3">
      <c r="A6299" t="s">
        <v>14815</v>
      </c>
      <c r="B6299" t="s">
        <v>14816</v>
      </c>
      <c r="C6299" t="s">
        <v>76</v>
      </c>
      <c r="D6299" t="s">
        <v>29</v>
      </c>
      <c r="E6299" t="s">
        <v>30</v>
      </c>
      <c r="F6299" t="s">
        <v>31</v>
      </c>
      <c r="G6299">
        <v>2.54</v>
      </c>
      <c r="H6299" t="s">
        <v>41</v>
      </c>
      <c r="I6299" t="s">
        <v>42</v>
      </c>
      <c r="M6299">
        <f>VLOOKUP(H6299,'Stage Order'!$A$2:$B$8,2,FALSE)</f>
        <v>2</v>
      </c>
      <c r="N6299" t="str">
        <f t="shared" si="196"/>
        <v>2. 1-24 hours</v>
      </c>
      <c r="O6299" t="str">
        <f t="shared" si="197"/>
        <v>2025-04</v>
      </c>
    </row>
    <row r="6300" spans="1:15" x14ac:dyDescent="0.3">
      <c r="A6300" t="s">
        <v>14817</v>
      </c>
      <c r="B6300" t="s">
        <v>14818</v>
      </c>
      <c r="C6300" t="s">
        <v>125</v>
      </c>
      <c r="D6300" t="s">
        <v>29</v>
      </c>
      <c r="E6300" t="s">
        <v>45</v>
      </c>
      <c r="F6300" t="s">
        <v>46</v>
      </c>
      <c r="G6300">
        <v>2.13</v>
      </c>
      <c r="H6300" t="s">
        <v>41</v>
      </c>
      <c r="I6300" t="s">
        <v>42</v>
      </c>
      <c r="M6300">
        <f>VLOOKUP(H6300,'Stage Order'!$A$2:$B$8,2,FALSE)</f>
        <v>2</v>
      </c>
      <c r="N6300" t="str">
        <f t="shared" si="196"/>
        <v>2. 1-24 hours</v>
      </c>
      <c r="O6300" t="str">
        <f t="shared" si="197"/>
        <v>2025-11</v>
      </c>
    </row>
    <row r="6301" spans="1:15" x14ac:dyDescent="0.3">
      <c r="A6301" t="s">
        <v>14819</v>
      </c>
      <c r="B6301" t="s">
        <v>14820</v>
      </c>
      <c r="C6301" t="s">
        <v>81</v>
      </c>
      <c r="D6301" t="s">
        <v>54</v>
      </c>
      <c r="E6301" t="s">
        <v>90</v>
      </c>
      <c r="F6301" t="s">
        <v>112</v>
      </c>
      <c r="G6301">
        <v>5.2</v>
      </c>
      <c r="H6301" t="s">
        <v>41</v>
      </c>
      <c r="I6301" t="s">
        <v>42</v>
      </c>
      <c r="M6301">
        <f>VLOOKUP(H6301,'Stage Order'!$A$2:$B$8,2,FALSE)</f>
        <v>2</v>
      </c>
      <c r="N6301" t="str">
        <f t="shared" si="196"/>
        <v>2. 1-24 hours</v>
      </c>
      <c r="O6301" t="str">
        <f t="shared" si="197"/>
        <v>2026-04</v>
      </c>
    </row>
    <row r="6302" spans="1:15" x14ac:dyDescent="0.3">
      <c r="A6302" t="s">
        <v>14821</v>
      </c>
      <c r="B6302" t="s">
        <v>14822</v>
      </c>
      <c r="C6302" t="s">
        <v>58</v>
      </c>
      <c r="D6302" t="s">
        <v>97</v>
      </c>
      <c r="E6302" t="s">
        <v>45</v>
      </c>
      <c r="F6302" t="s">
        <v>55</v>
      </c>
      <c r="G6302">
        <v>3.18</v>
      </c>
      <c r="H6302" t="s">
        <v>32</v>
      </c>
      <c r="I6302" t="s">
        <v>33</v>
      </c>
      <c r="K6302">
        <v>1580.24</v>
      </c>
      <c r="L6302" t="s">
        <v>14823</v>
      </c>
      <c r="M6302">
        <f>VLOOKUP(H6302,'Stage Order'!$A$2:$B$8,2,FALSE)</f>
        <v>7</v>
      </c>
      <c r="N6302" t="str">
        <f t="shared" si="196"/>
        <v>2. 1-24 hours</v>
      </c>
      <c r="O6302" t="str">
        <f t="shared" si="197"/>
        <v>2026-02</v>
      </c>
    </row>
    <row r="6303" spans="1:15" x14ac:dyDescent="0.3">
      <c r="A6303" t="s">
        <v>14824</v>
      </c>
      <c r="B6303" t="s">
        <v>14825</v>
      </c>
      <c r="C6303" t="s">
        <v>58</v>
      </c>
      <c r="D6303" t="s">
        <v>54</v>
      </c>
      <c r="E6303" t="s">
        <v>45</v>
      </c>
      <c r="F6303" t="s">
        <v>55</v>
      </c>
      <c r="G6303">
        <v>5.09</v>
      </c>
      <c r="H6303" t="s">
        <v>138</v>
      </c>
      <c r="I6303" t="s">
        <v>48</v>
      </c>
      <c r="J6303" t="s">
        <v>98</v>
      </c>
      <c r="K6303">
        <v>543.4</v>
      </c>
      <c r="L6303" t="s">
        <v>14826</v>
      </c>
      <c r="M6303">
        <f>VLOOKUP(H6303,'Stage Order'!$A$2:$B$8,2,FALSE)</f>
        <v>6</v>
      </c>
      <c r="N6303" t="str">
        <f t="shared" si="196"/>
        <v>2. 1-24 hours</v>
      </c>
      <c r="O6303" t="str">
        <f t="shared" si="197"/>
        <v>2025-10</v>
      </c>
    </row>
    <row r="6304" spans="1:15" x14ac:dyDescent="0.3">
      <c r="A6304" t="s">
        <v>14827</v>
      </c>
      <c r="B6304" t="s">
        <v>14828</v>
      </c>
      <c r="C6304" t="s">
        <v>125</v>
      </c>
      <c r="D6304" t="s">
        <v>38</v>
      </c>
      <c r="E6304" t="s">
        <v>39</v>
      </c>
      <c r="F6304" t="s">
        <v>106</v>
      </c>
      <c r="G6304">
        <v>1.38</v>
      </c>
      <c r="H6304" t="s">
        <v>61</v>
      </c>
      <c r="I6304" t="s">
        <v>42</v>
      </c>
      <c r="M6304">
        <f>VLOOKUP(H6304,'Stage Order'!$A$2:$B$8,2,FALSE)</f>
        <v>1</v>
      </c>
      <c r="N6304" t="str">
        <f t="shared" si="196"/>
        <v>2. 1-24 hours</v>
      </c>
      <c r="O6304" t="str">
        <f t="shared" si="197"/>
        <v>2026-04</v>
      </c>
    </row>
    <row r="6305" spans="1:15" x14ac:dyDescent="0.3">
      <c r="A6305" t="s">
        <v>14829</v>
      </c>
      <c r="B6305" t="s">
        <v>14830</v>
      </c>
      <c r="C6305" t="s">
        <v>81</v>
      </c>
      <c r="D6305" t="s">
        <v>77</v>
      </c>
      <c r="E6305" t="s">
        <v>39</v>
      </c>
      <c r="F6305" t="s">
        <v>40</v>
      </c>
      <c r="G6305">
        <v>1.99</v>
      </c>
      <c r="H6305" t="s">
        <v>41</v>
      </c>
      <c r="I6305" t="s">
        <v>42</v>
      </c>
      <c r="M6305">
        <f>VLOOKUP(H6305,'Stage Order'!$A$2:$B$8,2,FALSE)</f>
        <v>2</v>
      </c>
      <c r="N6305" t="str">
        <f t="shared" si="196"/>
        <v>2. 1-24 hours</v>
      </c>
      <c r="O6305" t="str">
        <f t="shared" si="197"/>
        <v>2025-11</v>
      </c>
    </row>
    <row r="6306" spans="1:15" x14ac:dyDescent="0.3">
      <c r="A6306" t="s">
        <v>14831</v>
      </c>
      <c r="B6306" t="s">
        <v>14832</v>
      </c>
      <c r="C6306" t="s">
        <v>125</v>
      </c>
      <c r="D6306" t="s">
        <v>97</v>
      </c>
      <c r="E6306" t="s">
        <v>45</v>
      </c>
      <c r="F6306" t="s">
        <v>94</v>
      </c>
      <c r="G6306">
        <v>4.68</v>
      </c>
      <c r="H6306" t="s">
        <v>61</v>
      </c>
      <c r="I6306" t="s">
        <v>42</v>
      </c>
      <c r="M6306">
        <f>VLOOKUP(H6306,'Stage Order'!$A$2:$B$8,2,FALSE)</f>
        <v>1</v>
      </c>
      <c r="N6306" t="str">
        <f t="shared" si="196"/>
        <v>2. 1-24 hours</v>
      </c>
      <c r="O6306" t="str">
        <f t="shared" si="197"/>
        <v>2025-05</v>
      </c>
    </row>
    <row r="6307" spans="1:15" x14ac:dyDescent="0.3">
      <c r="A6307" t="s">
        <v>14833</v>
      </c>
      <c r="B6307" t="s">
        <v>14834</v>
      </c>
      <c r="C6307" t="s">
        <v>53</v>
      </c>
      <c r="D6307" t="s">
        <v>77</v>
      </c>
      <c r="E6307" t="s">
        <v>59</v>
      </c>
      <c r="F6307" t="s">
        <v>137</v>
      </c>
      <c r="G6307">
        <v>0.91</v>
      </c>
      <c r="H6307" t="s">
        <v>61</v>
      </c>
      <c r="I6307" t="s">
        <v>42</v>
      </c>
      <c r="M6307">
        <f>VLOOKUP(H6307,'Stage Order'!$A$2:$B$8,2,FALSE)</f>
        <v>1</v>
      </c>
      <c r="N6307" t="str">
        <f t="shared" si="196"/>
        <v>1. Under 1 hour</v>
      </c>
      <c r="O6307" t="str">
        <f t="shared" si="197"/>
        <v>2025-04</v>
      </c>
    </row>
    <row r="6308" spans="1:15" x14ac:dyDescent="0.3">
      <c r="A6308" t="s">
        <v>14835</v>
      </c>
      <c r="B6308" t="s">
        <v>14836</v>
      </c>
      <c r="C6308" t="s">
        <v>37</v>
      </c>
      <c r="D6308" t="s">
        <v>38</v>
      </c>
      <c r="E6308" t="s">
        <v>30</v>
      </c>
      <c r="F6308" t="s">
        <v>78</v>
      </c>
      <c r="G6308">
        <v>19.3</v>
      </c>
      <c r="H6308" t="s">
        <v>41</v>
      </c>
      <c r="I6308" t="s">
        <v>42</v>
      </c>
      <c r="M6308">
        <f>VLOOKUP(H6308,'Stage Order'!$A$2:$B$8,2,FALSE)</f>
        <v>2</v>
      </c>
      <c r="N6308" t="str">
        <f t="shared" si="196"/>
        <v>2. 1-24 hours</v>
      </c>
      <c r="O6308" t="str">
        <f t="shared" si="197"/>
        <v>2026-01</v>
      </c>
    </row>
    <row r="6309" spans="1:15" x14ac:dyDescent="0.3">
      <c r="A6309" t="s">
        <v>14837</v>
      </c>
      <c r="B6309" t="s">
        <v>14838</v>
      </c>
      <c r="C6309" t="s">
        <v>53</v>
      </c>
      <c r="D6309" t="s">
        <v>54</v>
      </c>
      <c r="E6309" t="s">
        <v>59</v>
      </c>
      <c r="F6309" t="s">
        <v>117</v>
      </c>
      <c r="G6309">
        <v>15.14</v>
      </c>
      <c r="H6309" t="s">
        <v>32</v>
      </c>
      <c r="I6309" t="s">
        <v>33</v>
      </c>
      <c r="K6309">
        <v>482.27</v>
      </c>
      <c r="L6309" t="s">
        <v>14839</v>
      </c>
      <c r="M6309">
        <f>VLOOKUP(H6309,'Stage Order'!$A$2:$B$8,2,FALSE)</f>
        <v>7</v>
      </c>
      <c r="N6309" t="str">
        <f t="shared" si="196"/>
        <v>2. 1-24 hours</v>
      </c>
      <c r="O6309" t="str">
        <f t="shared" si="197"/>
        <v>2025-02</v>
      </c>
    </row>
    <row r="6310" spans="1:15" x14ac:dyDescent="0.3">
      <c r="A6310" t="s">
        <v>14840</v>
      </c>
      <c r="B6310" t="s">
        <v>14841</v>
      </c>
      <c r="C6310" t="s">
        <v>37</v>
      </c>
      <c r="D6310" t="s">
        <v>29</v>
      </c>
      <c r="E6310" t="s">
        <v>59</v>
      </c>
      <c r="F6310" t="s">
        <v>60</v>
      </c>
      <c r="G6310">
        <v>0.97</v>
      </c>
      <c r="H6310" t="s">
        <v>41</v>
      </c>
      <c r="I6310" t="s">
        <v>42</v>
      </c>
      <c r="M6310">
        <f>VLOOKUP(H6310,'Stage Order'!$A$2:$B$8,2,FALSE)</f>
        <v>2</v>
      </c>
      <c r="N6310" t="str">
        <f t="shared" si="196"/>
        <v>1. Under 1 hour</v>
      </c>
      <c r="O6310" t="str">
        <f t="shared" si="197"/>
        <v>2025-10</v>
      </c>
    </row>
    <row r="6311" spans="1:15" x14ac:dyDescent="0.3">
      <c r="A6311" t="s">
        <v>14842</v>
      </c>
      <c r="B6311" t="s">
        <v>14843</v>
      </c>
      <c r="C6311" t="s">
        <v>76</v>
      </c>
      <c r="D6311" t="s">
        <v>54</v>
      </c>
      <c r="E6311" t="s">
        <v>39</v>
      </c>
      <c r="F6311" t="s">
        <v>106</v>
      </c>
      <c r="G6311">
        <v>1.21</v>
      </c>
      <c r="H6311" t="s">
        <v>146</v>
      </c>
      <c r="I6311" t="s">
        <v>48</v>
      </c>
      <c r="J6311" t="s">
        <v>98</v>
      </c>
      <c r="K6311">
        <v>457.36</v>
      </c>
      <c r="L6311" t="s">
        <v>14844</v>
      </c>
      <c r="M6311">
        <f>VLOOKUP(H6311,'Stage Order'!$A$2:$B$8,2,FALSE)</f>
        <v>5</v>
      </c>
      <c r="N6311" t="str">
        <f t="shared" si="196"/>
        <v>2. 1-24 hours</v>
      </c>
      <c r="O6311" t="str">
        <f t="shared" si="197"/>
        <v>2026-06</v>
      </c>
    </row>
    <row r="6312" spans="1:15" x14ac:dyDescent="0.3">
      <c r="A6312" t="s">
        <v>14845</v>
      </c>
      <c r="B6312" t="s">
        <v>14846</v>
      </c>
      <c r="C6312" t="s">
        <v>58</v>
      </c>
      <c r="D6312" t="s">
        <v>29</v>
      </c>
      <c r="E6312" t="s">
        <v>59</v>
      </c>
      <c r="F6312" t="s">
        <v>60</v>
      </c>
      <c r="G6312">
        <v>1.91</v>
      </c>
      <c r="H6312" t="s">
        <v>41</v>
      </c>
      <c r="I6312" t="s">
        <v>42</v>
      </c>
      <c r="M6312">
        <f>VLOOKUP(H6312,'Stage Order'!$A$2:$B$8,2,FALSE)</f>
        <v>2</v>
      </c>
      <c r="N6312" t="str">
        <f t="shared" si="196"/>
        <v>2. 1-24 hours</v>
      </c>
      <c r="O6312" t="str">
        <f t="shared" si="197"/>
        <v>2026-02</v>
      </c>
    </row>
    <row r="6313" spans="1:15" x14ac:dyDescent="0.3">
      <c r="A6313" t="s">
        <v>14847</v>
      </c>
      <c r="B6313" t="s">
        <v>14848</v>
      </c>
      <c r="C6313" t="s">
        <v>125</v>
      </c>
      <c r="D6313" t="s">
        <v>54</v>
      </c>
      <c r="E6313" t="s">
        <v>90</v>
      </c>
      <c r="F6313" t="s">
        <v>91</v>
      </c>
      <c r="G6313">
        <v>4</v>
      </c>
      <c r="H6313" t="s">
        <v>61</v>
      </c>
      <c r="I6313" t="s">
        <v>42</v>
      </c>
      <c r="M6313">
        <f>VLOOKUP(H6313,'Stage Order'!$A$2:$B$8,2,FALSE)</f>
        <v>1</v>
      </c>
      <c r="N6313" t="str">
        <f t="shared" si="196"/>
        <v>2. 1-24 hours</v>
      </c>
      <c r="O6313" t="str">
        <f t="shared" si="197"/>
        <v>2025-01</v>
      </c>
    </row>
    <row r="6314" spans="1:15" x14ac:dyDescent="0.3">
      <c r="A6314" t="s">
        <v>14849</v>
      </c>
      <c r="B6314" t="s">
        <v>14850</v>
      </c>
      <c r="C6314" t="s">
        <v>58</v>
      </c>
      <c r="D6314" t="s">
        <v>29</v>
      </c>
      <c r="E6314" t="s">
        <v>39</v>
      </c>
      <c r="F6314" t="s">
        <v>106</v>
      </c>
      <c r="G6314">
        <v>6.41</v>
      </c>
      <c r="H6314" t="s">
        <v>61</v>
      </c>
      <c r="I6314" t="s">
        <v>42</v>
      </c>
      <c r="M6314">
        <f>VLOOKUP(H6314,'Stage Order'!$A$2:$B$8,2,FALSE)</f>
        <v>1</v>
      </c>
      <c r="N6314" t="str">
        <f t="shared" si="196"/>
        <v>2. 1-24 hours</v>
      </c>
      <c r="O6314" t="str">
        <f t="shared" si="197"/>
        <v>2025-01</v>
      </c>
    </row>
    <row r="6315" spans="1:15" x14ac:dyDescent="0.3">
      <c r="A6315" t="s">
        <v>14851</v>
      </c>
      <c r="B6315" t="s">
        <v>14852</v>
      </c>
      <c r="C6315" t="s">
        <v>76</v>
      </c>
      <c r="D6315" t="s">
        <v>77</v>
      </c>
      <c r="E6315" t="s">
        <v>39</v>
      </c>
      <c r="F6315" t="s">
        <v>66</v>
      </c>
      <c r="G6315">
        <v>6.05</v>
      </c>
      <c r="H6315" t="s">
        <v>41</v>
      </c>
      <c r="I6315" t="s">
        <v>42</v>
      </c>
      <c r="M6315">
        <f>VLOOKUP(H6315,'Stage Order'!$A$2:$B$8,2,FALSE)</f>
        <v>2</v>
      </c>
      <c r="N6315" t="str">
        <f t="shared" si="196"/>
        <v>2. 1-24 hours</v>
      </c>
      <c r="O6315" t="str">
        <f t="shared" si="197"/>
        <v>2025-02</v>
      </c>
    </row>
    <row r="6316" spans="1:15" x14ac:dyDescent="0.3">
      <c r="A6316" t="s">
        <v>14853</v>
      </c>
      <c r="B6316" t="s">
        <v>14854</v>
      </c>
      <c r="C6316" t="s">
        <v>76</v>
      </c>
      <c r="D6316" t="s">
        <v>29</v>
      </c>
      <c r="E6316" t="s">
        <v>59</v>
      </c>
      <c r="F6316" t="s">
        <v>137</v>
      </c>
      <c r="G6316">
        <v>0.59</v>
      </c>
      <c r="H6316" t="s">
        <v>32</v>
      </c>
      <c r="I6316" t="s">
        <v>33</v>
      </c>
      <c r="K6316">
        <v>601.92999999999995</v>
      </c>
      <c r="L6316" t="s">
        <v>14855</v>
      </c>
      <c r="M6316">
        <f>VLOOKUP(H6316,'Stage Order'!$A$2:$B$8,2,FALSE)</f>
        <v>7</v>
      </c>
      <c r="N6316" t="str">
        <f t="shared" si="196"/>
        <v>1. Under 1 hour</v>
      </c>
      <c r="O6316" t="str">
        <f t="shared" si="197"/>
        <v>2025-10</v>
      </c>
    </row>
    <row r="6317" spans="1:15" x14ac:dyDescent="0.3">
      <c r="A6317" t="s">
        <v>14856</v>
      </c>
      <c r="B6317" t="s">
        <v>14857</v>
      </c>
      <c r="C6317" t="s">
        <v>125</v>
      </c>
      <c r="D6317" t="s">
        <v>38</v>
      </c>
      <c r="E6317" t="s">
        <v>59</v>
      </c>
      <c r="F6317" t="s">
        <v>117</v>
      </c>
      <c r="G6317">
        <v>3.71</v>
      </c>
      <c r="H6317" t="s">
        <v>41</v>
      </c>
      <c r="I6317" t="s">
        <v>42</v>
      </c>
      <c r="M6317">
        <f>VLOOKUP(H6317,'Stage Order'!$A$2:$B$8,2,FALSE)</f>
        <v>2</v>
      </c>
      <c r="N6317" t="str">
        <f t="shared" si="196"/>
        <v>2. 1-24 hours</v>
      </c>
      <c r="O6317" t="str">
        <f t="shared" si="197"/>
        <v>2026-04</v>
      </c>
    </row>
    <row r="6318" spans="1:15" x14ac:dyDescent="0.3">
      <c r="A6318" t="s">
        <v>14858</v>
      </c>
      <c r="B6318" t="s">
        <v>14859</v>
      </c>
      <c r="C6318" t="s">
        <v>125</v>
      </c>
      <c r="D6318" t="s">
        <v>77</v>
      </c>
      <c r="E6318" t="s">
        <v>39</v>
      </c>
      <c r="F6318" t="s">
        <v>40</v>
      </c>
      <c r="G6318">
        <v>2.31</v>
      </c>
      <c r="H6318" t="s">
        <v>47</v>
      </c>
      <c r="I6318" t="s">
        <v>48</v>
      </c>
      <c r="J6318" t="s">
        <v>139</v>
      </c>
      <c r="K6318">
        <v>1165.45</v>
      </c>
      <c r="L6318" t="s">
        <v>14860</v>
      </c>
      <c r="M6318">
        <f>VLOOKUP(H6318,'Stage Order'!$A$2:$B$8,2,FALSE)</f>
        <v>4</v>
      </c>
      <c r="N6318" t="str">
        <f t="shared" si="196"/>
        <v>2. 1-24 hours</v>
      </c>
      <c r="O6318" t="str">
        <f t="shared" si="197"/>
        <v>2025-04</v>
      </c>
    </row>
    <row r="6319" spans="1:15" x14ac:dyDescent="0.3">
      <c r="A6319" t="s">
        <v>14861</v>
      </c>
      <c r="B6319" t="s">
        <v>14862</v>
      </c>
      <c r="C6319" t="s">
        <v>53</v>
      </c>
      <c r="D6319" t="s">
        <v>54</v>
      </c>
      <c r="E6319" t="s">
        <v>45</v>
      </c>
      <c r="F6319" t="s">
        <v>94</v>
      </c>
      <c r="G6319">
        <v>3.22</v>
      </c>
      <c r="H6319" t="s">
        <v>128</v>
      </c>
      <c r="I6319" t="s">
        <v>42</v>
      </c>
      <c r="M6319">
        <f>VLOOKUP(H6319,'Stage Order'!$A$2:$B$8,2,FALSE)</f>
        <v>3</v>
      </c>
      <c r="N6319" t="str">
        <f t="shared" si="196"/>
        <v>2. 1-24 hours</v>
      </c>
      <c r="O6319" t="str">
        <f t="shared" si="197"/>
        <v>2025-01</v>
      </c>
    </row>
    <row r="6320" spans="1:15" x14ac:dyDescent="0.3">
      <c r="A6320" t="s">
        <v>14863</v>
      </c>
      <c r="B6320" t="s">
        <v>14864</v>
      </c>
      <c r="C6320" t="s">
        <v>81</v>
      </c>
      <c r="D6320" t="s">
        <v>54</v>
      </c>
      <c r="E6320" t="s">
        <v>59</v>
      </c>
      <c r="F6320" t="s">
        <v>117</v>
      </c>
      <c r="G6320">
        <v>3.77</v>
      </c>
      <c r="H6320" t="s">
        <v>61</v>
      </c>
      <c r="I6320" t="s">
        <v>42</v>
      </c>
      <c r="M6320">
        <f>VLOOKUP(H6320,'Stage Order'!$A$2:$B$8,2,FALSE)</f>
        <v>1</v>
      </c>
      <c r="N6320" t="str">
        <f t="shared" si="196"/>
        <v>2. 1-24 hours</v>
      </c>
      <c r="O6320" t="str">
        <f t="shared" si="197"/>
        <v>2025-06</v>
      </c>
    </row>
    <row r="6321" spans="1:15" x14ac:dyDescent="0.3">
      <c r="A6321" t="s">
        <v>14865</v>
      </c>
      <c r="B6321" t="s">
        <v>14866</v>
      </c>
      <c r="C6321" t="s">
        <v>53</v>
      </c>
      <c r="D6321" t="s">
        <v>77</v>
      </c>
      <c r="E6321" t="s">
        <v>59</v>
      </c>
      <c r="F6321" t="s">
        <v>137</v>
      </c>
      <c r="G6321">
        <v>2.1800000000000002</v>
      </c>
      <c r="H6321" t="s">
        <v>138</v>
      </c>
      <c r="I6321" t="s">
        <v>48</v>
      </c>
      <c r="J6321" t="s">
        <v>113</v>
      </c>
      <c r="K6321">
        <v>1116.07</v>
      </c>
      <c r="L6321" t="s">
        <v>14867</v>
      </c>
      <c r="M6321">
        <f>VLOOKUP(H6321,'Stage Order'!$A$2:$B$8,2,FALSE)</f>
        <v>6</v>
      </c>
      <c r="N6321" t="str">
        <f t="shared" si="196"/>
        <v>2. 1-24 hours</v>
      </c>
      <c r="O6321" t="str">
        <f t="shared" si="197"/>
        <v>2025-11</v>
      </c>
    </row>
    <row r="6322" spans="1:15" x14ac:dyDescent="0.3">
      <c r="A6322" t="s">
        <v>14868</v>
      </c>
      <c r="B6322" t="s">
        <v>14869</v>
      </c>
      <c r="C6322" t="s">
        <v>58</v>
      </c>
      <c r="D6322" t="s">
        <v>54</v>
      </c>
      <c r="E6322" t="s">
        <v>59</v>
      </c>
      <c r="F6322" t="s">
        <v>60</v>
      </c>
      <c r="G6322">
        <v>3.32</v>
      </c>
      <c r="H6322" t="s">
        <v>32</v>
      </c>
      <c r="I6322" t="s">
        <v>33</v>
      </c>
      <c r="K6322">
        <v>484.15</v>
      </c>
      <c r="L6322" t="s">
        <v>14870</v>
      </c>
      <c r="M6322">
        <f>VLOOKUP(H6322,'Stage Order'!$A$2:$B$8,2,FALSE)</f>
        <v>7</v>
      </c>
      <c r="N6322" t="str">
        <f t="shared" si="196"/>
        <v>2. 1-24 hours</v>
      </c>
      <c r="O6322" t="str">
        <f t="shared" si="197"/>
        <v>2026-05</v>
      </c>
    </row>
    <row r="6323" spans="1:15" x14ac:dyDescent="0.3">
      <c r="A6323" t="s">
        <v>14871</v>
      </c>
      <c r="B6323" t="s">
        <v>14872</v>
      </c>
      <c r="C6323" t="s">
        <v>28</v>
      </c>
      <c r="D6323" t="s">
        <v>77</v>
      </c>
      <c r="E6323" t="s">
        <v>90</v>
      </c>
      <c r="F6323" t="s">
        <v>112</v>
      </c>
      <c r="G6323">
        <v>1.71</v>
      </c>
      <c r="H6323" t="s">
        <v>41</v>
      </c>
      <c r="I6323" t="s">
        <v>42</v>
      </c>
      <c r="M6323">
        <f>VLOOKUP(H6323,'Stage Order'!$A$2:$B$8,2,FALSE)</f>
        <v>2</v>
      </c>
      <c r="N6323" t="str">
        <f t="shared" si="196"/>
        <v>2. 1-24 hours</v>
      </c>
      <c r="O6323" t="str">
        <f t="shared" si="197"/>
        <v>2025-09</v>
      </c>
    </row>
    <row r="6324" spans="1:15" x14ac:dyDescent="0.3">
      <c r="A6324" t="s">
        <v>14873</v>
      </c>
      <c r="B6324" t="s">
        <v>14874</v>
      </c>
      <c r="C6324" t="s">
        <v>81</v>
      </c>
      <c r="D6324" t="s">
        <v>54</v>
      </c>
      <c r="E6324" t="s">
        <v>39</v>
      </c>
      <c r="F6324" t="s">
        <v>66</v>
      </c>
      <c r="G6324">
        <v>20.03</v>
      </c>
      <c r="H6324" t="s">
        <v>61</v>
      </c>
      <c r="I6324" t="s">
        <v>42</v>
      </c>
      <c r="M6324">
        <f>VLOOKUP(H6324,'Stage Order'!$A$2:$B$8,2,FALSE)</f>
        <v>1</v>
      </c>
      <c r="N6324" t="str">
        <f t="shared" si="196"/>
        <v>2. 1-24 hours</v>
      </c>
      <c r="O6324" t="str">
        <f t="shared" si="197"/>
        <v>2025-11</v>
      </c>
    </row>
    <row r="6325" spans="1:15" x14ac:dyDescent="0.3">
      <c r="A6325" t="s">
        <v>14875</v>
      </c>
      <c r="B6325" t="s">
        <v>14876</v>
      </c>
      <c r="C6325" t="s">
        <v>76</v>
      </c>
      <c r="D6325" t="s">
        <v>29</v>
      </c>
      <c r="E6325" t="s">
        <v>39</v>
      </c>
      <c r="F6325" t="s">
        <v>40</v>
      </c>
      <c r="G6325">
        <v>9.15</v>
      </c>
      <c r="H6325" t="s">
        <v>41</v>
      </c>
      <c r="I6325" t="s">
        <v>42</v>
      </c>
      <c r="M6325">
        <f>VLOOKUP(H6325,'Stage Order'!$A$2:$B$8,2,FALSE)</f>
        <v>2</v>
      </c>
      <c r="N6325" t="str">
        <f t="shared" si="196"/>
        <v>2. 1-24 hours</v>
      </c>
      <c r="O6325" t="str">
        <f t="shared" si="197"/>
        <v>2025-10</v>
      </c>
    </row>
    <row r="6326" spans="1:15" x14ac:dyDescent="0.3">
      <c r="A6326" t="s">
        <v>14877</v>
      </c>
      <c r="B6326" t="s">
        <v>14878</v>
      </c>
      <c r="C6326" t="s">
        <v>58</v>
      </c>
      <c r="D6326" t="s">
        <v>29</v>
      </c>
      <c r="E6326" t="s">
        <v>59</v>
      </c>
      <c r="F6326" t="s">
        <v>137</v>
      </c>
      <c r="G6326">
        <v>0.22</v>
      </c>
      <c r="H6326" t="s">
        <v>41</v>
      </c>
      <c r="I6326" t="s">
        <v>42</v>
      </c>
      <c r="M6326">
        <f>VLOOKUP(H6326,'Stage Order'!$A$2:$B$8,2,FALSE)</f>
        <v>2</v>
      </c>
      <c r="N6326" t="str">
        <f t="shared" si="196"/>
        <v>1. Under 1 hour</v>
      </c>
      <c r="O6326" t="str">
        <f t="shared" si="197"/>
        <v>2025-12</v>
      </c>
    </row>
    <row r="6327" spans="1:15" x14ac:dyDescent="0.3">
      <c r="A6327" t="s">
        <v>14879</v>
      </c>
      <c r="B6327" t="s">
        <v>14880</v>
      </c>
      <c r="C6327" t="s">
        <v>37</v>
      </c>
      <c r="D6327" t="s">
        <v>54</v>
      </c>
      <c r="E6327" t="s">
        <v>45</v>
      </c>
      <c r="F6327" t="s">
        <v>46</v>
      </c>
      <c r="G6327">
        <v>4.66</v>
      </c>
      <c r="H6327" t="s">
        <v>32</v>
      </c>
      <c r="I6327" t="s">
        <v>33</v>
      </c>
      <c r="K6327">
        <v>546.27</v>
      </c>
      <c r="L6327" t="s">
        <v>14881</v>
      </c>
      <c r="M6327">
        <f>VLOOKUP(H6327,'Stage Order'!$A$2:$B$8,2,FALSE)</f>
        <v>7</v>
      </c>
      <c r="N6327" t="str">
        <f t="shared" si="196"/>
        <v>2. 1-24 hours</v>
      </c>
      <c r="O6327" t="str">
        <f t="shared" si="197"/>
        <v>2025-12</v>
      </c>
    </row>
    <row r="6328" spans="1:15" x14ac:dyDescent="0.3">
      <c r="A6328" t="s">
        <v>14882</v>
      </c>
      <c r="B6328" t="s">
        <v>14883</v>
      </c>
      <c r="C6328" t="s">
        <v>76</v>
      </c>
      <c r="D6328" t="s">
        <v>29</v>
      </c>
      <c r="E6328" t="s">
        <v>30</v>
      </c>
      <c r="F6328" t="s">
        <v>31</v>
      </c>
      <c r="G6328">
        <v>1.73</v>
      </c>
      <c r="H6328" t="s">
        <v>41</v>
      </c>
      <c r="I6328" t="s">
        <v>42</v>
      </c>
      <c r="M6328">
        <f>VLOOKUP(H6328,'Stage Order'!$A$2:$B$8,2,FALSE)</f>
        <v>2</v>
      </c>
      <c r="N6328" t="str">
        <f t="shared" si="196"/>
        <v>2. 1-24 hours</v>
      </c>
      <c r="O6328" t="str">
        <f t="shared" si="197"/>
        <v>2026-03</v>
      </c>
    </row>
    <row r="6329" spans="1:15" x14ac:dyDescent="0.3">
      <c r="A6329" t="s">
        <v>14884</v>
      </c>
      <c r="B6329" t="s">
        <v>14885</v>
      </c>
      <c r="C6329" t="s">
        <v>125</v>
      </c>
      <c r="D6329" t="s">
        <v>38</v>
      </c>
      <c r="E6329" t="s">
        <v>39</v>
      </c>
      <c r="F6329" t="s">
        <v>106</v>
      </c>
      <c r="G6329">
        <v>3.35</v>
      </c>
      <c r="H6329" t="s">
        <v>41</v>
      </c>
      <c r="I6329" t="s">
        <v>42</v>
      </c>
      <c r="M6329">
        <f>VLOOKUP(H6329,'Stage Order'!$A$2:$B$8,2,FALSE)</f>
        <v>2</v>
      </c>
      <c r="N6329" t="str">
        <f t="shared" si="196"/>
        <v>2. 1-24 hours</v>
      </c>
      <c r="O6329" t="str">
        <f t="shared" si="197"/>
        <v>2026-01</v>
      </c>
    </row>
    <row r="6330" spans="1:15" x14ac:dyDescent="0.3">
      <c r="A6330" t="s">
        <v>14886</v>
      </c>
      <c r="B6330" t="s">
        <v>14887</v>
      </c>
      <c r="C6330" t="s">
        <v>28</v>
      </c>
      <c r="D6330" t="s">
        <v>97</v>
      </c>
      <c r="E6330" t="s">
        <v>59</v>
      </c>
      <c r="F6330" t="s">
        <v>137</v>
      </c>
      <c r="G6330">
        <v>4.3099999999999996</v>
      </c>
      <c r="H6330" t="s">
        <v>61</v>
      </c>
      <c r="I6330" t="s">
        <v>42</v>
      </c>
      <c r="M6330">
        <f>VLOOKUP(H6330,'Stage Order'!$A$2:$B$8,2,FALSE)</f>
        <v>1</v>
      </c>
      <c r="N6330" t="str">
        <f t="shared" si="196"/>
        <v>2. 1-24 hours</v>
      </c>
      <c r="O6330" t="str">
        <f t="shared" si="197"/>
        <v>2025-09</v>
      </c>
    </row>
    <row r="6331" spans="1:15" x14ac:dyDescent="0.3">
      <c r="A6331" t="s">
        <v>14888</v>
      </c>
      <c r="B6331" t="s">
        <v>14889</v>
      </c>
      <c r="C6331" t="s">
        <v>28</v>
      </c>
      <c r="D6331" t="s">
        <v>77</v>
      </c>
      <c r="E6331" t="s">
        <v>59</v>
      </c>
      <c r="F6331" t="s">
        <v>117</v>
      </c>
      <c r="G6331">
        <v>4.22</v>
      </c>
      <c r="H6331" t="s">
        <v>32</v>
      </c>
      <c r="I6331" t="s">
        <v>33</v>
      </c>
      <c r="K6331">
        <v>1165.28</v>
      </c>
      <c r="L6331" t="s">
        <v>14890</v>
      </c>
      <c r="M6331">
        <f>VLOOKUP(H6331,'Stage Order'!$A$2:$B$8,2,FALSE)</f>
        <v>7</v>
      </c>
      <c r="N6331" t="str">
        <f t="shared" si="196"/>
        <v>2. 1-24 hours</v>
      </c>
      <c r="O6331" t="str">
        <f t="shared" si="197"/>
        <v>2026-06</v>
      </c>
    </row>
    <row r="6332" spans="1:15" x14ac:dyDescent="0.3">
      <c r="A6332" t="s">
        <v>14891</v>
      </c>
      <c r="B6332" t="s">
        <v>14892</v>
      </c>
      <c r="C6332" t="s">
        <v>58</v>
      </c>
      <c r="D6332" t="s">
        <v>29</v>
      </c>
      <c r="E6332" t="s">
        <v>45</v>
      </c>
      <c r="F6332" t="s">
        <v>46</v>
      </c>
      <c r="G6332">
        <v>8.41</v>
      </c>
      <c r="H6332" t="s">
        <v>41</v>
      </c>
      <c r="I6332" t="s">
        <v>42</v>
      </c>
      <c r="M6332">
        <f>VLOOKUP(H6332,'Stage Order'!$A$2:$B$8,2,FALSE)</f>
        <v>2</v>
      </c>
      <c r="N6332" t="str">
        <f t="shared" si="196"/>
        <v>2. 1-24 hours</v>
      </c>
      <c r="O6332" t="str">
        <f t="shared" si="197"/>
        <v>2025-09</v>
      </c>
    </row>
    <row r="6333" spans="1:15" x14ac:dyDescent="0.3">
      <c r="A6333" t="s">
        <v>14893</v>
      </c>
      <c r="B6333" t="s">
        <v>14894</v>
      </c>
      <c r="C6333" t="s">
        <v>37</v>
      </c>
      <c r="D6333" t="s">
        <v>77</v>
      </c>
      <c r="E6333" t="s">
        <v>39</v>
      </c>
      <c r="F6333" t="s">
        <v>40</v>
      </c>
      <c r="G6333">
        <v>26.38</v>
      </c>
      <c r="H6333" t="s">
        <v>128</v>
      </c>
      <c r="I6333" t="s">
        <v>42</v>
      </c>
      <c r="M6333">
        <f>VLOOKUP(H6333,'Stage Order'!$A$2:$B$8,2,FALSE)</f>
        <v>3</v>
      </c>
      <c r="N6333" t="str">
        <f t="shared" si="196"/>
        <v>3. 1-3 days</v>
      </c>
      <c r="O6333" t="str">
        <f t="shared" si="197"/>
        <v>2026-02</v>
      </c>
    </row>
    <row r="6334" spans="1:15" x14ac:dyDescent="0.3">
      <c r="A6334" t="s">
        <v>14895</v>
      </c>
      <c r="B6334" t="s">
        <v>14896</v>
      </c>
      <c r="C6334" t="s">
        <v>58</v>
      </c>
      <c r="D6334" t="s">
        <v>54</v>
      </c>
      <c r="E6334" t="s">
        <v>59</v>
      </c>
      <c r="F6334" t="s">
        <v>117</v>
      </c>
      <c r="G6334">
        <v>1.65</v>
      </c>
      <c r="H6334" t="s">
        <v>41</v>
      </c>
      <c r="I6334" t="s">
        <v>42</v>
      </c>
      <c r="M6334">
        <f>VLOOKUP(H6334,'Stage Order'!$A$2:$B$8,2,FALSE)</f>
        <v>2</v>
      </c>
      <c r="N6334" t="str">
        <f t="shared" si="196"/>
        <v>2. 1-24 hours</v>
      </c>
      <c r="O6334" t="str">
        <f t="shared" si="197"/>
        <v>2025-01</v>
      </c>
    </row>
    <row r="6335" spans="1:15" x14ac:dyDescent="0.3">
      <c r="A6335" t="s">
        <v>14897</v>
      </c>
      <c r="B6335" t="s">
        <v>14898</v>
      </c>
      <c r="C6335" t="s">
        <v>125</v>
      </c>
      <c r="D6335" t="s">
        <v>29</v>
      </c>
      <c r="E6335" t="s">
        <v>45</v>
      </c>
      <c r="F6335" t="s">
        <v>46</v>
      </c>
      <c r="G6335">
        <v>17.88</v>
      </c>
      <c r="H6335" t="s">
        <v>41</v>
      </c>
      <c r="I6335" t="s">
        <v>42</v>
      </c>
      <c r="M6335">
        <f>VLOOKUP(H6335,'Stage Order'!$A$2:$B$8,2,FALSE)</f>
        <v>2</v>
      </c>
      <c r="N6335" t="str">
        <f t="shared" si="196"/>
        <v>2. 1-24 hours</v>
      </c>
      <c r="O6335" t="str">
        <f t="shared" si="197"/>
        <v>2026-04</v>
      </c>
    </row>
    <row r="6336" spans="1:15" x14ac:dyDescent="0.3">
      <c r="A6336" t="s">
        <v>14899</v>
      </c>
      <c r="B6336" t="s">
        <v>14900</v>
      </c>
      <c r="C6336" t="s">
        <v>76</v>
      </c>
      <c r="D6336" t="s">
        <v>38</v>
      </c>
      <c r="E6336" t="s">
        <v>39</v>
      </c>
      <c r="F6336" t="s">
        <v>40</v>
      </c>
      <c r="G6336">
        <v>0.75</v>
      </c>
      <c r="H6336" t="s">
        <v>41</v>
      </c>
      <c r="I6336" t="s">
        <v>42</v>
      </c>
      <c r="M6336">
        <f>VLOOKUP(H6336,'Stage Order'!$A$2:$B$8,2,FALSE)</f>
        <v>2</v>
      </c>
      <c r="N6336" t="str">
        <f t="shared" si="196"/>
        <v>1. Under 1 hour</v>
      </c>
      <c r="O6336" t="str">
        <f t="shared" si="197"/>
        <v>2025-12</v>
      </c>
    </row>
    <row r="6337" spans="1:15" x14ac:dyDescent="0.3">
      <c r="A6337" t="s">
        <v>14901</v>
      </c>
      <c r="B6337" t="s">
        <v>14902</v>
      </c>
      <c r="C6337" t="s">
        <v>58</v>
      </c>
      <c r="D6337" t="s">
        <v>29</v>
      </c>
      <c r="E6337" t="s">
        <v>39</v>
      </c>
      <c r="F6337" t="s">
        <v>40</v>
      </c>
      <c r="G6337">
        <v>1.01</v>
      </c>
      <c r="H6337" t="s">
        <v>61</v>
      </c>
      <c r="I6337" t="s">
        <v>42</v>
      </c>
      <c r="M6337">
        <f>VLOOKUP(H6337,'Stage Order'!$A$2:$B$8,2,FALSE)</f>
        <v>1</v>
      </c>
      <c r="N6337" t="str">
        <f t="shared" si="196"/>
        <v>2. 1-24 hours</v>
      </c>
      <c r="O6337" t="str">
        <f t="shared" si="197"/>
        <v>2025-04</v>
      </c>
    </row>
    <row r="6338" spans="1:15" x14ac:dyDescent="0.3">
      <c r="A6338" t="s">
        <v>14903</v>
      </c>
      <c r="B6338" t="s">
        <v>14904</v>
      </c>
      <c r="C6338" t="s">
        <v>37</v>
      </c>
      <c r="D6338" t="s">
        <v>54</v>
      </c>
      <c r="E6338" t="s">
        <v>90</v>
      </c>
      <c r="F6338" t="s">
        <v>91</v>
      </c>
      <c r="G6338">
        <v>10.68</v>
      </c>
      <c r="H6338" t="s">
        <v>41</v>
      </c>
      <c r="I6338" t="s">
        <v>42</v>
      </c>
      <c r="M6338">
        <f>VLOOKUP(H6338,'Stage Order'!$A$2:$B$8,2,FALSE)</f>
        <v>2</v>
      </c>
      <c r="N6338" t="str">
        <f t="shared" ref="N6338:N6401" si="198">IF(G6338&lt;=1,"1. Under 1 hour",IF(G6338&lt;=24,"2. 1-24 hours",IF(G6338&lt;=72,"3. 1-3 days","4. Over 3 days")))</f>
        <v>2. 1-24 hours</v>
      </c>
      <c r="O6338" t="str">
        <f t="shared" ref="O6338:O6401" si="199">TEXT(B6338,"YYYY-MM")</f>
        <v>2025-05</v>
      </c>
    </row>
    <row r="6339" spans="1:15" x14ac:dyDescent="0.3">
      <c r="A6339" t="s">
        <v>14905</v>
      </c>
      <c r="B6339" t="s">
        <v>14906</v>
      </c>
      <c r="C6339" t="s">
        <v>125</v>
      </c>
      <c r="D6339" t="s">
        <v>77</v>
      </c>
      <c r="E6339" t="s">
        <v>45</v>
      </c>
      <c r="F6339" t="s">
        <v>94</v>
      </c>
      <c r="G6339">
        <v>1.1000000000000001</v>
      </c>
      <c r="H6339" t="s">
        <v>47</v>
      </c>
      <c r="I6339" t="s">
        <v>48</v>
      </c>
      <c r="J6339" t="s">
        <v>139</v>
      </c>
      <c r="K6339">
        <v>931.56</v>
      </c>
      <c r="L6339" t="s">
        <v>14907</v>
      </c>
      <c r="M6339">
        <f>VLOOKUP(H6339,'Stage Order'!$A$2:$B$8,2,FALSE)</f>
        <v>4</v>
      </c>
      <c r="N6339" t="str">
        <f t="shared" si="198"/>
        <v>2. 1-24 hours</v>
      </c>
      <c r="O6339" t="str">
        <f t="shared" si="199"/>
        <v>2025-09</v>
      </c>
    </row>
    <row r="6340" spans="1:15" x14ac:dyDescent="0.3">
      <c r="A6340" t="s">
        <v>14908</v>
      </c>
      <c r="B6340" t="s">
        <v>14909</v>
      </c>
      <c r="C6340" t="s">
        <v>125</v>
      </c>
      <c r="D6340" t="s">
        <v>54</v>
      </c>
      <c r="E6340" t="s">
        <v>39</v>
      </c>
      <c r="F6340" t="s">
        <v>106</v>
      </c>
      <c r="G6340">
        <v>3.27</v>
      </c>
      <c r="H6340" t="s">
        <v>41</v>
      </c>
      <c r="I6340" t="s">
        <v>42</v>
      </c>
      <c r="M6340">
        <f>VLOOKUP(H6340,'Stage Order'!$A$2:$B$8,2,FALSE)</f>
        <v>2</v>
      </c>
      <c r="N6340" t="str">
        <f t="shared" si="198"/>
        <v>2. 1-24 hours</v>
      </c>
      <c r="O6340" t="str">
        <f t="shared" si="199"/>
        <v>2026-02</v>
      </c>
    </row>
    <row r="6341" spans="1:15" x14ac:dyDescent="0.3">
      <c r="A6341" t="s">
        <v>14910</v>
      </c>
      <c r="B6341" t="s">
        <v>14911</v>
      </c>
      <c r="C6341" t="s">
        <v>37</v>
      </c>
      <c r="D6341" t="s">
        <v>77</v>
      </c>
      <c r="E6341" t="s">
        <v>45</v>
      </c>
      <c r="F6341" t="s">
        <v>55</v>
      </c>
      <c r="G6341">
        <v>0.65</v>
      </c>
      <c r="H6341" t="s">
        <v>41</v>
      </c>
      <c r="I6341" t="s">
        <v>42</v>
      </c>
      <c r="M6341">
        <f>VLOOKUP(H6341,'Stage Order'!$A$2:$B$8,2,FALSE)</f>
        <v>2</v>
      </c>
      <c r="N6341" t="str">
        <f t="shared" si="198"/>
        <v>1. Under 1 hour</v>
      </c>
      <c r="O6341" t="str">
        <f t="shared" si="199"/>
        <v>2026-03</v>
      </c>
    </row>
    <row r="6342" spans="1:15" x14ac:dyDescent="0.3">
      <c r="A6342" t="s">
        <v>14912</v>
      </c>
      <c r="B6342" t="s">
        <v>14913</v>
      </c>
      <c r="C6342" t="s">
        <v>81</v>
      </c>
      <c r="D6342" t="s">
        <v>54</v>
      </c>
      <c r="E6342" t="s">
        <v>90</v>
      </c>
      <c r="F6342" t="s">
        <v>91</v>
      </c>
      <c r="G6342">
        <v>8.89</v>
      </c>
      <c r="H6342" t="s">
        <v>61</v>
      </c>
      <c r="I6342" t="s">
        <v>42</v>
      </c>
      <c r="M6342">
        <f>VLOOKUP(H6342,'Stage Order'!$A$2:$B$8,2,FALSE)</f>
        <v>1</v>
      </c>
      <c r="N6342" t="str">
        <f t="shared" si="198"/>
        <v>2. 1-24 hours</v>
      </c>
      <c r="O6342" t="str">
        <f t="shared" si="199"/>
        <v>2025-03</v>
      </c>
    </row>
    <row r="6343" spans="1:15" x14ac:dyDescent="0.3">
      <c r="A6343" t="s">
        <v>14914</v>
      </c>
      <c r="B6343" t="s">
        <v>14915</v>
      </c>
      <c r="C6343" t="s">
        <v>58</v>
      </c>
      <c r="D6343" t="s">
        <v>77</v>
      </c>
      <c r="E6343" t="s">
        <v>39</v>
      </c>
      <c r="F6343" t="s">
        <v>40</v>
      </c>
      <c r="G6343">
        <v>5.31</v>
      </c>
      <c r="H6343" t="s">
        <v>41</v>
      </c>
      <c r="I6343" t="s">
        <v>42</v>
      </c>
      <c r="M6343">
        <f>VLOOKUP(H6343,'Stage Order'!$A$2:$B$8,2,FALSE)</f>
        <v>2</v>
      </c>
      <c r="N6343" t="str">
        <f t="shared" si="198"/>
        <v>2. 1-24 hours</v>
      </c>
      <c r="O6343" t="str">
        <f t="shared" si="199"/>
        <v>2025-05</v>
      </c>
    </row>
    <row r="6344" spans="1:15" x14ac:dyDescent="0.3">
      <c r="A6344" t="s">
        <v>14916</v>
      </c>
      <c r="B6344" t="s">
        <v>14917</v>
      </c>
      <c r="C6344" t="s">
        <v>58</v>
      </c>
      <c r="D6344" t="s">
        <v>38</v>
      </c>
      <c r="E6344" t="s">
        <v>90</v>
      </c>
      <c r="F6344" t="s">
        <v>112</v>
      </c>
      <c r="G6344">
        <v>4.95</v>
      </c>
      <c r="H6344" t="s">
        <v>41</v>
      </c>
      <c r="I6344" t="s">
        <v>42</v>
      </c>
      <c r="M6344">
        <f>VLOOKUP(H6344,'Stage Order'!$A$2:$B$8,2,FALSE)</f>
        <v>2</v>
      </c>
      <c r="N6344" t="str">
        <f t="shared" si="198"/>
        <v>2. 1-24 hours</v>
      </c>
      <c r="O6344" t="str">
        <f t="shared" si="199"/>
        <v>2026-02</v>
      </c>
    </row>
    <row r="6345" spans="1:15" x14ac:dyDescent="0.3">
      <c r="A6345" t="s">
        <v>14918</v>
      </c>
      <c r="B6345" t="s">
        <v>14919</v>
      </c>
      <c r="C6345" t="s">
        <v>58</v>
      </c>
      <c r="D6345" t="s">
        <v>54</v>
      </c>
      <c r="E6345" t="s">
        <v>39</v>
      </c>
      <c r="F6345" t="s">
        <v>66</v>
      </c>
      <c r="G6345">
        <v>3.61</v>
      </c>
      <c r="H6345" t="s">
        <v>47</v>
      </c>
      <c r="I6345" t="s">
        <v>48</v>
      </c>
      <c r="J6345" t="s">
        <v>49</v>
      </c>
      <c r="K6345">
        <v>560.11</v>
      </c>
      <c r="L6345" t="s">
        <v>14920</v>
      </c>
      <c r="M6345">
        <f>VLOOKUP(H6345,'Stage Order'!$A$2:$B$8,2,FALSE)</f>
        <v>4</v>
      </c>
      <c r="N6345" t="str">
        <f t="shared" si="198"/>
        <v>2. 1-24 hours</v>
      </c>
      <c r="O6345" t="str">
        <f t="shared" si="199"/>
        <v>2025-10</v>
      </c>
    </row>
    <row r="6346" spans="1:15" x14ac:dyDescent="0.3">
      <c r="A6346" t="s">
        <v>14921</v>
      </c>
      <c r="B6346" t="s">
        <v>14922</v>
      </c>
      <c r="C6346" t="s">
        <v>125</v>
      </c>
      <c r="D6346" t="s">
        <v>29</v>
      </c>
      <c r="E6346" t="s">
        <v>90</v>
      </c>
      <c r="F6346" t="s">
        <v>112</v>
      </c>
      <c r="G6346">
        <v>3.45</v>
      </c>
      <c r="H6346" t="s">
        <v>61</v>
      </c>
      <c r="I6346" t="s">
        <v>42</v>
      </c>
      <c r="M6346">
        <f>VLOOKUP(H6346,'Stage Order'!$A$2:$B$8,2,FALSE)</f>
        <v>1</v>
      </c>
      <c r="N6346" t="str">
        <f t="shared" si="198"/>
        <v>2. 1-24 hours</v>
      </c>
      <c r="O6346" t="str">
        <f t="shared" si="199"/>
        <v>2025-02</v>
      </c>
    </row>
    <row r="6347" spans="1:15" x14ac:dyDescent="0.3">
      <c r="A6347" t="s">
        <v>14923</v>
      </c>
      <c r="B6347" t="s">
        <v>14924</v>
      </c>
      <c r="C6347" t="s">
        <v>58</v>
      </c>
      <c r="D6347" t="s">
        <v>77</v>
      </c>
      <c r="E6347" t="s">
        <v>90</v>
      </c>
      <c r="F6347" t="s">
        <v>91</v>
      </c>
      <c r="G6347">
        <v>1.1000000000000001</v>
      </c>
      <c r="H6347" t="s">
        <v>61</v>
      </c>
      <c r="I6347" t="s">
        <v>42</v>
      </c>
      <c r="M6347">
        <f>VLOOKUP(H6347,'Stage Order'!$A$2:$B$8,2,FALSE)</f>
        <v>1</v>
      </c>
      <c r="N6347" t="str">
        <f t="shared" si="198"/>
        <v>2. 1-24 hours</v>
      </c>
      <c r="O6347" t="str">
        <f t="shared" si="199"/>
        <v>2025-11</v>
      </c>
    </row>
    <row r="6348" spans="1:15" x14ac:dyDescent="0.3">
      <c r="A6348" t="s">
        <v>14925</v>
      </c>
      <c r="B6348" t="s">
        <v>14926</v>
      </c>
      <c r="C6348" t="s">
        <v>28</v>
      </c>
      <c r="D6348" t="s">
        <v>29</v>
      </c>
      <c r="E6348" t="s">
        <v>59</v>
      </c>
      <c r="F6348" t="s">
        <v>137</v>
      </c>
      <c r="G6348">
        <v>1.54</v>
      </c>
      <c r="H6348" t="s">
        <v>41</v>
      </c>
      <c r="I6348" t="s">
        <v>42</v>
      </c>
      <c r="M6348">
        <f>VLOOKUP(H6348,'Stage Order'!$A$2:$B$8,2,FALSE)</f>
        <v>2</v>
      </c>
      <c r="N6348" t="str">
        <f t="shared" si="198"/>
        <v>2. 1-24 hours</v>
      </c>
      <c r="O6348" t="str">
        <f t="shared" si="199"/>
        <v>2026-06</v>
      </c>
    </row>
    <row r="6349" spans="1:15" x14ac:dyDescent="0.3">
      <c r="A6349" t="s">
        <v>14927</v>
      </c>
      <c r="B6349" t="s">
        <v>14928</v>
      </c>
      <c r="C6349" t="s">
        <v>53</v>
      </c>
      <c r="D6349" t="s">
        <v>29</v>
      </c>
      <c r="E6349" t="s">
        <v>59</v>
      </c>
      <c r="F6349" t="s">
        <v>117</v>
      </c>
      <c r="G6349">
        <v>3.36</v>
      </c>
      <c r="H6349" t="s">
        <v>32</v>
      </c>
      <c r="I6349" t="s">
        <v>33</v>
      </c>
      <c r="K6349">
        <v>670.97</v>
      </c>
      <c r="L6349" t="s">
        <v>14929</v>
      </c>
      <c r="M6349">
        <f>VLOOKUP(H6349,'Stage Order'!$A$2:$B$8,2,FALSE)</f>
        <v>7</v>
      </c>
      <c r="N6349" t="str">
        <f t="shared" si="198"/>
        <v>2. 1-24 hours</v>
      </c>
      <c r="O6349" t="str">
        <f t="shared" si="199"/>
        <v>2025-05</v>
      </c>
    </row>
    <row r="6350" spans="1:15" x14ac:dyDescent="0.3">
      <c r="A6350" t="s">
        <v>14930</v>
      </c>
      <c r="B6350" t="s">
        <v>14931</v>
      </c>
      <c r="C6350" t="s">
        <v>125</v>
      </c>
      <c r="D6350" t="s">
        <v>54</v>
      </c>
      <c r="E6350" t="s">
        <v>39</v>
      </c>
      <c r="F6350" t="s">
        <v>106</v>
      </c>
      <c r="G6350">
        <v>11.57</v>
      </c>
      <c r="H6350" t="s">
        <v>61</v>
      </c>
      <c r="I6350" t="s">
        <v>42</v>
      </c>
      <c r="M6350">
        <f>VLOOKUP(H6350,'Stage Order'!$A$2:$B$8,2,FALSE)</f>
        <v>1</v>
      </c>
      <c r="N6350" t="str">
        <f t="shared" si="198"/>
        <v>2. 1-24 hours</v>
      </c>
      <c r="O6350" t="str">
        <f t="shared" si="199"/>
        <v>2025-05</v>
      </c>
    </row>
    <row r="6351" spans="1:15" x14ac:dyDescent="0.3">
      <c r="A6351" t="s">
        <v>14932</v>
      </c>
      <c r="B6351" t="s">
        <v>14933</v>
      </c>
      <c r="C6351" t="s">
        <v>81</v>
      </c>
      <c r="D6351" t="s">
        <v>38</v>
      </c>
      <c r="E6351" t="s">
        <v>30</v>
      </c>
      <c r="F6351" t="s">
        <v>82</v>
      </c>
      <c r="G6351">
        <v>1.74</v>
      </c>
      <c r="H6351" t="s">
        <v>41</v>
      </c>
      <c r="I6351" t="s">
        <v>42</v>
      </c>
      <c r="M6351">
        <f>VLOOKUP(H6351,'Stage Order'!$A$2:$B$8,2,FALSE)</f>
        <v>2</v>
      </c>
      <c r="N6351" t="str">
        <f t="shared" si="198"/>
        <v>2. 1-24 hours</v>
      </c>
      <c r="O6351" t="str">
        <f t="shared" si="199"/>
        <v>2025-05</v>
      </c>
    </row>
    <row r="6352" spans="1:15" x14ac:dyDescent="0.3">
      <c r="A6352" t="s">
        <v>14934</v>
      </c>
      <c r="B6352" t="s">
        <v>14935</v>
      </c>
      <c r="C6352" t="s">
        <v>37</v>
      </c>
      <c r="D6352" t="s">
        <v>77</v>
      </c>
      <c r="E6352" t="s">
        <v>59</v>
      </c>
      <c r="F6352" t="s">
        <v>117</v>
      </c>
      <c r="G6352">
        <v>2.61</v>
      </c>
      <c r="H6352" t="s">
        <v>41</v>
      </c>
      <c r="I6352" t="s">
        <v>42</v>
      </c>
      <c r="M6352">
        <f>VLOOKUP(H6352,'Stage Order'!$A$2:$B$8,2,FALSE)</f>
        <v>2</v>
      </c>
      <c r="N6352" t="str">
        <f t="shared" si="198"/>
        <v>2. 1-24 hours</v>
      </c>
      <c r="O6352" t="str">
        <f t="shared" si="199"/>
        <v>2026-01</v>
      </c>
    </row>
    <row r="6353" spans="1:15" x14ac:dyDescent="0.3">
      <c r="A6353" t="s">
        <v>14936</v>
      </c>
      <c r="B6353" t="s">
        <v>14937</v>
      </c>
      <c r="C6353" t="s">
        <v>28</v>
      </c>
      <c r="D6353" t="s">
        <v>54</v>
      </c>
      <c r="E6353" t="s">
        <v>30</v>
      </c>
      <c r="F6353" t="s">
        <v>31</v>
      </c>
      <c r="G6353">
        <v>2.94</v>
      </c>
      <c r="H6353" t="s">
        <v>41</v>
      </c>
      <c r="I6353" t="s">
        <v>42</v>
      </c>
      <c r="M6353">
        <f>VLOOKUP(H6353,'Stage Order'!$A$2:$B$8,2,FALSE)</f>
        <v>2</v>
      </c>
      <c r="N6353" t="str">
        <f t="shared" si="198"/>
        <v>2. 1-24 hours</v>
      </c>
      <c r="O6353" t="str">
        <f t="shared" si="199"/>
        <v>2026-03</v>
      </c>
    </row>
    <row r="6354" spans="1:15" x14ac:dyDescent="0.3">
      <c r="A6354" t="s">
        <v>14938</v>
      </c>
      <c r="B6354" t="s">
        <v>14939</v>
      </c>
      <c r="C6354" t="s">
        <v>58</v>
      </c>
      <c r="D6354" t="s">
        <v>97</v>
      </c>
      <c r="E6354" t="s">
        <v>30</v>
      </c>
      <c r="F6354" t="s">
        <v>31</v>
      </c>
      <c r="G6354">
        <v>5.54</v>
      </c>
      <c r="H6354" t="s">
        <v>146</v>
      </c>
      <c r="I6354" t="s">
        <v>48</v>
      </c>
      <c r="J6354" t="s">
        <v>113</v>
      </c>
      <c r="K6354">
        <v>1363.94</v>
      </c>
      <c r="L6354" t="s">
        <v>14940</v>
      </c>
      <c r="M6354">
        <f>VLOOKUP(H6354,'Stage Order'!$A$2:$B$8,2,FALSE)</f>
        <v>5</v>
      </c>
      <c r="N6354" t="str">
        <f t="shared" si="198"/>
        <v>2. 1-24 hours</v>
      </c>
      <c r="O6354" t="str">
        <f t="shared" si="199"/>
        <v>2025-05</v>
      </c>
    </row>
    <row r="6355" spans="1:15" x14ac:dyDescent="0.3">
      <c r="A6355" t="s">
        <v>14941</v>
      </c>
      <c r="B6355" t="s">
        <v>14942</v>
      </c>
      <c r="C6355" t="s">
        <v>28</v>
      </c>
      <c r="D6355" t="s">
        <v>54</v>
      </c>
      <c r="E6355" t="s">
        <v>59</v>
      </c>
      <c r="F6355" t="s">
        <v>117</v>
      </c>
      <c r="G6355">
        <v>12.01</v>
      </c>
      <c r="H6355" t="s">
        <v>32</v>
      </c>
      <c r="I6355" t="s">
        <v>33</v>
      </c>
      <c r="K6355">
        <v>574.07000000000005</v>
      </c>
      <c r="L6355" t="s">
        <v>14943</v>
      </c>
      <c r="M6355">
        <f>VLOOKUP(H6355,'Stage Order'!$A$2:$B$8,2,FALSE)</f>
        <v>7</v>
      </c>
      <c r="N6355" t="str">
        <f t="shared" si="198"/>
        <v>2. 1-24 hours</v>
      </c>
      <c r="O6355" t="str">
        <f t="shared" si="199"/>
        <v>2026-03</v>
      </c>
    </row>
    <row r="6356" spans="1:15" x14ac:dyDescent="0.3">
      <c r="A6356" t="s">
        <v>14944</v>
      </c>
      <c r="B6356" t="s">
        <v>14945</v>
      </c>
      <c r="C6356" t="s">
        <v>81</v>
      </c>
      <c r="D6356" t="s">
        <v>29</v>
      </c>
      <c r="E6356" t="s">
        <v>59</v>
      </c>
      <c r="F6356" t="s">
        <v>137</v>
      </c>
      <c r="G6356">
        <v>1.54</v>
      </c>
      <c r="H6356" t="s">
        <v>61</v>
      </c>
      <c r="I6356" t="s">
        <v>42</v>
      </c>
      <c r="M6356">
        <f>VLOOKUP(H6356,'Stage Order'!$A$2:$B$8,2,FALSE)</f>
        <v>1</v>
      </c>
      <c r="N6356" t="str">
        <f t="shared" si="198"/>
        <v>2. 1-24 hours</v>
      </c>
      <c r="O6356" t="str">
        <f t="shared" si="199"/>
        <v>2026-01</v>
      </c>
    </row>
    <row r="6357" spans="1:15" x14ac:dyDescent="0.3">
      <c r="A6357" t="s">
        <v>14946</v>
      </c>
      <c r="B6357" t="s">
        <v>14947</v>
      </c>
      <c r="C6357" t="s">
        <v>28</v>
      </c>
      <c r="D6357" t="s">
        <v>29</v>
      </c>
      <c r="E6357" t="s">
        <v>59</v>
      </c>
      <c r="F6357" t="s">
        <v>137</v>
      </c>
      <c r="G6357">
        <v>0.82</v>
      </c>
      <c r="H6357" t="s">
        <v>138</v>
      </c>
      <c r="I6357" t="s">
        <v>48</v>
      </c>
      <c r="J6357" t="s">
        <v>98</v>
      </c>
      <c r="K6357">
        <v>669.16</v>
      </c>
      <c r="L6357" t="s">
        <v>14948</v>
      </c>
      <c r="M6357">
        <f>VLOOKUP(H6357,'Stage Order'!$A$2:$B$8,2,FALSE)</f>
        <v>6</v>
      </c>
      <c r="N6357" t="str">
        <f t="shared" si="198"/>
        <v>1. Under 1 hour</v>
      </c>
      <c r="O6357" t="str">
        <f t="shared" si="199"/>
        <v>2025-03</v>
      </c>
    </row>
    <row r="6358" spans="1:15" x14ac:dyDescent="0.3">
      <c r="A6358" t="s">
        <v>14949</v>
      </c>
      <c r="B6358" t="s">
        <v>14950</v>
      </c>
      <c r="C6358" t="s">
        <v>37</v>
      </c>
      <c r="D6358" t="s">
        <v>77</v>
      </c>
      <c r="E6358" t="s">
        <v>39</v>
      </c>
      <c r="F6358" t="s">
        <v>66</v>
      </c>
      <c r="G6358">
        <v>2.62</v>
      </c>
      <c r="H6358" t="s">
        <v>41</v>
      </c>
      <c r="I6358" t="s">
        <v>42</v>
      </c>
      <c r="M6358">
        <f>VLOOKUP(H6358,'Stage Order'!$A$2:$B$8,2,FALSE)</f>
        <v>2</v>
      </c>
      <c r="N6358" t="str">
        <f t="shared" si="198"/>
        <v>2. 1-24 hours</v>
      </c>
      <c r="O6358" t="str">
        <f t="shared" si="199"/>
        <v>2026-05</v>
      </c>
    </row>
    <row r="6359" spans="1:15" x14ac:dyDescent="0.3">
      <c r="A6359" t="s">
        <v>14951</v>
      </c>
      <c r="B6359" t="s">
        <v>14952</v>
      </c>
      <c r="C6359" t="s">
        <v>58</v>
      </c>
      <c r="D6359" t="s">
        <v>54</v>
      </c>
      <c r="E6359" t="s">
        <v>59</v>
      </c>
      <c r="F6359" t="s">
        <v>60</v>
      </c>
      <c r="G6359">
        <v>0.97</v>
      </c>
      <c r="H6359" t="s">
        <v>41</v>
      </c>
      <c r="I6359" t="s">
        <v>42</v>
      </c>
      <c r="M6359">
        <f>VLOOKUP(H6359,'Stage Order'!$A$2:$B$8,2,FALSE)</f>
        <v>2</v>
      </c>
      <c r="N6359" t="str">
        <f t="shared" si="198"/>
        <v>1. Under 1 hour</v>
      </c>
      <c r="O6359" t="str">
        <f t="shared" si="199"/>
        <v>2025-11</v>
      </c>
    </row>
    <row r="6360" spans="1:15" x14ac:dyDescent="0.3">
      <c r="A6360" t="s">
        <v>14953</v>
      </c>
      <c r="B6360" t="s">
        <v>14954</v>
      </c>
      <c r="C6360" t="s">
        <v>58</v>
      </c>
      <c r="D6360" t="s">
        <v>54</v>
      </c>
      <c r="E6360" t="s">
        <v>90</v>
      </c>
      <c r="F6360" t="s">
        <v>91</v>
      </c>
      <c r="G6360">
        <v>31.16</v>
      </c>
      <c r="H6360" t="s">
        <v>41</v>
      </c>
      <c r="I6360" t="s">
        <v>42</v>
      </c>
      <c r="M6360">
        <f>VLOOKUP(H6360,'Stage Order'!$A$2:$B$8,2,FALSE)</f>
        <v>2</v>
      </c>
      <c r="N6360" t="str">
        <f t="shared" si="198"/>
        <v>3. 1-3 days</v>
      </c>
      <c r="O6360" t="str">
        <f t="shared" si="199"/>
        <v>2026-01</v>
      </c>
    </row>
    <row r="6361" spans="1:15" x14ac:dyDescent="0.3">
      <c r="A6361" t="s">
        <v>14955</v>
      </c>
      <c r="B6361" t="s">
        <v>14956</v>
      </c>
      <c r="C6361" t="s">
        <v>28</v>
      </c>
      <c r="D6361" t="s">
        <v>77</v>
      </c>
      <c r="E6361" t="s">
        <v>90</v>
      </c>
      <c r="F6361" t="s">
        <v>91</v>
      </c>
      <c r="G6361">
        <v>7.08</v>
      </c>
      <c r="H6361" t="s">
        <v>47</v>
      </c>
      <c r="I6361" t="s">
        <v>48</v>
      </c>
      <c r="J6361" t="s">
        <v>113</v>
      </c>
      <c r="K6361">
        <v>1069.97</v>
      </c>
      <c r="L6361" t="s">
        <v>14957</v>
      </c>
      <c r="M6361">
        <f>VLOOKUP(H6361,'Stage Order'!$A$2:$B$8,2,FALSE)</f>
        <v>4</v>
      </c>
      <c r="N6361" t="str">
        <f t="shared" si="198"/>
        <v>2. 1-24 hours</v>
      </c>
      <c r="O6361" t="str">
        <f t="shared" si="199"/>
        <v>2026-03</v>
      </c>
    </row>
    <row r="6362" spans="1:15" x14ac:dyDescent="0.3">
      <c r="A6362" t="s">
        <v>14958</v>
      </c>
      <c r="B6362" t="s">
        <v>14959</v>
      </c>
      <c r="C6362" t="s">
        <v>81</v>
      </c>
      <c r="D6362" t="s">
        <v>97</v>
      </c>
      <c r="E6362" t="s">
        <v>39</v>
      </c>
      <c r="F6362" t="s">
        <v>66</v>
      </c>
      <c r="G6362">
        <v>0.74</v>
      </c>
      <c r="H6362" t="s">
        <v>41</v>
      </c>
      <c r="I6362" t="s">
        <v>42</v>
      </c>
      <c r="M6362">
        <f>VLOOKUP(H6362,'Stage Order'!$A$2:$B$8,2,FALSE)</f>
        <v>2</v>
      </c>
      <c r="N6362" t="str">
        <f t="shared" si="198"/>
        <v>1. Under 1 hour</v>
      </c>
      <c r="O6362" t="str">
        <f t="shared" si="199"/>
        <v>2025-11</v>
      </c>
    </row>
    <row r="6363" spans="1:15" x14ac:dyDescent="0.3">
      <c r="A6363" t="s">
        <v>14960</v>
      </c>
      <c r="B6363" t="s">
        <v>14961</v>
      </c>
      <c r="C6363" t="s">
        <v>58</v>
      </c>
      <c r="D6363" t="s">
        <v>77</v>
      </c>
      <c r="E6363" t="s">
        <v>30</v>
      </c>
      <c r="F6363" t="s">
        <v>82</v>
      </c>
      <c r="G6363">
        <v>0.63</v>
      </c>
      <c r="H6363" t="s">
        <v>41</v>
      </c>
      <c r="I6363" t="s">
        <v>42</v>
      </c>
      <c r="M6363">
        <f>VLOOKUP(H6363,'Stage Order'!$A$2:$B$8,2,FALSE)</f>
        <v>2</v>
      </c>
      <c r="N6363" t="str">
        <f t="shared" si="198"/>
        <v>1. Under 1 hour</v>
      </c>
      <c r="O6363" t="str">
        <f t="shared" si="199"/>
        <v>2025-06</v>
      </c>
    </row>
    <row r="6364" spans="1:15" x14ac:dyDescent="0.3">
      <c r="A6364" t="s">
        <v>14962</v>
      </c>
      <c r="B6364" t="s">
        <v>14963</v>
      </c>
      <c r="C6364" t="s">
        <v>28</v>
      </c>
      <c r="D6364" t="s">
        <v>54</v>
      </c>
      <c r="E6364" t="s">
        <v>39</v>
      </c>
      <c r="F6364" t="s">
        <v>66</v>
      </c>
      <c r="G6364">
        <v>4.71</v>
      </c>
      <c r="H6364" t="s">
        <v>146</v>
      </c>
      <c r="I6364" t="s">
        <v>48</v>
      </c>
      <c r="J6364" t="s">
        <v>98</v>
      </c>
      <c r="K6364">
        <v>553.72</v>
      </c>
      <c r="L6364" t="s">
        <v>14964</v>
      </c>
      <c r="M6364">
        <f>VLOOKUP(H6364,'Stage Order'!$A$2:$B$8,2,FALSE)</f>
        <v>5</v>
      </c>
      <c r="N6364" t="str">
        <f t="shared" si="198"/>
        <v>2. 1-24 hours</v>
      </c>
      <c r="O6364" t="str">
        <f t="shared" si="199"/>
        <v>2026-03</v>
      </c>
    </row>
    <row r="6365" spans="1:15" x14ac:dyDescent="0.3">
      <c r="A6365" t="s">
        <v>14965</v>
      </c>
      <c r="B6365" t="s">
        <v>14966</v>
      </c>
      <c r="C6365" t="s">
        <v>37</v>
      </c>
      <c r="D6365" t="s">
        <v>29</v>
      </c>
      <c r="E6365" t="s">
        <v>39</v>
      </c>
      <c r="F6365" t="s">
        <v>106</v>
      </c>
      <c r="G6365">
        <v>0.43</v>
      </c>
      <c r="H6365" t="s">
        <v>41</v>
      </c>
      <c r="I6365" t="s">
        <v>42</v>
      </c>
      <c r="M6365">
        <f>VLOOKUP(H6365,'Stage Order'!$A$2:$B$8,2,FALSE)</f>
        <v>2</v>
      </c>
      <c r="N6365" t="str">
        <f t="shared" si="198"/>
        <v>1. Under 1 hour</v>
      </c>
      <c r="O6365" t="str">
        <f t="shared" si="199"/>
        <v>2025-03</v>
      </c>
    </row>
    <row r="6366" spans="1:15" x14ac:dyDescent="0.3">
      <c r="A6366" t="s">
        <v>14967</v>
      </c>
      <c r="B6366" t="s">
        <v>14968</v>
      </c>
      <c r="C6366" t="s">
        <v>37</v>
      </c>
      <c r="D6366" t="s">
        <v>97</v>
      </c>
      <c r="E6366" t="s">
        <v>59</v>
      </c>
      <c r="F6366" t="s">
        <v>117</v>
      </c>
      <c r="G6366">
        <v>5.88</v>
      </c>
      <c r="H6366" t="s">
        <v>41</v>
      </c>
      <c r="I6366" t="s">
        <v>42</v>
      </c>
      <c r="M6366">
        <f>VLOOKUP(H6366,'Stage Order'!$A$2:$B$8,2,FALSE)</f>
        <v>2</v>
      </c>
      <c r="N6366" t="str">
        <f t="shared" si="198"/>
        <v>2. 1-24 hours</v>
      </c>
      <c r="O6366" t="str">
        <f t="shared" si="199"/>
        <v>2026-04</v>
      </c>
    </row>
    <row r="6367" spans="1:15" x14ac:dyDescent="0.3">
      <c r="A6367" t="s">
        <v>14969</v>
      </c>
      <c r="B6367" t="s">
        <v>14970</v>
      </c>
      <c r="C6367" t="s">
        <v>37</v>
      </c>
      <c r="D6367" t="s">
        <v>97</v>
      </c>
      <c r="E6367" t="s">
        <v>90</v>
      </c>
      <c r="F6367" t="s">
        <v>145</v>
      </c>
      <c r="G6367">
        <v>1.67</v>
      </c>
      <c r="H6367" t="s">
        <v>146</v>
      </c>
      <c r="I6367" t="s">
        <v>48</v>
      </c>
      <c r="J6367" t="s">
        <v>139</v>
      </c>
      <c r="K6367">
        <v>1424.8</v>
      </c>
      <c r="L6367" t="s">
        <v>14971</v>
      </c>
      <c r="M6367">
        <f>VLOOKUP(H6367,'Stage Order'!$A$2:$B$8,2,FALSE)</f>
        <v>5</v>
      </c>
      <c r="N6367" t="str">
        <f t="shared" si="198"/>
        <v>2. 1-24 hours</v>
      </c>
      <c r="O6367" t="str">
        <f t="shared" si="199"/>
        <v>2026-02</v>
      </c>
    </row>
    <row r="6368" spans="1:15" x14ac:dyDescent="0.3">
      <c r="A6368" t="s">
        <v>14972</v>
      </c>
      <c r="B6368" t="s">
        <v>14973</v>
      </c>
      <c r="C6368" t="s">
        <v>81</v>
      </c>
      <c r="D6368" t="s">
        <v>54</v>
      </c>
      <c r="E6368" t="s">
        <v>59</v>
      </c>
      <c r="F6368" t="s">
        <v>117</v>
      </c>
      <c r="G6368">
        <v>0.54</v>
      </c>
      <c r="H6368" t="s">
        <v>41</v>
      </c>
      <c r="I6368" t="s">
        <v>42</v>
      </c>
      <c r="M6368">
        <f>VLOOKUP(H6368,'Stage Order'!$A$2:$B$8,2,FALSE)</f>
        <v>2</v>
      </c>
      <c r="N6368" t="str">
        <f t="shared" si="198"/>
        <v>1. Under 1 hour</v>
      </c>
      <c r="O6368" t="str">
        <f t="shared" si="199"/>
        <v>2025-12</v>
      </c>
    </row>
    <row r="6369" spans="1:15" x14ac:dyDescent="0.3">
      <c r="A6369" t="s">
        <v>14974</v>
      </c>
      <c r="B6369" t="s">
        <v>14975</v>
      </c>
      <c r="C6369" t="s">
        <v>125</v>
      </c>
      <c r="D6369" t="s">
        <v>38</v>
      </c>
      <c r="E6369" t="s">
        <v>45</v>
      </c>
      <c r="F6369" t="s">
        <v>55</v>
      </c>
      <c r="G6369">
        <v>2.5</v>
      </c>
      <c r="H6369" t="s">
        <v>41</v>
      </c>
      <c r="I6369" t="s">
        <v>42</v>
      </c>
      <c r="M6369">
        <f>VLOOKUP(H6369,'Stage Order'!$A$2:$B$8,2,FALSE)</f>
        <v>2</v>
      </c>
      <c r="N6369" t="str">
        <f t="shared" si="198"/>
        <v>2. 1-24 hours</v>
      </c>
      <c r="O6369" t="str">
        <f t="shared" si="199"/>
        <v>2025-08</v>
      </c>
    </row>
    <row r="6370" spans="1:15" x14ac:dyDescent="0.3">
      <c r="A6370" t="s">
        <v>14976</v>
      </c>
      <c r="B6370" t="s">
        <v>14977</v>
      </c>
      <c r="C6370" t="s">
        <v>53</v>
      </c>
      <c r="D6370" t="s">
        <v>54</v>
      </c>
      <c r="E6370" t="s">
        <v>59</v>
      </c>
      <c r="F6370" t="s">
        <v>137</v>
      </c>
      <c r="G6370">
        <v>2.58</v>
      </c>
      <c r="H6370" t="s">
        <v>41</v>
      </c>
      <c r="I6370" t="s">
        <v>42</v>
      </c>
      <c r="M6370">
        <f>VLOOKUP(H6370,'Stage Order'!$A$2:$B$8,2,FALSE)</f>
        <v>2</v>
      </c>
      <c r="N6370" t="str">
        <f t="shared" si="198"/>
        <v>2. 1-24 hours</v>
      </c>
      <c r="O6370" t="str">
        <f t="shared" si="199"/>
        <v>2025-06</v>
      </c>
    </row>
    <row r="6371" spans="1:15" x14ac:dyDescent="0.3">
      <c r="A6371" t="s">
        <v>14978</v>
      </c>
      <c r="B6371" t="s">
        <v>14979</v>
      </c>
      <c r="C6371" t="s">
        <v>58</v>
      </c>
      <c r="D6371" t="s">
        <v>38</v>
      </c>
      <c r="E6371" t="s">
        <v>39</v>
      </c>
      <c r="F6371" t="s">
        <v>106</v>
      </c>
      <c r="G6371">
        <v>2.92</v>
      </c>
      <c r="H6371" t="s">
        <v>41</v>
      </c>
      <c r="I6371" t="s">
        <v>42</v>
      </c>
      <c r="M6371">
        <f>VLOOKUP(H6371,'Stage Order'!$A$2:$B$8,2,FALSE)</f>
        <v>2</v>
      </c>
      <c r="N6371" t="str">
        <f t="shared" si="198"/>
        <v>2. 1-24 hours</v>
      </c>
      <c r="O6371" t="str">
        <f t="shared" si="199"/>
        <v>2025-01</v>
      </c>
    </row>
    <row r="6372" spans="1:15" x14ac:dyDescent="0.3">
      <c r="A6372" t="s">
        <v>14980</v>
      </c>
      <c r="B6372" t="s">
        <v>14981</v>
      </c>
      <c r="C6372" t="s">
        <v>81</v>
      </c>
      <c r="D6372" t="s">
        <v>38</v>
      </c>
      <c r="E6372" t="s">
        <v>39</v>
      </c>
      <c r="F6372" t="s">
        <v>40</v>
      </c>
      <c r="G6372">
        <v>2.2999999999999998</v>
      </c>
      <c r="H6372" t="s">
        <v>47</v>
      </c>
      <c r="I6372" t="s">
        <v>48</v>
      </c>
      <c r="J6372" t="s">
        <v>98</v>
      </c>
      <c r="K6372">
        <v>296.58999999999997</v>
      </c>
      <c r="L6372" t="s">
        <v>14982</v>
      </c>
      <c r="M6372">
        <f>VLOOKUP(H6372,'Stage Order'!$A$2:$B$8,2,FALSE)</f>
        <v>4</v>
      </c>
      <c r="N6372" t="str">
        <f t="shared" si="198"/>
        <v>2. 1-24 hours</v>
      </c>
      <c r="O6372" t="str">
        <f t="shared" si="199"/>
        <v>2025-10</v>
      </c>
    </row>
    <row r="6373" spans="1:15" x14ac:dyDescent="0.3">
      <c r="A6373" t="s">
        <v>14983</v>
      </c>
      <c r="B6373" t="s">
        <v>14984</v>
      </c>
      <c r="C6373" t="s">
        <v>81</v>
      </c>
      <c r="D6373" t="s">
        <v>54</v>
      </c>
      <c r="E6373" t="s">
        <v>30</v>
      </c>
      <c r="F6373" t="s">
        <v>82</v>
      </c>
      <c r="G6373">
        <v>4.05</v>
      </c>
      <c r="H6373" t="s">
        <v>61</v>
      </c>
      <c r="I6373" t="s">
        <v>42</v>
      </c>
      <c r="M6373">
        <f>VLOOKUP(H6373,'Stage Order'!$A$2:$B$8,2,FALSE)</f>
        <v>1</v>
      </c>
      <c r="N6373" t="str">
        <f t="shared" si="198"/>
        <v>2. 1-24 hours</v>
      </c>
      <c r="O6373" t="str">
        <f t="shared" si="199"/>
        <v>2025-07</v>
      </c>
    </row>
    <row r="6374" spans="1:15" x14ac:dyDescent="0.3">
      <c r="A6374" t="s">
        <v>14985</v>
      </c>
      <c r="B6374" t="s">
        <v>14986</v>
      </c>
      <c r="C6374" t="s">
        <v>58</v>
      </c>
      <c r="D6374" t="s">
        <v>77</v>
      </c>
      <c r="E6374" t="s">
        <v>59</v>
      </c>
      <c r="F6374" t="s">
        <v>117</v>
      </c>
      <c r="G6374">
        <v>1.22</v>
      </c>
      <c r="H6374" t="s">
        <v>41</v>
      </c>
      <c r="I6374" t="s">
        <v>42</v>
      </c>
      <c r="M6374">
        <f>VLOOKUP(H6374,'Stage Order'!$A$2:$B$8,2,FALSE)</f>
        <v>2</v>
      </c>
      <c r="N6374" t="str">
        <f t="shared" si="198"/>
        <v>2. 1-24 hours</v>
      </c>
      <c r="O6374" t="str">
        <f t="shared" si="199"/>
        <v>2025-12</v>
      </c>
    </row>
    <row r="6375" spans="1:15" x14ac:dyDescent="0.3">
      <c r="A6375" t="s">
        <v>14987</v>
      </c>
      <c r="B6375" t="s">
        <v>14988</v>
      </c>
      <c r="C6375" t="s">
        <v>81</v>
      </c>
      <c r="D6375" t="s">
        <v>77</v>
      </c>
      <c r="E6375" t="s">
        <v>90</v>
      </c>
      <c r="F6375" t="s">
        <v>112</v>
      </c>
      <c r="G6375">
        <v>3.99</v>
      </c>
      <c r="H6375" t="s">
        <v>61</v>
      </c>
      <c r="I6375" t="s">
        <v>42</v>
      </c>
      <c r="M6375">
        <f>VLOOKUP(H6375,'Stage Order'!$A$2:$B$8,2,FALSE)</f>
        <v>1</v>
      </c>
      <c r="N6375" t="str">
        <f t="shared" si="198"/>
        <v>2. 1-24 hours</v>
      </c>
      <c r="O6375" t="str">
        <f t="shared" si="199"/>
        <v>2025-08</v>
      </c>
    </row>
    <row r="6376" spans="1:15" x14ac:dyDescent="0.3">
      <c r="A6376" t="s">
        <v>14989</v>
      </c>
      <c r="B6376" t="s">
        <v>14990</v>
      </c>
      <c r="C6376" t="s">
        <v>81</v>
      </c>
      <c r="D6376" t="s">
        <v>54</v>
      </c>
      <c r="E6376" t="s">
        <v>59</v>
      </c>
      <c r="F6376" t="s">
        <v>117</v>
      </c>
      <c r="G6376">
        <v>9.16</v>
      </c>
      <c r="H6376" t="s">
        <v>146</v>
      </c>
      <c r="I6376" t="s">
        <v>48</v>
      </c>
      <c r="J6376" t="s">
        <v>113</v>
      </c>
      <c r="K6376">
        <v>539.42999999999995</v>
      </c>
      <c r="L6376" t="s">
        <v>14991</v>
      </c>
      <c r="M6376">
        <f>VLOOKUP(H6376,'Stage Order'!$A$2:$B$8,2,FALSE)</f>
        <v>5</v>
      </c>
      <c r="N6376" t="str">
        <f t="shared" si="198"/>
        <v>2. 1-24 hours</v>
      </c>
      <c r="O6376" t="str">
        <f t="shared" si="199"/>
        <v>2026-04</v>
      </c>
    </row>
    <row r="6377" spans="1:15" x14ac:dyDescent="0.3">
      <c r="A6377" t="s">
        <v>14992</v>
      </c>
      <c r="B6377" t="s">
        <v>14993</v>
      </c>
      <c r="C6377" t="s">
        <v>125</v>
      </c>
      <c r="D6377" t="s">
        <v>38</v>
      </c>
      <c r="E6377" t="s">
        <v>59</v>
      </c>
      <c r="F6377" t="s">
        <v>137</v>
      </c>
      <c r="G6377">
        <v>1.53</v>
      </c>
      <c r="H6377" t="s">
        <v>41</v>
      </c>
      <c r="I6377" t="s">
        <v>42</v>
      </c>
      <c r="M6377">
        <f>VLOOKUP(H6377,'Stage Order'!$A$2:$B$8,2,FALSE)</f>
        <v>2</v>
      </c>
      <c r="N6377" t="str">
        <f t="shared" si="198"/>
        <v>2. 1-24 hours</v>
      </c>
      <c r="O6377" t="str">
        <f t="shared" si="199"/>
        <v>2026-05</v>
      </c>
    </row>
    <row r="6378" spans="1:15" x14ac:dyDescent="0.3">
      <c r="A6378" t="s">
        <v>14994</v>
      </c>
      <c r="B6378" t="s">
        <v>14995</v>
      </c>
      <c r="C6378" t="s">
        <v>58</v>
      </c>
      <c r="D6378" t="s">
        <v>97</v>
      </c>
      <c r="E6378" t="s">
        <v>90</v>
      </c>
      <c r="F6378" t="s">
        <v>145</v>
      </c>
      <c r="G6378">
        <v>5.44</v>
      </c>
      <c r="H6378" t="s">
        <v>61</v>
      </c>
      <c r="I6378" t="s">
        <v>42</v>
      </c>
      <c r="M6378">
        <f>VLOOKUP(H6378,'Stage Order'!$A$2:$B$8,2,FALSE)</f>
        <v>1</v>
      </c>
      <c r="N6378" t="str">
        <f t="shared" si="198"/>
        <v>2. 1-24 hours</v>
      </c>
      <c r="O6378" t="str">
        <f t="shared" si="199"/>
        <v>2026-03</v>
      </c>
    </row>
    <row r="6379" spans="1:15" x14ac:dyDescent="0.3">
      <c r="A6379" t="s">
        <v>14996</v>
      </c>
      <c r="B6379" t="s">
        <v>14997</v>
      </c>
      <c r="C6379" t="s">
        <v>76</v>
      </c>
      <c r="D6379" t="s">
        <v>54</v>
      </c>
      <c r="E6379" t="s">
        <v>45</v>
      </c>
      <c r="F6379" t="s">
        <v>55</v>
      </c>
      <c r="G6379">
        <v>1.26</v>
      </c>
      <c r="H6379" t="s">
        <v>146</v>
      </c>
      <c r="I6379" t="s">
        <v>48</v>
      </c>
      <c r="J6379" t="s">
        <v>139</v>
      </c>
      <c r="K6379">
        <v>522.66</v>
      </c>
      <c r="L6379" t="s">
        <v>14998</v>
      </c>
      <c r="M6379">
        <f>VLOOKUP(H6379,'Stage Order'!$A$2:$B$8,2,FALSE)</f>
        <v>5</v>
      </c>
      <c r="N6379" t="str">
        <f t="shared" si="198"/>
        <v>2. 1-24 hours</v>
      </c>
      <c r="O6379" t="str">
        <f t="shared" si="199"/>
        <v>2025-12</v>
      </c>
    </row>
    <row r="6380" spans="1:15" x14ac:dyDescent="0.3">
      <c r="A6380" t="s">
        <v>14999</v>
      </c>
      <c r="B6380" t="s">
        <v>15000</v>
      </c>
      <c r="C6380" t="s">
        <v>28</v>
      </c>
      <c r="D6380" t="s">
        <v>38</v>
      </c>
      <c r="E6380" t="s">
        <v>39</v>
      </c>
      <c r="F6380" t="s">
        <v>106</v>
      </c>
      <c r="G6380">
        <v>5.45</v>
      </c>
      <c r="H6380" t="s">
        <v>32</v>
      </c>
      <c r="I6380" t="s">
        <v>33</v>
      </c>
      <c r="K6380">
        <v>423.87</v>
      </c>
      <c r="L6380" t="s">
        <v>15001</v>
      </c>
      <c r="M6380">
        <f>VLOOKUP(H6380,'Stage Order'!$A$2:$B$8,2,FALSE)</f>
        <v>7</v>
      </c>
      <c r="N6380" t="str">
        <f t="shared" si="198"/>
        <v>2. 1-24 hours</v>
      </c>
      <c r="O6380" t="str">
        <f t="shared" si="199"/>
        <v>2025-09</v>
      </c>
    </row>
    <row r="6381" spans="1:15" x14ac:dyDescent="0.3">
      <c r="A6381" t="s">
        <v>15002</v>
      </c>
      <c r="B6381" t="s">
        <v>15003</v>
      </c>
      <c r="C6381" t="s">
        <v>53</v>
      </c>
      <c r="D6381" t="s">
        <v>38</v>
      </c>
      <c r="E6381" t="s">
        <v>45</v>
      </c>
      <c r="F6381" t="s">
        <v>55</v>
      </c>
      <c r="G6381">
        <v>1.04</v>
      </c>
      <c r="H6381" t="s">
        <v>41</v>
      </c>
      <c r="I6381" t="s">
        <v>42</v>
      </c>
      <c r="M6381">
        <f>VLOOKUP(H6381,'Stage Order'!$A$2:$B$8,2,FALSE)</f>
        <v>2</v>
      </c>
      <c r="N6381" t="str">
        <f t="shared" si="198"/>
        <v>2. 1-24 hours</v>
      </c>
      <c r="O6381" t="str">
        <f t="shared" si="199"/>
        <v>2026-06</v>
      </c>
    </row>
    <row r="6382" spans="1:15" x14ac:dyDescent="0.3">
      <c r="A6382" t="s">
        <v>15004</v>
      </c>
      <c r="B6382" t="s">
        <v>15005</v>
      </c>
      <c r="C6382" t="s">
        <v>37</v>
      </c>
      <c r="D6382" t="s">
        <v>38</v>
      </c>
      <c r="E6382" t="s">
        <v>59</v>
      </c>
      <c r="F6382" t="s">
        <v>137</v>
      </c>
      <c r="G6382">
        <v>1.65</v>
      </c>
      <c r="H6382" t="s">
        <v>61</v>
      </c>
      <c r="I6382" t="s">
        <v>42</v>
      </c>
      <c r="M6382">
        <f>VLOOKUP(H6382,'Stage Order'!$A$2:$B$8,2,FALSE)</f>
        <v>1</v>
      </c>
      <c r="N6382" t="str">
        <f t="shared" si="198"/>
        <v>2. 1-24 hours</v>
      </c>
      <c r="O6382" t="str">
        <f t="shared" si="199"/>
        <v>2026-01</v>
      </c>
    </row>
    <row r="6383" spans="1:15" x14ac:dyDescent="0.3">
      <c r="A6383" t="s">
        <v>15006</v>
      </c>
      <c r="B6383" t="s">
        <v>14492</v>
      </c>
      <c r="C6383" t="s">
        <v>37</v>
      </c>
      <c r="D6383" t="s">
        <v>97</v>
      </c>
      <c r="E6383" t="s">
        <v>90</v>
      </c>
      <c r="F6383" t="s">
        <v>145</v>
      </c>
      <c r="G6383">
        <v>12.59</v>
      </c>
      <c r="H6383" t="s">
        <v>41</v>
      </c>
      <c r="I6383" t="s">
        <v>42</v>
      </c>
      <c r="M6383">
        <f>VLOOKUP(H6383,'Stage Order'!$A$2:$B$8,2,FALSE)</f>
        <v>2</v>
      </c>
      <c r="N6383" t="str">
        <f t="shared" si="198"/>
        <v>2. 1-24 hours</v>
      </c>
      <c r="O6383" t="str">
        <f t="shared" si="199"/>
        <v>2025-11</v>
      </c>
    </row>
    <row r="6384" spans="1:15" x14ac:dyDescent="0.3">
      <c r="A6384" t="s">
        <v>15007</v>
      </c>
      <c r="B6384" t="s">
        <v>15008</v>
      </c>
      <c r="C6384" t="s">
        <v>37</v>
      </c>
      <c r="D6384" t="s">
        <v>97</v>
      </c>
      <c r="E6384" t="s">
        <v>39</v>
      </c>
      <c r="F6384" t="s">
        <v>66</v>
      </c>
      <c r="G6384">
        <v>5.03</v>
      </c>
      <c r="H6384" t="s">
        <v>61</v>
      </c>
      <c r="I6384" t="s">
        <v>42</v>
      </c>
      <c r="M6384">
        <f>VLOOKUP(H6384,'Stage Order'!$A$2:$B$8,2,FALSE)</f>
        <v>1</v>
      </c>
      <c r="N6384" t="str">
        <f t="shared" si="198"/>
        <v>2. 1-24 hours</v>
      </c>
      <c r="O6384" t="str">
        <f t="shared" si="199"/>
        <v>2025-10</v>
      </c>
    </row>
    <row r="6385" spans="1:15" x14ac:dyDescent="0.3">
      <c r="A6385" t="s">
        <v>15009</v>
      </c>
      <c r="B6385" t="s">
        <v>15010</v>
      </c>
      <c r="C6385" t="s">
        <v>58</v>
      </c>
      <c r="D6385" t="s">
        <v>54</v>
      </c>
      <c r="E6385" t="s">
        <v>39</v>
      </c>
      <c r="F6385" t="s">
        <v>40</v>
      </c>
      <c r="G6385">
        <v>2.2200000000000002</v>
      </c>
      <c r="H6385" t="s">
        <v>146</v>
      </c>
      <c r="I6385" t="s">
        <v>48</v>
      </c>
      <c r="J6385" t="s">
        <v>139</v>
      </c>
      <c r="K6385">
        <v>457.9</v>
      </c>
      <c r="L6385" t="s">
        <v>15011</v>
      </c>
      <c r="M6385">
        <f>VLOOKUP(H6385,'Stage Order'!$A$2:$B$8,2,FALSE)</f>
        <v>5</v>
      </c>
      <c r="N6385" t="str">
        <f t="shared" si="198"/>
        <v>2. 1-24 hours</v>
      </c>
      <c r="O6385" t="str">
        <f t="shared" si="199"/>
        <v>2026-02</v>
      </c>
    </row>
    <row r="6386" spans="1:15" x14ac:dyDescent="0.3">
      <c r="A6386" t="s">
        <v>15012</v>
      </c>
      <c r="B6386" t="s">
        <v>15013</v>
      </c>
      <c r="C6386" t="s">
        <v>37</v>
      </c>
      <c r="D6386" t="s">
        <v>29</v>
      </c>
      <c r="E6386" t="s">
        <v>59</v>
      </c>
      <c r="F6386" t="s">
        <v>137</v>
      </c>
      <c r="G6386">
        <v>8.26</v>
      </c>
      <c r="H6386" t="s">
        <v>41</v>
      </c>
      <c r="I6386" t="s">
        <v>42</v>
      </c>
      <c r="M6386">
        <f>VLOOKUP(H6386,'Stage Order'!$A$2:$B$8,2,FALSE)</f>
        <v>2</v>
      </c>
      <c r="N6386" t="str">
        <f t="shared" si="198"/>
        <v>2. 1-24 hours</v>
      </c>
      <c r="O6386" t="str">
        <f t="shared" si="199"/>
        <v>2026-05</v>
      </c>
    </row>
    <row r="6387" spans="1:15" x14ac:dyDescent="0.3">
      <c r="A6387" t="s">
        <v>15014</v>
      </c>
      <c r="B6387" t="s">
        <v>15015</v>
      </c>
      <c r="C6387" t="s">
        <v>53</v>
      </c>
      <c r="D6387" t="s">
        <v>29</v>
      </c>
      <c r="E6387" t="s">
        <v>45</v>
      </c>
      <c r="F6387" t="s">
        <v>55</v>
      </c>
      <c r="G6387">
        <v>2.3199999999999998</v>
      </c>
      <c r="H6387" t="s">
        <v>146</v>
      </c>
      <c r="I6387" t="s">
        <v>48</v>
      </c>
      <c r="J6387" t="s">
        <v>49</v>
      </c>
      <c r="K6387">
        <v>749.37</v>
      </c>
      <c r="L6387" t="s">
        <v>15016</v>
      </c>
      <c r="M6387">
        <f>VLOOKUP(H6387,'Stage Order'!$A$2:$B$8,2,FALSE)</f>
        <v>5</v>
      </c>
      <c r="N6387" t="str">
        <f t="shared" si="198"/>
        <v>2. 1-24 hours</v>
      </c>
      <c r="O6387" t="str">
        <f t="shared" si="199"/>
        <v>2026-03</v>
      </c>
    </row>
    <row r="6388" spans="1:15" x14ac:dyDescent="0.3">
      <c r="A6388" t="s">
        <v>15017</v>
      </c>
      <c r="B6388" t="s">
        <v>15018</v>
      </c>
      <c r="C6388" t="s">
        <v>58</v>
      </c>
      <c r="D6388" t="s">
        <v>54</v>
      </c>
      <c r="E6388" t="s">
        <v>39</v>
      </c>
      <c r="F6388" t="s">
        <v>66</v>
      </c>
      <c r="G6388">
        <v>7.04</v>
      </c>
      <c r="H6388" t="s">
        <v>41</v>
      </c>
      <c r="I6388" t="s">
        <v>42</v>
      </c>
      <c r="M6388">
        <f>VLOOKUP(H6388,'Stage Order'!$A$2:$B$8,2,FALSE)</f>
        <v>2</v>
      </c>
      <c r="N6388" t="str">
        <f t="shared" si="198"/>
        <v>2. 1-24 hours</v>
      </c>
      <c r="O6388" t="str">
        <f t="shared" si="199"/>
        <v>2026-05</v>
      </c>
    </row>
    <row r="6389" spans="1:15" x14ac:dyDescent="0.3">
      <c r="A6389" t="s">
        <v>15019</v>
      </c>
      <c r="B6389" t="s">
        <v>15020</v>
      </c>
      <c r="C6389" t="s">
        <v>58</v>
      </c>
      <c r="D6389" t="s">
        <v>97</v>
      </c>
      <c r="E6389" t="s">
        <v>30</v>
      </c>
      <c r="F6389" t="s">
        <v>82</v>
      </c>
      <c r="G6389">
        <v>1.26</v>
      </c>
      <c r="H6389" t="s">
        <v>41</v>
      </c>
      <c r="I6389" t="s">
        <v>42</v>
      </c>
      <c r="M6389">
        <f>VLOOKUP(H6389,'Stage Order'!$A$2:$B$8,2,FALSE)</f>
        <v>2</v>
      </c>
      <c r="N6389" t="str">
        <f t="shared" si="198"/>
        <v>2. 1-24 hours</v>
      </c>
      <c r="O6389" t="str">
        <f t="shared" si="199"/>
        <v>2026-02</v>
      </c>
    </row>
    <row r="6390" spans="1:15" x14ac:dyDescent="0.3">
      <c r="A6390" t="s">
        <v>15021</v>
      </c>
      <c r="B6390" t="s">
        <v>15022</v>
      </c>
      <c r="C6390" t="s">
        <v>53</v>
      </c>
      <c r="D6390" t="s">
        <v>97</v>
      </c>
      <c r="E6390" t="s">
        <v>39</v>
      </c>
      <c r="F6390" t="s">
        <v>106</v>
      </c>
      <c r="G6390">
        <v>5.94</v>
      </c>
      <c r="H6390" t="s">
        <v>138</v>
      </c>
      <c r="I6390" t="s">
        <v>48</v>
      </c>
      <c r="J6390" t="s">
        <v>49</v>
      </c>
      <c r="K6390">
        <v>1508.76</v>
      </c>
      <c r="L6390" t="s">
        <v>15023</v>
      </c>
      <c r="M6390">
        <f>VLOOKUP(H6390,'Stage Order'!$A$2:$B$8,2,FALSE)</f>
        <v>6</v>
      </c>
      <c r="N6390" t="str">
        <f t="shared" si="198"/>
        <v>2. 1-24 hours</v>
      </c>
      <c r="O6390" t="str">
        <f t="shared" si="199"/>
        <v>2025-03</v>
      </c>
    </row>
    <row r="6391" spans="1:15" x14ac:dyDescent="0.3">
      <c r="A6391" t="s">
        <v>15024</v>
      </c>
      <c r="B6391" t="s">
        <v>15025</v>
      </c>
      <c r="C6391" t="s">
        <v>125</v>
      </c>
      <c r="D6391" t="s">
        <v>97</v>
      </c>
      <c r="E6391" t="s">
        <v>30</v>
      </c>
      <c r="F6391" t="s">
        <v>78</v>
      </c>
      <c r="G6391">
        <v>5.88</v>
      </c>
      <c r="H6391" t="s">
        <v>47</v>
      </c>
      <c r="I6391" t="s">
        <v>48</v>
      </c>
      <c r="J6391" t="s">
        <v>113</v>
      </c>
      <c r="K6391">
        <v>1735.89</v>
      </c>
      <c r="L6391" t="s">
        <v>15026</v>
      </c>
      <c r="M6391">
        <f>VLOOKUP(H6391,'Stage Order'!$A$2:$B$8,2,FALSE)</f>
        <v>4</v>
      </c>
      <c r="N6391" t="str">
        <f t="shared" si="198"/>
        <v>2. 1-24 hours</v>
      </c>
      <c r="O6391" t="str">
        <f t="shared" si="199"/>
        <v>2026-04</v>
      </c>
    </row>
    <row r="6392" spans="1:15" x14ac:dyDescent="0.3">
      <c r="A6392" t="s">
        <v>15027</v>
      </c>
      <c r="B6392" t="s">
        <v>15028</v>
      </c>
      <c r="C6392" t="s">
        <v>37</v>
      </c>
      <c r="D6392" t="s">
        <v>38</v>
      </c>
      <c r="E6392" t="s">
        <v>45</v>
      </c>
      <c r="F6392" t="s">
        <v>94</v>
      </c>
      <c r="G6392">
        <v>0.46</v>
      </c>
      <c r="H6392" t="s">
        <v>32</v>
      </c>
      <c r="I6392" t="s">
        <v>33</v>
      </c>
      <c r="K6392">
        <v>290.49</v>
      </c>
      <c r="L6392" t="s">
        <v>15029</v>
      </c>
      <c r="M6392">
        <f>VLOOKUP(H6392,'Stage Order'!$A$2:$B$8,2,FALSE)</f>
        <v>7</v>
      </c>
      <c r="N6392" t="str">
        <f t="shared" si="198"/>
        <v>1. Under 1 hour</v>
      </c>
      <c r="O6392" t="str">
        <f t="shared" si="199"/>
        <v>2026-03</v>
      </c>
    </row>
    <row r="6393" spans="1:15" x14ac:dyDescent="0.3">
      <c r="A6393" t="s">
        <v>15030</v>
      </c>
      <c r="B6393" t="s">
        <v>15031</v>
      </c>
      <c r="C6393" t="s">
        <v>28</v>
      </c>
      <c r="D6393" t="s">
        <v>54</v>
      </c>
      <c r="E6393" t="s">
        <v>59</v>
      </c>
      <c r="F6393" t="s">
        <v>137</v>
      </c>
      <c r="G6393">
        <v>7.24</v>
      </c>
      <c r="H6393" t="s">
        <v>32</v>
      </c>
      <c r="I6393" t="s">
        <v>33</v>
      </c>
      <c r="K6393">
        <v>533.15</v>
      </c>
      <c r="L6393" t="s">
        <v>15032</v>
      </c>
      <c r="M6393">
        <f>VLOOKUP(H6393,'Stage Order'!$A$2:$B$8,2,FALSE)</f>
        <v>7</v>
      </c>
      <c r="N6393" t="str">
        <f t="shared" si="198"/>
        <v>2. 1-24 hours</v>
      </c>
      <c r="O6393" t="str">
        <f t="shared" si="199"/>
        <v>2025-09</v>
      </c>
    </row>
    <row r="6394" spans="1:15" x14ac:dyDescent="0.3">
      <c r="A6394" t="s">
        <v>15033</v>
      </c>
      <c r="B6394" t="s">
        <v>15034</v>
      </c>
      <c r="C6394" t="s">
        <v>58</v>
      </c>
      <c r="D6394" t="s">
        <v>77</v>
      </c>
      <c r="E6394" t="s">
        <v>90</v>
      </c>
      <c r="F6394" t="s">
        <v>112</v>
      </c>
      <c r="G6394">
        <v>0.8</v>
      </c>
      <c r="H6394" t="s">
        <v>61</v>
      </c>
      <c r="I6394" t="s">
        <v>42</v>
      </c>
      <c r="M6394">
        <f>VLOOKUP(H6394,'Stage Order'!$A$2:$B$8,2,FALSE)</f>
        <v>1</v>
      </c>
      <c r="N6394" t="str">
        <f t="shared" si="198"/>
        <v>1. Under 1 hour</v>
      </c>
      <c r="O6394" t="str">
        <f t="shared" si="199"/>
        <v>2025-09</v>
      </c>
    </row>
    <row r="6395" spans="1:15" x14ac:dyDescent="0.3">
      <c r="A6395" t="s">
        <v>15035</v>
      </c>
      <c r="B6395" t="s">
        <v>15036</v>
      </c>
      <c r="C6395" t="s">
        <v>58</v>
      </c>
      <c r="D6395" t="s">
        <v>54</v>
      </c>
      <c r="E6395" t="s">
        <v>59</v>
      </c>
      <c r="F6395" t="s">
        <v>60</v>
      </c>
      <c r="G6395">
        <v>7.47</v>
      </c>
      <c r="H6395" t="s">
        <v>128</v>
      </c>
      <c r="I6395" t="s">
        <v>42</v>
      </c>
      <c r="M6395">
        <f>VLOOKUP(H6395,'Stage Order'!$A$2:$B$8,2,FALSE)</f>
        <v>3</v>
      </c>
      <c r="N6395" t="str">
        <f t="shared" si="198"/>
        <v>2. 1-24 hours</v>
      </c>
      <c r="O6395" t="str">
        <f t="shared" si="199"/>
        <v>2026-01</v>
      </c>
    </row>
    <row r="6396" spans="1:15" x14ac:dyDescent="0.3">
      <c r="A6396" t="s">
        <v>15037</v>
      </c>
      <c r="B6396" t="s">
        <v>15038</v>
      </c>
      <c r="C6396" t="s">
        <v>58</v>
      </c>
      <c r="D6396" t="s">
        <v>38</v>
      </c>
      <c r="E6396" t="s">
        <v>90</v>
      </c>
      <c r="F6396" t="s">
        <v>145</v>
      </c>
      <c r="G6396">
        <v>5.41</v>
      </c>
      <c r="H6396" t="s">
        <v>41</v>
      </c>
      <c r="I6396" t="s">
        <v>42</v>
      </c>
      <c r="M6396">
        <f>VLOOKUP(H6396,'Stage Order'!$A$2:$B$8,2,FALSE)</f>
        <v>2</v>
      </c>
      <c r="N6396" t="str">
        <f t="shared" si="198"/>
        <v>2. 1-24 hours</v>
      </c>
      <c r="O6396" t="str">
        <f t="shared" si="199"/>
        <v>2025-01</v>
      </c>
    </row>
    <row r="6397" spans="1:15" x14ac:dyDescent="0.3">
      <c r="A6397" t="s">
        <v>15039</v>
      </c>
      <c r="B6397" t="s">
        <v>15040</v>
      </c>
      <c r="C6397" t="s">
        <v>28</v>
      </c>
      <c r="D6397" t="s">
        <v>54</v>
      </c>
      <c r="E6397" t="s">
        <v>45</v>
      </c>
      <c r="F6397" t="s">
        <v>55</v>
      </c>
      <c r="G6397">
        <v>6.94</v>
      </c>
      <c r="H6397" t="s">
        <v>138</v>
      </c>
      <c r="I6397" t="s">
        <v>48</v>
      </c>
      <c r="J6397" t="s">
        <v>139</v>
      </c>
      <c r="K6397">
        <v>411.02</v>
      </c>
      <c r="L6397" t="s">
        <v>15041</v>
      </c>
      <c r="M6397">
        <f>VLOOKUP(H6397,'Stage Order'!$A$2:$B$8,2,FALSE)</f>
        <v>6</v>
      </c>
      <c r="N6397" t="str">
        <f t="shared" si="198"/>
        <v>2. 1-24 hours</v>
      </c>
      <c r="O6397" t="str">
        <f t="shared" si="199"/>
        <v>2025-11</v>
      </c>
    </row>
    <row r="6398" spans="1:15" x14ac:dyDescent="0.3">
      <c r="A6398" t="s">
        <v>15042</v>
      </c>
      <c r="B6398" t="s">
        <v>15043</v>
      </c>
      <c r="C6398" t="s">
        <v>58</v>
      </c>
      <c r="D6398" t="s">
        <v>97</v>
      </c>
      <c r="E6398" t="s">
        <v>45</v>
      </c>
      <c r="F6398" t="s">
        <v>94</v>
      </c>
      <c r="G6398">
        <v>1.71</v>
      </c>
      <c r="H6398" t="s">
        <v>41</v>
      </c>
      <c r="I6398" t="s">
        <v>42</v>
      </c>
      <c r="M6398">
        <f>VLOOKUP(H6398,'Stage Order'!$A$2:$B$8,2,FALSE)</f>
        <v>2</v>
      </c>
      <c r="N6398" t="str">
        <f t="shared" si="198"/>
        <v>2. 1-24 hours</v>
      </c>
      <c r="O6398" t="str">
        <f t="shared" si="199"/>
        <v>2026-05</v>
      </c>
    </row>
    <row r="6399" spans="1:15" x14ac:dyDescent="0.3">
      <c r="A6399" t="s">
        <v>15044</v>
      </c>
      <c r="B6399" t="s">
        <v>15045</v>
      </c>
      <c r="C6399" t="s">
        <v>53</v>
      </c>
      <c r="D6399" t="s">
        <v>54</v>
      </c>
      <c r="E6399" t="s">
        <v>30</v>
      </c>
      <c r="F6399" t="s">
        <v>82</v>
      </c>
      <c r="G6399">
        <v>2.0699999999999998</v>
      </c>
      <c r="H6399" t="s">
        <v>32</v>
      </c>
      <c r="I6399" t="s">
        <v>33</v>
      </c>
      <c r="K6399">
        <v>479.09</v>
      </c>
      <c r="L6399" t="s">
        <v>15046</v>
      </c>
      <c r="M6399">
        <f>VLOOKUP(H6399,'Stage Order'!$A$2:$B$8,2,FALSE)</f>
        <v>7</v>
      </c>
      <c r="N6399" t="str">
        <f t="shared" si="198"/>
        <v>2. 1-24 hours</v>
      </c>
      <c r="O6399" t="str">
        <f t="shared" si="199"/>
        <v>2026-02</v>
      </c>
    </row>
    <row r="6400" spans="1:15" x14ac:dyDescent="0.3">
      <c r="A6400" t="s">
        <v>15047</v>
      </c>
      <c r="B6400" t="s">
        <v>15048</v>
      </c>
      <c r="C6400" t="s">
        <v>28</v>
      </c>
      <c r="D6400" t="s">
        <v>77</v>
      </c>
      <c r="E6400" t="s">
        <v>90</v>
      </c>
      <c r="F6400" t="s">
        <v>145</v>
      </c>
      <c r="G6400">
        <v>1.19</v>
      </c>
      <c r="H6400" t="s">
        <v>61</v>
      </c>
      <c r="I6400" t="s">
        <v>42</v>
      </c>
      <c r="M6400">
        <f>VLOOKUP(H6400,'Stage Order'!$A$2:$B$8,2,FALSE)</f>
        <v>1</v>
      </c>
      <c r="N6400" t="str">
        <f t="shared" si="198"/>
        <v>2. 1-24 hours</v>
      </c>
      <c r="O6400" t="str">
        <f t="shared" si="199"/>
        <v>2025-07</v>
      </c>
    </row>
    <row r="6401" spans="1:15" x14ac:dyDescent="0.3">
      <c r="A6401" t="s">
        <v>15049</v>
      </c>
      <c r="B6401" t="s">
        <v>15050</v>
      </c>
      <c r="C6401" t="s">
        <v>28</v>
      </c>
      <c r="D6401" t="s">
        <v>38</v>
      </c>
      <c r="E6401" t="s">
        <v>59</v>
      </c>
      <c r="F6401" t="s">
        <v>60</v>
      </c>
      <c r="G6401">
        <v>3.92</v>
      </c>
      <c r="H6401" t="s">
        <v>138</v>
      </c>
      <c r="I6401" t="s">
        <v>48</v>
      </c>
      <c r="J6401" t="s">
        <v>98</v>
      </c>
      <c r="K6401">
        <v>387.35</v>
      </c>
      <c r="L6401" t="s">
        <v>15051</v>
      </c>
      <c r="M6401">
        <f>VLOOKUP(H6401,'Stage Order'!$A$2:$B$8,2,FALSE)</f>
        <v>6</v>
      </c>
      <c r="N6401" t="str">
        <f t="shared" si="198"/>
        <v>2. 1-24 hours</v>
      </c>
      <c r="O6401" t="str">
        <f t="shared" si="199"/>
        <v>2026-06</v>
      </c>
    </row>
    <row r="6402" spans="1:15" x14ac:dyDescent="0.3">
      <c r="A6402" t="s">
        <v>15052</v>
      </c>
      <c r="B6402" t="s">
        <v>15053</v>
      </c>
      <c r="C6402" t="s">
        <v>53</v>
      </c>
      <c r="D6402" t="s">
        <v>29</v>
      </c>
      <c r="E6402" t="s">
        <v>39</v>
      </c>
      <c r="F6402" t="s">
        <v>106</v>
      </c>
      <c r="G6402">
        <v>1.53</v>
      </c>
      <c r="H6402" t="s">
        <v>32</v>
      </c>
      <c r="I6402" t="s">
        <v>33</v>
      </c>
      <c r="K6402">
        <v>680.04</v>
      </c>
      <c r="L6402" t="s">
        <v>15054</v>
      </c>
      <c r="M6402">
        <f>VLOOKUP(H6402,'Stage Order'!$A$2:$B$8,2,FALSE)</f>
        <v>7</v>
      </c>
      <c r="N6402" t="str">
        <f t="shared" ref="N6402:N6465" si="200">IF(G6402&lt;=1,"1. Under 1 hour",IF(G6402&lt;=24,"2. 1-24 hours",IF(G6402&lt;=72,"3. 1-3 days","4. Over 3 days")))</f>
        <v>2. 1-24 hours</v>
      </c>
      <c r="O6402" t="str">
        <f t="shared" ref="O6402:O6465" si="201">TEXT(B6402,"YYYY-MM")</f>
        <v>2026-04</v>
      </c>
    </row>
    <row r="6403" spans="1:15" x14ac:dyDescent="0.3">
      <c r="A6403" t="s">
        <v>15055</v>
      </c>
      <c r="B6403" t="s">
        <v>15056</v>
      </c>
      <c r="C6403" t="s">
        <v>81</v>
      </c>
      <c r="D6403" t="s">
        <v>97</v>
      </c>
      <c r="E6403" t="s">
        <v>59</v>
      </c>
      <c r="F6403" t="s">
        <v>117</v>
      </c>
      <c r="G6403">
        <v>2.59</v>
      </c>
      <c r="H6403" t="s">
        <v>61</v>
      </c>
      <c r="I6403" t="s">
        <v>42</v>
      </c>
      <c r="M6403">
        <f>VLOOKUP(H6403,'Stage Order'!$A$2:$B$8,2,FALSE)</f>
        <v>1</v>
      </c>
      <c r="N6403" t="str">
        <f t="shared" si="200"/>
        <v>2. 1-24 hours</v>
      </c>
      <c r="O6403" t="str">
        <f t="shared" si="201"/>
        <v>2025-12</v>
      </c>
    </row>
    <row r="6404" spans="1:15" x14ac:dyDescent="0.3">
      <c r="A6404" t="s">
        <v>15057</v>
      </c>
      <c r="B6404" t="s">
        <v>15058</v>
      </c>
      <c r="C6404" t="s">
        <v>81</v>
      </c>
      <c r="D6404" t="s">
        <v>77</v>
      </c>
      <c r="E6404" t="s">
        <v>90</v>
      </c>
      <c r="F6404" t="s">
        <v>91</v>
      </c>
      <c r="G6404">
        <v>3.55</v>
      </c>
      <c r="H6404" t="s">
        <v>61</v>
      </c>
      <c r="I6404" t="s">
        <v>42</v>
      </c>
      <c r="M6404">
        <f>VLOOKUP(H6404,'Stage Order'!$A$2:$B$8,2,FALSE)</f>
        <v>1</v>
      </c>
      <c r="N6404" t="str">
        <f t="shared" si="200"/>
        <v>2. 1-24 hours</v>
      </c>
      <c r="O6404" t="str">
        <f t="shared" si="201"/>
        <v>2026-03</v>
      </c>
    </row>
    <row r="6405" spans="1:15" x14ac:dyDescent="0.3">
      <c r="A6405" t="s">
        <v>15059</v>
      </c>
      <c r="B6405" t="s">
        <v>15060</v>
      </c>
      <c r="C6405" t="s">
        <v>58</v>
      </c>
      <c r="D6405" t="s">
        <v>77</v>
      </c>
      <c r="E6405" t="s">
        <v>59</v>
      </c>
      <c r="F6405" t="s">
        <v>137</v>
      </c>
      <c r="G6405">
        <v>1.78</v>
      </c>
      <c r="H6405" t="s">
        <v>61</v>
      </c>
      <c r="I6405" t="s">
        <v>42</v>
      </c>
      <c r="M6405">
        <f>VLOOKUP(H6405,'Stage Order'!$A$2:$B$8,2,FALSE)</f>
        <v>1</v>
      </c>
      <c r="N6405" t="str">
        <f t="shared" si="200"/>
        <v>2. 1-24 hours</v>
      </c>
      <c r="O6405" t="str">
        <f t="shared" si="201"/>
        <v>2025-06</v>
      </c>
    </row>
    <row r="6406" spans="1:15" x14ac:dyDescent="0.3">
      <c r="A6406" t="s">
        <v>15061</v>
      </c>
      <c r="B6406" t="s">
        <v>15062</v>
      </c>
      <c r="C6406" t="s">
        <v>81</v>
      </c>
      <c r="D6406" t="s">
        <v>38</v>
      </c>
      <c r="E6406" t="s">
        <v>39</v>
      </c>
      <c r="F6406" t="s">
        <v>106</v>
      </c>
      <c r="G6406">
        <v>1.38</v>
      </c>
      <c r="H6406" t="s">
        <v>61</v>
      </c>
      <c r="I6406" t="s">
        <v>42</v>
      </c>
      <c r="M6406">
        <f>VLOOKUP(H6406,'Stage Order'!$A$2:$B$8,2,FALSE)</f>
        <v>1</v>
      </c>
      <c r="N6406" t="str">
        <f t="shared" si="200"/>
        <v>2. 1-24 hours</v>
      </c>
      <c r="O6406" t="str">
        <f t="shared" si="201"/>
        <v>2025-03</v>
      </c>
    </row>
    <row r="6407" spans="1:15" x14ac:dyDescent="0.3">
      <c r="A6407" t="s">
        <v>15063</v>
      </c>
      <c r="B6407" t="s">
        <v>15064</v>
      </c>
      <c r="C6407" t="s">
        <v>125</v>
      </c>
      <c r="D6407" t="s">
        <v>54</v>
      </c>
      <c r="E6407" t="s">
        <v>45</v>
      </c>
      <c r="F6407" t="s">
        <v>55</v>
      </c>
      <c r="G6407">
        <v>12.31</v>
      </c>
      <c r="H6407" t="s">
        <v>128</v>
      </c>
      <c r="I6407" t="s">
        <v>42</v>
      </c>
      <c r="M6407">
        <f>VLOOKUP(H6407,'Stage Order'!$A$2:$B$8,2,FALSE)</f>
        <v>3</v>
      </c>
      <c r="N6407" t="str">
        <f t="shared" si="200"/>
        <v>2. 1-24 hours</v>
      </c>
      <c r="O6407" t="str">
        <f t="shared" si="201"/>
        <v>2026-01</v>
      </c>
    </row>
    <row r="6408" spans="1:15" x14ac:dyDescent="0.3">
      <c r="A6408" t="s">
        <v>15065</v>
      </c>
      <c r="B6408" t="s">
        <v>15066</v>
      </c>
      <c r="C6408" t="s">
        <v>37</v>
      </c>
      <c r="D6408" t="s">
        <v>54</v>
      </c>
      <c r="E6408" t="s">
        <v>59</v>
      </c>
      <c r="F6408" t="s">
        <v>137</v>
      </c>
      <c r="G6408">
        <v>7.03</v>
      </c>
      <c r="H6408" t="s">
        <v>138</v>
      </c>
      <c r="I6408" t="s">
        <v>48</v>
      </c>
      <c r="J6408" t="s">
        <v>742</v>
      </c>
      <c r="K6408">
        <v>557.58000000000004</v>
      </c>
      <c r="L6408" t="s">
        <v>15067</v>
      </c>
      <c r="M6408">
        <f>VLOOKUP(H6408,'Stage Order'!$A$2:$B$8,2,FALSE)</f>
        <v>6</v>
      </c>
      <c r="N6408" t="str">
        <f t="shared" si="200"/>
        <v>2. 1-24 hours</v>
      </c>
      <c r="O6408" t="str">
        <f t="shared" si="201"/>
        <v>2026-05</v>
      </c>
    </row>
    <row r="6409" spans="1:15" x14ac:dyDescent="0.3">
      <c r="A6409" t="s">
        <v>15068</v>
      </c>
      <c r="B6409" t="s">
        <v>15069</v>
      </c>
      <c r="C6409" t="s">
        <v>81</v>
      </c>
      <c r="D6409" t="s">
        <v>29</v>
      </c>
      <c r="E6409" t="s">
        <v>45</v>
      </c>
      <c r="F6409" t="s">
        <v>46</v>
      </c>
      <c r="G6409">
        <v>1.77</v>
      </c>
      <c r="H6409" t="s">
        <v>61</v>
      </c>
      <c r="I6409" t="s">
        <v>42</v>
      </c>
      <c r="M6409">
        <f>VLOOKUP(H6409,'Stage Order'!$A$2:$B$8,2,FALSE)</f>
        <v>1</v>
      </c>
      <c r="N6409" t="str">
        <f t="shared" si="200"/>
        <v>2. 1-24 hours</v>
      </c>
      <c r="O6409" t="str">
        <f t="shared" si="201"/>
        <v>2026-02</v>
      </c>
    </row>
    <row r="6410" spans="1:15" x14ac:dyDescent="0.3">
      <c r="A6410" t="s">
        <v>15070</v>
      </c>
      <c r="B6410" t="s">
        <v>15071</v>
      </c>
      <c r="C6410" t="s">
        <v>37</v>
      </c>
      <c r="D6410" t="s">
        <v>77</v>
      </c>
      <c r="E6410" t="s">
        <v>30</v>
      </c>
      <c r="F6410" t="s">
        <v>82</v>
      </c>
      <c r="G6410">
        <v>3.76</v>
      </c>
      <c r="H6410" t="s">
        <v>128</v>
      </c>
      <c r="I6410" t="s">
        <v>42</v>
      </c>
      <c r="M6410">
        <f>VLOOKUP(H6410,'Stage Order'!$A$2:$B$8,2,FALSE)</f>
        <v>3</v>
      </c>
      <c r="N6410" t="str">
        <f t="shared" si="200"/>
        <v>2. 1-24 hours</v>
      </c>
      <c r="O6410" t="str">
        <f t="shared" si="201"/>
        <v>2025-06</v>
      </c>
    </row>
    <row r="6411" spans="1:15" x14ac:dyDescent="0.3">
      <c r="A6411" t="s">
        <v>15072</v>
      </c>
      <c r="B6411" t="s">
        <v>15073</v>
      </c>
      <c r="C6411" t="s">
        <v>58</v>
      </c>
      <c r="D6411" t="s">
        <v>38</v>
      </c>
      <c r="E6411" t="s">
        <v>45</v>
      </c>
      <c r="F6411" t="s">
        <v>46</v>
      </c>
      <c r="G6411">
        <v>0.81</v>
      </c>
      <c r="H6411" t="s">
        <v>146</v>
      </c>
      <c r="I6411" t="s">
        <v>48</v>
      </c>
      <c r="J6411" t="s">
        <v>113</v>
      </c>
      <c r="K6411">
        <v>293.57</v>
      </c>
      <c r="L6411" t="s">
        <v>15074</v>
      </c>
      <c r="M6411">
        <f>VLOOKUP(H6411,'Stage Order'!$A$2:$B$8,2,FALSE)</f>
        <v>5</v>
      </c>
      <c r="N6411" t="str">
        <f t="shared" si="200"/>
        <v>1. Under 1 hour</v>
      </c>
      <c r="O6411" t="str">
        <f t="shared" si="201"/>
        <v>2025-07</v>
      </c>
    </row>
    <row r="6412" spans="1:15" x14ac:dyDescent="0.3">
      <c r="A6412" t="s">
        <v>15075</v>
      </c>
      <c r="B6412" t="s">
        <v>15076</v>
      </c>
      <c r="C6412" t="s">
        <v>28</v>
      </c>
      <c r="D6412" t="s">
        <v>54</v>
      </c>
      <c r="E6412" t="s">
        <v>45</v>
      </c>
      <c r="F6412" t="s">
        <v>94</v>
      </c>
      <c r="G6412">
        <v>5.89</v>
      </c>
      <c r="H6412" t="s">
        <v>32</v>
      </c>
      <c r="I6412" t="s">
        <v>33</v>
      </c>
      <c r="K6412">
        <v>468.67</v>
      </c>
      <c r="L6412" t="s">
        <v>15077</v>
      </c>
      <c r="M6412">
        <f>VLOOKUP(H6412,'Stage Order'!$A$2:$B$8,2,FALSE)</f>
        <v>7</v>
      </c>
      <c r="N6412" t="str">
        <f t="shared" si="200"/>
        <v>2. 1-24 hours</v>
      </c>
      <c r="O6412" t="str">
        <f t="shared" si="201"/>
        <v>2026-03</v>
      </c>
    </row>
    <row r="6413" spans="1:15" x14ac:dyDescent="0.3">
      <c r="A6413" t="s">
        <v>15078</v>
      </c>
      <c r="B6413" t="s">
        <v>2319</v>
      </c>
      <c r="C6413" t="s">
        <v>125</v>
      </c>
      <c r="D6413" t="s">
        <v>29</v>
      </c>
      <c r="E6413" t="s">
        <v>90</v>
      </c>
      <c r="F6413" t="s">
        <v>91</v>
      </c>
      <c r="G6413">
        <v>1.62</v>
      </c>
      <c r="H6413" t="s">
        <v>61</v>
      </c>
      <c r="I6413" t="s">
        <v>42</v>
      </c>
      <c r="M6413">
        <f>VLOOKUP(H6413,'Stage Order'!$A$2:$B$8,2,FALSE)</f>
        <v>1</v>
      </c>
      <c r="N6413" t="str">
        <f t="shared" si="200"/>
        <v>2. 1-24 hours</v>
      </c>
      <c r="O6413" t="str">
        <f t="shared" si="201"/>
        <v>2025-04</v>
      </c>
    </row>
    <row r="6414" spans="1:15" x14ac:dyDescent="0.3">
      <c r="A6414" t="s">
        <v>15079</v>
      </c>
      <c r="B6414" t="s">
        <v>15080</v>
      </c>
      <c r="C6414" t="s">
        <v>37</v>
      </c>
      <c r="D6414" t="s">
        <v>54</v>
      </c>
      <c r="E6414" t="s">
        <v>45</v>
      </c>
      <c r="F6414" t="s">
        <v>46</v>
      </c>
      <c r="G6414">
        <v>0.82</v>
      </c>
      <c r="H6414" t="s">
        <v>32</v>
      </c>
      <c r="I6414" t="s">
        <v>33</v>
      </c>
      <c r="K6414">
        <v>441.6</v>
      </c>
      <c r="L6414" t="s">
        <v>15081</v>
      </c>
      <c r="M6414">
        <f>VLOOKUP(H6414,'Stage Order'!$A$2:$B$8,2,FALSE)</f>
        <v>7</v>
      </c>
      <c r="N6414" t="str">
        <f t="shared" si="200"/>
        <v>1. Under 1 hour</v>
      </c>
      <c r="O6414" t="str">
        <f t="shared" si="201"/>
        <v>2025-03</v>
      </c>
    </row>
    <row r="6415" spans="1:15" x14ac:dyDescent="0.3">
      <c r="A6415" t="s">
        <v>15082</v>
      </c>
      <c r="B6415" t="s">
        <v>15083</v>
      </c>
      <c r="C6415" t="s">
        <v>28</v>
      </c>
      <c r="D6415" t="s">
        <v>38</v>
      </c>
      <c r="E6415" t="s">
        <v>45</v>
      </c>
      <c r="F6415" t="s">
        <v>46</v>
      </c>
      <c r="G6415">
        <v>3.46</v>
      </c>
      <c r="H6415" t="s">
        <v>32</v>
      </c>
      <c r="I6415" t="s">
        <v>33</v>
      </c>
      <c r="K6415">
        <v>328.35</v>
      </c>
      <c r="L6415" t="s">
        <v>15084</v>
      </c>
      <c r="M6415">
        <f>VLOOKUP(H6415,'Stage Order'!$A$2:$B$8,2,FALSE)</f>
        <v>7</v>
      </c>
      <c r="N6415" t="str">
        <f t="shared" si="200"/>
        <v>2. 1-24 hours</v>
      </c>
      <c r="O6415" t="str">
        <f t="shared" si="201"/>
        <v>2025-06</v>
      </c>
    </row>
    <row r="6416" spans="1:15" x14ac:dyDescent="0.3">
      <c r="A6416" t="s">
        <v>15085</v>
      </c>
      <c r="B6416" t="s">
        <v>15086</v>
      </c>
      <c r="C6416" t="s">
        <v>37</v>
      </c>
      <c r="D6416" t="s">
        <v>54</v>
      </c>
      <c r="E6416" t="s">
        <v>30</v>
      </c>
      <c r="F6416" t="s">
        <v>78</v>
      </c>
      <c r="G6416">
        <v>2.78</v>
      </c>
      <c r="H6416" t="s">
        <v>41</v>
      </c>
      <c r="I6416" t="s">
        <v>42</v>
      </c>
      <c r="M6416">
        <f>VLOOKUP(H6416,'Stage Order'!$A$2:$B$8,2,FALSE)</f>
        <v>2</v>
      </c>
      <c r="N6416" t="str">
        <f t="shared" si="200"/>
        <v>2. 1-24 hours</v>
      </c>
      <c r="O6416" t="str">
        <f t="shared" si="201"/>
        <v>2025-07</v>
      </c>
    </row>
    <row r="6417" spans="1:15" x14ac:dyDescent="0.3">
      <c r="A6417" t="s">
        <v>15087</v>
      </c>
      <c r="B6417" t="s">
        <v>15088</v>
      </c>
      <c r="C6417" t="s">
        <v>37</v>
      </c>
      <c r="D6417" t="s">
        <v>29</v>
      </c>
      <c r="E6417" t="s">
        <v>39</v>
      </c>
      <c r="F6417" t="s">
        <v>106</v>
      </c>
      <c r="G6417">
        <v>1.72</v>
      </c>
      <c r="H6417" t="s">
        <v>41</v>
      </c>
      <c r="I6417" t="s">
        <v>42</v>
      </c>
      <c r="M6417">
        <f>VLOOKUP(H6417,'Stage Order'!$A$2:$B$8,2,FALSE)</f>
        <v>2</v>
      </c>
      <c r="N6417" t="str">
        <f t="shared" si="200"/>
        <v>2. 1-24 hours</v>
      </c>
      <c r="O6417" t="str">
        <f t="shared" si="201"/>
        <v>2025-12</v>
      </c>
    </row>
    <row r="6418" spans="1:15" x14ac:dyDescent="0.3">
      <c r="A6418" t="s">
        <v>15089</v>
      </c>
      <c r="B6418" t="s">
        <v>15090</v>
      </c>
      <c r="C6418" t="s">
        <v>81</v>
      </c>
      <c r="D6418" t="s">
        <v>97</v>
      </c>
      <c r="E6418" t="s">
        <v>30</v>
      </c>
      <c r="F6418" t="s">
        <v>31</v>
      </c>
      <c r="G6418">
        <v>5.28</v>
      </c>
      <c r="H6418" t="s">
        <v>41</v>
      </c>
      <c r="I6418" t="s">
        <v>42</v>
      </c>
      <c r="M6418">
        <f>VLOOKUP(H6418,'Stage Order'!$A$2:$B$8,2,FALSE)</f>
        <v>2</v>
      </c>
      <c r="N6418" t="str">
        <f t="shared" si="200"/>
        <v>2. 1-24 hours</v>
      </c>
      <c r="O6418" t="str">
        <f t="shared" si="201"/>
        <v>2025-08</v>
      </c>
    </row>
    <row r="6419" spans="1:15" x14ac:dyDescent="0.3">
      <c r="A6419" t="s">
        <v>15091</v>
      </c>
      <c r="B6419" t="s">
        <v>15092</v>
      </c>
      <c r="C6419" t="s">
        <v>53</v>
      </c>
      <c r="D6419" t="s">
        <v>54</v>
      </c>
      <c r="E6419" t="s">
        <v>90</v>
      </c>
      <c r="F6419" t="s">
        <v>145</v>
      </c>
      <c r="G6419">
        <v>4.08</v>
      </c>
      <c r="H6419" t="s">
        <v>138</v>
      </c>
      <c r="I6419" t="s">
        <v>48</v>
      </c>
      <c r="J6419" t="s">
        <v>742</v>
      </c>
      <c r="K6419">
        <v>579.67999999999995</v>
      </c>
      <c r="L6419" t="s">
        <v>15093</v>
      </c>
      <c r="M6419">
        <f>VLOOKUP(H6419,'Stage Order'!$A$2:$B$8,2,FALSE)</f>
        <v>6</v>
      </c>
      <c r="N6419" t="str">
        <f t="shared" si="200"/>
        <v>2. 1-24 hours</v>
      </c>
      <c r="O6419" t="str">
        <f t="shared" si="201"/>
        <v>2025-09</v>
      </c>
    </row>
    <row r="6420" spans="1:15" x14ac:dyDescent="0.3">
      <c r="A6420" t="s">
        <v>15094</v>
      </c>
      <c r="B6420" t="s">
        <v>15095</v>
      </c>
      <c r="C6420" t="s">
        <v>125</v>
      </c>
      <c r="D6420" t="s">
        <v>54</v>
      </c>
      <c r="E6420" t="s">
        <v>30</v>
      </c>
      <c r="F6420" t="s">
        <v>82</v>
      </c>
      <c r="G6420">
        <v>3.43</v>
      </c>
      <c r="H6420" t="s">
        <v>61</v>
      </c>
      <c r="I6420" t="s">
        <v>42</v>
      </c>
      <c r="M6420">
        <f>VLOOKUP(H6420,'Stage Order'!$A$2:$B$8,2,FALSE)</f>
        <v>1</v>
      </c>
      <c r="N6420" t="str">
        <f t="shared" si="200"/>
        <v>2. 1-24 hours</v>
      </c>
      <c r="O6420" t="str">
        <f t="shared" si="201"/>
        <v>2025-05</v>
      </c>
    </row>
    <row r="6421" spans="1:15" x14ac:dyDescent="0.3">
      <c r="A6421" t="s">
        <v>15096</v>
      </c>
      <c r="B6421" t="s">
        <v>15097</v>
      </c>
      <c r="C6421" t="s">
        <v>58</v>
      </c>
      <c r="D6421" t="s">
        <v>97</v>
      </c>
      <c r="E6421" t="s">
        <v>90</v>
      </c>
      <c r="F6421" t="s">
        <v>145</v>
      </c>
      <c r="G6421">
        <v>2.96</v>
      </c>
      <c r="H6421" t="s">
        <v>61</v>
      </c>
      <c r="I6421" t="s">
        <v>42</v>
      </c>
      <c r="M6421">
        <f>VLOOKUP(H6421,'Stage Order'!$A$2:$B$8,2,FALSE)</f>
        <v>1</v>
      </c>
      <c r="N6421" t="str">
        <f t="shared" si="200"/>
        <v>2. 1-24 hours</v>
      </c>
      <c r="O6421" t="str">
        <f t="shared" si="201"/>
        <v>2025-10</v>
      </c>
    </row>
    <row r="6422" spans="1:15" x14ac:dyDescent="0.3">
      <c r="A6422" t="s">
        <v>15098</v>
      </c>
      <c r="B6422" t="s">
        <v>15099</v>
      </c>
      <c r="C6422" t="s">
        <v>81</v>
      </c>
      <c r="D6422" t="s">
        <v>54</v>
      </c>
      <c r="E6422" t="s">
        <v>45</v>
      </c>
      <c r="F6422" t="s">
        <v>94</v>
      </c>
      <c r="G6422">
        <v>6.56</v>
      </c>
      <c r="H6422" t="s">
        <v>41</v>
      </c>
      <c r="I6422" t="s">
        <v>42</v>
      </c>
      <c r="M6422">
        <f>VLOOKUP(H6422,'Stage Order'!$A$2:$B$8,2,FALSE)</f>
        <v>2</v>
      </c>
      <c r="N6422" t="str">
        <f t="shared" si="200"/>
        <v>2. 1-24 hours</v>
      </c>
      <c r="O6422" t="str">
        <f t="shared" si="201"/>
        <v>2025-01</v>
      </c>
    </row>
    <row r="6423" spans="1:15" x14ac:dyDescent="0.3">
      <c r="A6423" t="s">
        <v>15100</v>
      </c>
      <c r="B6423" t="s">
        <v>15101</v>
      </c>
      <c r="C6423" t="s">
        <v>81</v>
      </c>
      <c r="D6423" t="s">
        <v>38</v>
      </c>
      <c r="E6423" t="s">
        <v>59</v>
      </c>
      <c r="F6423" t="s">
        <v>137</v>
      </c>
      <c r="G6423">
        <v>2.8</v>
      </c>
      <c r="H6423" t="s">
        <v>61</v>
      </c>
      <c r="I6423" t="s">
        <v>42</v>
      </c>
      <c r="M6423">
        <f>VLOOKUP(H6423,'Stage Order'!$A$2:$B$8,2,FALSE)</f>
        <v>1</v>
      </c>
      <c r="N6423" t="str">
        <f t="shared" si="200"/>
        <v>2. 1-24 hours</v>
      </c>
      <c r="O6423" t="str">
        <f t="shared" si="201"/>
        <v>2026-05</v>
      </c>
    </row>
    <row r="6424" spans="1:15" x14ac:dyDescent="0.3">
      <c r="A6424" t="s">
        <v>15102</v>
      </c>
      <c r="B6424" t="s">
        <v>15103</v>
      </c>
      <c r="C6424" t="s">
        <v>58</v>
      </c>
      <c r="D6424" t="s">
        <v>77</v>
      </c>
      <c r="E6424" t="s">
        <v>45</v>
      </c>
      <c r="F6424" t="s">
        <v>55</v>
      </c>
      <c r="G6424">
        <v>0.88</v>
      </c>
      <c r="H6424" t="s">
        <v>41</v>
      </c>
      <c r="I6424" t="s">
        <v>42</v>
      </c>
      <c r="M6424">
        <f>VLOOKUP(H6424,'Stage Order'!$A$2:$B$8,2,FALSE)</f>
        <v>2</v>
      </c>
      <c r="N6424" t="str">
        <f t="shared" si="200"/>
        <v>1. Under 1 hour</v>
      </c>
      <c r="O6424" t="str">
        <f t="shared" si="201"/>
        <v>2026-02</v>
      </c>
    </row>
    <row r="6425" spans="1:15" x14ac:dyDescent="0.3">
      <c r="A6425" t="s">
        <v>15104</v>
      </c>
      <c r="B6425" t="s">
        <v>15105</v>
      </c>
      <c r="C6425" t="s">
        <v>53</v>
      </c>
      <c r="D6425" t="s">
        <v>38</v>
      </c>
      <c r="E6425" t="s">
        <v>90</v>
      </c>
      <c r="F6425" t="s">
        <v>145</v>
      </c>
      <c r="G6425">
        <v>14.08</v>
      </c>
      <c r="H6425" t="s">
        <v>41</v>
      </c>
      <c r="I6425" t="s">
        <v>42</v>
      </c>
      <c r="M6425">
        <f>VLOOKUP(H6425,'Stage Order'!$A$2:$B$8,2,FALSE)</f>
        <v>2</v>
      </c>
      <c r="N6425" t="str">
        <f t="shared" si="200"/>
        <v>2. 1-24 hours</v>
      </c>
      <c r="O6425" t="str">
        <f t="shared" si="201"/>
        <v>2025-07</v>
      </c>
    </row>
    <row r="6426" spans="1:15" x14ac:dyDescent="0.3">
      <c r="A6426" t="s">
        <v>15106</v>
      </c>
      <c r="B6426" t="s">
        <v>15107</v>
      </c>
      <c r="C6426" t="s">
        <v>37</v>
      </c>
      <c r="D6426" t="s">
        <v>97</v>
      </c>
      <c r="E6426" t="s">
        <v>59</v>
      </c>
      <c r="F6426" t="s">
        <v>117</v>
      </c>
      <c r="G6426">
        <v>2.2599999999999998</v>
      </c>
      <c r="H6426" t="s">
        <v>138</v>
      </c>
      <c r="I6426" t="s">
        <v>48</v>
      </c>
      <c r="J6426" t="s">
        <v>113</v>
      </c>
      <c r="K6426">
        <v>1345.35</v>
      </c>
      <c r="L6426" t="s">
        <v>15108</v>
      </c>
      <c r="M6426">
        <f>VLOOKUP(H6426,'Stage Order'!$A$2:$B$8,2,FALSE)</f>
        <v>6</v>
      </c>
      <c r="N6426" t="str">
        <f t="shared" si="200"/>
        <v>2. 1-24 hours</v>
      </c>
      <c r="O6426" t="str">
        <f t="shared" si="201"/>
        <v>2026-06</v>
      </c>
    </row>
    <row r="6427" spans="1:15" x14ac:dyDescent="0.3">
      <c r="A6427" t="s">
        <v>15109</v>
      </c>
      <c r="B6427" t="s">
        <v>15110</v>
      </c>
      <c r="C6427" t="s">
        <v>28</v>
      </c>
      <c r="D6427" t="s">
        <v>54</v>
      </c>
      <c r="E6427" t="s">
        <v>90</v>
      </c>
      <c r="F6427" t="s">
        <v>112</v>
      </c>
      <c r="G6427">
        <v>3.34</v>
      </c>
      <c r="H6427" t="s">
        <v>146</v>
      </c>
      <c r="I6427" t="s">
        <v>48</v>
      </c>
      <c r="J6427" t="s">
        <v>49</v>
      </c>
      <c r="K6427">
        <v>420.14</v>
      </c>
      <c r="L6427" t="s">
        <v>15111</v>
      </c>
      <c r="M6427">
        <f>VLOOKUP(H6427,'Stage Order'!$A$2:$B$8,2,FALSE)</f>
        <v>5</v>
      </c>
      <c r="N6427" t="str">
        <f t="shared" si="200"/>
        <v>2. 1-24 hours</v>
      </c>
      <c r="O6427" t="str">
        <f t="shared" si="201"/>
        <v>2026-06</v>
      </c>
    </row>
    <row r="6428" spans="1:15" x14ac:dyDescent="0.3">
      <c r="A6428" t="s">
        <v>15112</v>
      </c>
      <c r="B6428" t="s">
        <v>15113</v>
      </c>
      <c r="C6428" t="s">
        <v>37</v>
      </c>
      <c r="D6428" t="s">
        <v>97</v>
      </c>
      <c r="E6428" t="s">
        <v>45</v>
      </c>
      <c r="F6428" t="s">
        <v>94</v>
      </c>
      <c r="G6428">
        <v>4.99</v>
      </c>
      <c r="H6428" t="s">
        <v>41</v>
      </c>
      <c r="I6428" t="s">
        <v>42</v>
      </c>
      <c r="M6428">
        <f>VLOOKUP(H6428,'Stage Order'!$A$2:$B$8,2,FALSE)</f>
        <v>2</v>
      </c>
      <c r="N6428" t="str">
        <f t="shared" si="200"/>
        <v>2. 1-24 hours</v>
      </c>
      <c r="O6428" t="str">
        <f t="shared" si="201"/>
        <v>2025-11</v>
      </c>
    </row>
    <row r="6429" spans="1:15" x14ac:dyDescent="0.3">
      <c r="A6429" t="s">
        <v>15114</v>
      </c>
      <c r="B6429" t="s">
        <v>15115</v>
      </c>
      <c r="C6429" t="s">
        <v>28</v>
      </c>
      <c r="D6429" t="s">
        <v>54</v>
      </c>
      <c r="E6429" t="s">
        <v>59</v>
      </c>
      <c r="F6429" t="s">
        <v>117</v>
      </c>
      <c r="G6429">
        <v>12.26</v>
      </c>
      <c r="H6429" t="s">
        <v>138</v>
      </c>
      <c r="I6429" t="s">
        <v>48</v>
      </c>
      <c r="J6429" t="s">
        <v>139</v>
      </c>
      <c r="K6429">
        <v>558.45000000000005</v>
      </c>
      <c r="L6429" t="s">
        <v>15116</v>
      </c>
      <c r="M6429">
        <f>VLOOKUP(H6429,'Stage Order'!$A$2:$B$8,2,FALSE)</f>
        <v>6</v>
      </c>
      <c r="N6429" t="str">
        <f t="shared" si="200"/>
        <v>2. 1-24 hours</v>
      </c>
      <c r="O6429" t="str">
        <f t="shared" si="201"/>
        <v>2025-06</v>
      </c>
    </row>
    <row r="6430" spans="1:15" x14ac:dyDescent="0.3">
      <c r="A6430" t="s">
        <v>15117</v>
      </c>
      <c r="B6430" t="s">
        <v>15118</v>
      </c>
      <c r="C6430" t="s">
        <v>76</v>
      </c>
      <c r="D6430" t="s">
        <v>97</v>
      </c>
      <c r="E6430" t="s">
        <v>39</v>
      </c>
      <c r="F6430" t="s">
        <v>106</v>
      </c>
      <c r="G6430">
        <v>1.07</v>
      </c>
      <c r="H6430" t="s">
        <v>138</v>
      </c>
      <c r="I6430" t="s">
        <v>48</v>
      </c>
      <c r="J6430" t="s">
        <v>742</v>
      </c>
      <c r="K6430">
        <v>1581.04</v>
      </c>
      <c r="L6430" t="s">
        <v>15119</v>
      </c>
      <c r="M6430">
        <f>VLOOKUP(H6430,'Stage Order'!$A$2:$B$8,2,FALSE)</f>
        <v>6</v>
      </c>
      <c r="N6430" t="str">
        <f t="shared" si="200"/>
        <v>2. 1-24 hours</v>
      </c>
      <c r="O6430" t="str">
        <f t="shared" si="201"/>
        <v>2025-09</v>
      </c>
    </row>
    <row r="6431" spans="1:15" x14ac:dyDescent="0.3">
      <c r="A6431" t="s">
        <v>15120</v>
      </c>
      <c r="B6431" t="s">
        <v>15121</v>
      </c>
      <c r="C6431" t="s">
        <v>53</v>
      </c>
      <c r="D6431" t="s">
        <v>29</v>
      </c>
      <c r="E6431" t="s">
        <v>39</v>
      </c>
      <c r="F6431" t="s">
        <v>106</v>
      </c>
      <c r="G6431">
        <v>2.4900000000000002</v>
      </c>
      <c r="H6431" t="s">
        <v>32</v>
      </c>
      <c r="I6431" t="s">
        <v>33</v>
      </c>
      <c r="K6431">
        <v>662.47</v>
      </c>
      <c r="L6431" t="s">
        <v>15122</v>
      </c>
      <c r="M6431">
        <f>VLOOKUP(H6431,'Stage Order'!$A$2:$B$8,2,FALSE)</f>
        <v>7</v>
      </c>
      <c r="N6431" t="str">
        <f t="shared" si="200"/>
        <v>2. 1-24 hours</v>
      </c>
      <c r="O6431" t="str">
        <f t="shared" si="201"/>
        <v>2025-12</v>
      </c>
    </row>
    <row r="6432" spans="1:15" x14ac:dyDescent="0.3">
      <c r="A6432" t="s">
        <v>15123</v>
      </c>
      <c r="B6432" t="s">
        <v>15124</v>
      </c>
      <c r="C6432" t="s">
        <v>76</v>
      </c>
      <c r="D6432" t="s">
        <v>97</v>
      </c>
      <c r="E6432" t="s">
        <v>90</v>
      </c>
      <c r="F6432" t="s">
        <v>112</v>
      </c>
      <c r="G6432">
        <v>3.33</v>
      </c>
      <c r="H6432" t="s">
        <v>41</v>
      </c>
      <c r="I6432" t="s">
        <v>42</v>
      </c>
      <c r="M6432">
        <f>VLOOKUP(H6432,'Stage Order'!$A$2:$B$8,2,FALSE)</f>
        <v>2</v>
      </c>
      <c r="N6432" t="str">
        <f t="shared" si="200"/>
        <v>2. 1-24 hours</v>
      </c>
      <c r="O6432" t="str">
        <f t="shared" si="201"/>
        <v>2025-01</v>
      </c>
    </row>
    <row r="6433" spans="1:15" x14ac:dyDescent="0.3">
      <c r="A6433" t="s">
        <v>15125</v>
      </c>
      <c r="B6433" t="s">
        <v>15126</v>
      </c>
      <c r="C6433" t="s">
        <v>76</v>
      </c>
      <c r="D6433" t="s">
        <v>54</v>
      </c>
      <c r="E6433" t="s">
        <v>45</v>
      </c>
      <c r="F6433" t="s">
        <v>46</v>
      </c>
      <c r="G6433">
        <v>2.78</v>
      </c>
      <c r="H6433" t="s">
        <v>138</v>
      </c>
      <c r="I6433" t="s">
        <v>48</v>
      </c>
      <c r="J6433" t="s">
        <v>139</v>
      </c>
      <c r="K6433">
        <v>570.62</v>
      </c>
      <c r="L6433" t="s">
        <v>15127</v>
      </c>
      <c r="M6433">
        <f>VLOOKUP(H6433,'Stage Order'!$A$2:$B$8,2,FALSE)</f>
        <v>6</v>
      </c>
      <c r="N6433" t="str">
        <f t="shared" si="200"/>
        <v>2. 1-24 hours</v>
      </c>
      <c r="O6433" t="str">
        <f t="shared" si="201"/>
        <v>2025-03</v>
      </c>
    </row>
    <row r="6434" spans="1:15" x14ac:dyDescent="0.3">
      <c r="A6434" t="s">
        <v>15128</v>
      </c>
      <c r="B6434" t="s">
        <v>15129</v>
      </c>
      <c r="C6434" t="s">
        <v>37</v>
      </c>
      <c r="D6434" t="s">
        <v>29</v>
      </c>
      <c r="E6434" t="s">
        <v>45</v>
      </c>
      <c r="F6434" t="s">
        <v>55</v>
      </c>
      <c r="G6434">
        <v>2.21</v>
      </c>
      <c r="H6434" t="s">
        <v>61</v>
      </c>
      <c r="I6434" t="s">
        <v>42</v>
      </c>
      <c r="M6434">
        <f>VLOOKUP(H6434,'Stage Order'!$A$2:$B$8,2,FALSE)</f>
        <v>1</v>
      </c>
      <c r="N6434" t="str">
        <f t="shared" si="200"/>
        <v>2. 1-24 hours</v>
      </c>
      <c r="O6434" t="str">
        <f t="shared" si="201"/>
        <v>2025-05</v>
      </c>
    </row>
    <row r="6435" spans="1:15" x14ac:dyDescent="0.3">
      <c r="A6435" t="s">
        <v>15130</v>
      </c>
      <c r="B6435" t="s">
        <v>15131</v>
      </c>
      <c r="C6435" t="s">
        <v>58</v>
      </c>
      <c r="D6435" t="s">
        <v>38</v>
      </c>
      <c r="E6435" t="s">
        <v>39</v>
      </c>
      <c r="F6435" t="s">
        <v>66</v>
      </c>
      <c r="G6435">
        <v>15.46</v>
      </c>
      <c r="H6435" t="s">
        <v>41</v>
      </c>
      <c r="I6435" t="s">
        <v>42</v>
      </c>
      <c r="M6435">
        <f>VLOOKUP(H6435,'Stage Order'!$A$2:$B$8,2,FALSE)</f>
        <v>2</v>
      </c>
      <c r="N6435" t="str">
        <f t="shared" si="200"/>
        <v>2. 1-24 hours</v>
      </c>
      <c r="O6435" t="str">
        <f t="shared" si="201"/>
        <v>2026-05</v>
      </c>
    </row>
    <row r="6436" spans="1:15" x14ac:dyDescent="0.3">
      <c r="A6436" t="s">
        <v>15132</v>
      </c>
      <c r="B6436" t="s">
        <v>15133</v>
      </c>
      <c r="C6436" t="s">
        <v>37</v>
      </c>
      <c r="D6436" t="s">
        <v>54</v>
      </c>
      <c r="E6436" t="s">
        <v>59</v>
      </c>
      <c r="F6436" t="s">
        <v>117</v>
      </c>
      <c r="G6436">
        <v>1.42</v>
      </c>
      <c r="H6436" t="s">
        <v>61</v>
      </c>
      <c r="I6436" t="s">
        <v>42</v>
      </c>
      <c r="M6436">
        <f>VLOOKUP(H6436,'Stage Order'!$A$2:$B$8,2,FALSE)</f>
        <v>1</v>
      </c>
      <c r="N6436" t="str">
        <f t="shared" si="200"/>
        <v>2. 1-24 hours</v>
      </c>
      <c r="O6436" t="str">
        <f t="shared" si="201"/>
        <v>2026-05</v>
      </c>
    </row>
    <row r="6437" spans="1:15" x14ac:dyDescent="0.3">
      <c r="A6437" t="s">
        <v>15134</v>
      </c>
      <c r="B6437" t="s">
        <v>15135</v>
      </c>
      <c r="C6437" t="s">
        <v>53</v>
      </c>
      <c r="D6437" t="s">
        <v>54</v>
      </c>
      <c r="E6437" t="s">
        <v>39</v>
      </c>
      <c r="F6437" t="s">
        <v>106</v>
      </c>
      <c r="G6437">
        <v>2.5299999999999998</v>
      </c>
      <c r="H6437" t="s">
        <v>138</v>
      </c>
      <c r="I6437" t="s">
        <v>48</v>
      </c>
      <c r="J6437" t="s">
        <v>113</v>
      </c>
      <c r="K6437">
        <v>498.87</v>
      </c>
      <c r="L6437" t="s">
        <v>15136</v>
      </c>
      <c r="M6437">
        <f>VLOOKUP(H6437,'Stage Order'!$A$2:$B$8,2,FALSE)</f>
        <v>6</v>
      </c>
      <c r="N6437" t="str">
        <f t="shared" si="200"/>
        <v>2. 1-24 hours</v>
      </c>
      <c r="O6437" t="str">
        <f t="shared" si="201"/>
        <v>2025-08</v>
      </c>
    </row>
    <row r="6438" spans="1:15" x14ac:dyDescent="0.3">
      <c r="A6438" t="s">
        <v>15137</v>
      </c>
      <c r="B6438" t="s">
        <v>15138</v>
      </c>
      <c r="C6438" t="s">
        <v>58</v>
      </c>
      <c r="D6438" t="s">
        <v>77</v>
      </c>
      <c r="E6438" t="s">
        <v>45</v>
      </c>
      <c r="F6438" t="s">
        <v>94</v>
      </c>
      <c r="G6438">
        <v>3.49</v>
      </c>
      <c r="H6438" t="s">
        <v>41</v>
      </c>
      <c r="I6438" t="s">
        <v>42</v>
      </c>
      <c r="M6438">
        <f>VLOOKUP(H6438,'Stage Order'!$A$2:$B$8,2,FALSE)</f>
        <v>2</v>
      </c>
      <c r="N6438" t="str">
        <f t="shared" si="200"/>
        <v>2. 1-24 hours</v>
      </c>
      <c r="O6438" t="str">
        <f t="shared" si="201"/>
        <v>2026-03</v>
      </c>
    </row>
    <row r="6439" spans="1:15" x14ac:dyDescent="0.3">
      <c r="A6439" t="s">
        <v>15139</v>
      </c>
      <c r="B6439" t="s">
        <v>15140</v>
      </c>
      <c r="C6439" t="s">
        <v>37</v>
      </c>
      <c r="D6439" t="s">
        <v>77</v>
      </c>
      <c r="E6439" t="s">
        <v>90</v>
      </c>
      <c r="F6439" t="s">
        <v>91</v>
      </c>
      <c r="G6439">
        <v>3</v>
      </c>
      <c r="H6439" t="s">
        <v>61</v>
      </c>
      <c r="I6439" t="s">
        <v>42</v>
      </c>
      <c r="M6439">
        <f>VLOOKUP(H6439,'Stage Order'!$A$2:$B$8,2,FALSE)</f>
        <v>1</v>
      </c>
      <c r="N6439" t="str">
        <f t="shared" si="200"/>
        <v>2. 1-24 hours</v>
      </c>
      <c r="O6439" t="str">
        <f t="shared" si="201"/>
        <v>2026-06</v>
      </c>
    </row>
    <row r="6440" spans="1:15" x14ac:dyDescent="0.3">
      <c r="A6440" t="s">
        <v>15141</v>
      </c>
      <c r="B6440" t="s">
        <v>15142</v>
      </c>
      <c r="C6440" t="s">
        <v>81</v>
      </c>
      <c r="D6440" t="s">
        <v>29</v>
      </c>
      <c r="E6440" t="s">
        <v>45</v>
      </c>
      <c r="F6440" t="s">
        <v>46</v>
      </c>
      <c r="G6440">
        <v>2.9</v>
      </c>
      <c r="H6440" t="s">
        <v>61</v>
      </c>
      <c r="I6440" t="s">
        <v>42</v>
      </c>
      <c r="M6440">
        <f>VLOOKUP(H6440,'Stage Order'!$A$2:$B$8,2,FALSE)</f>
        <v>1</v>
      </c>
      <c r="N6440" t="str">
        <f t="shared" si="200"/>
        <v>2. 1-24 hours</v>
      </c>
      <c r="O6440" t="str">
        <f t="shared" si="201"/>
        <v>2026-04</v>
      </c>
    </row>
    <row r="6441" spans="1:15" x14ac:dyDescent="0.3">
      <c r="A6441" t="s">
        <v>15143</v>
      </c>
      <c r="B6441" t="s">
        <v>15144</v>
      </c>
      <c r="C6441" t="s">
        <v>76</v>
      </c>
      <c r="D6441" t="s">
        <v>54</v>
      </c>
      <c r="E6441" t="s">
        <v>90</v>
      </c>
      <c r="F6441" t="s">
        <v>91</v>
      </c>
      <c r="G6441">
        <v>3.27</v>
      </c>
      <c r="H6441" t="s">
        <v>146</v>
      </c>
      <c r="I6441" t="s">
        <v>48</v>
      </c>
      <c r="J6441" t="s">
        <v>139</v>
      </c>
      <c r="K6441">
        <v>562.19000000000005</v>
      </c>
      <c r="L6441" t="s">
        <v>15145</v>
      </c>
      <c r="M6441">
        <f>VLOOKUP(H6441,'Stage Order'!$A$2:$B$8,2,FALSE)</f>
        <v>5</v>
      </c>
      <c r="N6441" t="str">
        <f t="shared" si="200"/>
        <v>2. 1-24 hours</v>
      </c>
      <c r="O6441" t="str">
        <f t="shared" si="201"/>
        <v>2025-11</v>
      </c>
    </row>
    <row r="6442" spans="1:15" x14ac:dyDescent="0.3">
      <c r="A6442" t="s">
        <v>15146</v>
      </c>
      <c r="B6442" t="s">
        <v>15147</v>
      </c>
      <c r="C6442" t="s">
        <v>37</v>
      </c>
      <c r="D6442" t="s">
        <v>38</v>
      </c>
      <c r="E6442" t="s">
        <v>45</v>
      </c>
      <c r="F6442" t="s">
        <v>55</v>
      </c>
      <c r="G6442">
        <v>4.9400000000000004</v>
      </c>
      <c r="H6442" t="s">
        <v>138</v>
      </c>
      <c r="I6442" t="s">
        <v>48</v>
      </c>
      <c r="J6442" t="s">
        <v>113</v>
      </c>
      <c r="K6442">
        <v>292.54000000000002</v>
      </c>
      <c r="L6442" t="s">
        <v>15148</v>
      </c>
      <c r="M6442">
        <f>VLOOKUP(H6442,'Stage Order'!$A$2:$B$8,2,FALSE)</f>
        <v>6</v>
      </c>
      <c r="N6442" t="str">
        <f t="shared" si="200"/>
        <v>2. 1-24 hours</v>
      </c>
      <c r="O6442" t="str">
        <f t="shared" si="201"/>
        <v>2025-11</v>
      </c>
    </row>
    <row r="6443" spans="1:15" x14ac:dyDescent="0.3">
      <c r="A6443" t="s">
        <v>15149</v>
      </c>
      <c r="B6443" t="s">
        <v>15150</v>
      </c>
      <c r="C6443" t="s">
        <v>53</v>
      </c>
      <c r="D6443" t="s">
        <v>77</v>
      </c>
      <c r="E6443" t="s">
        <v>39</v>
      </c>
      <c r="F6443" t="s">
        <v>106</v>
      </c>
      <c r="G6443">
        <v>4.91</v>
      </c>
      <c r="H6443" t="s">
        <v>41</v>
      </c>
      <c r="I6443" t="s">
        <v>42</v>
      </c>
      <c r="M6443">
        <f>VLOOKUP(H6443,'Stage Order'!$A$2:$B$8,2,FALSE)</f>
        <v>2</v>
      </c>
      <c r="N6443" t="str">
        <f t="shared" si="200"/>
        <v>2. 1-24 hours</v>
      </c>
      <c r="O6443" t="str">
        <f t="shared" si="201"/>
        <v>2025-07</v>
      </c>
    </row>
    <row r="6444" spans="1:15" x14ac:dyDescent="0.3">
      <c r="A6444" t="s">
        <v>15151</v>
      </c>
      <c r="B6444" t="s">
        <v>15152</v>
      </c>
      <c r="C6444" t="s">
        <v>81</v>
      </c>
      <c r="D6444" t="s">
        <v>38</v>
      </c>
      <c r="E6444" t="s">
        <v>30</v>
      </c>
      <c r="F6444" t="s">
        <v>82</v>
      </c>
      <c r="G6444">
        <v>3.92</v>
      </c>
      <c r="H6444" t="s">
        <v>41</v>
      </c>
      <c r="I6444" t="s">
        <v>42</v>
      </c>
      <c r="M6444">
        <f>VLOOKUP(H6444,'Stage Order'!$A$2:$B$8,2,FALSE)</f>
        <v>2</v>
      </c>
      <c r="N6444" t="str">
        <f t="shared" si="200"/>
        <v>2. 1-24 hours</v>
      </c>
      <c r="O6444" t="str">
        <f t="shared" si="201"/>
        <v>2025-12</v>
      </c>
    </row>
    <row r="6445" spans="1:15" x14ac:dyDescent="0.3">
      <c r="A6445" t="s">
        <v>15153</v>
      </c>
      <c r="B6445" t="s">
        <v>15154</v>
      </c>
      <c r="C6445" t="s">
        <v>58</v>
      </c>
      <c r="D6445" t="s">
        <v>29</v>
      </c>
      <c r="E6445" t="s">
        <v>59</v>
      </c>
      <c r="F6445" t="s">
        <v>137</v>
      </c>
      <c r="G6445">
        <v>9.9600000000000009</v>
      </c>
      <c r="H6445" t="s">
        <v>61</v>
      </c>
      <c r="I6445" t="s">
        <v>42</v>
      </c>
      <c r="M6445">
        <f>VLOOKUP(H6445,'Stage Order'!$A$2:$B$8,2,FALSE)</f>
        <v>1</v>
      </c>
      <c r="N6445" t="str">
        <f t="shared" si="200"/>
        <v>2. 1-24 hours</v>
      </c>
      <c r="O6445" t="str">
        <f t="shared" si="201"/>
        <v>2025-05</v>
      </c>
    </row>
    <row r="6446" spans="1:15" x14ac:dyDescent="0.3">
      <c r="A6446" t="s">
        <v>15155</v>
      </c>
      <c r="B6446" t="s">
        <v>15156</v>
      </c>
      <c r="C6446" t="s">
        <v>76</v>
      </c>
      <c r="D6446" t="s">
        <v>54</v>
      </c>
      <c r="E6446" t="s">
        <v>59</v>
      </c>
      <c r="F6446" t="s">
        <v>137</v>
      </c>
      <c r="G6446">
        <v>2.67</v>
      </c>
      <c r="H6446" t="s">
        <v>41</v>
      </c>
      <c r="I6446" t="s">
        <v>42</v>
      </c>
      <c r="M6446">
        <f>VLOOKUP(H6446,'Stage Order'!$A$2:$B$8,2,FALSE)</f>
        <v>2</v>
      </c>
      <c r="N6446" t="str">
        <f t="shared" si="200"/>
        <v>2. 1-24 hours</v>
      </c>
      <c r="O6446" t="str">
        <f t="shared" si="201"/>
        <v>2025-10</v>
      </c>
    </row>
    <row r="6447" spans="1:15" x14ac:dyDescent="0.3">
      <c r="A6447" t="s">
        <v>15157</v>
      </c>
      <c r="B6447" t="s">
        <v>15158</v>
      </c>
      <c r="C6447" t="s">
        <v>81</v>
      </c>
      <c r="D6447" t="s">
        <v>54</v>
      </c>
      <c r="E6447" t="s">
        <v>39</v>
      </c>
      <c r="F6447" t="s">
        <v>66</v>
      </c>
      <c r="G6447">
        <v>7.19</v>
      </c>
      <c r="H6447" t="s">
        <v>41</v>
      </c>
      <c r="I6447" t="s">
        <v>42</v>
      </c>
      <c r="M6447">
        <f>VLOOKUP(H6447,'Stage Order'!$A$2:$B$8,2,FALSE)</f>
        <v>2</v>
      </c>
      <c r="N6447" t="str">
        <f t="shared" si="200"/>
        <v>2. 1-24 hours</v>
      </c>
      <c r="O6447" t="str">
        <f t="shared" si="201"/>
        <v>2026-06</v>
      </c>
    </row>
    <row r="6448" spans="1:15" x14ac:dyDescent="0.3">
      <c r="A6448" t="s">
        <v>15159</v>
      </c>
      <c r="B6448" t="s">
        <v>15160</v>
      </c>
      <c r="C6448" t="s">
        <v>76</v>
      </c>
      <c r="D6448" t="s">
        <v>54</v>
      </c>
      <c r="E6448" t="s">
        <v>39</v>
      </c>
      <c r="F6448" t="s">
        <v>40</v>
      </c>
      <c r="G6448">
        <v>0.84</v>
      </c>
      <c r="H6448" t="s">
        <v>41</v>
      </c>
      <c r="I6448" t="s">
        <v>42</v>
      </c>
      <c r="M6448">
        <f>VLOOKUP(H6448,'Stage Order'!$A$2:$B$8,2,FALSE)</f>
        <v>2</v>
      </c>
      <c r="N6448" t="str">
        <f t="shared" si="200"/>
        <v>1. Under 1 hour</v>
      </c>
      <c r="O6448" t="str">
        <f t="shared" si="201"/>
        <v>2025-01</v>
      </c>
    </row>
    <row r="6449" spans="1:15" x14ac:dyDescent="0.3">
      <c r="A6449" t="s">
        <v>15161</v>
      </c>
      <c r="B6449" t="s">
        <v>15162</v>
      </c>
      <c r="C6449" t="s">
        <v>37</v>
      </c>
      <c r="D6449" t="s">
        <v>77</v>
      </c>
      <c r="E6449" t="s">
        <v>45</v>
      </c>
      <c r="F6449" t="s">
        <v>55</v>
      </c>
      <c r="G6449">
        <v>2.37</v>
      </c>
      <c r="H6449" t="s">
        <v>47</v>
      </c>
      <c r="I6449" t="s">
        <v>48</v>
      </c>
      <c r="J6449" t="s">
        <v>742</v>
      </c>
      <c r="K6449">
        <v>946.53</v>
      </c>
      <c r="L6449" t="s">
        <v>15163</v>
      </c>
      <c r="M6449">
        <f>VLOOKUP(H6449,'Stage Order'!$A$2:$B$8,2,FALSE)</f>
        <v>4</v>
      </c>
      <c r="N6449" t="str">
        <f t="shared" si="200"/>
        <v>2. 1-24 hours</v>
      </c>
      <c r="O6449" t="str">
        <f t="shared" si="201"/>
        <v>2026-02</v>
      </c>
    </row>
    <row r="6450" spans="1:15" x14ac:dyDescent="0.3">
      <c r="A6450" t="s">
        <v>15164</v>
      </c>
      <c r="B6450" t="s">
        <v>15165</v>
      </c>
      <c r="C6450" t="s">
        <v>125</v>
      </c>
      <c r="D6450" t="s">
        <v>97</v>
      </c>
      <c r="E6450" t="s">
        <v>59</v>
      </c>
      <c r="F6450" t="s">
        <v>137</v>
      </c>
      <c r="G6450">
        <v>5.72</v>
      </c>
      <c r="H6450" t="s">
        <v>41</v>
      </c>
      <c r="I6450" t="s">
        <v>42</v>
      </c>
      <c r="M6450">
        <f>VLOOKUP(H6450,'Stage Order'!$A$2:$B$8,2,FALSE)</f>
        <v>2</v>
      </c>
      <c r="N6450" t="str">
        <f t="shared" si="200"/>
        <v>2. 1-24 hours</v>
      </c>
      <c r="O6450" t="str">
        <f t="shared" si="201"/>
        <v>2025-02</v>
      </c>
    </row>
    <row r="6451" spans="1:15" x14ac:dyDescent="0.3">
      <c r="A6451" t="s">
        <v>15166</v>
      </c>
      <c r="B6451" t="s">
        <v>15167</v>
      </c>
      <c r="C6451" t="s">
        <v>125</v>
      </c>
      <c r="D6451" t="s">
        <v>77</v>
      </c>
      <c r="E6451" t="s">
        <v>59</v>
      </c>
      <c r="F6451" t="s">
        <v>60</v>
      </c>
      <c r="G6451">
        <v>4.83</v>
      </c>
      <c r="H6451" t="s">
        <v>61</v>
      </c>
      <c r="I6451" t="s">
        <v>42</v>
      </c>
      <c r="M6451">
        <f>VLOOKUP(H6451,'Stage Order'!$A$2:$B$8,2,FALSE)</f>
        <v>1</v>
      </c>
      <c r="N6451" t="str">
        <f t="shared" si="200"/>
        <v>2. 1-24 hours</v>
      </c>
      <c r="O6451" t="str">
        <f t="shared" si="201"/>
        <v>2025-07</v>
      </c>
    </row>
    <row r="6452" spans="1:15" x14ac:dyDescent="0.3">
      <c r="A6452" t="s">
        <v>15168</v>
      </c>
      <c r="B6452" t="s">
        <v>15169</v>
      </c>
      <c r="C6452" t="s">
        <v>37</v>
      </c>
      <c r="D6452" t="s">
        <v>54</v>
      </c>
      <c r="E6452" t="s">
        <v>39</v>
      </c>
      <c r="F6452" t="s">
        <v>66</v>
      </c>
      <c r="G6452">
        <v>5.0599999999999996</v>
      </c>
      <c r="H6452" t="s">
        <v>41</v>
      </c>
      <c r="I6452" t="s">
        <v>42</v>
      </c>
      <c r="M6452">
        <f>VLOOKUP(H6452,'Stage Order'!$A$2:$B$8,2,FALSE)</f>
        <v>2</v>
      </c>
      <c r="N6452" t="str">
        <f t="shared" si="200"/>
        <v>2. 1-24 hours</v>
      </c>
      <c r="O6452" t="str">
        <f t="shared" si="201"/>
        <v>2025-05</v>
      </c>
    </row>
    <row r="6453" spans="1:15" x14ac:dyDescent="0.3">
      <c r="A6453" t="s">
        <v>15170</v>
      </c>
      <c r="B6453" t="s">
        <v>15171</v>
      </c>
      <c r="C6453" t="s">
        <v>28</v>
      </c>
      <c r="D6453" t="s">
        <v>97</v>
      </c>
      <c r="E6453" t="s">
        <v>59</v>
      </c>
      <c r="F6453" t="s">
        <v>117</v>
      </c>
      <c r="G6453">
        <v>2.34</v>
      </c>
      <c r="H6453" t="s">
        <v>32</v>
      </c>
      <c r="I6453" t="s">
        <v>33</v>
      </c>
      <c r="K6453">
        <v>1456.54</v>
      </c>
      <c r="L6453" t="s">
        <v>15172</v>
      </c>
      <c r="M6453">
        <f>VLOOKUP(H6453,'Stage Order'!$A$2:$B$8,2,FALSE)</f>
        <v>7</v>
      </c>
      <c r="N6453" t="str">
        <f t="shared" si="200"/>
        <v>2. 1-24 hours</v>
      </c>
      <c r="O6453" t="str">
        <f t="shared" si="201"/>
        <v>2025-05</v>
      </c>
    </row>
    <row r="6454" spans="1:15" x14ac:dyDescent="0.3">
      <c r="A6454" t="s">
        <v>15173</v>
      </c>
      <c r="B6454" t="s">
        <v>15174</v>
      </c>
      <c r="C6454" t="s">
        <v>125</v>
      </c>
      <c r="D6454" t="s">
        <v>38</v>
      </c>
      <c r="E6454" t="s">
        <v>30</v>
      </c>
      <c r="F6454" t="s">
        <v>82</v>
      </c>
      <c r="G6454">
        <v>3.39</v>
      </c>
      <c r="H6454" t="s">
        <v>61</v>
      </c>
      <c r="I6454" t="s">
        <v>42</v>
      </c>
      <c r="M6454">
        <f>VLOOKUP(H6454,'Stage Order'!$A$2:$B$8,2,FALSE)</f>
        <v>1</v>
      </c>
      <c r="N6454" t="str">
        <f t="shared" si="200"/>
        <v>2. 1-24 hours</v>
      </c>
      <c r="O6454" t="str">
        <f t="shared" si="201"/>
        <v>2026-02</v>
      </c>
    </row>
    <row r="6455" spans="1:15" x14ac:dyDescent="0.3">
      <c r="A6455" t="s">
        <v>15175</v>
      </c>
      <c r="B6455" t="s">
        <v>15176</v>
      </c>
      <c r="C6455" t="s">
        <v>28</v>
      </c>
      <c r="D6455" t="s">
        <v>77</v>
      </c>
      <c r="E6455" t="s">
        <v>45</v>
      </c>
      <c r="F6455" t="s">
        <v>94</v>
      </c>
      <c r="G6455">
        <v>8.64</v>
      </c>
      <c r="H6455" t="s">
        <v>146</v>
      </c>
      <c r="I6455" t="s">
        <v>48</v>
      </c>
      <c r="J6455" t="s">
        <v>49</v>
      </c>
      <c r="K6455">
        <v>886.77</v>
      </c>
      <c r="L6455" t="s">
        <v>15177</v>
      </c>
      <c r="M6455">
        <f>VLOOKUP(H6455,'Stage Order'!$A$2:$B$8,2,FALSE)</f>
        <v>5</v>
      </c>
      <c r="N6455" t="str">
        <f t="shared" si="200"/>
        <v>2. 1-24 hours</v>
      </c>
      <c r="O6455" t="str">
        <f t="shared" si="201"/>
        <v>2025-01</v>
      </c>
    </row>
    <row r="6456" spans="1:15" x14ac:dyDescent="0.3">
      <c r="A6456" t="s">
        <v>15178</v>
      </c>
      <c r="B6456" t="s">
        <v>15179</v>
      </c>
      <c r="C6456" t="s">
        <v>37</v>
      </c>
      <c r="D6456" t="s">
        <v>54</v>
      </c>
      <c r="E6456" t="s">
        <v>90</v>
      </c>
      <c r="F6456" t="s">
        <v>145</v>
      </c>
      <c r="G6456">
        <v>5.0999999999999996</v>
      </c>
      <c r="H6456" t="s">
        <v>61</v>
      </c>
      <c r="I6456" t="s">
        <v>42</v>
      </c>
      <c r="M6456">
        <f>VLOOKUP(H6456,'Stage Order'!$A$2:$B$8,2,FALSE)</f>
        <v>1</v>
      </c>
      <c r="N6456" t="str">
        <f t="shared" si="200"/>
        <v>2. 1-24 hours</v>
      </c>
      <c r="O6456" t="str">
        <f t="shared" si="201"/>
        <v>2026-01</v>
      </c>
    </row>
    <row r="6457" spans="1:15" x14ac:dyDescent="0.3">
      <c r="A6457" t="s">
        <v>15180</v>
      </c>
      <c r="B6457" t="s">
        <v>15181</v>
      </c>
      <c r="C6457" t="s">
        <v>37</v>
      </c>
      <c r="D6457" t="s">
        <v>97</v>
      </c>
      <c r="E6457" t="s">
        <v>59</v>
      </c>
      <c r="F6457" t="s">
        <v>60</v>
      </c>
      <c r="G6457">
        <v>2.2000000000000002</v>
      </c>
      <c r="H6457" t="s">
        <v>41</v>
      </c>
      <c r="I6457" t="s">
        <v>42</v>
      </c>
      <c r="M6457">
        <f>VLOOKUP(H6457,'Stage Order'!$A$2:$B$8,2,FALSE)</f>
        <v>2</v>
      </c>
      <c r="N6457" t="str">
        <f t="shared" si="200"/>
        <v>2. 1-24 hours</v>
      </c>
      <c r="O6457" t="str">
        <f t="shared" si="201"/>
        <v>2026-01</v>
      </c>
    </row>
    <row r="6458" spans="1:15" x14ac:dyDescent="0.3">
      <c r="A6458" t="s">
        <v>15182</v>
      </c>
      <c r="B6458" t="s">
        <v>15183</v>
      </c>
      <c r="C6458" t="s">
        <v>81</v>
      </c>
      <c r="D6458" t="s">
        <v>77</v>
      </c>
      <c r="E6458" t="s">
        <v>45</v>
      </c>
      <c r="F6458" t="s">
        <v>94</v>
      </c>
      <c r="G6458">
        <v>0.97</v>
      </c>
      <c r="H6458" t="s">
        <v>41</v>
      </c>
      <c r="I6458" t="s">
        <v>42</v>
      </c>
      <c r="M6458">
        <f>VLOOKUP(H6458,'Stage Order'!$A$2:$B$8,2,FALSE)</f>
        <v>2</v>
      </c>
      <c r="N6458" t="str">
        <f t="shared" si="200"/>
        <v>1. Under 1 hour</v>
      </c>
      <c r="O6458" t="str">
        <f t="shared" si="201"/>
        <v>2025-08</v>
      </c>
    </row>
    <row r="6459" spans="1:15" x14ac:dyDescent="0.3">
      <c r="A6459" t="s">
        <v>15184</v>
      </c>
      <c r="B6459" t="s">
        <v>15185</v>
      </c>
      <c r="C6459" t="s">
        <v>58</v>
      </c>
      <c r="D6459" t="s">
        <v>54</v>
      </c>
      <c r="E6459" t="s">
        <v>90</v>
      </c>
      <c r="F6459" t="s">
        <v>112</v>
      </c>
      <c r="G6459">
        <v>1.72</v>
      </c>
      <c r="H6459" t="s">
        <v>61</v>
      </c>
      <c r="I6459" t="s">
        <v>42</v>
      </c>
      <c r="M6459">
        <f>VLOOKUP(H6459,'Stage Order'!$A$2:$B$8,2,FALSE)</f>
        <v>1</v>
      </c>
      <c r="N6459" t="str">
        <f t="shared" si="200"/>
        <v>2. 1-24 hours</v>
      </c>
      <c r="O6459" t="str">
        <f t="shared" si="201"/>
        <v>2026-01</v>
      </c>
    </row>
    <row r="6460" spans="1:15" x14ac:dyDescent="0.3">
      <c r="A6460" t="s">
        <v>15186</v>
      </c>
      <c r="B6460" t="s">
        <v>15187</v>
      </c>
      <c r="C6460" t="s">
        <v>28</v>
      </c>
      <c r="D6460" t="s">
        <v>54</v>
      </c>
      <c r="E6460" t="s">
        <v>39</v>
      </c>
      <c r="F6460" t="s">
        <v>66</v>
      </c>
      <c r="G6460">
        <v>3.57</v>
      </c>
      <c r="H6460" t="s">
        <v>41</v>
      </c>
      <c r="I6460" t="s">
        <v>42</v>
      </c>
      <c r="M6460">
        <f>VLOOKUP(H6460,'Stage Order'!$A$2:$B$8,2,FALSE)</f>
        <v>2</v>
      </c>
      <c r="N6460" t="str">
        <f t="shared" si="200"/>
        <v>2. 1-24 hours</v>
      </c>
      <c r="O6460" t="str">
        <f t="shared" si="201"/>
        <v>2025-01</v>
      </c>
    </row>
    <row r="6461" spans="1:15" x14ac:dyDescent="0.3">
      <c r="A6461" t="s">
        <v>15188</v>
      </c>
      <c r="B6461" t="s">
        <v>15189</v>
      </c>
      <c r="C6461" t="s">
        <v>125</v>
      </c>
      <c r="D6461" t="s">
        <v>54</v>
      </c>
      <c r="E6461" t="s">
        <v>90</v>
      </c>
      <c r="F6461" t="s">
        <v>145</v>
      </c>
      <c r="G6461">
        <v>2.48</v>
      </c>
      <c r="H6461" t="s">
        <v>47</v>
      </c>
      <c r="I6461" t="s">
        <v>48</v>
      </c>
      <c r="J6461" t="s">
        <v>139</v>
      </c>
      <c r="K6461">
        <v>471.3</v>
      </c>
      <c r="L6461" t="s">
        <v>15190</v>
      </c>
      <c r="M6461">
        <f>VLOOKUP(H6461,'Stage Order'!$A$2:$B$8,2,FALSE)</f>
        <v>4</v>
      </c>
      <c r="N6461" t="str">
        <f t="shared" si="200"/>
        <v>2. 1-24 hours</v>
      </c>
      <c r="O6461" t="str">
        <f t="shared" si="201"/>
        <v>2025-09</v>
      </c>
    </row>
    <row r="6462" spans="1:15" x14ac:dyDescent="0.3">
      <c r="A6462" t="s">
        <v>15191</v>
      </c>
      <c r="B6462" t="s">
        <v>15192</v>
      </c>
      <c r="C6462" t="s">
        <v>58</v>
      </c>
      <c r="D6462" t="s">
        <v>54</v>
      </c>
      <c r="E6462" t="s">
        <v>45</v>
      </c>
      <c r="F6462" t="s">
        <v>46</v>
      </c>
      <c r="G6462">
        <v>10.4</v>
      </c>
      <c r="H6462" t="s">
        <v>41</v>
      </c>
      <c r="I6462" t="s">
        <v>42</v>
      </c>
      <c r="M6462">
        <f>VLOOKUP(H6462,'Stage Order'!$A$2:$B$8,2,FALSE)</f>
        <v>2</v>
      </c>
      <c r="N6462" t="str">
        <f t="shared" si="200"/>
        <v>2. 1-24 hours</v>
      </c>
      <c r="O6462" t="str">
        <f t="shared" si="201"/>
        <v>2025-04</v>
      </c>
    </row>
    <row r="6463" spans="1:15" x14ac:dyDescent="0.3">
      <c r="A6463" t="s">
        <v>15193</v>
      </c>
      <c r="B6463" t="s">
        <v>15194</v>
      </c>
      <c r="C6463" t="s">
        <v>58</v>
      </c>
      <c r="D6463" t="s">
        <v>54</v>
      </c>
      <c r="E6463" t="s">
        <v>39</v>
      </c>
      <c r="F6463" t="s">
        <v>66</v>
      </c>
      <c r="G6463">
        <v>7.28</v>
      </c>
      <c r="H6463" t="s">
        <v>41</v>
      </c>
      <c r="I6463" t="s">
        <v>42</v>
      </c>
      <c r="M6463">
        <f>VLOOKUP(H6463,'Stage Order'!$A$2:$B$8,2,FALSE)</f>
        <v>2</v>
      </c>
      <c r="N6463" t="str">
        <f t="shared" si="200"/>
        <v>2. 1-24 hours</v>
      </c>
      <c r="O6463" t="str">
        <f t="shared" si="201"/>
        <v>2025-04</v>
      </c>
    </row>
    <row r="6464" spans="1:15" x14ac:dyDescent="0.3">
      <c r="A6464" t="s">
        <v>15195</v>
      </c>
      <c r="B6464" t="s">
        <v>15196</v>
      </c>
      <c r="C6464" t="s">
        <v>53</v>
      </c>
      <c r="D6464" t="s">
        <v>29</v>
      </c>
      <c r="E6464" t="s">
        <v>45</v>
      </c>
      <c r="F6464" t="s">
        <v>94</v>
      </c>
      <c r="G6464">
        <v>3.37</v>
      </c>
      <c r="H6464" t="s">
        <v>138</v>
      </c>
      <c r="I6464" t="s">
        <v>48</v>
      </c>
      <c r="J6464" t="s">
        <v>49</v>
      </c>
      <c r="K6464">
        <v>749.04</v>
      </c>
      <c r="L6464" t="s">
        <v>15197</v>
      </c>
      <c r="M6464">
        <f>VLOOKUP(H6464,'Stage Order'!$A$2:$B$8,2,FALSE)</f>
        <v>6</v>
      </c>
      <c r="N6464" t="str">
        <f t="shared" si="200"/>
        <v>2. 1-24 hours</v>
      </c>
      <c r="O6464" t="str">
        <f t="shared" si="201"/>
        <v>2026-03</v>
      </c>
    </row>
    <row r="6465" spans="1:15" x14ac:dyDescent="0.3">
      <c r="A6465" t="s">
        <v>15198</v>
      </c>
      <c r="B6465" t="s">
        <v>15199</v>
      </c>
      <c r="C6465" t="s">
        <v>28</v>
      </c>
      <c r="D6465" t="s">
        <v>77</v>
      </c>
      <c r="E6465" t="s">
        <v>59</v>
      </c>
      <c r="F6465" t="s">
        <v>60</v>
      </c>
      <c r="G6465">
        <v>3.13</v>
      </c>
      <c r="H6465" t="s">
        <v>41</v>
      </c>
      <c r="I6465" t="s">
        <v>42</v>
      </c>
      <c r="M6465">
        <f>VLOOKUP(H6465,'Stage Order'!$A$2:$B$8,2,FALSE)</f>
        <v>2</v>
      </c>
      <c r="N6465" t="str">
        <f t="shared" si="200"/>
        <v>2. 1-24 hours</v>
      </c>
      <c r="O6465" t="str">
        <f t="shared" si="201"/>
        <v>2026-06</v>
      </c>
    </row>
    <row r="6466" spans="1:15" x14ac:dyDescent="0.3">
      <c r="A6466" t="s">
        <v>15200</v>
      </c>
      <c r="B6466" t="s">
        <v>15201</v>
      </c>
      <c r="C6466" t="s">
        <v>125</v>
      </c>
      <c r="D6466" t="s">
        <v>54</v>
      </c>
      <c r="E6466" t="s">
        <v>30</v>
      </c>
      <c r="F6466" t="s">
        <v>78</v>
      </c>
      <c r="G6466">
        <v>3.05</v>
      </c>
      <c r="H6466" t="s">
        <v>41</v>
      </c>
      <c r="I6466" t="s">
        <v>42</v>
      </c>
      <c r="M6466">
        <f>VLOOKUP(H6466,'Stage Order'!$A$2:$B$8,2,FALSE)</f>
        <v>2</v>
      </c>
      <c r="N6466" t="str">
        <f t="shared" ref="N6466:N6529" si="202">IF(G6466&lt;=1,"1. Under 1 hour",IF(G6466&lt;=24,"2. 1-24 hours",IF(G6466&lt;=72,"3. 1-3 days","4. Over 3 days")))</f>
        <v>2. 1-24 hours</v>
      </c>
      <c r="O6466" t="str">
        <f t="shared" ref="O6466:O6529" si="203">TEXT(B6466,"YYYY-MM")</f>
        <v>2026-04</v>
      </c>
    </row>
    <row r="6467" spans="1:15" x14ac:dyDescent="0.3">
      <c r="A6467" t="s">
        <v>15202</v>
      </c>
      <c r="B6467" t="s">
        <v>15203</v>
      </c>
      <c r="C6467" t="s">
        <v>28</v>
      </c>
      <c r="D6467" t="s">
        <v>77</v>
      </c>
      <c r="E6467" t="s">
        <v>39</v>
      </c>
      <c r="F6467" t="s">
        <v>40</v>
      </c>
      <c r="G6467">
        <v>1.67</v>
      </c>
      <c r="H6467" t="s">
        <v>32</v>
      </c>
      <c r="I6467" t="s">
        <v>33</v>
      </c>
      <c r="K6467">
        <v>1138.07</v>
      </c>
      <c r="L6467" t="s">
        <v>15204</v>
      </c>
      <c r="M6467">
        <f>VLOOKUP(H6467,'Stage Order'!$A$2:$B$8,2,FALSE)</f>
        <v>7</v>
      </c>
      <c r="N6467" t="str">
        <f t="shared" si="202"/>
        <v>2. 1-24 hours</v>
      </c>
      <c r="O6467" t="str">
        <f t="shared" si="203"/>
        <v>2026-06</v>
      </c>
    </row>
    <row r="6468" spans="1:15" x14ac:dyDescent="0.3">
      <c r="A6468" t="s">
        <v>15205</v>
      </c>
      <c r="B6468" t="s">
        <v>15206</v>
      </c>
      <c r="C6468" t="s">
        <v>58</v>
      </c>
      <c r="D6468" t="s">
        <v>38</v>
      </c>
      <c r="E6468" t="s">
        <v>59</v>
      </c>
      <c r="F6468" t="s">
        <v>60</v>
      </c>
      <c r="G6468">
        <v>10.31</v>
      </c>
      <c r="H6468" t="s">
        <v>32</v>
      </c>
      <c r="I6468" t="s">
        <v>33</v>
      </c>
      <c r="K6468">
        <v>402.9</v>
      </c>
      <c r="L6468" t="s">
        <v>15207</v>
      </c>
      <c r="M6468">
        <f>VLOOKUP(H6468,'Stage Order'!$A$2:$B$8,2,FALSE)</f>
        <v>7</v>
      </c>
      <c r="N6468" t="str">
        <f t="shared" si="202"/>
        <v>2. 1-24 hours</v>
      </c>
      <c r="O6468" t="str">
        <f t="shared" si="203"/>
        <v>2025-06</v>
      </c>
    </row>
    <row r="6469" spans="1:15" x14ac:dyDescent="0.3">
      <c r="A6469" t="s">
        <v>15208</v>
      </c>
      <c r="B6469" t="s">
        <v>15209</v>
      </c>
      <c r="C6469" t="s">
        <v>53</v>
      </c>
      <c r="D6469" t="s">
        <v>77</v>
      </c>
      <c r="E6469" t="s">
        <v>59</v>
      </c>
      <c r="F6469" t="s">
        <v>137</v>
      </c>
      <c r="G6469">
        <v>3</v>
      </c>
      <c r="H6469" t="s">
        <v>41</v>
      </c>
      <c r="I6469" t="s">
        <v>42</v>
      </c>
      <c r="M6469">
        <f>VLOOKUP(H6469,'Stage Order'!$A$2:$B$8,2,FALSE)</f>
        <v>2</v>
      </c>
      <c r="N6469" t="str">
        <f t="shared" si="202"/>
        <v>2. 1-24 hours</v>
      </c>
      <c r="O6469" t="str">
        <f t="shared" si="203"/>
        <v>2025-08</v>
      </c>
    </row>
    <row r="6470" spans="1:15" x14ac:dyDescent="0.3">
      <c r="A6470" t="s">
        <v>15210</v>
      </c>
      <c r="B6470" t="s">
        <v>15211</v>
      </c>
      <c r="C6470" t="s">
        <v>37</v>
      </c>
      <c r="D6470" t="s">
        <v>38</v>
      </c>
      <c r="E6470" t="s">
        <v>45</v>
      </c>
      <c r="F6470" t="s">
        <v>55</v>
      </c>
      <c r="G6470">
        <v>7.4</v>
      </c>
      <c r="H6470" t="s">
        <v>41</v>
      </c>
      <c r="I6470" t="s">
        <v>42</v>
      </c>
      <c r="M6470">
        <f>VLOOKUP(H6470,'Stage Order'!$A$2:$B$8,2,FALSE)</f>
        <v>2</v>
      </c>
      <c r="N6470" t="str">
        <f t="shared" si="202"/>
        <v>2. 1-24 hours</v>
      </c>
      <c r="O6470" t="str">
        <f t="shared" si="203"/>
        <v>2025-11</v>
      </c>
    </row>
    <row r="6471" spans="1:15" x14ac:dyDescent="0.3">
      <c r="A6471" t="s">
        <v>15212</v>
      </c>
      <c r="B6471" t="s">
        <v>15213</v>
      </c>
      <c r="C6471" t="s">
        <v>37</v>
      </c>
      <c r="D6471" t="s">
        <v>97</v>
      </c>
      <c r="E6471" t="s">
        <v>90</v>
      </c>
      <c r="F6471" t="s">
        <v>145</v>
      </c>
      <c r="G6471">
        <v>1.44</v>
      </c>
      <c r="H6471" t="s">
        <v>138</v>
      </c>
      <c r="I6471" t="s">
        <v>48</v>
      </c>
      <c r="J6471" t="s">
        <v>139</v>
      </c>
      <c r="K6471">
        <v>1684.46</v>
      </c>
      <c r="L6471" t="s">
        <v>15214</v>
      </c>
      <c r="M6471">
        <f>VLOOKUP(H6471,'Stage Order'!$A$2:$B$8,2,FALSE)</f>
        <v>6</v>
      </c>
      <c r="N6471" t="str">
        <f t="shared" si="202"/>
        <v>2. 1-24 hours</v>
      </c>
      <c r="O6471" t="str">
        <f t="shared" si="203"/>
        <v>2025-04</v>
      </c>
    </row>
    <row r="6472" spans="1:15" x14ac:dyDescent="0.3">
      <c r="A6472" t="s">
        <v>15215</v>
      </c>
      <c r="B6472" t="s">
        <v>15216</v>
      </c>
      <c r="C6472" t="s">
        <v>58</v>
      </c>
      <c r="D6472" t="s">
        <v>77</v>
      </c>
      <c r="E6472" t="s">
        <v>39</v>
      </c>
      <c r="F6472" t="s">
        <v>66</v>
      </c>
      <c r="G6472">
        <v>4.1100000000000003</v>
      </c>
      <c r="H6472" t="s">
        <v>47</v>
      </c>
      <c r="I6472" t="s">
        <v>48</v>
      </c>
      <c r="J6472" t="s">
        <v>113</v>
      </c>
      <c r="K6472">
        <v>808.85</v>
      </c>
      <c r="L6472" t="s">
        <v>15217</v>
      </c>
      <c r="M6472">
        <f>VLOOKUP(H6472,'Stage Order'!$A$2:$B$8,2,FALSE)</f>
        <v>4</v>
      </c>
      <c r="N6472" t="str">
        <f t="shared" si="202"/>
        <v>2. 1-24 hours</v>
      </c>
      <c r="O6472" t="str">
        <f t="shared" si="203"/>
        <v>2025-07</v>
      </c>
    </row>
    <row r="6473" spans="1:15" x14ac:dyDescent="0.3">
      <c r="A6473" t="s">
        <v>15218</v>
      </c>
      <c r="B6473" t="s">
        <v>15219</v>
      </c>
      <c r="C6473" t="s">
        <v>81</v>
      </c>
      <c r="D6473" t="s">
        <v>54</v>
      </c>
      <c r="E6473" t="s">
        <v>45</v>
      </c>
      <c r="F6473" t="s">
        <v>46</v>
      </c>
      <c r="G6473">
        <v>6.81</v>
      </c>
      <c r="H6473" t="s">
        <v>41</v>
      </c>
      <c r="I6473" t="s">
        <v>42</v>
      </c>
      <c r="M6473">
        <f>VLOOKUP(H6473,'Stage Order'!$A$2:$B$8,2,FALSE)</f>
        <v>2</v>
      </c>
      <c r="N6473" t="str">
        <f t="shared" si="202"/>
        <v>2. 1-24 hours</v>
      </c>
      <c r="O6473" t="str">
        <f t="shared" si="203"/>
        <v>2025-01</v>
      </c>
    </row>
    <row r="6474" spans="1:15" x14ac:dyDescent="0.3">
      <c r="A6474" t="s">
        <v>15220</v>
      </c>
      <c r="B6474" t="s">
        <v>15221</v>
      </c>
      <c r="C6474" t="s">
        <v>125</v>
      </c>
      <c r="D6474" t="s">
        <v>77</v>
      </c>
      <c r="E6474" t="s">
        <v>45</v>
      </c>
      <c r="F6474" t="s">
        <v>46</v>
      </c>
      <c r="G6474">
        <v>2.44</v>
      </c>
      <c r="H6474" t="s">
        <v>32</v>
      </c>
      <c r="I6474" t="s">
        <v>33</v>
      </c>
      <c r="K6474">
        <v>828.67</v>
      </c>
      <c r="L6474" t="s">
        <v>15222</v>
      </c>
      <c r="M6474">
        <f>VLOOKUP(H6474,'Stage Order'!$A$2:$B$8,2,FALSE)</f>
        <v>7</v>
      </c>
      <c r="N6474" t="str">
        <f t="shared" si="202"/>
        <v>2. 1-24 hours</v>
      </c>
      <c r="O6474" t="str">
        <f t="shared" si="203"/>
        <v>2025-05</v>
      </c>
    </row>
    <row r="6475" spans="1:15" x14ac:dyDescent="0.3">
      <c r="A6475" t="s">
        <v>15223</v>
      </c>
      <c r="B6475" t="s">
        <v>15224</v>
      </c>
      <c r="C6475" t="s">
        <v>37</v>
      </c>
      <c r="D6475" t="s">
        <v>54</v>
      </c>
      <c r="E6475" t="s">
        <v>59</v>
      </c>
      <c r="F6475" t="s">
        <v>137</v>
      </c>
      <c r="G6475">
        <v>1.69</v>
      </c>
      <c r="H6475" t="s">
        <v>146</v>
      </c>
      <c r="I6475" t="s">
        <v>48</v>
      </c>
      <c r="J6475" t="s">
        <v>113</v>
      </c>
      <c r="K6475">
        <v>423.16</v>
      </c>
      <c r="L6475" t="s">
        <v>15225</v>
      </c>
      <c r="M6475">
        <f>VLOOKUP(H6475,'Stage Order'!$A$2:$B$8,2,FALSE)</f>
        <v>5</v>
      </c>
      <c r="N6475" t="str">
        <f t="shared" si="202"/>
        <v>2. 1-24 hours</v>
      </c>
      <c r="O6475" t="str">
        <f t="shared" si="203"/>
        <v>2025-09</v>
      </c>
    </row>
    <row r="6476" spans="1:15" x14ac:dyDescent="0.3">
      <c r="A6476" t="s">
        <v>15226</v>
      </c>
      <c r="B6476" t="s">
        <v>15227</v>
      </c>
      <c r="C6476" t="s">
        <v>53</v>
      </c>
      <c r="D6476" t="s">
        <v>54</v>
      </c>
      <c r="E6476" t="s">
        <v>39</v>
      </c>
      <c r="F6476" t="s">
        <v>66</v>
      </c>
      <c r="G6476">
        <v>11.18</v>
      </c>
      <c r="H6476" t="s">
        <v>138</v>
      </c>
      <c r="I6476" t="s">
        <v>48</v>
      </c>
      <c r="J6476" t="s">
        <v>49</v>
      </c>
      <c r="K6476">
        <v>516.98</v>
      </c>
      <c r="L6476" t="s">
        <v>15228</v>
      </c>
      <c r="M6476">
        <f>VLOOKUP(H6476,'Stage Order'!$A$2:$B$8,2,FALSE)</f>
        <v>6</v>
      </c>
      <c r="N6476" t="str">
        <f t="shared" si="202"/>
        <v>2. 1-24 hours</v>
      </c>
      <c r="O6476" t="str">
        <f t="shared" si="203"/>
        <v>2025-03</v>
      </c>
    </row>
    <row r="6477" spans="1:15" x14ac:dyDescent="0.3">
      <c r="A6477" t="s">
        <v>15229</v>
      </c>
      <c r="B6477" t="s">
        <v>15230</v>
      </c>
      <c r="C6477" t="s">
        <v>53</v>
      </c>
      <c r="D6477" t="s">
        <v>54</v>
      </c>
      <c r="E6477" t="s">
        <v>39</v>
      </c>
      <c r="F6477" t="s">
        <v>106</v>
      </c>
      <c r="G6477">
        <v>21.15</v>
      </c>
      <c r="H6477" t="s">
        <v>47</v>
      </c>
      <c r="I6477" t="s">
        <v>48</v>
      </c>
      <c r="J6477" t="s">
        <v>139</v>
      </c>
      <c r="K6477">
        <v>522.16</v>
      </c>
      <c r="L6477" t="s">
        <v>15231</v>
      </c>
      <c r="M6477">
        <f>VLOOKUP(H6477,'Stage Order'!$A$2:$B$8,2,FALSE)</f>
        <v>4</v>
      </c>
      <c r="N6477" t="str">
        <f t="shared" si="202"/>
        <v>2. 1-24 hours</v>
      </c>
      <c r="O6477" t="str">
        <f t="shared" si="203"/>
        <v>2026-05</v>
      </c>
    </row>
    <row r="6478" spans="1:15" x14ac:dyDescent="0.3">
      <c r="A6478" t="s">
        <v>15232</v>
      </c>
      <c r="B6478" t="s">
        <v>15233</v>
      </c>
      <c r="C6478" t="s">
        <v>28</v>
      </c>
      <c r="D6478" t="s">
        <v>54</v>
      </c>
      <c r="E6478" t="s">
        <v>59</v>
      </c>
      <c r="F6478" t="s">
        <v>117</v>
      </c>
      <c r="G6478">
        <v>0.35</v>
      </c>
      <c r="H6478" t="s">
        <v>41</v>
      </c>
      <c r="I6478" t="s">
        <v>42</v>
      </c>
      <c r="M6478">
        <f>VLOOKUP(H6478,'Stage Order'!$A$2:$B$8,2,FALSE)</f>
        <v>2</v>
      </c>
      <c r="N6478" t="str">
        <f t="shared" si="202"/>
        <v>1. Under 1 hour</v>
      </c>
      <c r="O6478" t="str">
        <f t="shared" si="203"/>
        <v>2025-08</v>
      </c>
    </row>
    <row r="6479" spans="1:15" x14ac:dyDescent="0.3">
      <c r="A6479" t="s">
        <v>15234</v>
      </c>
      <c r="B6479" t="s">
        <v>15235</v>
      </c>
      <c r="C6479" t="s">
        <v>58</v>
      </c>
      <c r="D6479" t="s">
        <v>54</v>
      </c>
      <c r="E6479" t="s">
        <v>39</v>
      </c>
      <c r="F6479" t="s">
        <v>106</v>
      </c>
      <c r="G6479">
        <v>21.83</v>
      </c>
      <c r="H6479" t="s">
        <v>41</v>
      </c>
      <c r="I6479" t="s">
        <v>42</v>
      </c>
      <c r="M6479">
        <f>VLOOKUP(H6479,'Stage Order'!$A$2:$B$8,2,FALSE)</f>
        <v>2</v>
      </c>
      <c r="N6479" t="str">
        <f t="shared" si="202"/>
        <v>2. 1-24 hours</v>
      </c>
      <c r="O6479" t="str">
        <f t="shared" si="203"/>
        <v>2026-03</v>
      </c>
    </row>
    <row r="6480" spans="1:15" x14ac:dyDescent="0.3">
      <c r="A6480" t="s">
        <v>15236</v>
      </c>
      <c r="B6480" t="s">
        <v>15237</v>
      </c>
      <c r="C6480" t="s">
        <v>58</v>
      </c>
      <c r="D6480" t="s">
        <v>29</v>
      </c>
      <c r="E6480" t="s">
        <v>30</v>
      </c>
      <c r="F6480" t="s">
        <v>78</v>
      </c>
      <c r="G6480">
        <v>2.0299999999999998</v>
      </c>
      <c r="H6480" t="s">
        <v>61</v>
      </c>
      <c r="I6480" t="s">
        <v>42</v>
      </c>
      <c r="M6480">
        <f>VLOOKUP(H6480,'Stage Order'!$A$2:$B$8,2,FALSE)</f>
        <v>1</v>
      </c>
      <c r="N6480" t="str">
        <f t="shared" si="202"/>
        <v>2. 1-24 hours</v>
      </c>
      <c r="O6480" t="str">
        <f t="shared" si="203"/>
        <v>2026-05</v>
      </c>
    </row>
    <row r="6481" spans="1:15" x14ac:dyDescent="0.3">
      <c r="A6481" t="s">
        <v>15238</v>
      </c>
      <c r="B6481" t="s">
        <v>15239</v>
      </c>
      <c r="C6481" t="s">
        <v>37</v>
      </c>
      <c r="D6481" t="s">
        <v>97</v>
      </c>
      <c r="E6481" t="s">
        <v>59</v>
      </c>
      <c r="F6481" t="s">
        <v>137</v>
      </c>
      <c r="G6481">
        <v>0.53</v>
      </c>
      <c r="H6481" t="s">
        <v>41</v>
      </c>
      <c r="I6481" t="s">
        <v>42</v>
      </c>
      <c r="M6481">
        <f>VLOOKUP(H6481,'Stage Order'!$A$2:$B$8,2,FALSE)</f>
        <v>2</v>
      </c>
      <c r="N6481" t="str">
        <f t="shared" si="202"/>
        <v>1. Under 1 hour</v>
      </c>
      <c r="O6481" t="str">
        <f t="shared" si="203"/>
        <v>2025-11</v>
      </c>
    </row>
    <row r="6482" spans="1:15" x14ac:dyDescent="0.3">
      <c r="A6482" t="s">
        <v>15240</v>
      </c>
      <c r="B6482" t="s">
        <v>15241</v>
      </c>
      <c r="C6482" t="s">
        <v>37</v>
      </c>
      <c r="D6482" t="s">
        <v>29</v>
      </c>
      <c r="E6482" t="s">
        <v>39</v>
      </c>
      <c r="F6482" t="s">
        <v>66</v>
      </c>
      <c r="G6482">
        <v>0.87</v>
      </c>
      <c r="H6482" t="s">
        <v>138</v>
      </c>
      <c r="I6482" t="s">
        <v>48</v>
      </c>
      <c r="J6482" t="s">
        <v>98</v>
      </c>
      <c r="K6482">
        <v>637.41</v>
      </c>
      <c r="L6482" t="s">
        <v>15242</v>
      </c>
      <c r="M6482">
        <f>VLOOKUP(H6482,'Stage Order'!$A$2:$B$8,2,FALSE)</f>
        <v>6</v>
      </c>
      <c r="N6482" t="str">
        <f t="shared" si="202"/>
        <v>1. Under 1 hour</v>
      </c>
      <c r="O6482" t="str">
        <f t="shared" si="203"/>
        <v>2026-06</v>
      </c>
    </row>
    <row r="6483" spans="1:15" x14ac:dyDescent="0.3">
      <c r="A6483" t="s">
        <v>15243</v>
      </c>
      <c r="B6483" t="s">
        <v>15244</v>
      </c>
      <c r="C6483" t="s">
        <v>37</v>
      </c>
      <c r="D6483" t="s">
        <v>54</v>
      </c>
      <c r="E6483" t="s">
        <v>39</v>
      </c>
      <c r="F6483" t="s">
        <v>106</v>
      </c>
      <c r="G6483">
        <v>6.52</v>
      </c>
      <c r="H6483" t="s">
        <v>32</v>
      </c>
      <c r="I6483" t="s">
        <v>33</v>
      </c>
      <c r="K6483">
        <v>444.31</v>
      </c>
      <c r="L6483" t="s">
        <v>15245</v>
      </c>
      <c r="M6483">
        <f>VLOOKUP(H6483,'Stage Order'!$A$2:$B$8,2,FALSE)</f>
        <v>7</v>
      </c>
      <c r="N6483" t="str">
        <f t="shared" si="202"/>
        <v>2. 1-24 hours</v>
      </c>
      <c r="O6483" t="str">
        <f t="shared" si="203"/>
        <v>2025-01</v>
      </c>
    </row>
    <row r="6484" spans="1:15" x14ac:dyDescent="0.3">
      <c r="A6484" t="s">
        <v>15246</v>
      </c>
      <c r="B6484" t="s">
        <v>15247</v>
      </c>
      <c r="C6484" t="s">
        <v>53</v>
      </c>
      <c r="D6484" t="s">
        <v>38</v>
      </c>
      <c r="E6484" t="s">
        <v>39</v>
      </c>
      <c r="F6484" t="s">
        <v>106</v>
      </c>
      <c r="G6484">
        <v>0.63</v>
      </c>
      <c r="H6484" t="s">
        <v>32</v>
      </c>
      <c r="I6484" t="s">
        <v>33</v>
      </c>
      <c r="K6484">
        <v>309.74</v>
      </c>
      <c r="L6484" t="s">
        <v>15248</v>
      </c>
      <c r="M6484">
        <f>VLOOKUP(H6484,'Stage Order'!$A$2:$B$8,2,FALSE)</f>
        <v>7</v>
      </c>
      <c r="N6484" t="str">
        <f t="shared" si="202"/>
        <v>1. Under 1 hour</v>
      </c>
      <c r="O6484" t="str">
        <f t="shared" si="203"/>
        <v>2025-08</v>
      </c>
    </row>
    <row r="6485" spans="1:15" x14ac:dyDescent="0.3">
      <c r="A6485" t="s">
        <v>15249</v>
      </c>
      <c r="B6485" t="s">
        <v>15250</v>
      </c>
      <c r="C6485" t="s">
        <v>125</v>
      </c>
      <c r="D6485" t="s">
        <v>77</v>
      </c>
      <c r="E6485" t="s">
        <v>39</v>
      </c>
      <c r="F6485" t="s">
        <v>106</v>
      </c>
      <c r="G6485">
        <v>4.58</v>
      </c>
      <c r="H6485" t="s">
        <v>41</v>
      </c>
      <c r="I6485" t="s">
        <v>42</v>
      </c>
      <c r="M6485">
        <f>VLOOKUP(H6485,'Stage Order'!$A$2:$B$8,2,FALSE)</f>
        <v>2</v>
      </c>
      <c r="N6485" t="str">
        <f t="shared" si="202"/>
        <v>2. 1-24 hours</v>
      </c>
      <c r="O6485" t="str">
        <f t="shared" si="203"/>
        <v>2026-03</v>
      </c>
    </row>
    <row r="6486" spans="1:15" x14ac:dyDescent="0.3">
      <c r="A6486" t="s">
        <v>15251</v>
      </c>
      <c r="B6486" t="s">
        <v>15252</v>
      </c>
      <c r="C6486" t="s">
        <v>37</v>
      </c>
      <c r="D6486" t="s">
        <v>29</v>
      </c>
      <c r="E6486" t="s">
        <v>59</v>
      </c>
      <c r="F6486" t="s">
        <v>137</v>
      </c>
      <c r="G6486">
        <v>3.18</v>
      </c>
      <c r="H6486" t="s">
        <v>146</v>
      </c>
      <c r="I6486" t="s">
        <v>48</v>
      </c>
      <c r="J6486" t="s">
        <v>742</v>
      </c>
      <c r="K6486">
        <v>750.19</v>
      </c>
      <c r="L6486" t="s">
        <v>15253</v>
      </c>
      <c r="M6486">
        <f>VLOOKUP(H6486,'Stage Order'!$A$2:$B$8,2,FALSE)</f>
        <v>5</v>
      </c>
      <c r="N6486" t="str">
        <f t="shared" si="202"/>
        <v>2. 1-24 hours</v>
      </c>
      <c r="O6486" t="str">
        <f t="shared" si="203"/>
        <v>2025-05</v>
      </c>
    </row>
    <row r="6487" spans="1:15" x14ac:dyDescent="0.3">
      <c r="A6487" t="s">
        <v>15254</v>
      </c>
      <c r="B6487" t="s">
        <v>15156</v>
      </c>
      <c r="C6487" t="s">
        <v>28</v>
      </c>
      <c r="D6487" t="s">
        <v>77</v>
      </c>
      <c r="E6487" t="s">
        <v>59</v>
      </c>
      <c r="F6487" t="s">
        <v>60</v>
      </c>
      <c r="G6487">
        <v>0.88</v>
      </c>
      <c r="H6487" t="s">
        <v>41</v>
      </c>
      <c r="I6487" t="s">
        <v>42</v>
      </c>
      <c r="M6487">
        <f>VLOOKUP(H6487,'Stage Order'!$A$2:$B$8,2,FALSE)</f>
        <v>2</v>
      </c>
      <c r="N6487" t="str">
        <f t="shared" si="202"/>
        <v>1. Under 1 hour</v>
      </c>
      <c r="O6487" t="str">
        <f t="shared" si="203"/>
        <v>2025-10</v>
      </c>
    </row>
    <row r="6488" spans="1:15" x14ac:dyDescent="0.3">
      <c r="A6488" t="s">
        <v>15255</v>
      </c>
      <c r="B6488" t="s">
        <v>15256</v>
      </c>
      <c r="C6488" t="s">
        <v>81</v>
      </c>
      <c r="D6488" t="s">
        <v>54</v>
      </c>
      <c r="E6488" t="s">
        <v>45</v>
      </c>
      <c r="F6488" t="s">
        <v>94</v>
      </c>
      <c r="G6488">
        <v>1.35</v>
      </c>
      <c r="H6488" t="s">
        <v>41</v>
      </c>
      <c r="I6488" t="s">
        <v>42</v>
      </c>
      <c r="M6488">
        <f>VLOOKUP(H6488,'Stage Order'!$A$2:$B$8,2,FALSE)</f>
        <v>2</v>
      </c>
      <c r="N6488" t="str">
        <f t="shared" si="202"/>
        <v>2. 1-24 hours</v>
      </c>
      <c r="O6488" t="str">
        <f t="shared" si="203"/>
        <v>2026-03</v>
      </c>
    </row>
    <row r="6489" spans="1:15" x14ac:dyDescent="0.3">
      <c r="A6489" t="s">
        <v>15257</v>
      </c>
      <c r="B6489" t="s">
        <v>15258</v>
      </c>
      <c r="C6489" t="s">
        <v>37</v>
      </c>
      <c r="D6489" t="s">
        <v>54</v>
      </c>
      <c r="E6489" t="s">
        <v>39</v>
      </c>
      <c r="F6489" t="s">
        <v>106</v>
      </c>
      <c r="G6489">
        <v>4.8600000000000003</v>
      </c>
      <c r="H6489" t="s">
        <v>32</v>
      </c>
      <c r="I6489" t="s">
        <v>33</v>
      </c>
      <c r="K6489">
        <v>535.65</v>
      </c>
      <c r="L6489" t="s">
        <v>15259</v>
      </c>
      <c r="M6489">
        <f>VLOOKUP(H6489,'Stage Order'!$A$2:$B$8,2,FALSE)</f>
        <v>7</v>
      </c>
      <c r="N6489" t="str">
        <f t="shared" si="202"/>
        <v>2. 1-24 hours</v>
      </c>
      <c r="O6489" t="str">
        <f t="shared" si="203"/>
        <v>2026-05</v>
      </c>
    </row>
    <row r="6490" spans="1:15" x14ac:dyDescent="0.3">
      <c r="A6490" t="s">
        <v>15260</v>
      </c>
      <c r="B6490" t="s">
        <v>3323</v>
      </c>
      <c r="C6490" t="s">
        <v>28</v>
      </c>
      <c r="D6490" t="s">
        <v>29</v>
      </c>
      <c r="E6490" t="s">
        <v>39</v>
      </c>
      <c r="F6490" t="s">
        <v>66</v>
      </c>
      <c r="G6490">
        <v>2.52</v>
      </c>
      <c r="H6490" t="s">
        <v>138</v>
      </c>
      <c r="I6490" t="s">
        <v>48</v>
      </c>
      <c r="J6490" t="s">
        <v>49</v>
      </c>
      <c r="K6490">
        <v>574.27</v>
      </c>
      <c r="L6490" t="s">
        <v>15261</v>
      </c>
      <c r="M6490">
        <f>VLOOKUP(H6490,'Stage Order'!$A$2:$B$8,2,FALSE)</f>
        <v>6</v>
      </c>
      <c r="N6490" t="str">
        <f t="shared" si="202"/>
        <v>2. 1-24 hours</v>
      </c>
      <c r="O6490" t="str">
        <f t="shared" si="203"/>
        <v>2026-06</v>
      </c>
    </row>
    <row r="6491" spans="1:15" x14ac:dyDescent="0.3">
      <c r="A6491" t="s">
        <v>15262</v>
      </c>
      <c r="B6491" t="s">
        <v>15263</v>
      </c>
      <c r="C6491" t="s">
        <v>37</v>
      </c>
      <c r="D6491" t="s">
        <v>38</v>
      </c>
      <c r="E6491" t="s">
        <v>45</v>
      </c>
      <c r="F6491" t="s">
        <v>55</v>
      </c>
      <c r="G6491">
        <v>3.03</v>
      </c>
      <c r="H6491" t="s">
        <v>32</v>
      </c>
      <c r="I6491" t="s">
        <v>33</v>
      </c>
      <c r="K6491">
        <v>379.77</v>
      </c>
      <c r="L6491" t="s">
        <v>15264</v>
      </c>
      <c r="M6491">
        <f>VLOOKUP(H6491,'Stage Order'!$A$2:$B$8,2,FALSE)</f>
        <v>7</v>
      </c>
      <c r="N6491" t="str">
        <f t="shared" si="202"/>
        <v>2. 1-24 hours</v>
      </c>
      <c r="O6491" t="str">
        <f t="shared" si="203"/>
        <v>2025-06</v>
      </c>
    </row>
    <row r="6492" spans="1:15" x14ac:dyDescent="0.3">
      <c r="A6492" t="s">
        <v>15265</v>
      </c>
      <c r="B6492" t="s">
        <v>15266</v>
      </c>
      <c r="C6492" t="s">
        <v>28</v>
      </c>
      <c r="D6492" t="s">
        <v>29</v>
      </c>
      <c r="E6492" t="s">
        <v>30</v>
      </c>
      <c r="F6492" t="s">
        <v>31</v>
      </c>
      <c r="G6492">
        <v>1.86</v>
      </c>
      <c r="H6492" t="s">
        <v>41</v>
      </c>
      <c r="I6492" t="s">
        <v>42</v>
      </c>
      <c r="M6492">
        <f>VLOOKUP(H6492,'Stage Order'!$A$2:$B$8,2,FALSE)</f>
        <v>2</v>
      </c>
      <c r="N6492" t="str">
        <f t="shared" si="202"/>
        <v>2. 1-24 hours</v>
      </c>
      <c r="O6492" t="str">
        <f t="shared" si="203"/>
        <v>2025-10</v>
      </c>
    </row>
    <row r="6493" spans="1:15" x14ac:dyDescent="0.3">
      <c r="A6493" t="s">
        <v>15267</v>
      </c>
      <c r="B6493" t="s">
        <v>15268</v>
      </c>
      <c r="C6493" t="s">
        <v>28</v>
      </c>
      <c r="D6493" t="s">
        <v>54</v>
      </c>
      <c r="E6493" t="s">
        <v>45</v>
      </c>
      <c r="F6493" t="s">
        <v>46</v>
      </c>
      <c r="G6493">
        <v>2.04</v>
      </c>
      <c r="H6493" t="s">
        <v>32</v>
      </c>
      <c r="I6493" t="s">
        <v>33</v>
      </c>
      <c r="K6493">
        <v>506.36</v>
      </c>
      <c r="L6493" t="s">
        <v>15269</v>
      </c>
      <c r="M6493">
        <f>VLOOKUP(H6493,'Stage Order'!$A$2:$B$8,2,FALSE)</f>
        <v>7</v>
      </c>
      <c r="N6493" t="str">
        <f t="shared" si="202"/>
        <v>2. 1-24 hours</v>
      </c>
      <c r="O6493" t="str">
        <f t="shared" si="203"/>
        <v>2025-08</v>
      </c>
    </row>
    <row r="6494" spans="1:15" x14ac:dyDescent="0.3">
      <c r="A6494" t="s">
        <v>15270</v>
      </c>
      <c r="B6494" t="s">
        <v>15271</v>
      </c>
      <c r="C6494" t="s">
        <v>28</v>
      </c>
      <c r="D6494" t="s">
        <v>77</v>
      </c>
      <c r="E6494" t="s">
        <v>30</v>
      </c>
      <c r="F6494" t="s">
        <v>82</v>
      </c>
      <c r="G6494">
        <v>4.95</v>
      </c>
      <c r="H6494" t="s">
        <v>47</v>
      </c>
      <c r="I6494" t="s">
        <v>48</v>
      </c>
      <c r="J6494" t="s">
        <v>113</v>
      </c>
      <c r="K6494">
        <v>1017.3</v>
      </c>
      <c r="L6494" t="s">
        <v>15272</v>
      </c>
      <c r="M6494">
        <f>VLOOKUP(H6494,'Stage Order'!$A$2:$B$8,2,FALSE)</f>
        <v>4</v>
      </c>
      <c r="N6494" t="str">
        <f t="shared" si="202"/>
        <v>2. 1-24 hours</v>
      </c>
      <c r="O6494" t="str">
        <f t="shared" si="203"/>
        <v>2025-01</v>
      </c>
    </row>
    <row r="6495" spans="1:15" x14ac:dyDescent="0.3">
      <c r="A6495" t="s">
        <v>15273</v>
      </c>
      <c r="B6495" t="s">
        <v>15274</v>
      </c>
      <c r="C6495" t="s">
        <v>53</v>
      </c>
      <c r="D6495" t="s">
        <v>38</v>
      </c>
      <c r="E6495" t="s">
        <v>59</v>
      </c>
      <c r="F6495" t="s">
        <v>137</v>
      </c>
      <c r="G6495">
        <v>1.88</v>
      </c>
      <c r="H6495" t="s">
        <v>138</v>
      </c>
      <c r="I6495" t="s">
        <v>48</v>
      </c>
      <c r="J6495" t="s">
        <v>742</v>
      </c>
      <c r="K6495">
        <v>404.9</v>
      </c>
      <c r="L6495" t="s">
        <v>15275</v>
      </c>
      <c r="M6495">
        <f>VLOOKUP(H6495,'Stage Order'!$A$2:$B$8,2,FALSE)</f>
        <v>6</v>
      </c>
      <c r="N6495" t="str">
        <f t="shared" si="202"/>
        <v>2. 1-24 hours</v>
      </c>
      <c r="O6495" t="str">
        <f t="shared" si="203"/>
        <v>2026-01</v>
      </c>
    </row>
    <row r="6496" spans="1:15" x14ac:dyDescent="0.3">
      <c r="A6496" t="s">
        <v>15276</v>
      </c>
      <c r="B6496" t="s">
        <v>15277</v>
      </c>
      <c r="C6496" t="s">
        <v>58</v>
      </c>
      <c r="D6496" t="s">
        <v>29</v>
      </c>
      <c r="E6496" t="s">
        <v>30</v>
      </c>
      <c r="F6496" t="s">
        <v>82</v>
      </c>
      <c r="G6496">
        <v>2.16</v>
      </c>
      <c r="H6496" t="s">
        <v>41</v>
      </c>
      <c r="I6496" t="s">
        <v>42</v>
      </c>
      <c r="M6496">
        <f>VLOOKUP(H6496,'Stage Order'!$A$2:$B$8,2,FALSE)</f>
        <v>2</v>
      </c>
      <c r="N6496" t="str">
        <f t="shared" si="202"/>
        <v>2. 1-24 hours</v>
      </c>
      <c r="O6496" t="str">
        <f t="shared" si="203"/>
        <v>2026-05</v>
      </c>
    </row>
    <row r="6497" spans="1:15" x14ac:dyDescent="0.3">
      <c r="A6497" t="s">
        <v>15278</v>
      </c>
      <c r="B6497" t="s">
        <v>15279</v>
      </c>
      <c r="C6497" t="s">
        <v>53</v>
      </c>
      <c r="D6497" t="s">
        <v>77</v>
      </c>
      <c r="E6497" t="s">
        <v>39</v>
      </c>
      <c r="F6497" t="s">
        <v>40</v>
      </c>
      <c r="G6497">
        <v>0.87</v>
      </c>
      <c r="H6497" t="s">
        <v>32</v>
      </c>
      <c r="I6497" t="s">
        <v>33</v>
      </c>
      <c r="K6497">
        <v>1030.19</v>
      </c>
      <c r="L6497" t="s">
        <v>15280</v>
      </c>
      <c r="M6497">
        <f>VLOOKUP(H6497,'Stage Order'!$A$2:$B$8,2,FALSE)</f>
        <v>7</v>
      </c>
      <c r="N6497" t="str">
        <f t="shared" si="202"/>
        <v>1. Under 1 hour</v>
      </c>
      <c r="O6497" t="str">
        <f t="shared" si="203"/>
        <v>2025-10</v>
      </c>
    </row>
    <row r="6498" spans="1:15" x14ac:dyDescent="0.3">
      <c r="A6498" t="s">
        <v>15281</v>
      </c>
      <c r="B6498" t="s">
        <v>15282</v>
      </c>
      <c r="C6498" t="s">
        <v>53</v>
      </c>
      <c r="D6498" t="s">
        <v>29</v>
      </c>
      <c r="E6498" t="s">
        <v>45</v>
      </c>
      <c r="F6498" t="s">
        <v>55</v>
      </c>
      <c r="G6498">
        <v>1.55</v>
      </c>
      <c r="H6498" t="s">
        <v>138</v>
      </c>
      <c r="I6498" t="s">
        <v>48</v>
      </c>
      <c r="J6498" t="s">
        <v>139</v>
      </c>
      <c r="K6498">
        <v>660.5</v>
      </c>
      <c r="L6498" t="s">
        <v>15283</v>
      </c>
      <c r="M6498">
        <f>VLOOKUP(H6498,'Stage Order'!$A$2:$B$8,2,FALSE)</f>
        <v>6</v>
      </c>
      <c r="N6498" t="str">
        <f t="shared" si="202"/>
        <v>2. 1-24 hours</v>
      </c>
      <c r="O6498" t="str">
        <f t="shared" si="203"/>
        <v>2025-03</v>
      </c>
    </row>
    <row r="6499" spans="1:15" x14ac:dyDescent="0.3">
      <c r="A6499" t="s">
        <v>15284</v>
      </c>
      <c r="B6499" t="s">
        <v>15285</v>
      </c>
      <c r="C6499" t="s">
        <v>53</v>
      </c>
      <c r="D6499" t="s">
        <v>54</v>
      </c>
      <c r="E6499" t="s">
        <v>59</v>
      </c>
      <c r="F6499" t="s">
        <v>60</v>
      </c>
      <c r="G6499">
        <v>2.61</v>
      </c>
      <c r="H6499" t="s">
        <v>61</v>
      </c>
      <c r="I6499" t="s">
        <v>42</v>
      </c>
      <c r="M6499">
        <f>VLOOKUP(H6499,'Stage Order'!$A$2:$B$8,2,FALSE)</f>
        <v>1</v>
      </c>
      <c r="N6499" t="str">
        <f t="shared" si="202"/>
        <v>2. 1-24 hours</v>
      </c>
      <c r="O6499" t="str">
        <f t="shared" si="203"/>
        <v>2025-11</v>
      </c>
    </row>
    <row r="6500" spans="1:15" x14ac:dyDescent="0.3">
      <c r="A6500" t="s">
        <v>15286</v>
      </c>
      <c r="B6500" t="s">
        <v>15287</v>
      </c>
      <c r="C6500" t="s">
        <v>81</v>
      </c>
      <c r="D6500" t="s">
        <v>54</v>
      </c>
      <c r="E6500" t="s">
        <v>59</v>
      </c>
      <c r="F6500" t="s">
        <v>137</v>
      </c>
      <c r="G6500">
        <v>2.85</v>
      </c>
      <c r="H6500" t="s">
        <v>41</v>
      </c>
      <c r="I6500" t="s">
        <v>42</v>
      </c>
      <c r="M6500">
        <f>VLOOKUP(H6500,'Stage Order'!$A$2:$B$8,2,FALSE)</f>
        <v>2</v>
      </c>
      <c r="N6500" t="str">
        <f t="shared" si="202"/>
        <v>2. 1-24 hours</v>
      </c>
      <c r="O6500" t="str">
        <f t="shared" si="203"/>
        <v>2026-01</v>
      </c>
    </row>
    <row r="6501" spans="1:15" x14ac:dyDescent="0.3">
      <c r="A6501" t="s">
        <v>15288</v>
      </c>
      <c r="B6501" t="s">
        <v>15289</v>
      </c>
      <c r="C6501" t="s">
        <v>81</v>
      </c>
      <c r="D6501" t="s">
        <v>38</v>
      </c>
      <c r="E6501" t="s">
        <v>90</v>
      </c>
      <c r="F6501" t="s">
        <v>91</v>
      </c>
      <c r="G6501">
        <v>0.71</v>
      </c>
      <c r="H6501" t="s">
        <v>61</v>
      </c>
      <c r="I6501" t="s">
        <v>42</v>
      </c>
      <c r="M6501">
        <f>VLOOKUP(H6501,'Stage Order'!$A$2:$B$8,2,FALSE)</f>
        <v>1</v>
      </c>
      <c r="N6501" t="str">
        <f t="shared" si="202"/>
        <v>1. Under 1 hour</v>
      </c>
      <c r="O6501" t="str">
        <f t="shared" si="203"/>
        <v>2025-06</v>
      </c>
    </row>
    <row r="6502" spans="1:15" x14ac:dyDescent="0.3">
      <c r="A6502" t="s">
        <v>15290</v>
      </c>
      <c r="B6502" t="s">
        <v>15291</v>
      </c>
      <c r="C6502" t="s">
        <v>37</v>
      </c>
      <c r="D6502" t="s">
        <v>77</v>
      </c>
      <c r="E6502" t="s">
        <v>59</v>
      </c>
      <c r="F6502" t="s">
        <v>60</v>
      </c>
      <c r="G6502">
        <v>9.43</v>
      </c>
      <c r="H6502" t="s">
        <v>47</v>
      </c>
      <c r="I6502" t="s">
        <v>48</v>
      </c>
      <c r="J6502" t="s">
        <v>139</v>
      </c>
      <c r="K6502">
        <v>893.08</v>
      </c>
      <c r="L6502" t="s">
        <v>15292</v>
      </c>
      <c r="M6502">
        <f>VLOOKUP(H6502,'Stage Order'!$A$2:$B$8,2,FALSE)</f>
        <v>4</v>
      </c>
      <c r="N6502" t="str">
        <f t="shared" si="202"/>
        <v>2. 1-24 hours</v>
      </c>
      <c r="O6502" t="str">
        <f t="shared" si="203"/>
        <v>2025-12</v>
      </c>
    </row>
    <row r="6503" spans="1:15" x14ac:dyDescent="0.3">
      <c r="A6503" t="s">
        <v>15293</v>
      </c>
      <c r="B6503" t="s">
        <v>15294</v>
      </c>
      <c r="C6503" t="s">
        <v>125</v>
      </c>
      <c r="D6503" t="s">
        <v>54</v>
      </c>
      <c r="E6503" t="s">
        <v>59</v>
      </c>
      <c r="F6503" t="s">
        <v>117</v>
      </c>
      <c r="G6503">
        <v>3.06</v>
      </c>
      <c r="H6503" t="s">
        <v>41</v>
      </c>
      <c r="I6503" t="s">
        <v>42</v>
      </c>
      <c r="M6503">
        <f>VLOOKUP(H6503,'Stage Order'!$A$2:$B$8,2,FALSE)</f>
        <v>2</v>
      </c>
      <c r="N6503" t="str">
        <f t="shared" si="202"/>
        <v>2. 1-24 hours</v>
      </c>
      <c r="O6503" t="str">
        <f t="shared" si="203"/>
        <v>2025-08</v>
      </c>
    </row>
    <row r="6504" spans="1:15" x14ac:dyDescent="0.3">
      <c r="A6504" t="s">
        <v>15295</v>
      </c>
      <c r="B6504" t="s">
        <v>15296</v>
      </c>
      <c r="C6504" t="s">
        <v>58</v>
      </c>
      <c r="D6504" t="s">
        <v>54</v>
      </c>
      <c r="E6504" t="s">
        <v>90</v>
      </c>
      <c r="F6504" t="s">
        <v>112</v>
      </c>
      <c r="G6504">
        <v>0.87</v>
      </c>
      <c r="H6504" t="s">
        <v>47</v>
      </c>
      <c r="I6504" t="s">
        <v>48</v>
      </c>
      <c r="J6504" t="s">
        <v>113</v>
      </c>
      <c r="K6504">
        <v>499.16</v>
      </c>
      <c r="L6504" t="s">
        <v>15297</v>
      </c>
      <c r="M6504">
        <f>VLOOKUP(H6504,'Stage Order'!$A$2:$B$8,2,FALSE)</f>
        <v>4</v>
      </c>
      <c r="N6504" t="str">
        <f t="shared" si="202"/>
        <v>1. Under 1 hour</v>
      </c>
      <c r="O6504" t="str">
        <f t="shared" si="203"/>
        <v>2026-01</v>
      </c>
    </row>
    <row r="6505" spans="1:15" x14ac:dyDescent="0.3">
      <c r="A6505" t="s">
        <v>15298</v>
      </c>
      <c r="B6505" t="s">
        <v>15299</v>
      </c>
      <c r="C6505" t="s">
        <v>58</v>
      </c>
      <c r="D6505" t="s">
        <v>54</v>
      </c>
      <c r="E6505" t="s">
        <v>39</v>
      </c>
      <c r="F6505" t="s">
        <v>106</v>
      </c>
      <c r="G6505">
        <v>4.0599999999999996</v>
      </c>
      <c r="H6505" t="s">
        <v>32</v>
      </c>
      <c r="I6505" t="s">
        <v>33</v>
      </c>
      <c r="K6505">
        <v>564.4</v>
      </c>
      <c r="L6505" t="s">
        <v>15300</v>
      </c>
      <c r="M6505">
        <f>VLOOKUP(H6505,'Stage Order'!$A$2:$B$8,2,FALSE)</f>
        <v>7</v>
      </c>
      <c r="N6505" t="str">
        <f t="shared" si="202"/>
        <v>2. 1-24 hours</v>
      </c>
      <c r="O6505" t="str">
        <f t="shared" si="203"/>
        <v>2025-07</v>
      </c>
    </row>
    <row r="6506" spans="1:15" x14ac:dyDescent="0.3">
      <c r="A6506" t="s">
        <v>15301</v>
      </c>
      <c r="B6506" t="s">
        <v>15302</v>
      </c>
      <c r="C6506" t="s">
        <v>53</v>
      </c>
      <c r="D6506" t="s">
        <v>54</v>
      </c>
      <c r="E6506" t="s">
        <v>90</v>
      </c>
      <c r="F6506" t="s">
        <v>112</v>
      </c>
      <c r="G6506">
        <v>4.2</v>
      </c>
      <c r="H6506" t="s">
        <v>41</v>
      </c>
      <c r="I6506" t="s">
        <v>42</v>
      </c>
      <c r="M6506">
        <f>VLOOKUP(H6506,'Stage Order'!$A$2:$B$8,2,FALSE)</f>
        <v>2</v>
      </c>
      <c r="N6506" t="str">
        <f t="shared" si="202"/>
        <v>2. 1-24 hours</v>
      </c>
      <c r="O6506" t="str">
        <f t="shared" si="203"/>
        <v>2026-04</v>
      </c>
    </row>
    <row r="6507" spans="1:15" x14ac:dyDescent="0.3">
      <c r="A6507" t="s">
        <v>15303</v>
      </c>
      <c r="B6507" t="s">
        <v>15304</v>
      </c>
      <c r="C6507" t="s">
        <v>37</v>
      </c>
      <c r="D6507" t="s">
        <v>29</v>
      </c>
      <c r="E6507" t="s">
        <v>39</v>
      </c>
      <c r="F6507" t="s">
        <v>66</v>
      </c>
      <c r="G6507">
        <v>5.93</v>
      </c>
      <c r="H6507" t="s">
        <v>47</v>
      </c>
      <c r="I6507" t="s">
        <v>48</v>
      </c>
      <c r="J6507" t="s">
        <v>49</v>
      </c>
      <c r="K6507">
        <v>609.38</v>
      </c>
      <c r="L6507" t="s">
        <v>15305</v>
      </c>
      <c r="M6507">
        <f>VLOOKUP(H6507,'Stage Order'!$A$2:$B$8,2,FALSE)</f>
        <v>4</v>
      </c>
      <c r="N6507" t="str">
        <f t="shared" si="202"/>
        <v>2. 1-24 hours</v>
      </c>
      <c r="O6507" t="str">
        <f t="shared" si="203"/>
        <v>2025-01</v>
      </c>
    </row>
    <row r="6508" spans="1:15" x14ac:dyDescent="0.3">
      <c r="A6508" t="s">
        <v>15306</v>
      </c>
      <c r="B6508" t="s">
        <v>15307</v>
      </c>
      <c r="C6508" t="s">
        <v>58</v>
      </c>
      <c r="D6508" t="s">
        <v>77</v>
      </c>
      <c r="E6508" t="s">
        <v>45</v>
      </c>
      <c r="F6508" t="s">
        <v>94</v>
      </c>
      <c r="G6508">
        <v>4.57</v>
      </c>
      <c r="H6508" t="s">
        <v>32</v>
      </c>
      <c r="I6508" t="s">
        <v>33</v>
      </c>
      <c r="K6508">
        <v>926.71</v>
      </c>
      <c r="L6508" t="s">
        <v>15308</v>
      </c>
      <c r="M6508">
        <f>VLOOKUP(H6508,'Stage Order'!$A$2:$B$8,2,FALSE)</f>
        <v>7</v>
      </c>
      <c r="N6508" t="str">
        <f t="shared" si="202"/>
        <v>2. 1-24 hours</v>
      </c>
      <c r="O6508" t="str">
        <f t="shared" si="203"/>
        <v>2026-04</v>
      </c>
    </row>
    <row r="6509" spans="1:15" x14ac:dyDescent="0.3">
      <c r="A6509" t="s">
        <v>15309</v>
      </c>
      <c r="B6509" t="s">
        <v>15310</v>
      </c>
      <c r="C6509" t="s">
        <v>37</v>
      </c>
      <c r="D6509" t="s">
        <v>54</v>
      </c>
      <c r="E6509" t="s">
        <v>39</v>
      </c>
      <c r="F6509" t="s">
        <v>40</v>
      </c>
      <c r="G6509">
        <v>3.64</v>
      </c>
      <c r="H6509" t="s">
        <v>41</v>
      </c>
      <c r="I6509" t="s">
        <v>42</v>
      </c>
      <c r="M6509">
        <f>VLOOKUP(H6509,'Stage Order'!$A$2:$B$8,2,FALSE)</f>
        <v>2</v>
      </c>
      <c r="N6509" t="str">
        <f t="shared" si="202"/>
        <v>2. 1-24 hours</v>
      </c>
      <c r="O6509" t="str">
        <f t="shared" si="203"/>
        <v>2025-08</v>
      </c>
    </row>
    <row r="6510" spans="1:15" x14ac:dyDescent="0.3">
      <c r="A6510" t="s">
        <v>15311</v>
      </c>
      <c r="B6510" t="s">
        <v>15312</v>
      </c>
      <c r="C6510" t="s">
        <v>37</v>
      </c>
      <c r="D6510" t="s">
        <v>54</v>
      </c>
      <c r="E6510" t="s">
        <v>59</v>
      </c>
      <c r="F6510" t="s">
        <v>60</v>
      </c>
      <c r="G6510">
        <v>1.7</v>
      </c>
      <c r="H6510" t="s">
        <v>41</v>
      </c>
      <c r="I6510" t="s">
        <v>42</v>
      </c>
      <c r="M6510">
        <f>VLOOKUP(H6510,'Stage Order'!$A$2:$B$8,2,FALSE)</f>
        <v>2</v>
      </c>
      <c r="N6510" t="str">
        <f t="shared" si="202"/>
        <v>2. 1-24 hours</v>
      </c>
      <c r="O6510" t="str">
        <f t="shared" si="203"/>
        <v>2025-10</v>
      </c>
    </row>
    <row r="6511" spans="1:15" x14ac:dyDescent="0.3">
      <c r="A6511" t="s">
        <v>15313</v>
      </c>
      <c r="B6511" t="s">
        <v>15314</v>
      </c>
      <c r="C6511" t="s">
        <v>81</v>
      </c>
      <c r="D6511" t="s">
        <v>54</v>
      </c>
      <c r="E6511" t="s">
        <v>59</v>
      </c>
      <c r="F6511" t="s">
        <v>117</v>
      </c>
      <c r="G6511">
        <v>2.29</v>
      </c>
      <c r="H6511" t="s">
        <v>61</v>
      </c>
      <c r="I6511" t="s">
        <v>42</v>
      </c>
      <c r="M6511">
        <f>VLOOKUP(H6511,'Stage Order'!$A$2:$B$8,2,FALSE)</f>
        <v>1</v>
      </c>
      <c r="N6511" t="str">
        <f t="shared" si="202"/>
        <v>2. 1-24 hours</v>
      </c>
      <c r="O6511" t="str">
        <f t="shared" si="203"/>
        <v>2025-12</v>
      </c>
    </row>
    <row r="6512" spans="1:15" x14ac:dyDescent="0.3">
      <c r="A6512" t="s">
        <v>15315</v>
      </c>
      <c r="B6512" t="s">
        <v>15316</v>
      </c>
      <c r="C6512" t="s">
        <v>58</v>
      </c>
      <c r="D6512" t="s">
        <v>54</v>
      </c>
      <c r="E6512" t="s">
        <v>45</v>
      </c>
      <c r="F6512" t="s">
        <v>55</v>
      </c>
      <c r="G6512">
        <v>0.88</v>
      </c>
      <c r="H6512" t="s">
        <v>41</v>
      </c>
      <c r="I6512" t="s">
        <v>42</v>
      </c>
      <c r="M6512">
        <f>VLOOKUP(H6512,'Stage Order'!$A$2:$B$8,2,FALSE)</f>
        <v>2</v>
      </c>
      <c r="N6512" t="str">
        <f t="shared" si="202"/>
        <v>1. Under 1 hour</v>
      </c>
      <c r="O6512" t="str">
        <f t="shared" si="203"/>
        <v>2025-06</v>
      </c>
    </row>
    <row r="6513" spans="1:15" x14ac:dyDescent="0.3">
      <c r="A6513" t="s">
        <v>15317</v>
      </c>
      <c r="B6513" t="s">
        <v>15318</v>
      </c>
      <c r="C6513" t="s">
        <v>81</v>
      </c>
      <c r="D6513" t="s">
        <v>29</v>
      </c>
      <c r="E6513" t="s">
        <v>39</v>
      </c>
      <c r="F6513" t="s">
        <v>40</v>
      </c>
      <c r="G6513">
        <v>0.88</v>
      </c>
      <c r="H6513" t="s">
        <v>61</v>
      </c>
      <c r="I6513" t="s">
        <v>42</v>
      </c>
      <c r="M6513">
        <f>VLOOKUP(H6513,'Stage Order'!$A$2:$B$8,2,FALSE)</f>
        <v>1</v>
      </c>
      <c r="N6513" t="str">
        <f t="shared" si="202"/>
        <v>1. Under 1 hour</v>
      </c>
      <c r="O6513" t="str">
        <f t="shared" si="203"/>
        <v>2025-12</v>
      </c>
    </row>
    <row r="6514" spans="1:15" x14ac:dyDescent="0.3">
      <c r="A6514" t="s">
        <v>15319</v>
      </c>
      <c r="B6514" t="s">
        <v>15320</v>
      </c>
      <c r="C6514" t="s">
        <v>37</v>
      </c>
      <c r="D6514" t="s">
        <v>54</v>
      </c>
      <c r="E6514" t="s">
        <v>59</v>
      </c>
      <c r="F6514" t="s">
        <v>117</v>
      </c>
      <c r="G6514">
        <v>1.82</v>
      </c>
      <c r="H6514" t="s">
        <v>138</v>
      </c>
      <c r="I6514" t="s">
        <v>48</v>
      </c>
      <c r="J6514" t="s">
        <v>113</v>
      </c>
      <c r="K6514">
        <v>569.57000000000005</v>
      </c>
      <c r="L6514" t="s">
        <v>15321</v>
      </c>
      <c r="M6514">
        <f>VLOOKUP(H6514,'Stage Order'!$A$2:$B$8,2,FALSE)</f>
        <v>6</v>
      </c>
      <c r="N6514" t="str">
        <f t="shared" si="202"/>
        <v>2. 1-24 hours</v>
      </c>
      <c r="O6514" t="str">
        <f t="shared" si="203"/>
        <v>2025-01</v>
      </c>
    </row>
    <row r="6515" spans="1:15" x14ac:dyDescent="0.3">
      <c r="A6515" t="s">
        <v>15322</v>
      </c>
      <c r="B6515" t="s">
        <v>15323</v>
      </c>
      <c r="C6515" t="s">
        <v>53</v>
      </c>
      <c r="D6515" t="s">
        <v>77</v>
      </c>
      <c r="E6515" t="s">
        <v>45</v>
      </c>
      <c r="F6515" t="s">
        <v>94</v>
      </c>
      <c r="G6515">
        <v>3.02</v>
      </c>
      <c r="H6515" t="s">
        <v>41</v>
      </c>
      <c r="I6515" t="s">
        <v>42</v>
      </c>
      <c r="M6515">
        <f>VLOOKUP(H6515,'Stage Order'!$A$2:$B$8,2,FALSE)</f>
        <v>2</v>
      </c>
      <c r="N6515" t="str">
        <f t="shared" si="202"/>
        <v>2. 1-24 hours</v>
      </c>
      <c r="O6515" t="str">
        <f t="shared" si="203"/>
        <v>2025-03</v>
      </c>
    </row>
    <row r="6516" spans="1:15" x14ac:dyDescent="0.3">
      <c r="A6516" t="s">
        <v>15324</v>
      </c>
      <c r="B6516" t="s">
        <v>15325</v>
      </c>
      <c r="C6516" t="s">
        <v>58</v>
      </c>
      <c r="D6516" t="s">
        <v>38</v>
      </c>
      <c r="E6516" t="s">
        <v>59</v>
      </c>
      <c r="F6516" t="s">
        <v>60</v>
      </c>
      <c r="G6516">
        <v>2.59</v>
      </c>
      <c r="H6516" t="s">
        <v>47</v>
      </c>
      <c r="I6516" t="s">
        <v>48</v>
      </c>
      <c r="J6516" t="s">
        <v>98</v>
      </c>
      <c r="K6516">
        <v>359.34</v>
      </c>
      <c r="L6516" t="s">
        <v>15326</v>
      </c>
      <c r="M6516">
        <f>VLOOKUP(H6516,'Stage Order'!$A$2:$B$8,2,FALSE)</f>
        <v>4</v>
      </c>
      <c r="N6516" t="str">
        <f t="shared" si="202"/>
        <v>2. 1-24 hours</v>
      </c>
      <c r="O6516" t="str">
        <f t="shared" si="203"/>
        <v>2025-05</v>
      </c>
    </row>
    <row r="6517" spans="1:15" x14ac:dyDescent="0.3">
      <c r="A6517" t="s">
        <v>15327</v>
      </c>
      <c r="B6517" t="s">
        <v>15328</v>
      </c>
      <c r="C6517" t="s">
        <v>28</v>
      </c>
      <c r="D6517" t="s">
        <v>97</v>
      </c>
      <c r="E6517" t="s">
        <v>59</v>
      </c>
      <c r="F6517" t="s">
        <v>137</v>
      </c>
      <c r="G6517">
        <v>5.93</v>
      </c>
      <c r="H6517" t="s">
        <v>146</v>
      </c>
      <c r="I6517" t="s">
        <v>48</v>
      </c>
      <c r="J6517" t="s">
        <v>98</v>
      </c>
      <c r="K6517">
        <v>1516.71</v>
      </c>
      <c r="L6517" t="s">
        <v>15329</v>
      </c>
      <c r="M6517">
        <f>VLOOKUP(H6517,'Stage Order'!$A$2:$B$8,2,FALSE)</f>
        <v>5</v>
      </c>
      <c r="N6517" t="str">
        <f t="shared" si="202"/>
        <v>2. 1-24 hours</v>
      </c>
      <c r="O6517" t="str">
        <f t="shared" si="203"/>
        <v>2026-03</v>
      </c>
    </row>
    <row r="6518" spans="1:15" x14ac:dyDescent="0.3">
      <c r="A6518" t="s">
        <v>15330</v>
      </c>
      <c r="B6518" t="s">
        <v>15331</v>
      </c>
      <c r="C6518" t="s">
        <v>81</v>
      </c>
      <c r="D6518" t="s">
        <v>38</v>
      </c>
      <c r="E6518" t="s">
        <v>59</v>
      </c>
      <c r="F6518" t="s">
        <v>117</v>
      </c>
      <c r="G6518">
        <v>1.94</v>
      </c>
      <c r="H6518" t="s">
        <v>41</v>
      </c>
      <c r="I6518" t="s">
        <v>42</v>
      </c>
      <c r="M6518">
        <f>VLOOKUP(H6518,'Stage Order'!$A$2:$B$8,2,FALSE)</f>
        <v>2</v>
      </c>
      <c r="N6518" t="str">
        <f t="shared" si="202"/>
        <v>2. 1-24 hours</v>
      </c>
      <c r="O6518" t="str">
        <f t="shared" si="203"/>
        <v>2026-01</v>
      </c>
    </row>
    <row r="6519" spans="1:15" x14ac:dyDescent="0.3">
      <c r="A6519" t="s">
        <v>15332</v>
      </c>
      <c r="B6519" t="s">
        <v>15333</v>
      </c>
      <c r="C6519" t="s">
        <v>58</v>
      </c>
      <c r="D6519" t="s">
        <v>54</v>
      </c>
      <c r="E6519" t="s">
        <v>30</v>
      </c>
      <c r="F6519" t="s">
        <v>78</v>
      </c>
      <c r="G6519">
        <v>3.5</v>
      </c>
      <c r="H6519" t="s">
        <v>146</v>
      </c>
      <c r="I6519" t="s">
        <v>48</v>
      </c>
      <c r="J6519" t="s">
        <v>98</v>
      </c>
      <c r="K6519">
        <v>528.95000000000005</v>
      </c>
      <c r="L6519" t="s">
        <v>15334</v>
      </c>
      <c r="M6519">
        <f>VLOOKUP(H6519,'Stage Order'!$A$2:$B$8,2,FALSE)</f>
        <v>5</v>
      </c>
      <c r="N6519" t="str">
        <f t="shared" si="202"/>
        <v>2. 1-24 hours</v>
      </c>
      <c r="O6519" t="str">
        <f t="shared" si="203"/>
        <v>2025-02</v>
      </c>
    </row>
    <row r="6520" spans="1:15" x14ac:dyDescent="0.3">
      <c r="A6520" t="s">
        <v>15335</v>
      </c>
      <c r="B6520" t="s">
        <v>15336</v>
      </c>
      <c r="C6520" t="s">
        <v>58</v>
      </c>
      <c r="D6520" t="s">
        <v>97</v>
      </c>
      <c r="E6520" t="s">
        <v>59</v>
      </c>
      <c r="F6520" t="s">
        <v>137</v>
      </c>
      <c r="G6520">
        <v>1.25</v>
      </c>
      <c r="H6520" t="s">
        <v>41</v>
      </c>
      <c r="I6520" t="s">
        <v>42</v>
      </c>
      <c r="M6520">
        <f>VLOOKUP(H6520,'Stage Order'!$A$2:$B$8,2,FALSE)</f>
        <v>2</v>
      </c>
      <c r="N6520" t="str">
        <f t="shared" si="202"/>
        <v>2. 1-24 hours</v>
      </c>
      <c r="O6520" t="str">
        <f t="shared" si="203"/>
        <v>2025-12</v>
      </c>
    </row>
    <row r="6521" spans="1:15" x14ac:dyDescent="0.3">
      <c r="A6521" t="s">
        <v>15337</v>
      </c>
      <c r="B6521" t="s">
        <v>15338</v>
      </c>
      <c r="C6521" t="s">
        <v>37</v>
      </c>
      <c r="D6521" t="s">
        <v>54</v>
      </c>
      <c r="E6521" t="s">
        <v>90</v>
      </c>
      <c r="F6521" t="s">
        <v>112</v>
      </c>
      <c r="G6521">
        <v>6.67</v>
      </c>
      <c r="H6521" t="s">
        <v>47</v>
      </c>
      <c r="I6521" t="s">
        <v>48</v>
      </c>
      <c r="J6521" t="s">
        <v>49</v>
      </c>
      <c r="K6521">
        <v>563.95000000000005</v>
      </c>
      <c r="L6521" t="s">
        <v>15339</v>
      </c>
      <c r="M6521">
        <f>VLOOKUP(H6521,'Stage Order'!$A$2:$B$8,2,FALSE)</f>
        <v>4</v>
      </c>
      <c r="N6521" t="str">
        <f t="shared" si="202"/>
        <v>2. 1-24 hours</v>
      </c>
      <c r="O6521" t="str">
        <f t="shared" si="203"/>
        <v>2026-06</v>
      </c>
    </row>
    <row r="6522" spans="1:15" x14ac:dyDescent="0.3">
      <c r="A6522" t="s">
        <v>15340</v>
      </c>
      <c r="B6522" t="s">
        <v>15341</v>
      </c>
      <c r="C6522" t="s">
        <v>125</v>
      </c>
      <c r="D6522" t="s">
        <v>54</v>
      </c>
      <c r="E6522" t="s">
        <v>39</v>
      </c>
      <c r="F6522" t="s">
        <v>40</v>
      </c>
      <c r="G6522">
        <v>2.61</v>
      </c>
      <c r="H6522" t="s">
        <v>61</v>
      </c>
      <c r="I6522" t="s">
        <v>42</v>
      </c>
      <c r="M6522">
        <f>VLOOKUP(H6522,'Stage Order'!$A$2:$B$8,2,FALSE)</f>
        <v>1</v>
      </c>
      <c r="N6522" t="str">
        <f t="shared" si="202"/>
        <v>2. 1-24 hours</v>
      </c>
      <c r="O6522" t="str">
        <f t="shared" si="203"/>
        <v>2026-03</v>
      </c>
    </row>
    <row r="6523" spans="1:15" x14ac:dyDescent="0.3">
      <c r="A6523" t="s">
        <v>15342</v>
      </c>
      <c r="B6523" t="s">
        <v>15343</v>
      </c>
      <c r="C6523" t="s">
        <v>81</v>
      </c>
      <c r="D6523" t="s">
        <v>29</v>
      </c>
      <c r="E6523" t="s">
        <v>45</v>
      </c>
      <c r="F6523" t="s">
        <v>46</v>
      </c>
      <c r="G6523">
        <v>1.1200000000000001</v>
      </c>
      <c r="H6523" t="s">
        <v>41</v>
      </c>
      <c r="I6523" t="s">
        <v>42</v>
      </c>
      <c r="M6523">
        <f>VLOOKUP(H6523,'Stage Order'!$A$2:$B$8,2,FALSE)</f>
        <v>2</v>
      </c>
      <c r="N6523" t="str">
        <f t="shared" si="202"/>
        <v>2. 1-24 hours</v>
      </c>
      <c r="O6523" t="str">
        <f t="shared" si="203"/>
        <v>2026-04</v>
      </c>
    </row>
    <row r="6524" spans="1:15" x14ac:dyDescent="0.3">
      <c r="A6524" t="s">
        <v>15344</v>
      </c>
      <c r="B6524" t="s">
        <v>15345</v>
      </c>
      <c r="C6524" t="s">
        <v>76</v>
      </c>
      <c r="D6524" t="s">
        <v>38</v>
      </c>
      <c r="E6524" t="s">
        <v>90</v>
      </c>
      <c r="F6524" t="s">
        <v>112</v>
      </c>
      <c r="G6524">
        <v>4.05</v>
      </c>
      <c r="H6524" t="s">
        <v>146</v>
      </c>
      <c r="I6524" t="s">
        <v>48</v>
      </c>
      <c r="J6524" t="s">
        <v>139</v>
      </c>
      <c r="K6524">
        <v>404.46</v>
      </c>
      <c r="L6524" t="s">
        <v>15346</v>
      </c>
      <c r="M6524">
        <f>VLOOKUP(H6524,'Stage Order'!$A$2:$B$8,2,FALSE)</f>
        <v>5</v>
      </c>
      <c r="N6524" t="str">
        <f t="shared" si="202"/>
        <v>2. 1-24 hours</v>
      </c>
      <c r="O6524" t="str">
        <f t="shared" si="203"/>
        <v>2025-04</v>
      </c>
    </row>
    <row r="6525" spans="1:15" x14ac:dyDescent="0.3">
      <c r="A6525" t="s">
        <v>15347</v>
      </c>
      <c r="B6525" t="s">
        <v>15348</v>
      </c>
      <c r="C6525" t="s">
        <v>37</v>
      </c>
      <c r="D6525" t="s">
        <v>77</v>
      </c>
      <c r="E6525" t="s">
        <v>39</v>
      </c>
      <c r="F6525" t="s">
        <v>40</v>
      </c>
      <c r="G6525">
        <v>3.27</v>
      </c>
      <c r="H6525" t="s">
        <v>47</v>
      </c>
      <c r="I6525" t="s">
        <v>48</v>
      </c>
      <c r="J6525" t="s">
        <v>113</v>
      </c>
      <c r="K6525">
        <v>983.09</v>
      </c>
      <c r="L6525" t="s">
        <v>15349</v>
      </c>
      <c r="M6525">
        <f>VLOOKUP(H6525,'Stage Order'!$A$2:$B$8,2,FALSE)</f>
        <v>4</v>
      </c>
      <c r="N6525" t="str">
        <f t="shared" si="202"/>
        <v>2. 1-24 hours</v>
      </c>
      <c r="O6525" t="str">
        <f t="shared" si="203"/>
        <v>2025-01</v>
      </c>
    </row>
    <row r="6526" spans="1:15" x14ac:dyDescent="0.3">
      <c r="A6526" t="s">
        <v>15350</v>
      </c>
      <c r="B6526" t="s">
        <v>15351</v>
      </c>
      <c r="C6526" t="s">
        <v>37</v>
      </c>
      <c r="D6526" t="s">
        <v>97</v>
      </c>
      <c r="E6526" t="s">
        <v>45</v>
      </c>
      <c r="F6526" t="s">
        <v>46</v>
      </c>
      <c r="G6526">
        <v>2.31</v>
      </c>
      <c r="H6526" t="s">
        <v>41</v>
      </c>
      <c r="I6526" t="s">
        <v>42</v>
      </c>
      <c r="M6526">
        <f>VLOOKUP(H6526,'Stage Order'!$A$2:$B$8,2,FALSE)</f>
        <v>2</v>
      </c>
      <c r="N6526" t="str">
        <f t="shared" si="202"/>
        <v>2. 1-24 hours</v>
      </c>
      <c r="O6526" t="str">
        <f t="shared" si="203"/>
        <v>2026-04</v>
      </c>
    </row>
    <row r="6527" spans="1:15" x14ac:dyDescent="0.3">
      <c r="A6527" t="s">
        <v>15352</v>
      </c>
      <c r="B6527" t="s">
        <v>920</v>
      </c>
      <c r="C6527" t="s">
        <v>28</v>
      </c>
      <c r="D6527" t="s">
        <v>54</v>
      </c>
      <c r="E6527" t="s">
        <v>45</v>
      </c>
      <c r="F6527" t="s">
        <v>55</v>
      </c>
      <c r="G6527">
        <v>2.17</v>
      </c>
      <c r="H6527" t="s">
        <v>146</v>
      </c>
      <c r="I6527" t="s">
        <v>48</v>
      </c>
      <c r="J6527" t="s">
        <v>49</v>
      </c>
      <c r="K6527">
        <v>521.29999999999995</v>
      </c>
      <c r="L6527" t="s">
        <v>15353</v>
      </c>
      <c r="M6527">
        <f>VLOOKUP(H6527,'Stage Order'!$A$2:$B$8,2,FALSE)</f>
        <v>5</v>
      </c>
      <c r="N6527" t="str">
        <f t="shared" si="202"/>
        <v>2. 1-24 hours</v>
      </c>
      <c r="O6527" t="str">
        <f t="shared" si="203"/>
        <v>2025-05</v>
      </c>
    </row>
    <row r="6528" spans="1:15" x14ac:dyDescent="0.3">
      <c r="A6528" t="s">
        <v>15354</v>
      </c>
      <c r="B6528" t="s">
        <v>8388</v>
      </c>
      <c r="C6528" t="s">
        <v>37</v>
      </c>
      <c r="D6528" t="s">
        <v>97</v>
      </c>
      <c r="E6528" t="s">
        <v>59</v>
      </c>
      <c r="F6528" t="s">
        <v>60</v>
      </c>
      <c r="G6528">
        <v>5.28</v>
      </c>
      <c r="H6528" t="s">
        <v>41</v>
      </c>
      <c r="I6528" t="s">
        <v>42</v>
      </c>
      <c r="M6528">
        <f>VLOOKUP(H6528,'Stage Order'!$A$2:$B$8,2,FALSE)</f>
        <v>2</v>
      </c>
      <c r="N6528" t="str">
        <f t="shared" si="202"/>
        <v>2. 1-24 hours</v>
      </c>
      <c r="O6528" t="str">
        <f t="shared" si="203"/>
        <v>2025-07</v>
      </c>
    </row>
    <row r="6529" spans="1:15" x14ac:dyDescent="0.3">
      <c r="A6529" t="s">
        <v>15355</v>
      </c>
      <c r="B6529" t="s">
        <v>15356</v>
      </c>
      <c r="C6529" t="s">
        <v>37</v>
      </c>
      <c r="D6529" t="s">
        <v>77</v>
      </c>
      <c r="E6529" t="s">
        <v>59</v>
      </c>
      <c r="F6529" t="s">
        <v>137</v>
      </c>
      <c r="G6529">
        <v>2.73</v>
      </c>
      <c r="H6529" t="s">
        <v>41</v>
      </c>
      <c r="I6529" t="s">
        <v>42</v>
      </c>
      <c r="M6529">
        <f>VLOOKUP(H6529,'Stage Order'!$A$2:$B$8,2,FALSE)</f>
        <v>2</v>
      </c>
      <c r="N6529" t="str">
        <f t="shared" si="202"/>
        <v>2. 1-24 hours</v>
      </c>
      <c r="O6529" t="str">
        <f t="shared" si="203"/>
        <v>2025-11</v>
      </c>
    </row>
    <row r="6530" spans="1:15" x14ac:dyDescent="0.3">
      <c r="A6530" t="s">
        <v>15357</v>
      </c>
      <c r="B6530" t="s">
        <v>15358</v>
      </c>
      <c r="C6530" t="s">
        <v>81</v>
      </c>
      <c r="D6530" t="s">
        <v>29</v>
      </c>
      <c r="E6530" t="s">
        <v>39</v>
      </c>
      <c r="F6530" t="s">
        <v>40</v>
      </c>
      <c r="G6530">
        <v>2.14</v>
      </c>
      <c r="H6530" t="s">
        <v>128</v>
      </c>
      <c r="I6530" t="s">
        <v>42</v>
      </c>
      <c r="M6530">
        <f>VLOOKUP(H6530,'Stage Order'!$A$2:$B$8,2,FALSE)</f>
        <v>3</v>
      </c>
      <c r="N6530" t="str">
        <f t="shared" ref="N6530:N6593" si="204">IF(G6530&lt;=1,"1. Under 1 hour",IF(G6530&lt;=24,"2. 1-24 hours",IF(G6530&lt;=72,"3. 1-3 days","4. Over 3 days")))</f>
        <v>2. 1-24 hours</v>
      </c>
      <c r="O6530" t="str">
        <f t="shared" ref="O6530:O6593" si="205">TEXT(B6530,"YYYY-MM")</f>
        <v>2026-05</v>
      </c>
    </row>
    <row r="6531" spans="1:15" x14ac:dyDescent="0.3">
      <c r="A6531" t="s">
        <v>15359</v>
      </c>
      <c r="B6531" t="s">
        <v>473</v>
      </c>
      <c r="C6531" t="s">
        <v>37</v>
      </c>
      <c r="D6531" t="s">
        <v>97</v>
      </c>
      <c r="E6531" t="s">
        <v>45</v>
      </c>
      <c r="F6531" t="s">
        <v>55</v>
      </c>
      <c r="G6531">
        <v>5.74</v>
      </c>
      <c r="H6531" t="s">
        <v>61</v>
      </c>
      <c r="I6531" t="s">
        <v>42</v>
      </c>
      <c r="M6531">
        <f>VLOOKUP(H6531,'Stage Order'!$A$2:$B$8,2,FALSE)</f>
        <v>1</v>
      </c>
      <c r="N6531" t="str">
        <f t="shared" si="204"/>
        <v>2. 1-24 hours</v>
      </c>
      <c r="O6531" t="str">
        <f t="shared" si="205"/>
        <v>2025-06</v>
      </c>
    </row>
    <row r="6532" spans="1:15" x14ac:dyDescent="0.3">
      <c r="A6532" t="s">
        <v>15360</v>
      </c>
      <c r="B6532" t="s">
        <v>15361</v>
      </c>
      <c r="C6532" t="s">
        <v>58</v>
      </c>
      <c r="D6532" t="s">
        <v>54</v>
      </c>
      <c r="E6532" t="s">
        <v>90</v>
      </c>
      <c r="F6532" t="s">
        <v>91</v>
      </c>
      <c r="G6532">
        <v>2.2400000000000002</v>
      </c>
      <c r="H6532" t="s">
        <v>61</v>
      </c>
      <c r="I6532" t="s">
        <v>42</v>
      </c>
      <c r="M6532">
        <f>VLOOKUP(H6532,'Stage Order'!$A$2:$B$8,2,FALSE)</f>
        <v>1</v>
      </c>
      <c r="N6532" t="str">
        <f t="shared" si="204"/>
        <v>2. 1-24 hours</v>
      </c>
      <c r="O6532" t="str">
        <f t="shared" si="205"/>
        <v>2025-04</v>
      </c>
    </row>
    <row r="6533" spans="1:15" x14ac:dyDescent="0.3">
      <c r="A6533" t="s">
        <v>15362</v>
      </c>
      <c r="B6533" t="s">
        <v>15363</v>
      </c>
      <c r="C6533" t="s">
        <v>58</v>
      </c>
      <c r="D6533" t="s">
        <v>77</v>
      </c>
      <c r="E6533" t="s">
        <v>39</v>
      </c>
      <c r="F6533" t="s">
        <v>106</v>
      </c>
      <c r="G6533">
        <v>3.65</v>
      </c>
      <c r="H6533" t="s">
        <v>47</v>
      </c>
      <c r="I6533" t="s">
        <v>48</v>
      </c>
      <c r="J6533" t="s">
        <v>139</v>
      </c>
      <c r="K6533">
        <v>906.21</v>
      </c>
      <c r="L6533" t="s">
        <v>15364</v>
      </c>
      <c r="M6533">
        <f>VLOOKUP(H6533,'Stage Order'!$A$2:$B$8,2,FALSE)</f>
        <v>4</v>
      </c>
      <c r="N6533" t="str">
        <f t="shared" si="204"/>
        <v>2. 1-24 hours</v>
      </c>
      <c r="O6533" t="str">
        <f t="shared" si="205"/>
        <v>2025-05</v>
      </c>
    </row>
    <row r="6534" spans="1:15" x14ac:dyDescent="0.3">
      <c r="A6534" t="s">
        <v>15365</v>
      </c>
      <c r="B6534" t="s">
        <v>15366</v>
      </c>
      <c r="C6534" t="s">
        <v>58</v>
      </c>
      <c r="D6534" t="s">
        <v>97</v>
      </c>
      <c r="E6534" t="s">
        <v>45</v>
      </c>
      <c r="F6534" t="s">
        <v>94</v>
      </c>
      <c r="G6534">
        <v>1.6</v>
      </c>
      <c r="H6534" t="s">
        <v>61</v>
      </c>
      <c r="I6534" t="s">
        <v>42</v>
      </c>
      <c r="M6534">
        <f>VLOOKUP(H6534,'Stage Order'!$A$2:$B$8,2,FALSE)</f>
        <v>1</v>
      </c>
      <c r="N6534" t="str">
        <f t="shared" si="204"/>
        <v>2. 1-24 hours</v>
      </c>
      <c r="O6534" t="str">
        <f t="shared" si="205"/>
        <v>2025-02</v>
      </c>
    </row>
    <row r="6535" spans="1:15" x14ac:dyDescent="0.3">
      <c r="A6535" t="s">
        <v>15367</v>
      </c>
      <c r="B6535" t="s">
        <v>15368</v>
      </c>
      <c r="C6535" t="s">
        <v>125</v>
      </c>
      <c r="D6535" t="s">
        <v>77</v>
      </c>
      <c r="E6535" t="s">
        <v>45</v>
      </c>
      <c r="F6535" t="s">
        <v>94</v>
      </c>
      <c r="G6535">
        <v>2.2999999999999998</v>
      </c>
      <c r="H6535" t="s">
        <v>41</v>
      </c>
      <c r="I6535" t="s">
        <v>42</v>
      </c>
      <c r="M6535">
        <f>VLOOKUP(H6535,'Stage Order'!$A$2:$B$8,2,FALSE)</f>
        <v>2</v>
      </c>
      <c r="N6535" t="str">
        <f t="shared" si="204"/>
        <v>2. 1-24 hours</v>
      </c>
      <c r="O6535" t="str">
        <f t="shared" si="205"/>
        <v>2026-02</v>
      </c>
    </row>
    <row r="6536" spans="1:15" x14ac:dyDescent="0.3">
      <c r="A6536" t="s">
        <v>15369</v>
      </c>
      <c r="B6536" t="s">
        <v>15370</v>
      </c>
      <c r="C6536" t="s">
        <v>28</v>
      </c>
      <c r="D6536" t="s">
        <v>54</v>
      </c>
      <c r="E6536" t="s">
        <v>39</v>
      </c>
      <c r="F6536" t="s">
        <v>66</v>
      </c>
      <c r="G6536">
        <v>9.85</v>
      </c>
      <c r="H6536" t="s">
        <v>41</v>
      </c>
      <c r="I6536" t="s">
        <v>42</v>
      </c>
      <c r="M6536">
        <f>VLOOKUP(H6536,'Stage Order'!$A$2:$B$8,2,FALSE)</f>
        <v>2</v>
      </c>
      <c r="N6536" t="str">
        <f t="shared" si="204"/>
        <v>2. 1-24 hours</v>
      </c>
      <c r="O6536" t="str">
        <f t="shared" si="205"/>
        <v>2026-02</v>
      </c>
    </row>
    <row r="6537" spans="1:15" x14ac:dyDescent="0.3">
      <c r="A6537" t="s">
        <v>15371</v>
      </c>
      <c r="B6537" t="s">
        <v>15372</v>
      </c>
      <c r="C6537" t="s">
        <v>81</v>
      </c>
      <c r="D6537" t="s">
        <v>77</v>
      </c>
      <c r="E6537" t="s">
        <v>45</v>
      </c>
      <c r="F6537" t="s">
        <v>94</v>
      </c>
      <c r="G6537">
        <v>3.46</v>
      </c>
      <c r="H6537" t="s">
        <v>41</v>
      </c>
      <c r="I6537" t="s">
        <v>42</v>
      </c>
      <c r="M6537">
        <f>VLOOKUP(H6537,'Stage Order'!$A$2:$B$8,2,FALSE)</f>
        <v>2</v>
      </c>
      <c r="N6537" t="str">
        <f t="shared" si="204"/>
        <v>2. 1-24 hours</v>
      </c>
      <c r="O6537" t="str">
        <f t="shared" si="205"/>
        <v>2025-06</v>
      </c>
    </row>
    <row r="6538" spans="1:15" x14ac:dyDescent="0.3">
      <c r="A6538" t="s">
        <v>15373</v>
      </c>
      <c r="B6538" t="s">
        <v>15374</v>
      </c>
      <c r="C6538" t="s">
        <v>28</v>
      </c>
      <c r="D6538" t="s">
        <v>77</v>
      </c>
      <c r="E6538" t="s">
        <v>45</v>
      </c>
      <c r="F6538" t="s">
        <v>94</v>
      </c>
      <c r="G6538">
        <v>3.39</v>
      </c>
      <c r="H6538" t="s">
        <v>32</v>
      </c>
      <c r="I6538" t="s">
        <v>33</v>
      </c>
      <c r="K6538">
        <v>1111.74</v>
      </c>
      <c r="L6538" t="s">
        <v>15375</v>
      </c>
      <c r="M6538">
        <f>VLOOKUP(H6538,'Stage Order'!$A$2:$B$8,2,FALSE)</f>
        <v>7</v>
      </c>
      <c r="N6538" t="str">
        <f t="shared" si="204"/>
        <v>2. 1-24 hours</v>
      </c>
      <c r="O6538" t="str">
        <f t="shared" si="205"/>
        <v>2026-04</v>
      </c>
    </row>
    <row r="6539" spans="1:15" x14ac:dyDescent="0.3">
      <c r="A6539" t="s">
        <v>15376</v>
      </c>
      <c r="B6539" t="s">
        <v>15377</v>
      </c>
      <c r="C6539" t="s">
        <v>53</v>
      </c>
      <c r="D6539" t="s">
        <v>54</v>
      </c>
      <c r="E6539" t="s">
        <v>39</v>
      </c>
      <c r="F6539" t="s">
        <v>106</v>
      </c>
      <c r="G6539">
        <v>0.86</v>
      </c>
      <c r="H6539" t="s">
        <v>32</v>
      </c>
      <c r="I6539" t="s">
        <v>33</v>
      </c>
      <c r="K6539">
        <v>422.76</v>
      </c>
      <c r="L6539" t="s">
        <v>15378</v>
      </c>
      <c r="M6539">
        <f>VLOOKUP(H6539,'Stage Order'!$A$2:$B$8,2,FALSE)</f>
        <v>7</v>
      </c>
      <c r="N6539" t="str">
        <f t="shared" si="204"/>
        <v>1. Under 1 hour</v>
      </c>
      <c r="O6539" t="str">
        <f t="shared" si="205"/>
        <v>2026-06</v>
      </c>
    </row>
    <row r="6540" spans="1:15" x14ac:dyDescent="0.3">
      <c r="A6540" t="s">
        <v>15379</v>
      </c>
      <c r="B6540" t="s">
        <v>15380</v>
      </c>
      <c r="C6540" t="s">
        <v>76</v>
      </c>
      <c r="D6540" t="s">
        <v>29</v>
      </c>
      <c r="E6540" t="s">
        <v>90</v>
      </c>
      <c r="F6540" t="s">
        <v>91</v>
      </c>
      <c r="G6540">
        <v>1.56</v>
      </c>
      <c r="H6540" t="s">
        <v>61</v>
      </c>
      <c r="I6540" t="s">
        <v>42</v>
      </c>
      <c r="M6540">
        <f>VLOOKUP(H6540,'Stage Order'!$A$2:$B$8,2,FALSE)</f>
        <v>1</v>
      </c>
      <c r="N6540" t="str">
        <f t="shared" si="204"/>
        <v>2. 1-24 hours</v>
      </c>
      <c r="O6540" t="str">
        <f t="shared" si="205"/>
        <v>2025-03</v>
      </c>
    </row>
    <row r="6541" spans="1:15" x14ac:dyDescent="0.3">
      <c r="A6541" t="s">
        <v>15381</v>
      </c>
      <c r="B6541" t="s">
        <v>15382</v>
      </c>
      <c r="C6541" t="s">
        <v>125</v>
      </c>
      <c r="D6541" t="s">
        <v>97</v>
      </c>
      <c r="E6541" t="s">
        <v>39</v>
      </c>
      <c r="F6541" t="s">
        <v>40</v>
      </c>
      <c r="G6541">
        <v>6.18</v>
      </c>
      <c r="H6541" t="s">
        <v>41</v>
      </c>
      <c r="I6541" t="s">
        <v>42</v>
      </c>
      <c r="M6541">
        <f>VLOOKUP(H6541,'Stage Order'!$A$2:$B$8,2,FALSE)</f>
        <v>2</v>
      </c>
      <c r="N6541" t="str">
        <f t="shared" si="204"/>
        <v>2. 1-24 hours</v>
      </c>
      <c r="O6541" t="str">
        <f t="shared" si="205"/>
        <v>2026-04</v>
      </c>
    </row>
    <row r="6542" spans="1:15" x14ac:dyDescent="0.3">
      <c r="A6542" t="s">
        <v>15383</v>
      </c>
      <c r="B6542" t="s">
        <v>15384</v>
      </c>
      <c r="C6542" t="s">
        <v>81</v>
      </c>
      <c r="D6542" t="s">
        <v>29</v>
      </c>
      <c r="E6542" t="s">
        <v>59</v>
      </c>
      <c r="F6542" t="s">
        <v>117</v>
      </c>
      <c r="G6542">
        <v>1.58</v>
      </c>
      <c r="H6542" t="s">
        <v>41</v>
      </c>
      <c r="I6542" t="s">
        <v>42</v>
      </c>
      <c r="M6542">
        <f>VLOOKUP(H6542,'Stage Order'!$A$2:$B$8,2,FALSE)</f>
        <v>2</v>
      </c>
      <c r="N6542" t="str">
        <f t="shared" si="204"/>
        <v>2. 1-24 hours</v>
      </c>
      <c r="O6542" t="str">
        <f t="shared" si="205"/>
        <v>2026-04</v>
      </c>
    </row>
    <row r="6543" spans="1:15" x14ac:dyDescent="0.3">
      <c r="A6543" t="s">
        <v>15385</v>
      </c>
      <c r="B6543" t="s">
        <v>15386</v>
      </c>
      <c r="C6543" t="s">
        <v>53</v>
      </c>
      <c r="D6543" t="s">
        <v>77</v>
      </c>
      <c r="E6543" t="s">
        <v>45</v>
      </c>
      <c r="F6543" t="s">
        <v>55</v>
      </c>
      <c r="G6543">
        <v>4.51</v>
      </c>
      <c r="H6543" t="s">
        <v>32</v>
      </c>
      <c r="I6543" t="s">
        <v>33</v>
      </c>
      <c r="K6543">
        <v>904.85</v>
      </c>
      <c r="L6543" t="s">
        <v>15387</v>
      </c>
      <c r="M6543">
        <f>VLOOKUP(H6543,'Stage Order'!$A$2:$B$8,2,FALSE)</f>
        <v>7</v>
      </c>
      <c r="N6543" t="str">
        <f t="shared" si="204"/>
        <v>2. 1-24 hours</v>
      </c>
      <c r="O6543" t="str">
        <f t="shared" si="205"/>
        <v>2026-05</v>
      </c>
    </row>
    <row r="6544" spans="1:15" x14ac:dyDescent="0.3">
      <c r="A6544" t="s">
        <v>15388</v>
      </c>
      <c r="B6544" t="s">
        <v>15389</v>
      </c>
      <c r="C6544" t="s">
        <v>37</v>
      </c>
      <c r="D6544" t="s">
        <v>29</v>
      </c>
      <c r="E6544" t="s">
        <v>59</v>
      </c>
      <c r="F6544" t="s">
        <v>137</v>
      </c>
      <c r="G6544">
        <v>3.02</v>
      </c>
      <c r="H6544" t="s">
        <v>47</v>
      </c>
      <c r="I6544" t="s">
        <v>48</v>
      </c>
      <c r="J6544" t="s">
        <v>139</v>
      </c>
      <c r="K6544">
        <v>668.19</v>
      </c>
      <c r="L6544" t="s">
        <v>15390</v>
      </c>
      <c r="M6544">
        <f>VLOOKUP(H6544,'Stage Order'!$A$2:$B$8,2,FALSE)</f>
        <v>4</v>
      </c>
      <c r="N6544" t="str">
        <f t="shared" si="204"/>
        <v>2. 1-24 hours</v>
      </c>
      <c r="O6544" t="str">
        <f t="shared" si="205"/>
        <v>2025-07</v>
      </c>
    </row>
    <row r="6545" spans="1:15" x14ac:dyDescent="0.3">
      <c r="A6545" t="s">
        <v>15391</v>
      </c>
      <c r="B6545" t="s">
        <v>15392</v>
      </c>
      <c r="C6545" t="s">
        <v>81</v>
      </c>
      <c r="D6545" t="s">
        <v>54</v>
      </c>
      <c r="E6545" t="s">
        <v>30</v>
      </c>
      <c r="F6545" t="s">
        <v>78</v>
      </c>
      <c r="G6545">
        <v>1.47</v>
      </c>
      <c r="H6545" t="s">
        <v>41</v>
      </c>
      <c r="I6545" t="s">
        <v>42</v>
      </c>
      <c r="M6545">
        <f>VLOOKUP(H6545,'Stage Order'!$A$2:$B$8,2,FALSE)</f>
        <v>2</v>
      </c>
      <c r="N6545" t="str">
        <f t="shared" si="204"/>
        <v>2. 1-24 hours</v>
      </c>
      <c r="O6545" t="str">
        <f t="shared" si="205"/>
        <v>2025-07</v>
      </c>
    </row>
    <row r="6546" spans="1:15" x14ac:dyDescent="0.3">
      <c r="A6546" t="s">
        <v>15393</v>
      </c>
      <c r="B6546" t="s">
        <v>15394</v>
      </c>
      <c r="C6546" t="s">
        <v>125</v>
      </c>
      <c r="D6546" t="s">
        <v>77</v>
      </c>
      <c r="E6546" t="s">
        <v>90</v>
      </c>
      <c r="F6546" t="s">
        <v>91</v>
      </c>
      <c r="G6546">
        <v>13.27</v>
      </c>
      <c r="H6546" t="s">
        <v>61</v>
      </c>
      <c r="I6546" t="s">
        <v>42</v>
      </c>
      <c r="M6546">
        <f>VLOOKUP(H6546,'Stage Order'!$A$2:$B$8,2,FALSE)</f>
        <v>1</v>
      </c>
      <c r="N6546" t="str">
        <f t="shared" si="204"/>
        <v>2. 1-24 hours</v>
      </c>
      <c r="O6546" t="str">
        <f t="shared" si="205"/>
        <v>2026-01</v>
      </c>
    </row>
    <row r="6547" spans="1:15" x14ac:dyDescent="0.3">
      <c r="A6547" t="s">
        <v>15395</v>
      </c>
      <c r="B6547" t="s">
        <v>15396</v>
      </c>
      <c r="C6547" t="s">
        <v>28</v>
      </c>
      <c r="D6547" t="s">
        <v>29</v>
      </c>
      <c r="E6547" t="s">
        <v>59</v>
      </c>
      <c r="F6547" t="s">
        <v>137</v>
      </c>
      <c r="G6547">
        <v>0.99</v>
      </c>
      <c r="H6547" t="s">
        <v>138</v>
      </c>
      <c r="I6547" t="s">
        <v>48</v>
      </c>
      <c r="J6547" t="s">
        <v>139</v>
      </c>
      <c r="K6547">
        <v>747.41</v>
      </c>
      <c r="L6547" t="s">
        <v>15397</v>
      </c>
      <c r="M6547">
        <f>VLOOKUP(H6547,'Stage Order'!$A$2:$B$8,2,FALSE)</f>
        <v>6</v>
      </c>
      <c r="N6547" t="str">
        <f t="shared" si="204"/>
        <v>1. Under 1 hour</v>
      </c>
      <c r="O6547" t="str">
        <f t="shared" si="205"/>
        <v>2025-01</v>
      </c>
    </row>
    <row r="6548" spans="1:15" x14ac:dyDescent="0.3">
      <c r="A6548" t="s">
        <v>15398</v>
      </c>
      <c r="B6548" t="s">
        <v>15399</v>
      </c>
      <c r="C6548" t="s">
        <v>125</v>
      </c>
      <c r="D6548" t="s">
        <v>77</v>
      </c>
      <c r="E6548" t="s">
        <v>39</v>
      </c>
      <c r="F6548" t="s">
        <v>106</v>
      </c>
      <c r="G6548">
        <v>10.95</v>
      </c>
      <c r="H6548" t="s">
        <v>61</v>
      </c>
      <c r="I6548" t="s">
        <v>42</v>
      </c>
      <c r="M6548">
        <f>VLOOKUP(H6548,'Stage Order'!$A$2:$B$8,2,FALSE)</f>
        <v>1</v>
      </c>
      <c r="N6548" t="str">
        <f t="shared" si="204"/>
        <v>2. 1-24 hours</v>
      </c>
      <c r="O6548" t="str">
        <f t="shared" si="205"/>
        <v>2026-06</v>
      </c>
    </row>
    <row r="6549" spans="1:15" x14ac:dyDescent="0.3">
      <c r="A6549" t="s">
        <v>15400</v>
      </c>
      <c r="B6549" t="s">
        <v>15401</v>
      </c>
      <c r="C6549" t="s">
        <v>37</v>
      </c>
      <c r="D6549" t="s">
        <v>77</v>
      </c>
      <c r="E6549" t="s">
        <v>45</v>
      </c>
      <c r="F6549" t="s">
        <v>46</v>
      </c>
      <c r="G6549">
        <v>0.8</v>
      </c>
      <c r="H6549" t="s">
        <v>41</v>
      </c>
      <c r="I6549" t="s">
        <v>42</v>
      </c>
      <c r="M6549">
        <f>VLOOKUP(H6549,'Stage Order'!$A$2:$B$8,2,FALSE)</f>
        <v>2</v>
      </c>
      <c r="N6549" t="str">
        <f t="shared" si="204"/>
        <v>1. Under 1 hour</v>
      </c>
      <c r="O6549" t="str">
        <f t="shared" si="205"/>
        <v>2026-06</v>
      </c>
    </row>
    <row r="6550" spans="1:15" x14ac:dyDescent="0.3">
      <c r="A6550" t="s">
        <v>15402</v>
      </c>
      <c r="B6550" t="s">
        <v>15403</v>
      </c>
      <c r="C6550" t="s">
        <v>37</v>
      </c>
      <c r="D6550" t="s">
        <v>54</v>
      </c>
      <c r="E6550" t="s">
        <v>59</v>
      </c>
      <c r="F6550" t="s">
        <v>117</v>
      </c>
      <c r="G6550">
        <v>2.64</v>
      </c>
      <c r="H6550" t="s">
        <v>32</v>
      </c>
      <c r="I6550" t="s">
        <v>33</v>
      </c>
      <c r="K6550">
        <v>457.63</v>
      </c>
      <c r="L6550" t="s">
        <v>15404</v>
      </c>
      <c r="M6550">
        <f>VLOOKUP(H6550,'Stage Order'!$A$2:$B$8,2,FALSE)</f>
        <v>7</v>
      </c>
      <c r="N6550" t="str">
        <f t="shared" si="204"/>
        <v>2. 1-24 hours</v>
      </c>
      <c r="O6550" t="str">
        <f t="shared" si="205"/>
        <v>2025-10</v>
      </c>
    </row>
    <row r="6551" spans="1:15" x14ac:dyDescent="0.3">
      <c r="A6551" t="s">
        <v>15405</v>
      </c>
      <c r="B6551" t="s">
        <v>15406</v>
      </c>
      <c r="C6551" t="s">
        <v>125</v>
      </c>
      <c r="D6551" t="s">
        <v>77</v>
      </c>
      <c r="E6551" t="s">
        <v>90</v>
      </c>
      <c r="F6551" t="s">
        <v>91</v>
      </c>
      <c r="G6551">
        <v>1.94</v>
      </c>
      <c r="H6551" t="s">
        <v>61</v>
      </c>
      <c r="I6551" t="s">
        <v>42</v>
      </c>
      <c r="M6551">
        <f>VLOOKUP(H6551,'Stage Order'!$A$2:$B$8,2,FALSE)</f>
        <v>1</v>
      </c>
      <c r="N6551" t="str">
        <f t="shared" si="204"/>
        <v>2. 1-24 hours</v>
      </c>
      <c r="O6551" t="str">
        <f t="shared" si="205"/>
        <v>2025-10</v>
      </c>
    </row>
    <row r="6552" spans="1:15" x14ac:dyDescent="0.3">
      <c r="A6552" t="s">
        <v>15407</v>
      </c>
      <c r="B6552" t="s">
        <v>15408</v>
      </c>
      <c r="C6552" t="s">
        <v>58</v>
      </c>
      <c r="D6552" t="s">
        <v>38</v>
      </c>
      <c r="E6552" t="s">
        <v>59</v>
      </c>
      <c r="F6552" t="s">
        <v>117</v>
      </c>
      <c r="G6552">
        <v>3.73</v>
      </c>
      <c r="H6552" t="s">
        <v>41</v>
      </c>
      <c r="I6552" t="s">
        <v>42</v>
      </c>
      <c r="M6552">
        <f>VLOOKUP(H6552,'Stage Order'!$A$2:$B$8,2,FALSE)</f>
        <v>2</v>
      </c>
      <c r="N6552" t="str">
        <f t="shared" si="204"/>
        <v>2. 1-24 hours</v>
      </c>
      <c r="O6552" t="str">
        <f t="shared" si="205"/>
        <v>2025-03</v>
      </c>
    </row>
    <row r="6553" spans="1:15" x14ac:dyDescent="0.3">
      <c r="A6553" t="s">
        <v>15409</v>
      </c>
      <c r="B6553" t="s">
        <v>15410</v>
      </c>
      <c r="C6553" t="s">
        <v>125</v>
      </c>
      <c r="D6553" t="s">
        <v>54</v>
      </c>
      <c r="E6553" t="s">
        <v>30</v>
      </c>
      <c r="F6553" t="s">
        <v>82</v>
      </c>
      <c r="G6553">
        <v>1.39</v>
      </c>
      <c r="H6553" t="s">
        <v>61</v>
      </c>
      <c r="I6553" t="s">
        <v>42</v>
      </c>
      <c r="M6553">
        <f>VLOOKUP(H6553,'Stage Order'!$A$2:$B$8,2,FALSE)</f>
        <v>1</v>
      </c>
      <c r="N6553" t="str">
        <f t="shared" si="204"/>
        <v>2. 1-24 hours</v>
      </c>
      <c r="O6553" t="str">
        <f t="shared" si="205"/>
        <v>2025-05</v>
      </c>
    </row>
    <row r="6554" spans="1:15" x14ac:dyDescent="0.3">
      <c r="A6554" t="s">
        <v>15411</v>
      </c>
      <c r="B6554" t="s">
        <v>15412</v>
      </c>
      <c r="C6554" t="s">
        <v>53</v>
      </c>
      <c r="D6554" t="s">
        <v>77</v>
      </c>
      <c r="E6554" t="s">
        <v>39</v>
      </c>
      <c r="F6554" t="s">
        <v>40</v>
      </c>
      <c r="G6554">
        <v>1.1599999999999999</v>
      </c>
      <c r="H6554" t="s">
        <v>138</v>
      </c>
      <c r="I6554" t="s">
        <v>48</v>
      </c>
      <c r="J6554" t="s">
        <v>139</v>
      </c>
      <c r="K6554">
        <v>841.3</v>
      </c>
      <c r="L6554" t="s">
        <v>15413</v>
      </c>
      <c r="M6554">
        <f>VLOOKUP(H6554,'Stage Order'!$A$2:$B$8,2,FALSE)</f>
        <v>6</v>
      </c>
      <c r="N6554" t="str">
        <f t="shared" si="204"/>
        <v>2. 1-24 hours</v>
      </c>
      <c r="O6554" t="str">
        <f t="shared" si="205"/>
        <v>2025-10</v>
      </c>
    </row>
    <row r="6555" spans="1:15" x14ac:dyDescent="0.3">
      <c r="A6555" t="s">
        <v>15414</v>
      </c>
      <c r="B6555" t="s">
        <v>15415</v>
      </c>
      <c r="C6555" t="s">
        <v>58</v>
      </c>
      <c r="D6555" t="s">
        <v>97</v>
      </c>
      <c r="E6555" t="s">
        <v>59</v>
      </c>
      <c r="F6555" t="s">
        <v>137</v>
      </c>
      <c r="G6555">
        <v>9.2899999999999991</v>
      </c>
      <c r="H6555" t="s">
        <v>138</v>
      </c>
      <c r="I6555" t="s">
        <v>48</v>
      </c>
      <c r="J6555" t="s">
        <v>49</v>
      </c>
      <c r="K6555">
        <v>1523.44</v>
      </c>
      <c r="L6555" t="s">
        <v>15416</v>
      </c>
      <c r="M6555">
        <f>VLOOKUP(H6555,'Stage Order'!$A$2:$B$8,2,FALSE)</f>
        <v>6</v>
      </c>
      <c r="N6555" t="str">
        <f t="shared" si="204"/>
        <v>2. 1-24 hours</v>
      </c>
      <c r="O6555" t="str">
        <f t="shared" si="205"/>
        <v>2026-05</v>
      </c>
    </row>
    <row r="6556" spans="1:15" x14ac:dyDescent="0.3">
      <c r="A6556" t="s">
        <v>15417</v>
      </c>
      <c r="B6556" t="s">
        <v>15418</v>
      </c>
      <c r="C6556" t="s">
        <v>37</v>
      </c>
      <c r="D6556" t="s">
        <v>38</v>
      </c>
      <c r="E6556" t="s">
        <v>45</v>
      </c>
      <c r="F6556" t="s">
        <v>46</v>
      </c>
      <c r="G6556">
        <v>0.47</v>
      </c>
      <c r="H6556" t="s">
        <v>41</v>
      </c>
      <c r="I6556" t="s">
        <v>42</v>
      </c>
      <c r="M6556">
        <f>VLOOKUP(H6556,'Stage Order'!$A$2:$B$8,2,FALSE)</f>
        <v>2</v>
      </c>
      <c r="N6556" t="str">
        <f t="shared" si="204"/>
        <v>1. Under 1 hour</v>
      </c>
      <c r="O6556" t="str">
        <f t="shared" si="205"/>
        <v>2025-11</v>
      </c>
    </row>
    <row r="6557" spans="1:15" x14ac:dyDescent="0.3">
      <c r="A6557" t="s">
        <v>15419</v>
      </c>
      <c r="B6557" t="s">
        <v>15420</v>
      </c>
      <c r="C6557" t="s">
        <v>125</v>
      </c>
      <c r="D6557" t="s">
        <v>54</v>
      </c>
      <c r="E6557" t="s">
        <v>39</v>
      </c>
      <c r="F6557" t="s">
        <v>106</v>
      </c>
      <c r="G6557">
        <v>8.48</v>
      </c>
      <c r="H6557" t="s">
        <v>138</v>
      </c>
      <c r="I6557" t="s">
        <v>48</v>
      </c>
      <c r="J6557" t="s">
        <v>98</v>
      </c>
      <c r="K6557">
        <v>487.91</v>
      </c>
      <c r="L6557" t="s">
        <v>15421</v>
      </c>
      <c r="M6557">
        <f>VLOOKUP(H6557,'Stage Order'!$A$2:$B$8,2,FALSE)</f>
        <v>6</v>
      </c>
      <c r="N6557" t="str">
        <f t="shared" si="204"/>
        <v>2. 1-24 hours</v>
      </c>
      <c r="O6557" t="str">
        <f t="shared" si="205"/>
        <v>2026-01</v>
      </c>
    </row>
    <row r="6558" spans="1:15" x14ac:dyDescent="0.3">
      <c r="A6558" t="s">
        <v>15422</v>
      </c>
      <c r="B6558" t="s">
        <v>15423</v>
      </c>
      <c r="C6558" t="s">
        <v>37</v>
      </c>
      <c r="D6558" t="s">
        <v>54</v>
      </c>
      <c r="E6558" t="s">
        <v>59</v>
      </c>
      <c r="F6558" t="s">
        <v>137</v>
      </c>
      <c r="G6558">
        <v>1.86</v>
      </c>
      <c r="H6558" t="s">
        <v>41</v>
      </c>
      <c r="I6558" t="s">
        <v>42</v>
      </c>
      <c r="M6558">
        <f>VLOOKUP(H6558,'Stage Order'!$A$2:$B$8,2,FALSE)</f>
        <v>2</v>
      </c>
      <c r="N6558" t="str">
        <f t="shared" si="204"/>
        <v>2. 1-24 hours</v>
      </c>
      <c r="O6558" t="str">
        <f t="shared" si="205"/>
        <v>2025-10</v>
      </c>
    </row>
    <row r="6559" spans="1:15" x14ac:dyDescent="0.3">
      <c r="A6559" t="s">
        <v>15424</v>
      </c>
      <c r="B6559" t="s">
        <v>15425</v>
      </c>
      <c r="C6559" t="s">
        <v>58</v>
      </c>
      <c r="D6559" t="s">
        <v>54</v>
      </c>
      <c r="E6559" t="s">
        <v>59</v>
      </c>
      <c r="F6559" t="s">
        <v>60</v>
      </c>
      <c r="G6559">
        <v>0.87</v>
      </c>
      <c r="H6559" t="s">
        <v>41</v>
      </c>
      <c r="I6559" t="s">
        <v>42</v>
      </c>
      <c r="M6559">
        <f>VLOOKUP(H6559,'Stage Order'!$A$2:$B$8,2,FALSE)</f>
        <v>2</v>
      </c>
      <c r="N6559" t="str">
        <f t="shared" si="204"/>
        <v>1. Under 1 hour</v>
      </c>
      <c r="O6559" t="str">
        <f t="shared" si="205"/>
        <v>2026-05</v>
      </c>
    </row>
    <row r="6560" spans="1:15" x14ac:dyDescent="0.3">
      <c r="A6560" t="s">
        <v>15426</v>
      </c>
      <c r="B6560" t="s">
        <v>15427</v>
      </c>
      <c r="C6560" t="s">
        <v>125</v>
      </c>
      <c r="D6560" t="s">
        <v>29</v>
      </c>
      <c r="E6560" t="s">
        <v>45</v>
      </c>
      <c r="F6560" t="s">
        <v>46</v>
      </c>
      <c r="G6560">
        <v>0.72</v>
      </c>
      <c r="H6560" t="s">
        <v>41</v>
      </c>
      <c r="I6560" t="s">
        <v>42</v>
      </c>
      <c r="M6560">
        <f>VLOOKUP(H6560,'Stage Order'!$A$2:$B$8,2,FALSE)</f>
        <v>2</v>
      </c>
      <c r="N6560" t="str">
        <f t="shared" si="204"/>
        <v>1. Under 1 hour</v>
      </c>
      <c r="O6560" t="str">
        <f t="shared" si="205"/>
        <v>2025-05</v>
      </c>
    </row>
    <row r="6561" spans="1:15" x14ac:dyDescent="0.3">
      <c r="A6561" t="s">
        <v>15428</v>
      </c>
      <c r="B6561" t="s">
        <v>15429</v>
      </c>
      <c r="C6561" t="s">
        <v>125</v>
      </c>
      <c r="D6561" t="s">
        <v>97</v>
      </c>
      <c r="E6561" t="s">
        <v>39</v>
      </c>
      <c r="F6561" t="s">
        <v>40</v>
      </c>
      <c r="G6561">
        <v>0.55000000000000004</v>
      </c>
      <c r="H6561" t="s">
        <v>41</v>
      </c>
      <c r="I6561" t="s">
        <v>42</v>
      </c>
      <c r="M6561">
        <f>VLOOKUP(H6561,'Stage Order'!$A$2:$B$8,2,FALSE)</f>
        <v>2</v>
      </c>
      <c r="N6561" t="str">
        <f t="shared" si="204"/>
        <v>1. Under 1 hour</v>
      </c>
      <c r="O6561" t="str">
        <f t="shared" si="205"/>
        <v>2025-10</v>
      </c>
    </row>
    <row r="6562" spans="1:15" x14ac:dyDescent="0.3">
      <c r="A6562" t="s">
        <v>15430</v>
      </c>
      <c r="B6562" t="s">
        <v>15431</v>
      </c>
      <c r="C6562" t="s">
        <v>53</v>
      </c>
      <c r="D6562" t="s">
        <v>38</v>
      </c>
      <c r="E6562" t="s">
        <v>45</v>
      </c>
      <c r="F6562" t="s">
        <v>46</v>
      </c>
      <c r="G6562">
        <v>1.54</v>
      </c>
      <c r="H6562" t="s">
        <v>32</v>
      </c>
      <c r="I6562" t="s">
        <v>33</v>
      </c>
      <c r="K6562">
        <v>317.97000000000003</v>
      </c>
      <c r="L6562" t="s">
        <v>15432</v>
      </c>
      <c r="M6562">
        <f>VLOOKUP(H6562,'Stage Order'!$A$2:$B$8,2,FALSE)</f>
        <v>7</v>
      </c>
      <c r="N6562" t="str">
        <f t="shared" si="204"/>
        <v>2. 1-24 hours</v>
      </c>
      <c r="O6562" t="str">
        <f t="shared" si="205"/>
        <v>2026-05</v>
      </c>
    </row>
    <row r="6563" spans="1:15" x14ac:dyDescent="0.3">
      <c r="A6563" t="s">
        <v>15433</v>
      </c>
      <c r="B6563" t="s">
        <v>15434</v>
      </c>
      <c r="C6563" t="s">
        <v>53</v>
      </c>
      <c r="D6563" t="s">
        <v>29</v>
      </c>
      <c r="E6563" t="s">
        <v>59</v>
      </c>
      <c r="F6563" t="s">
        <v>137</v>
      </c>
      <c r="G6563">
        <v>3.59</v>
      </c>
      <c r="H6563" t="s">
        <v>32</v>
      </c>
      <c r="I6563" t="s">
        <v>33</v>
      </c>
      <c r="K6563">
        <v>600.89</v>
      </c>
      <c r="L6563" t="s">
        <v>15435</v>
      </c>
      <c r="M6563">
        <f>VLOOKUP(H6563,'Stage Order'!$A$2:$B$8,2,FALSE)</f>
        <v>7</v>
      </c>
      <c r="N6563" t="str">
        <f t="shared" si="204"/>
        <v>2. 1-24 hours</v>
      </c>
      <c r="O6563" t="str">
        <f t="shared" si="205"/>
        <v>2026-02</v>
      </c>
    </row>
    <row r="6564" spans="1:15" x14ac:dyDescent="0.3">
      <c r="A6564" t="s">
        <v>15436</v>
      </c>
      <c r="B6564" t="s">
        <v>15437</v>
      </c>
      <c r="C6564" t="s">
        <v>58</v>
      </c>
      <c r="D6564" t="s">
        <v>29</v>
      </c>
      <c r="E6564" t="s">
        <v>30</v>
      </c>
      <c r="F6564" t="s">
        <v>78</v>
      </c>
      <c r="G6564">
        <v>2.06</v>
      </c>
      <c r="H6564" t="s">
        <v>41</v>
      </c>
      <c r="I6564" t="s">
        <v>42</v>
      </c>
      <c r="M6564">
        <f>VLOOKUP(H6564,'Stage Order'!$A$2:$B$8,2,FALSE)</f>
        <v>2</v>
      </c>
      <c r="N6564" t="str">
        <f t="shared" si="204"/>
        <v>2. 1-24 hours</v>
      </c>
      <c r="O6564" t="str">
        <f t="shared" si="205"/>
        <v>2025-09</v>
      </c>
    </row>
    <row r="6565" spans="1:15" x14ac:dyDescent="0.3">
      <c r="A6565" t="s">
        <v>15438</v>
      </c>
      <c r="B6565" t="s">
        <v>15439</v>
      </c>
      <c r="C6565" t="s">
        <v>28</v>
      </c>
      <c r="D6565" t="s">
        <v>54</v>
      </c>
      <c r="E6565" t="s">
        <v>39</v>
      </c>
      <c r="F6565" t="s">
        <v>40</v>
      </c>
      <c r="G6565">
        <v>2.58</v>
      </c>
      <c r="H6565" t="s">
        <v>61</v>
      </c>
      <c r="I6565" t="s">
        <v>42</v>
      </c>
      <c r="M6565">
        <f>VLOOKUP(H6565,'Stage Order'!$A$2:$B$8,2,FALSE)</f>
        <v>1</v>
      </c>
      <c r="N6565" t="str">
        <f t="shared" si="204"/>
        <v>2. 1-24 hours</v>
      </c>
      <c r="O6565" t="str">
        <f t="shared" si="205"/>
        <v>2025-04</v>
      </c>
    </row>
    <row r="6566" spans="1:15" x14ac:dyDescent="0.3">
      <c r="A6566" t="s">
        <v>15440</v>
      </c>
      <c r="B6566" t="s">
        <v>15441</v>
      </c>
      <c r="C6566" t="s">
        <v>53</v>
      </c>
      <c r="D6566" t="s">
        <v>77</v>
      </c>
      <c r="E6566" t="s">
        <v>30</v>
      </c>
      <c r="F6566" t="s">
        <v>31</v>
      </c>
      <c r="G6566">
        <v>3.44</v>
      </c>
      <c r="H6566" t="s">
        <v>32</v>
      </c>
      <c r="I6566" t="s">
        <v>33</v>
      </c>
      <c r="K6566">
        <v>982.17</v>
      </c>
      <c r="L6566" t="s">
        <v>15442</v>
      </c>
      <c r="M6566">
        <f>VLOOKUP(H6566,'Stage Order'!$A$2:$B$8,2,FALSE)</f>
        <v>7</v>
      </c>
      <c r="N6566" t="str">
        <f t="shared" si="204"/>
        <v>2. 1-24 hours</v>
      </c>
      <c r="O6566" t="str">
        <f t="shared" si="205"/>
        <v>2025-11</v>
      </c>
    </row>
    <row r="6567" spans="1:15" x14ac:dyDescent="0.3">
      <c r="A6567" t="s">
        <v>15443</v>
      </c>
      <c r="B6567" t="s">
        <v>15444</v>
      </c>
      <c r="C6567" t="s">
        <v>81</v>
      </c>
      <c r="D6567" t="s">
        <v>38</v>
      </c>
      <c r="E6567" t="s">
        <v>45</v>
      </c>
      <c r="F6567" t="s">
        <v>46</v>
      </c>
      <c r="G6567">
        <v>2.34</v>
      </c>
      <c r="H6567" t="s">
        <v>61</v>
      </c>
      <c r="I6567" t="s">
        <v>42</v>
      </c>
      <c r="M6567">
        <f>VLOOKUP(H6567,'Stage Order'!$A$2:$B$8,2,FALSE)</f>
        <v>1</v>
      </c>
      <c r="N6567" t="str">
        <f t="shared" si="204"/>
        <v>2. 1-24 hours</v>
      </c>
      <c r="O6567" t="str">
        <f t="shared" si="205"/>
        <v>2025-03</v>
      </c>
    </row>
    <row r="6568" spans="1:15" x14ac:dyDescent="0.3">
      <c r="A6568" t="s">
        <v>15445</v>
      </c>
      <c r="B6568" t="s">
        <v>15446</v>
      </c>
      <c r="C6568" t="s">
        <v>37</v>
      </c>
      <c r="D6568" t="s">
        <v>77</v>
      </c>
      <c r="E6568" t="s">
        <v>90</v>
      </c>
      <c r="F6568" t="s">
        <v>145</v>
      </c>
      <c r="G6568">
        <v>8.23</v>
      </c>
      <c r="H6568" t="s">
        <v>41</v>
      </c>
      <c r="I6568" t="s">
        <v>42</v>
      </c>
      <c r="M6568">
        <f>VLOOKUP(H6568,'Stage Order'!$A$2:$B$8,2,FALSE)</f>
        <v>2</v>
      </c>
      <c r="N6568" t="str">
        <f t="shared" si="204"/>
        <v>2. 1-24 hours</v>
      </c>
      <c r="O6568" t="str">
        <f t="shared" si="205"/>
        <v>2025-06</v>
      </c>
    </row>
    <row r="6569" spans="1:15" x14ac:dyDescent="0.3">
      <c r="A6569" t="s">
        <v>15447</v>
      </c>
      <c r="B6569" t="s">
        <v>15448</v>
      </c>
      <c r="C6569" t="s">
        <v>76</v>
      </c>
      <c r="D6569" t="s">
        <v>54</v>
      </c>
      <c r="E6569" t="s">
        <v>39</v>
      </c>
      <c r="F6569" t="s">
        <v>66</v>
      </c>
      <c r="G6569">
        <v>6.47</v>
      </c>
      <c r="H6569" t="s">
        <v>61</v>
      </c>
      <c r="I6569" t="s">
        <v>42</v>
      </c>
      <c r="M6569">
        <f>VLOOKUP(H6569,'Stage Order'!$A$2:$B$8,2,FALSE)</f>
        <v>1</v>
      </c>
      <c r="N6569" t="str">
        <f t="shared" si="204"/>
        <v>2. 1-24 hours</v>
      </c>
      <c r="O6569" t="str">
        <f t="shared" si="205"/>
        <v>2025-12</v>
      </c>
    </row>
    <row r="6570" spans="1:15" x14ac:dyDescent="0.3">
      <c r="A6570" t="s">
        <v>15449</v>
      </c>
      <c r="B6570" t="s">
        <v>15450</v>
      </c>
      <c r="C6570" t="s">
        <v>37</v>
      </c>
      <c r="D6570" t="s">
        <v>77</v>
      </c>
      <c r="E6570" t="s">
        <v>30</v>
      </c>
      <c r="F6570" t="s">
        <v>31</v>
      </c>
      <c r="G6570">
        <v>4.4800000000000004</v>
      </c>
      <c r="H6570" t="s">
        <v>41</v>
      </c>
      <c r="I6570" t="s">
        <v>42</v>
      </c>
      <c r="M6570">
        <f>VLOOKUP(H6570,'Stage Order'!$A$2:$B$8,2,FALSE)</f>
        <v>2</v>
      </c>
      <c r="N6570" t="str">
        <f t="shared" si="204"/>
        <v>2. 1-24 hours</v>
      </c>
      <c r="O6570" t="str">
        <f t="shared" si="205"/>
        <v>2026-03</v>
      </c>
    </row>
    <row r="6571" spans="1:15" x14ac:dyDescent="0.3">
      <c r="A6571" t="s">
        <v>15451</v>
      </c>
      <c r="B6571" t="s">
        <v>15452</v>
      </c>
      <c r="C6571" t="s">
        <v>125</v>
      </c>
      <c r="D6571" t="s">
        <v>54</v>
      </c>
      <c r="E6571" t="s">
        <v>45</v>
      </c>
      <c r="F6571" t="s">
        <v>46</v>
      </c>
      <c r="G6571">
        <v>8.06</v>
      </c>
      <c r="H6571" t="s">
        <v>41</v>
      </c>
      <c r="I6571" t="s">
        <v>42</v>
      </c>
      <c r="M6571">
        <f>VLOOKUP(H6571,'Stage Order'!$A$2:$B$8,2,FALSE)</f>
        <v>2</v>
      </c>
      <c r="N6571" t="str">
        <f t="shared" si="204"/>
        <v>2. 1-24 hours</v>
      </c>
      <c r="O6571" t="str">
        <f t="shared" si="205"/>
        <v>2025-05</v>
      </c>
    </row>
    <row r="6572" spans="1:15" x14ac:dyDescent="0.3">
      <c r="A6572" t="s">
        <v>15453</v>
      </c>
      <c r="B6572" t="s">
        <v>15454</v>
      </c>
      <c r="C6572" t="s">
        <v>81</v>
      </c>
      <c r="D6572" t="s">
        <v>38</v>
      </c>
      <c r="E6572" t="s">
        <v>45</v>
      </c>
      <c r="F6572" t="s">
        <v>46</v>
      </c>
      <c r="G6572">
        <v>1.36</v>
      </c>
      <c r="H6572" t="s">
        <v>41</v>
      </c>
      <c r="I6572" t="s">
        <v>42</v>
      </c>
      <c r="M6572">
        <f>VLOOKUP(H6572,'Stage Order'!$A$2:$B$8,2,FALSE)</f>
        <v>2</v>
      </c>
      <c r="N6572" t="str">
        <f t="shared" si="204"/>
        <v>2. 1-24 hours</v>
      </c>
      <c r="O6572" t="str">
        <f t="shared" si="205"/>
        <v>2025-10</v>
      </c>
    </row>
    <row r="6573" spans="1:15" x14ac:dyDescent="0.3">
      <c r="A6573" t="s">
        <v>15455</v>
      </c>
      <c r="B6573" t="s">
        <v>15456</v>
      </c>
      <c r="C6573" t="s">
        <v>37</v>
      </c>
      <c r="D6573" t="s">
        <v>29</v>
      </c>
      <c r="E6573" t="s">
        <v>45</v>
      </c>
      <c r="F6573" t="s">
        <v>46</v>
      </c>
      <c r="G6573">
        <v>4.55</v>
      </c>
      <c r="H6573" t="s">
        <v>41</v>
      </c>
      <c r="I6573" t="s">
        <v>42</v>
      </c>
      <c r="M6573">
        <f>VLOOKUP(H6573,'Stage Order'!$A$2:$B$8,2,FALSE)</f>
        <v>2</v>
      </c>
      <c r="N6573" t="str">
        <f t="shared" si="204"/>
        <v>2. 1-24 hours</v>
      </c>
      <c r="O6573" t="str">
        <f t="shared" si="205"/>
        <v>2025-04</v>
      </c>
    </row>
    <row r="6574" spans="1:15" x14ac:dyDescent="0.3">
      <c r="A6574" t="s">
        <v>15457</v>
      </c>
      <c r="B6574" t="s">
        <v>15458</v>
      </c>
      <c r="C6574" t="s">
        <v>81</v>
      </c>
      <c r="D6574" t="s">
        <v>29</v>
      </c>
      <c r="E6574" t="s">
        <v>45</v>
      </c>
      <c r="F6574" t="s">
        <v>94</v>
      </c>
      <c r="G6574">
        <v>1.0900000000000001</v>
      </c>
      <c r="H6574" t="s">
        <v>61</v>
      </c>
      <c r="I6574" t="s">
        <v>42</v>
      </c>
      <c r="M6574">
        <f>VLOOKUP(H6574,'Stage Order'!$A$2:$B$8,2,FALSE)</f>
        <v>1</v>
      </c>
      <c r="N6574" t="str">
        <f t="shared" si="204"/>
        <v>2. 1-24 hours</v>
      </c>
      <c r="O6574" t="str">
        <f t="shared" si="205"/>
        <v>2025-09</v>
      </c>
    </row>
    <row r="6575" spans="1:15" x14ac:dyDescent="0.3">
      <c r="A6575" t="s">
        <v>15459</v>
      </c>
      <c r="B6575" t="s">
        <v>15460</v>
      </c>
      <c r="C6575" t="s">
        <v>125</v>
      </c>
      <c r="D6575" t="s">
        <v>97</v>
      </c>
      <c r="E6575" t="s">
        <v>45</v>
      </c>
      <c r="F6575" t="s">
        <v>46</v>
      </c>
      <c r="G6575">
        <v>1.02</v>
      </c>
      <c r="H6575" t="s">
        <v>41</v>
      </c>
      <c r="I6575" t="s">
        <v>42</v>
      </c>
      <c r="M6575">
        <f>VLOOKUP(H6575,'Stage Order'!$A$2:$B$8,2,FALSE)</f>
        <v>2</v>
      </c>
      <c r="N6575" t="str">
        <f t="shared" si="204"/>
        <v>2. 1-24 hours</v>
      </c>
      <c r="O6575" t="str">
        <f t="shared" si="205"/>
        <v>2025-12</v>
      </c>
    </row>
    <row r="6576" spans="1:15" x14ac:dyDescent="0.3">
      <c r="A6576" t="s">
        <v>15461</v>
      </c>
      <c r="B6576" t="s">
        <v>15462</v>
      </c>
      <c r="C6576" t="s">
        <v>28</v>
      </c>
      <c r="D6576" t="s">
        <v>38</v>
      </c>
      <c r="E6576" t="s">
        <v>39</v>
      </c>
      <c r="F6576" t="s">
        <v>66</v>
      </c>
      <c r="G6576">
        <v>36.67</v>
      </c>
      <c r="H6576" t="s">
        <v>61</v>
      </c>
      <c r="I6576" t="s">
        <v>42</v>
      </c>
      <c r="M6576">
        <f>VLOOKUP(H6576,'Stage Order'!$A$2:$B$8,2,FALSE)</f>
        <v>1</v>
      </c>
      <c r="N6576" t="str">
        <f t="shared" si="204"/>
        <v>3. 1-3 days</v>
      </c>
      <c r="O6576" t="str">
        <f t="shared" si="205"/>
        <v>2026-04</v>
      </c>
    </row>
    <row r="6577" spans="1:15" x14ac:dyDescent="0.3">
      <c r="A6577" t="s">
        <v>15463</v>
      </c>
      <c r="B6577" t="s">
        <v>15464</v>
      </c>
      <c r="C6577" t="s">
        <v>37</v>
      </c>
      <c r="D6577" t="s">
        <v>97</v>
      </c>
      <c r="E6577" t="s">
        <v>90</v>
      </c>
      <c r="F6577" t="s">
        <v>112</v>
      </c>
      <c r="G6577">
        <v>1.45</v>
      </c>
      <c r="H6577" t="s">
        <v>61</v>
      </c>
      <c r="I6577" t="s">
        <v>42</v>
      </c>
      <c r="M6577">
        <f>VLOOKUP(H6577,'Stage Order'!$A$2:$B$8,2,FALSE)</f>
        <v>1</v>
      </c>
      <c r="N6577" t="str">
        <f t="shared" si="204"/>
        <v>2. 1-24 hours</v>
      </c>
      <c r="O6577" t="str">
        <f t="shared" si="205"/>
        <v>2026-01</v>
      </c>
    </row>
    <row r="6578" spans="1:15" x14ac:dyDescent="0.3">
      <c r="A6578" t="s">
        <v>15465</v>
      </c>
      <c r="B6578" t="s">
        <v>15466</v>
      </c>
      <c r="C6578" t="s">
        <v>37</v>
      </c>
      <c r="D6578" t="s">
        <v>97</v>
      </c>
      <c r="E6578" t="s">
        <v>59</v>
      </c>
      <c r="F6578" t="s">
        <v>60</v>
      </c>
      <c r="G6578">
        <v>2.02</v>
      </c>
      <c r="H6578" t="s">
        <v>138</v>
      </c>
      <c r="I6578" t="s">
        <v>48</v>
      </c>
      <c r="J6578" t="s">
        <v>49</v>
      </c>
      <c r="K6578">
        <v>1455.04</v>
      </c>
      <c r="L6578" t="s">
        <v>15467</v>
      </c>
      <c r="M6578">
        <f>VLOOKUP(H6578,'Stage Order'!$A$2:$B$8,2,FALSE)</f>
        <v>6</v>
      </c>
      <c r="N6578" t="str">
        <f t="shared" si="204"/>
        <v>2. 1-24 hours</v>
      </c>
      <c r="O6578" t="str">
        <f t="shared" si="205"/>
        <v>2025-10</v>
      </c>
    </row>
    <row r="6579" spans="1:15" x14ac:dyDescent="0.3">
      <c r="A6579" t="s">
        <v>15468</v>
      </c>
      <c r="B6579" t="s">
        <v>15469</v>
      </c>
      <c r="C6579" t="s">
        <v>58</v>
      </c>
      <c r="D6579" t="s">
        <v>29</v>
      </c>
      <c r="E6579" t="s">
        <v>45</v>
      </c>
      <c r="F6579" t="s">
        <v>94</v>
      </c>
      <c r="G6579">
        <v>5.15</v>
      </c>
      <c r="H6579" t="s">
        <v>128</v>
      </c>
      <c r="I6579" t="s">
        <v>42</v>
      </c>
      <c r="M6579">
        <f>VLOOKUP(H6579,'Stage Order'!$A$2:$B$8,2,FALSE)</f>
        <v>3</v>
      </c>
      <c r="N6579" t="str">
        <f t="shared" si="204"/>
        <v>2. 1-24 hours</v>
      </c>
      <c r="O6579" t="str">
        <f t="shared" si="205"/>
        <v>2025-06</v>
      </c>
    </row>
    <row r="6580" spans="1:15" x14ac:dyDescent="0.3">
      <c r="A6580" t="s">
        <v>15470</v>
      </c>
      <c r="B6580" t="s">
        <v>15471</v>
      </c>
      <c r="C6580" t="s">
        <v>125</v>
      </c>
      <c r="D6580" t="s">
        <v>29</v>
      </c>
      <c r="E6580" t="s">
        <v>59</v>
      </c>
      <c r="F6580" t="s">
        <v>60</v>
      </c>
      <c r="G6580">
        <v>2.5099999999999998</v>
      </c>
      <c r="H6580" t="s">
        <v>61</v>
      </c>
      <c r="I6580" t="s">
        <v>42</v>
      </c>
      <c r="M6580">
        <f>VLOOKUP(H6580,'Stage Order'!$A$2:$B$8,2,FALSE)</f>
        <v>1</v>
      </c>
      <c r="N6580" t="str">
        <f t="shared" si="204"/>
        <v>2. 1-24 hours</v>
      </c>
      <c r="O6580" t="str">
        <f t="shared" si="205"/>
        <v>2025-05</v>
      </c>
    </row>
    <row r="6581" spans="1:15" x14ac:dyDescent="0.3">
      <c r="A6581" t="s">
        <v>15472</v>
      </c>
      <c r="B6581" t="s">
        <v>15473</v>
      </c>
      <c r="C6581" t="s">
        <v>37</v>
      </c>
      <c r="D6581" t="s">
        <v>97</v>
      </c>
      <c r="E6581" t="s">
        <v>39</v>
      </c>
      <c r="F6581" t="s">
        <v>66</v>
      </c>
      <c r="G6581">
        <v>1.28</v>
      </c>
      <c r="H6581" t="s">
        <v>47</v>
      </c>
      <c r="I6581" t="s">
        <v>48</v>
      </c>
      <c r="J6581" t="s">
        <v>113</v>
      </c>
      <c r="K6581">
        <v>1318.83</v>
      </c>
      <c r="L6581" t="s">
        <v>15474</v>
      </c>
      <c r="M6581">
        <f>VLOOKUP(H6581,'Stage Order'!$A$2:$B$8,2,FALSE)</f>
        <v>4</v>
      </c>
      <c r="N6581" t="str">
        <f t="shared" si="204"/>
        <v>2. 1-24 hours</v>
      </c>
      <c r="O6581" t="str">
        <f t="shared" si="205"/>
        <v>2025-03</v>
      </c>
    </row>
    <row r="6582" spans="1:15" x14ac:dyDescent="0.3">
      <c r="A6582" t="s">
        <v>15475</v>
      </c>
      <c r="B6582" t="s">
        <v>15476</v>
      </c>
      <c r="C6582" t="s">
        <v>81</v>
      </c>
      <c r="D6582" t="s">
        <v>77</v>
      </c>
      <c r="E6582" t="s">
        <v>39</v>
      </c>
      <c r="F6582" t="s">
        <v>106</v>
      </c>
      <c r="G6582">
        <v>1.18</v>
      </c>
      <c r="H6582" t="s">
        <v>41</v>
      </c>
      <c r="I6582" t="s">
        <v>42</v>
      </c>
      <c r="M6582">
        <f>VLOOKUP(H6582,'Stage Order'!$A$2:$B$8,2,FALSE)</f>
        <v>2</v>
      </c>
      <c r="N6582" t="str">
        <f t="shared" si="204"/>
        <v>2. 1-24 hours</v>
      </c>
      <c r="O6582" t="str">
        <f t="shared" si="205"/>
        <v>2025-01</v>
      </c>
    </row>
    <row r="6583" spans="1:15" x14ac:dyDescent="0.3">
      <c r="A6583" t="s">
        <v>15477</v>
      </c>
      <c r="B6583" t="s">
        <v>15478</v>
      </c>
      <c r="C6583" t="s">
        <v>53</v>
      </c>
      <c r="D6583" t="s">
        <v>54</v>
      </c>
      <c r="E6583" t="s">
        <v>39</v>
      </c>
      <c r="F6583" t="s">
        <v>106</v>
      </c>
      <c r="G6583">
        <v>1.46</v>
      </c>
      <c r="H6583" t="s">
        <v>41</v>
      </c>
      <c r="I6583" t="s">
        <v>42</v>
      </c>
      <c r="M6583">
        <f>VLOOKUP(H6583,'Stage Order'!$A$2:$B$8,2,FALSE)</f>
        <v>2</v>
      </c>
      <c r="N6583" t="str">
        <f t="shared" si="204"/>
        <v>2. 1-24 hours</v>
      </c>
      <c r="O6583" t="str">
        <f t="shared" si="205"/>
        <v>2025-09</v>
      </c>
    </row>
    <row r="6584" spans="1:15" x14ac:dyDescent="0.3">
      <c r="A6584" t="s">
        <v>15479</v>
      </c>
      <c r="B6584" t="s">
        <v>15480</v>
      </c>
      <c r="C6584" t="s">
        <v>53</v>
      </c>
      <c r="D6584" t="s">
        <v>77</v>
      </c>
      <c r="E6584" t="s">
        <v>59</v>
      </c>
      <c r="F6584" t="s">
        <v>117</v>
      </c>
      <c r="G6584">
        <v>1.78</v>
      </c>
      <c r="H6584" t="s">
        <v>32</v>
      </c>
      <c r="I6584" t="s">
        <v>33</v>
      </c>
      <c r="K6584">
        <v>1013.19</v>
      </c>
      <c r="L6584" t="s">
        <v>15481</v>
      </c>
      <c r="M6584">
        <f>VLOOKUP(H6584,'Stage Order'!$A$2:$B$8,2,FALSE)</f>
        <v>7</v>
      </c>
      <c r="N6584" t="str">
        <f t="shared" si="204"/>
        <v>2. 1-24 hours</v>
      </c>
      <c r="O6584" t="str">
        <f t="shared" si="205"/>
        <v>2025-08</v>
      </c>
    </row>
    <row r="6585" spans="1:15" x14ac:dyDescent="0.3">
      <c r="A6585" t="s">
        <v>15482</v>
      </c>
      <c r="B6585" t="s">
        <v>15483</v>
      </c>
      <c r="C6585" t="s">
        <v>28</v>
      </c>
      <c r="D6585" t="s">
        <v>77</v>
      </c>
      <c r="E6585" t="s">
        <v>45</v>
      </c>
      <c r="F6585" t="s">
        <v>94</v>
      </c>
      <c r="G6585">
        <v>2.06</v>
      </c>
      <c r="H6585" t="s">
        <v>32</v>
      </c>
      <c r="I6585" t="s">
        <v>33</v>
      </c>
      <c r="K6585">
        <v>913.93</v>
      </c>
      <c r="L6585" t="s">
        <v>15484</v>
      </c>
      <c r="M6585">
        <f>VLOOKUP(H6585,'Stage Order'!$A$2:$B$8,2,FALSE)</f>
        <v>7</v>
      </c>
      <c r="N6585" t="str">
        <f t="shared" si="204"/>
        <v>2. 1-24 hours</v>
      </c>
      <c r="O6585" t="str">
        <f t="shared" si="205"/>
        <v>2025-10</v>
      </c>
    </row>
    <row r="6586" spans="1:15" x14ac:dyDescent="0.3">
      <c r="A6586" t="s">
        <v>15485</v>
      </c>
      <c r="B6586" t="s">
        <v>15486</v>
      </c>
      <c r="C6586" t="s">
        <v>58</v>
      </c>
      <c r="D6586" t="s">
        <v>38</v>
      </c>
      <c r="E6586" t="s">
        <v>39</v>
      </c>
      <c r="F6586" t="s">
        <v>40</v>
      </c>
      <c r="G6586">
        <v>5.3</v>
      </c>
      <c r="H6586" t="s">
        <v>41</v>
      </c>
      <c r="I6586" t="s">
        <v>42</v>
      </c>
      <c r="M6586">
        <f>VLOOKUP(H6586,'Stage Order'!$A$2:$B$8,2,FALSE)</f>
        <v>2</v>
      </c>
      <c r="N6586" t="str">
        <f t="shared" si="204"/>
        <v>2. 1-24 hours</v>
      </c>
      <c r="O6586" t="str">
        <f t="shared" si="205"/>
        <v>2025-08</v>
      </c>
    </row>
    <row r="6587" spans="1:15" x14ac:dyDescent="0.3">
      <c r="A6587" t="s">
        <v>15487</v>
      </c>
      <c r="B6587" t="s">
        <v>15488</v>
      </c>
      <c r="C6587" t="s">
        <v>125</v>
      </c>
      <c r="D6587" t="s">
        <v>38</v>
      </c>
      <c r="E6587" t="s">
        <v>39</v>
      </c>
      <c r="F6587" t="s">
        <v>106</v>
      </c>
      <c r="G6587">
        <v>52.76</v>
      </c>
      <c r="H6587" t="s">
        <v>61</v>
      </c>
      <c r="I6587" t="s">
        <v>42</v>
      </c>
      <c r="M6587">
        <f>VLOOKUP(H6587,'Stage Order'!$A$2:$B$8,2,FALSE)</f>
        <v>1</v>
      </c>
      <c r="N6587" t="str">
        <f t="shared" si="204"/>
        <v>3. 1-3 days</v>
      </c>
      <c r="O6587" t="str">
        <f t="shared" si="205"/>
        <v>2025-03</v>
      </c>
    </row>
    <row r="6588" spans="1:15" x14ac:dyDescent="0.3">
      <c r="A6588" t="s">
        <v>15489</v>
      </c>
      <c r="B6588" t="s">
        <v>15490</v>
      </c>
      <c r="C6588" t="s">
        <v>28</v>
      </c>
      <c r="D6588" t="s">
        <v>38</v>
      </c>
      <c r="E6588" t="s">
        <v>39</v>
      </c>
      <c r="F6588" t="s">
        <v>106</v>
      </c>
      <c r="G6588">
        <v>1.62</v>
      </c>
      <c r="H6588" t="s">
        <v>138</v>
      </c>
      <c r="I6588" t="s">
        <v>48</v>
      </c>
      <c r="J6588" t="s">
        <v>49</v>
      </c>
      <c r="K6588">
        <v>382.45</v>
      </c>
      <c r="L6588" t="s">
        <v>15491</v>
      </c>
      <c r="M6588">
        <f>VLOOKUP(H6588,'Stage Order'!$A$2:$B$8,2,FALSE)</f>
        <v>6</v>
      </c>
      <c r="N6588" t="str">
        <f t="shared" si="204"/>
        <v>2. 1-24 hours</v>
      </c>
      <c r="O6588" t="str">
        <f t="shared" si="205"/>
        <v>2025-09</v>
      </c>
    </row>
    <row r="6589" spans="1:15" x14ac:dyDescent="0.3">
      <c r="A6589" t="s">
        <v>15492</v>
      </c>
      <c r="B6589" t="s">
        <v>15493</v>
      </c>
      <c r="C6589" t="s">
        <v>125</v>
      </c>
      <c r="D6589" t="s">
        <v>38</v>
      </c>
      <c r="E6589" t="s">
        <v>45</v>
      </c>
      <c r="F6589" t="s">
        <v>46</v>
      </c>
      <c r="G6589">
        <v>1.1100000000000001</v>
      </c>
      <c r="H6589" t="s">
        <v>47</v>
      </c>
      <c r="I6589" t="s">
        <v>48</v>
      </c>
      <c r="J6589" t="s">
        <v>113</v>
      </c>
      <c r="K6589">
        <v>367.95</v>
      </c>
      <c r="L6589" t="s">
        <v>15494</v>
      </c>
      <c r="M6589">
        <f>VLOOKUP(H6589,'Stage Order'!$A$2:$B$8,2,FALSE)</f>
        <v>4</v>
      </c>
      <c r="N6589" t="str">
        <f t="shared" si="204"/>
        <v>2. 1-24 hours</v>
      </c>
      <c r="O6589" t="str">
        <f t="shared" si="205"/>
        <v>2025-02</v>
      </c>
    </row>
    <row r="6590" spans="1:15" x14ac:dyDescent="0.3">
      <c r="A6590" t="s">
        <v>15495</v>
      </c>
      <c r="B6590" t="s">
        <v>15496</v>
      </c>
      <c r="C6590" t="s">
        <v>37</v>
      </c>
      <c r="D6590" t="s">
        <v>77</v>
      </c>
      <c r="E6590" t="s">
        <v>45</v>
      </c>
      <c r="F6590" t="s">
        <v>94</v>
      </c>
      <c r="G6590">
        <v>3.02</v>
      </c>
      <c r="H6590" t="s">
        <v>47</v>
      </c>
      <c r="I6590" t="s">
        <v>48</v>
      </c>
      <c r="J6590" t="s">
        <v>113</v>
      </c>
      <c r="K6590">
        <v>841.67</v>
      </c>
      <c r="L6590" t="s">
        <v>15497</v>
      </c>
      <c r="M6590">
        <f>VLOOKUP(H6590,'Stage Order'!$A$2:$B$8,2,FALSE)</f>
        <v>4</v>
      </c>
      <c r="N6590" t="str">
        <f t="shared" si="204"/>
        <v>2. 1-24 hours</v>
      </c>
      <c r="O6590" t="str">
        <f t="shared" si="205"/>
        <v>2025-10</v>
      </c>
    </row>
    <row r="6591" spans="1:15" x14ac:dyDescent="0.3">
      <c r="A6591" t="s">
        <v>15498</v>
      </c>
      <c r="B6591" t="s">
        <v>15499</v>
      </c>
      <c r="C6591" t="s">
        <v>53</v>
      </c>
      <c r="D6591" t="s">
        <v>54</v>
      </c>
      <c r="E6591" t="s">
        <v>59</v>
      </c>
      <c r="F6591" t="s">
        <v>137</v>
      </c>
      <c r="G6591">
        <v>15.72</v>
      </c>
      <c r="H6591" t="s">
        <v>47</v>
      </c>
      <c r="I6591" t="s">
        <v>48</v>
      </c>
      <c r="J6591" t="s">
        <v>98</v>
      </c>
      <c r="K6591">
        <v>515.62</v>
      </c>
      <c r="L6591" t="s">
        <v>15500</v>
      </c>
      <c r="M6591">
        <f>VLOOKUP(H6591,'Stage Order'!$A$2:$B$8,2,FALSE)</f>
        <v>4</v>
      </c>
      <c r="N6591" t="str">
        <f t="shared" si="204"/>
        <v>2. 1-24 hours</v>
      </c>
      <c r="O6591" t="str">
        <f t="shared" si="205"/>
        <v>2025-10</v>
      </c>
    </row>
    <row r="6592" spans="1:15" x14ac:dyDescent="0.3">
      <c r="A6592" t="s">
        <v>15501</v>
      </c>
      <c r="B6592" t="s">
        <v>15502</v>
      </c>
      <c r="C6592" t="s">
        <v>81</v>
      </c>
      <c r="D6592" t="s">
        <v>29</v>
      </c>
      <c r="E6592" t="s">
        <v>59</v>
      </c>
      <c r="F6592" t="s">
        <v>60</v>
      </c>
      <c r="G6592">
        <v>8.07</v>
      </c>
      <c r="H6592" t="s">
        <v>61</v>
      </c>
      <c r="I6592" t="s">
        <v>42</v>
      </c>
      <c r="M6592">
        <f>VLOOKUP(H6592,'Stage Order'!$A$2:$B$8,2,FALSE)</f>
        <v>1</v>
      </c>
      <c r="N6592" t="str">
        <f t="shared" si="204"/>
        <v>2. 1-24 hours</v>
      </c>
      <c r="O6592" t="str">
        <f t="shared" si="205"/>
        <v>2025-02</v>
      </c>
    </row>
    <row r="6593" spans="1:15" x14ac:dyDescent="0.3">
      <c r="A6593" t="s">
        <v>15503</v>
      </c>
      <c r="B6593" t="s">
        <v>15504</v>
      </c>
      <c r="C6593" t="s">
        <v>37</v>
      </c>
      <c r="D6593" t="s">
        <v>54</v>
      </c>
      <c r="E6593" t="s">
        <v>59</v>
      </c>
      <c r="F6593" t="s">
        <v>117</v>
      </c>
      <c r="G6593">
        <v>1.57</v>
      </c>
      <c r="H6593" t="s">
        <v>32</v>
      </c>
      <c r="I6593" t="s">
        <v>33</v>
      </c>
      <c r="K6593">
        <v>408.04</v>
      </c>
      <c r="L6593" t="s">
        <v>15505</v>
      </c>
      <c r="M6593">
        <f>VLOOKUP(H6593,'Stage Order'!$A$2:$B$8,2,FALSE)</f>
        <v>7</v>
      </c>
      <c r="N6593" t="str">
        <f t="shared" si="204"/>
        <v>2. 1-24 hours</v>
      </c>
      <c r="O6593" t="str">
        <f t="shared" si="205"/>
        <v>2025-10</v>
      </c>
    </row>
    <row r="6594" spans="1:15" x14ac:dyDescent="0.3">
      <c r="A6594" t="s">
        <v>15506</v>
      </c>
      <c r="B6594" t="s">
        <v>15507</v>
      </c>
      <c r="C6594" t="s">
        <v>58</v>
      </c>
      <c r="D6594" t="s">
        <v>29</v>
      </c>
      <c r="E6594" t="s">
        <v>59</v>
      </c>
      <c r="F6594" t="s">
        <v>117</v>
      </c>
      <c r="G6594">
        <v>4.41</v>
      </c>
      <c r="H6594" t="s">
        <v>146</v>
      </c>
      <c r="I6594" t="s">
        <v>48</v>
      </c>
      <c r="J6594" t="s">
        <v>113</v>
      </c>
      <c r="K6594">
        <v>670.69</v>
      </c>
      <c r="L6594" t="s">
        <v>15508</v>
      </c>
      <c r="M6594">
        <f>VLOOKUP(H6594,'Stage Order'!$A$2:$B$8,2,FALSE)</f>
        <v>5</v>
      </c>
      <c r="N6594" t="str">
        <f t="shared" ref="N6594:N6657" si="206">IF(G6594&lt;=1,"1. Under 1 hour",IF(G6594&lt;=24,"2. 1-24 hours",IF(G6594&lt;=72,"3. 1-3 days","4. Over 3 days")))</f>
        <v>2. 1-24 hours</v>
      </c>
      <c r="O6594" t="str">
        <f t="shared" ref="O6594:O6657" si="207">TEXT(B6594,"YYYY-MM")</f>
        <v>2025-07</v>
      </c>
    </row>
    <row r="6595" spans="1:15" x14ac:dyDescent="0.3">
      <c r="A6595" t="s">
        <v>15509</v>
      </c>
      <c r="B6595" t="s">
        <v>15510</v>
      </c>
      <c r="C6595" t="s">
        <v>53</v>
      </c>
      <c r="D6595" t="s">
        <v>29</v>
      </c>
      <c r="E6595" t="s">
        <v>59</v>
      </c>
      <c r="F6595" t="s">
        <v>117</v>
      </c>
      <c r="G6595">
        <v>2.35</v>
      </c>
      <c r="H6595" t="s">
        <v>61</v>
      </c>
      <c r="I6595" t="s">
        <v>42</v>
      </c>
      <c r="M6595">
        <f>VLOOKUP(H6595,'Stage Order'!$A$2:$B$8,2,FALSE)</f>
        <v>1</v>
      </c>
      <c r="N6595" t="str">
        <f t="shared" si="206"/>
        <v>2. 1-24 hours</v>
      </c>
      <c r="O6595" t="str">
        <f t="shared" si="207"/>
        <v>2025-02</v>
      </c>
    </row>
    <row r="6596" spans="1:15" x14ac:dyDescent="0.3">
      <c r="A6596" t="s">
        <v>15511</v>
      </c>
      <c r="B6596" t="s">
        <v>15512</v>
      </c>
      <c r="C6596" t="s">
        <v>28</v>
      </c>
      <c r="D6596" t="s">
        <v>38</v>
      </c>
      <c r="E6596" t="s">
        <v>90</v>
      </c>
      <c r="F6596" t="s">
        <v>112</v>
      </c>
      <c r="G6596">
        <v>1.07</v>
      </c>
      <c r="H6596" t="s">
        <v>32</v>
      </c>
      <c r="I6596" t="s">
        <v>33</v>
      </c>
      <c r="K6596">
        <v>359.58</v>
      </c>
      <c r="L6596" t="s">
        <v>15513</v>
      </c>
      <c r="M6596">
        <f>VLOOKUP(H6596,'Stage Order'!$A$2:$B$8,2,FALSE)</f>
        <v>7</v>
      </c>
      <c r="N6596" t="str">
        <f t="shared" si="206"/>
        <v>2. 1-24 hours</v>
      </c>
      <c r="O6596" t="str">
        <f t="shared" si="207"/>
        <v>2025-07</v>
      </c>
    </row>
    <row r="6597" spans="1:15" x14ac:dyDescent="0.3">
      <c r="A6597" t="s">
        <v>15514</v>
      </c>
      <c r="B6597" t="s">
        <v>15515</v>
      </c>
      <c r="C6597" t="s">
        <v>53</v>
      </c>
      <c r="D6597" t="s">
        <v>54</v>
      </c>
      <c r="E6597" t="s">
        <v>30</v>
      </c>
      <c r="F6597" t="s">
        <v>78</v>
      </c>
      <c r="G6597">
        <v>1.9</v>
      </c>
      <c r="H6597" t="s">
        <v>138</v>
      </c>
      <c r="I6597" t="s">
        <v>48</v>
      </c>
      <c r="J6597" t="s">
        <v>49</v>
      </c>
      <c r="K6597">
        <v>459.28</v>
      </c>
      <c r="L6597" t="s">
        <v>15516</v>
      </c>
      <c r="M6597">
        <f>VLOOKUP(H6597,'Stage Order'!$A$2:$B$8,2,FALSE)</f>
        <v>6</v>
      </c>
      <c r="N6597" t="str">
        <f t="shared" si="206"/>
        <v>2. 1-24 hours</v>
      </c>
      <c r="O6597" t="str">
        <f t="shared" si="207"/>
        <v>2025-07</v>
      </c>
    </row>
    <row r="6598" spans="1:15" x14ac:dyDescent="0.3">
      <c r="A6598" t="s">
        <v>15517</v>
      </c>
      <c r="B6598" t="s">
        <v>15518</v>
      </c>
      <c r="C6598" t="s">
        <v>37</v>
      </c>
      <c r="D6598" t="s">
        <v>54</v>
      </c>
      <c r="E6598" t="s">
        <v>39</v>
      </c>
      <c r="F6598" t="s">
        <v>106</v>
      </c>
      <c r="G6598">
        <v>14.33</v>
      </c>
      <c r="H6598" t="s">
        <v>32</v>
      </c>
      <c r="I6598" t="s">
        <v>33</v>
      </c>
      <c r="K6598">
        <v>455.06</v>
      </c>
      <c r="L6598" t="s">
        <v>15519</v>
      </c>
      <c r="M6598">
        <f>VLOOKUP(H6598,'Stage Order'!$A$2:$B$8,2,FALSE)</f>
        <v>7</v>
      </c>
      <c r="N6598" t="str">
        <f t="shared" si="206"/>
        <v>2. 1-24 hours</v>
      </c>
      <c r="O6598" t="str">
        <f t="shared" si="207"/>
        <v>2025-06</v>
      </c>
    </row>
    <row r="6599" spans="1:15" x14ac:dyDescent="0.3">
      <c r="A6599" t="s">
        <v>15520</v>
      </c>
      <c r="B6599" t="s">
        <v>15521</v>
      </c>
      <c r="C6599" t="s">
        <v>58</v>
      </c>
      <c r="D6599" t="s">
        <v>54</v>
      </c>
      <c r="E6599" t="s">
        <v>45</v>
      </c>
      <c r="F6599" t="s">
        <v>46</v>
      </c>
      <c r="G6599">
        <v>7.09</v>
      </c>
      <c r="H6599" t="s">
        <v>41</v>
      </c>
      <c r="I6599" t="s">
        <v>42</v>
      </c>
      <c r="M6599">
        <f>VLOOKUP(H6599,'Stage Order'!$A$2:$B$8,2,FALSE)</f>
        <v>2</v>
      </c>
      <c r="N6599" t="str">
        <f t="shared" si="206"/>
        <v>2. 1-24 hours</v>
      </c>
      <c r="O6599" t="str">
        <f t="shared" si="207"/>
        <v>2025-03</v>
      </c>
    </row>
    <row r="6600" spans="1:15" x14ac:dyDescent="0.3">
      <c r="A6600" t="s">
        <v>15522</v>
      </c>
      <c r="B6600" t="s">
        <v>15523</v>
      </c>
      <c r="C6600" t="s">
        <v>58</v>
      </c>
      <c r="D6600" t="s">
        <v>77</v>
      </c>
      <c r="E6600" t="s">
        <v>30</v>
      </c>
      <c r="F6600" t="s">
        <v>31</v>
      </c>
      <c r="G6600">
        <v>1.24</v>
      </c>
      <c r="H6600" t="s">
        <v>61</v>
      </c>
      <c r="I6600" t="s">
        <v>42</v>
      </c>
      <c r="M6600">
        <f>VLOOKUP(H6600,'Stage Order'!$A$2:$B$8,2,FALSE)</f>
        <v>1</v>
      </c>
      <c r="N6600" t="str">
        <f t="shared" si="206"/>
        <v>2. 1-24 hours</v>
      </c>
      <c r="O6600" t="str">
        <f t="shared" si="207"/>
        <v>2026-06</v>
      </c>
    </row>
    <row r="6601" spans="1:15" x14ac:dyDescent="0.3">
      <c r="A6601" t="s">
        <v>15524</v>
      </c>
      <c r="B6601" t="s">
        <v>15525</v>
      </c>
      <c r="C6601" t="s">
        <v>28</v>
      </c>
      <c r="D6601" t="s">
        <v>29</v>
      </c>
      <c r="E6601" t="s">
        <v>39</v>
      </c>
      <c r="F6601" t="s">
        <v>40</v>
      </c>
      <c r="G6601">
        <v>4.05</v>
      </c>
      <c r="H6601" t="s">
        <v>41</v>
      </c>
      <c r="I6601" t="s">
        <v>42</v>
      </c>
      <c r="M6601">
        <f>VLOOKUP(H6601,'Stage Order'!$A$2:$B$8,2,FALSE)</f>
        <v>2</v>
      </c>
      <c r="N6601" t="str">
        <f t="shared" si="206"/>
        <v>2. 1-24 hours</v>
      </c>
      <c r="O6601" t="str">
        <f t="shared" si="207"/>
        <v>2025-11</v>
      </c>
    </row>
    <row r="6602" spans="1:15" x14ac:dyDescent="0.3">
      <c r="A6602" t="s">
        <v>15526</v>
      </c>
      <c r="B6602" t="s">
        <v>15527</v>
      </c>
      <c r="C6602" t="s">
        <v>53</v>
      </c>
      <c r="D6602" t="s">
        <v>29</v>
      </c>
      <c r="E6602" t="s">
        <v>30</v>
      </c>
      <c r="F6602" t="s">
        <v>31</v>
      </c>
      <c r="G6602">
        <v>2.93</v>
      </c>
      <c r="H6602" t="s">
        <v>32</v>
      </c>
      <c r="I6602" t="s">
        <v>33</v>
      </c>
      <c r="K6602">
        <v>715.89</v>
      </c>
      <c r="L6602" t="s">
        <v>15528</v>
      </c>
      <c r="M6602">
        <f>VLOOKUP(H6602,'Stage Order'!$A$2:$B$8,2,FALSE)</f>
        <v>7</v>
      </c>
      <c r="N6602" t="str">
        <f t="shared" si="206"/>
        <v>2. 1-24 hours</v>
      </c>
      <c r="O6602" t="str">
        <f t="shared" si="207"/>
        <v>2025-07</v>
      </c>
    </row>
    <row r="6603" spans="1:15" x14ac:dyDescent="0.3">
      <c r="A6603" t="s">
        <v>15529</v>
      </c>
      <c r="B6603" t="s">
        <v>15530</v>
      </c>
      <c r="C6603" t="s">
        <v>28</v>
      </c>
      <c r="D6603" t="s">
        <v>77</v>
      </c>
      <c r="E6603" t="s">
        <v>39</v>
      </c>
      <c r="F6603" t="s">
        <v>66</v>
      </c>
      <c r="G6603">
        <v>2.86</v>
      </c>
      <c r="H6603" t="s">
        <v>138</v>
      </c>
      <c r="I6603" t="s">
        <v>48</v>
      </c>
      <c r="J6603" t="s">
        <v>49</v>
      </c>
      <c r="K6603">
        <v>975.25</v>
      </c>
      <c r="L6603" t="s">
        <v>15531</v>
      </c>
      <c r="M6603">
        <f>VLOOKUP(H6603,'Stage Order'!$A$2:$B$8,2,FALSE)</f>
        <v>6</v>
      </c>
      <c r="N6603" t="str">
        <f t="shared" si="206"/>
        <v>2. 1-24 hours</v>
      </c>
      <c r="O6603" t="str">
        <f t="shared" si="207"/>
        <v>2026-04</v>
      </c>
    </row>
    <row r="6604" spans="1:15" x14ac:dyDescent="0.3">
      <c r="A6604" t="s">
        <v>15532</v>
      </c>
      <c r="B6604" t="s">
        <v>15533</v>
      </c>
      <c r="C6604" t="s">
        <v>125</v>
      </c>
      <c r="D6604" t="s">
        <v>77</v>
      </c>
      <c r="E6604" t="s">
        <v>39</v>
      </c>
      <c r="F6604" t="s">
        <v>66</v>
      </c>
      <c r="G6604">
        <v>5.32</v>
      </c>
      <c r="H6604" t="s">
        <v>41</v>
      </c>
      <c r="I6604" t="s">
        <v>42</v>
      </c>
      <c r="M6604">
        <f>VLOOKUP(H6604,'Stage Order'!$A$2:$B$8,2,FALSE)</f>
        <v>2</v>
      </c>
      <c r="N6604" t="str">
        <f t="shared" si="206"/>
        <v>2. 1-24 hours</v>
      </c>
      <c r="O6604" t="str">
        <f t="shared" si="207"/>
        <v>2025-06</v>
      </c>
    </row>
    <row r="6605" spans="1:15" x14ac:dyDescent="0.3">
      <c r="A6605" t="s">
        <v>15534</v>
      </c>
      <c r="B6605" t="s">
        <v>15535</v>
      </c>
      <c r="C6605" t="s">
        <v>53</v>
      </c>
      <c r="D6605" t="s">
        <v>77</v>
      </c>
      <c r="E6605" t="s">
        <v>39</v>
      </c>
      <c r="F6605" t="s">
        <v>106</v>
      </c>
      <c r="G6605">
        <v>3.62</v>
      </c>
      <c r="H6605" t="s">
        <v>32</v>
      </c>
      <c r="I6605" t="s">
        <v>33</v>
      </c>
      <c r="K6605">
        <v>1185.19</v>
      </c>
      <c r="L6605" t="s">
        <v>15536</v>
      </c>
      <c r="M6605">
        <f>VLOOKUP(H6605,'Stage Order'!$A$2:$B$8,2,FALSE)</f>
        <v>7</v>
      </c>
      <c r="N6605" t="str">
        <f t="shared" si="206"/>
        <v>2. 1-24 hours</v>
      </c>
      <c r="O6605" t="str">
        <f t="shared" si="207"/>
        <v>2026-02</v>
      </c>
    </row>
    <row r="6606" spans="1:15" x14ac:dyDescent="0.3">
      <c r="A6606" t="s">
        <v>15537</v>
      </c>
      <c r="B6606" t="s">
        <v>15538</v>
      </c>
      <c r="C6606" t="s">
        <v>58</v>
      </c>
      <c r="D6606" t="s">
        <v>38</v>
      </c>
      <c r="E6606" t="s">
        <v>45</v>
      </c>
      <c r="F6606" t="s">
        <v>46</v>
      </c>
      <c r="G6606">
        <v>8.93</v>
      </c>
      <c r="H6606" t="s">
        <v>61</v>
      </c>
      <c r="I6606" t="s">
        <v>42</v>
      </c>
      <c r="M6606">
        <f>VLOOKUP(H6606,'Stage Order'!$A$2:$B$8,2,FALSE)</f>
        <v>1</v>
      </c>
      <c r="N6606" t="str">
        <f t="shared" si="206"/>
        <v>2. 1-24 hours</v>
      </c>
      <c r="O6606" t="str">
        <f t="shared" si="207"/>
        <v>2026-02</v>
      </c>
    </row>
    <row r="6607" spans="1:15" x14ac:dyDescent="0.3">
      <c r="A6607" t="s">
        <v>15539</v>
      </c>
      <c r="B6607" t="s">
        <v>15540</v>
      </c>
      <c r="C6607" t="s">
        <v>37</v>
      </c>
      <c r="D6607" t="s">
        <v>97</v>
      </c>
      <c r="E6607" t="s">
        <v>39</v>
      </c>
      <c r="F6607" t="s">
        <v>106</v>
      </c>
      <c r="G6607">
        <v>4.24</v>
      </c>
      <c r="H6607" t="s">
        <v>138</v>
      </c>
      <c r="I6607" t="s">
        <v>48</v>
      </c>
      <c r="J6607" t="s">
        <v>139</v>
      </c>
      <c r="K6607">
        <v>1579.15</v>
      </c>
      <c r="L6607" t="s">
        <v>15541</v>
      </c>
      <c r="M6607">
        <f>VLOOKUP(H6607,'Stage Order'!$A$2:$B$8,2,FALSE)</f>
        <v>6</v>
      </c>
      <c r="N6607" t="str">
        <f t="shared" si="206"/>
        <v>2. 1-24 hours</v>
      </c>
      <c r="O6607" t="str">
        <f t="shared" si="207"/>
        <v>2025-08</v>
      </c>
    </row>
    <row r="6608" spans="1:15" x14ac:dyDescent="0.3">
      <c r="A6608" t="s">
        <v>15542</v>
      </c>
      <c r="B6608" t="s">
        <v>15543</v>
      </c>
      <c r="C6608" t="s">
        <v>53</v>
      </c>
      <c r="D6608" t="s">
        <v>54</v>
      </c>
      <c r="E6608" t="s">
        <v>39</v>
      </c>
      <c r="F6608" t="s">
        <v>106</v>
      </c>
      <c r="G6608">
        <v>7.94</v>
      </c>
      <c r="H6608" t="s">
        <v>32</v>
      </c>
      <c r="I6608" t="s">
        <v>33</v>
      </c>
      <c r="K6608">
        <v>576.96</v>
      </c>
      <c r="L6608" t="s">
        <v>15544</v>
      </c>
      <c r="M6608">
        <f>VLOOKUP(H6608,'Stage Order'!$A$2:$B$8,2,FALSE)</f>
        <v>7</v>
      </c>
      <c r="N6608" t="str">
        <f t="shared" si="206"/>
        <v>2. 1-24 hours</v>
      </c>
      <c r="O6608" t="str">
        <f t="shared" si="207"/>
        <v>2026-01</v>
      </c>
    </row>
    <row r="6609" spans="1:15" x14ac:dyDescent="0.3">
      <c r="A6609" t="s">
        <v>15545</v>
      </c>
      <c r="B6609" t="s">
        <v>15546</v>
      </c>
      <c r="C6609" t="s">
        <v>53</v>
      </c>
      <c r="D6609" t="s">
        <v>38</v>
      </c>
      <c r="E6609" t="s">
        <v>45</v>
      </c>
      <c r="F6609" t="s">
        <v>46</v>
      </c>
      <c r="G6609">
        <v>1.66</v>
      </c>
      <c r="H6609" t="s">
        <v>32</v>
      </c>
      <c r="I6609" t="s">
        <v>33</v>
      </c>
      <c r="K6609">
        <v>401.23</v>
      </c>
      <c r="L6609" t="s">
        <v>15547</v>
      </c>
      <c r="M6609">
        <f>VLOOKUP(H6609,'Stage Order'!$A$2:$B$8,2,FALSE)</f>
        <v>7</v>
      </c>
      <c r="N6609" t="str">
        <f t="shared" si="206"/>
        <v>2. 1-24 hours</v>
      </c>
      <c r="O6609" t="str">
        <f t="shared" si="207"/>
        <v>2025-12</v>
      </c>
    </row>
    <row r="6610" spans="1:15" x14ac:dyDescent="0.3">
      <c r="A6610" t="s">
        <v>15548</v>
      </c>
      <c r="B6610" t="s">
        <v>15549</v>
      </c>
      <c r="C6610" t="s">
        <v>125</v>
      </c>
      <c r="D6610" t="s">
        <v>29</v>
      </c>
      <c r="E6610" t="s">
        <v>45</v>
      </c>
      <c r="F6610" t="s">
        <v>94</v>
      </c>
      <c r="G6610">
        <v>13.33</v>
      </c>
      <c r="H6610" t="s">
        <v>146</v>
      </c>
      <c r="I6610" t="s">
        <v>48</v>
      </c>
      <c r="J6610" t="s">
        <v>98</v>
      </c>
      <c r="K6610">
        <v>632.35</v>
      </c>
      <c r="L6610" t="s">
        <v>15550</v>
      </c>
      <c r="M6610">
        <f>VLOOKUP(H6610,'Stage Order'!$A$2:$B$8,2,FALSE)</f>
        <v>5</v>
      </c>
      <c r="N6610" t="str">
        <f t="shared" si="206"/>
        <v>2. 1-24 hours</v>
      </c>
      <c r="O6610" t="str">
        <f t="shared" si="207"/>
        <v>2026-02</v>
      </c>
    </row>
    <row r="6611" spans="1:15" x14ac:dyDescent="0.3">
      <c r="A6611" t="s">
        <v>15551</v>
      </c>
      <c r="B6611" t="s">
        <v>15552</v>
      </c>
      <c r="C6611" t="s">
        <v>58</v>
      </c>
      <c r="D6611" t="s">
        <v>54</v>
      </c>
      <c r="E6611" t="s">
        <v>45</v>
      </c>
      <c r="F6611" t="s">
        <v>55</v>
      </c>
      <c r="G6611">
        <v>0.5</v>
      </c>
      <c r="H6611" t="s">
        <v>138</v>
      </c>
      <c r="I6611" t="s">
        <v>48</v>
      </c>
      <c r="J6611" t="s">
        <v>49</v>
      </c>
      <c r="K6611">
        <v>458.5</v>
      </c>
      <c r="L6611" t="s">
        <v>15553</v>
      </c>
      <c r="M6611">
        <f>VLOOKUP(H6611,'Stage Order'!$A$2:$B$8,2,FALSE)</f>
        <v>6</v>
      </c>
      <c r="N6611" t="str">
        <f t="shared" si="206"/>
        <v>1. Under 1 hour</v>
      </c>
      <c r="O6611" t="str">
        <f t="shared" si="207"/>
        <v>2025-02</v>
      </c>
    </row>
    <row r="6612" spans="1:15" x14ac:dyDescent="0.3">
      <c r="A6612" t="s">
        <v>15554</v>
      </c>
      <c r="B6612" t="s">
        <v>15555</v>
      </c>
      <c r="C6612" t="s">
        <v>37</v>
      </c>
      <c r="D6612" t="s">
        <v>97</v>
      </c>
      <c r="E6612" t="s">
        <v>45</v>
      </c>
      <c r="F6612" t="s">
        <v>55</v>
      </c>
      <c r="G6612">
        <v>3.1</v>
      </c>
      <c r="H6612" t="s">
        <v>138</v>
      </c>
      <c r="I6612" t="s">
        <v>48</v>
      </c>
      <c r="J6612" t="s">
        <v>49</v>
      </c>
      <c r="K6612">
        <v>1352.41</v>
      </c>
      <c r="L6612" t="s">
        <v>15556</v>
      </c>
      <c r="M6612">
        <f>VLOOKUP(H6612,'Stage Order'!$A$2:$B$8,2,FALSE)</f>
        <v>6</v>
      </c>
      <c r="N6612" t="str">
        <f t="shared" si="206"/>
        <v>2. 1-24 hours</v>
      </c>
      <c r="O6612" t="str">
        <f t="shared" si="207"/>
        <v>2025-06</v>
      </c>
    </row>
    <row r="6613" spans="1:15" x14ac:dyDescent="0.3">
      <c r="A6613" t="s">
        <v>15557</v>
      </c>
      <c r="B6613" t="s">
        <v>15558</v>
      </c>
      <c r="C6613" t="s">
        <v>37</v>
      </c>
      <c r="D6613" t="s">
        <v>54</v>
      </c>
      <c r="E6613" t="s">
        <v>90</v>
      </c>
      <c r="F6613" t="s">
        <v>112</v>
      </c>
      <c r="G6613">
        <v>1.97</v>
      </c>
      <c r="H6613" t="s">
        <v>128</v>
      </c>
      <c r="I6613" t="s">
        <v>42</v>
      </c>
      <c r="M6613">
        <f>VLOOKUP(H6613,'Stage Order'!$A$2:$B$8,2,FALSE)</f>
        <v>3</v>
      </c>
      <c r="N6613" t="str">
        <f t="shared" si="206"/>
        <v>2. 1-24 hours</v>
      </c>
      <c r="O6613" t="str">
        <f t="shared" si="207"/>
        <v>2025-12</v>
      </c>
    </row>
    <row r="6614" spans="1:15" x14ac:dyDescent="0.3">
      <c r="A6614" t="s">
        <v>15559</v>
      </c>
      <c r="B6614" t="s">
        <v>15560</v>
      </c>
      <c r="C6614" t="s">
        <v>37</v>
      </c>
      <c r="D6614" t="s">
        <v>77</v>
      </c>
      <c r="E6614" t="s">
        <v>39</v>
      </c>
      <c r="F6614" t="s">
        <v>66</v>
      </c>
      <c r="G6614">
        <v>2.97</v>
      </c>
      <c r="H6614" t="s">
        <v>41</v>
      </c>
      <c r="I6614" t="s">
        <v>42</v>
      </c>
      <c r="M6614">
        <f>VLOOKUP(H6614,'Stage Order'!$A$2:$B$8,2,FALSE)</f>
        <v>2</v>
      </c>
      <c r="N6614" t="str">
        <f t="shared" si="206"/>
        <v>2. 1-24 hours</v>
      </c>
      <c r="O6614" t="str">
        <f t="shared" si="207"/>
        <v>2026-02</v>
      </c>
    </row>
    <row r="6615" spans="1:15" x14ac:dyDescent="0.3">
      <c r="A6615" t="s">
        <v>15561</v>
      </c>
      <c r="B6615" t="s">
        <v>15562</v>
      </c>
      <c r="C6615" t="s">
        <v>37</v>
      </c>
      <c r="D6615" t="s">
        <v>77</v>
      </c>
      <c r="E6615" t="s">
        <v>39</v>
      </c>
      <c r="F6615" t="s">
        <v>106</v>
      </c>
      <c r="G6615">
        <v>2.62</v>
      </c>
      <c r="H6615" t="s">
        <v>47</v>
      </c>
      <c r="I6615" t="s">
        <v>48</v>
      </c>
      <c r="J6615" t="s">
        <v>98</v>
      </c>
      <c r="K6615">
        <v>833.2</v>
      </c>
      <c r="L6615" t="s">
        <v>15563</v>
      </c>
      <c r="M6615">
        <f>VLOOKUP(H6615,'Stage Order'!$A$2:$B$8,2,FALSE)</f>
        <v>4</v>
      </c>
      <c r="N6615" t="str">
        <f t="shared" si="206"/>
        <v>2. 1-24 hours</v>
      </c>
      <c r="O6615" t="str">
        <f t="shared" si="207"/>
        <v>2025-12</v>
      </c>
    </row>
    <row r="6616" spans="1:15" x14ac:dyDescent="0.3">
      <c r="A6616" t="s">
        <v>15564</v>
      </c>
      <c r="B6616" t="s">
        <v>15565</v>
      </c>
      <c r="C6616" t="s">
        <v>58</v>
      </c>
      <c r="D6616" t="s">
        <v>54</v>
      </c>
      <c r="E6616" t="s">
        <v>59</v>
      </c>
      <c r="F6616" t="s">
        <v>117</v>
      </c>
      <c r="G6616">
        <v>17.079999999999998</v>
      </c>
      <c r="H6616" t="s">
        <v>47</v>
      </c>
      <c r="I6616" t="s">
        <v>48</v>
      </c>
      <c r="J6616" t="s">
        <v>98</v>
      </c>
      <c r="K6616">
        <v>587.05999999999995</v>
      </c>
      <c r="L6616" t="s">
        <v>15566</v>
      </c>
      <c r="M6616">
        <f>VLOOKUP(H6616,'Stage Order'!$A$2:$B$8,2,FALSE)</f>
        <v>4</v>
      </c>
      <c r="N6616" t="str">
        <f t="shared" si="206"/>
        <v>2. 1-24 hours</v>
      </c>
      <c r="O6616" t="str">
        <f t="shared" si="207"/>
        <v>2025-09</v>
      </c>
    </row>
    <row r="6617" spans="1:15" x14ac:dyDescent="0.3">
      <c r="A6617" t="s">
        <v>15567</v>
      </c>
      <c r="B6617" t="s">
        <v>15568</v>
      </c>
      <c r="C6617" t="s">
        <v>125</v>
      </c>
      <c r="D6617" t="s">
        <v>54</v>
      </c>
      <c r="E6617" t="s">
        <v>30</v>
      </c>
      <c r="F6617" t="s">
        <v>82</v>
      </c>
      <c r="G6617">
        <v>0.98</v>
      </c>
      <c r="H6617" t="s">
        <v>61</v>
      </c>
      <c r="I6617" t="s">
        <v>42</v>
      </c>
      <c r="M6617">
        <f>VLOOKUP(H6617,'Stage Order'!$A$2:$B$8,2,FALSE)</f>
        <v>1</v>
      </c>
      <c r="N6617" t="str">
        <f t="shared" si="206"/>
        <v>1. Under 1 hour</v>
      </c>
      <c r="O6617" t="str">
        <f t="shared" si="207"/>
        <v>2025-06</v>
      </c>
    </row>
    <row r="6618" spans="1:15" x14ac:dyDescent="0.3">
      <c r="A6618" t="s">
        <v>15569</v>
      </c>
      <c r="B6618" t="s">
        <v>15570</v>
      </c>
      <c r="C6618" t="s">
        <v>37</v>
      </c>
      <c r="D6618" t="s">
        <v>38</v>
      </c>
      <c r="E6618" t="s">
        <v>39</v>
      </c>
      <c r="F6618" t="s">
        <v>66</v>
      </c>
      <c r="G6618">
        <v>6.26</v>
      </c>
      <c r="H6618" t="s">
        <v>41</v>
      </c>
      <c r="I6618" t="s">
        <v>42</v>
      </c>
      <c r="M6618">
        <f>VLOOKUP(H6618,'Stage Order'!$A$2:$B$8,2,FALSE)</f>
        <v>2</v>
      </c>
      <c r="N6618" t="str">
        <f t="shared" si="206"/>
        <v>2. 1-24 hours</v>
      </c>
      <c r="O6618" t="str">
        <f t="shared" si="207"/>
        <v>2025-10</v>
      </c>
    </row>
    <row r="6619" spans="1:15" x14ac:dyDescent="0.3">
      <c r="A6619" t="s">
        <v>15571</v>
      </c>
      <c r="B6619" t="s">
        <v>15572</v>
      </c>
      <c r="C6619" t="s">
        <v>58</v>
      </c>
      <c r="D6619" t="s">
        <v>54</v>
      </c>
      <c r="E6619" t="s">
        <v>45</v>
      </c>
      <c r="F6619" t="s">
        <v>46</v>
      </c>
      <c r="G6619">
        <v>1.7</v>
      </c>
      <c r="H6619" t="s">
        <v>41</v>
      </c>
      <c r="I6619" t="s">
        <v>42</v>
      </c>
      <c r="M6619">
        <f>VLOOKUP(H6619,'Stage Order'!$A$2:$B$8,2,FALSE)</f>
        <v>2</v>
      </c>
      <c r="N6619" t="str">
        <f t="shared" si="206"/>
        <v>2. 1-24 hours</v>
      </c>
      <c r="O6619" t="str">
        <f t="shared" si="207"/>
        <v>2025-11</v>
      </c>
    </row>
    <row r="6620" spans="1:15" x14ac:dyDescent="0.3">
      <c r="A6620" t="s">
        <v>15573</v>
      </c>
      <c r="B6620" t="s">
        <v>15574</v>
      </c>
      <c r="C6620" t="s">
        <v>58</v>
      </c>
      <c r="D6620" t="s">
        <v>38</v>
      </c>
      <c r="E6620" t="s">
        <v>59</v>
      </c>
      <c r="F6620" t="s">
        <v>60</v>
      </c>
      <c r="G6620">
        <v>4.92</v>
      </c>
      <c r="H6620" t="s">
        <v>128</v>
      </c>
      <c r="I6620" t="s">
        <v>42</v>
      </c>
      <c r="M6620">
        <f>VLOOKUP(H6620,'Stage Order'!$A$2:$B$8,2,FALSE)</f>
        <v>3</v>
      </c>
      <c r="N6620" t="str">
        <f t="shared" si="206"/>
        <v>2. 1-24 hours</v>
      </c>
      <c r="O6620" t="str">
        <f t="shared" si="207"/>
        <v>2025-11</v>
      </c>
    </row>
    <row r="6621" spans="1:15" x14ac:dyDescent="0.3">
      <c r="A6621" t="s">
        <v>15575</v>
      </c>
      <c r="B6621" t="s">
        <v>15576</v>
      </c>
      <c r="C6621" t="s">
        <v>58</v>
      </c>
      <c r="D6621" t="s">
        <v>54</v>
      </c>
      <c r="E6621" t="s">
        <v>59</v>
      </c>
      <c r="F6621" t="s">
        <v>60</v>
      </c>
      <c r="G6621">
        <v>0.59</v>
      </c>
      <c r="H6621" t="s">
        <v>41</v>
      </c>
      <c r="I6621" t="s">
        <v>42</v>
      </c>
      <c r="M6621">
        <f>VLOOKUP(H6621,'Stage Order'!$A$2:$B$8,2,FALSE)</f>
        <v>2</v>
      </c>
      <c r="N6621" t="str">
        <f t="shared" si="206"/>
        <v>1. Under 1 hour</v>
      </c>
      <c r="O6621" t="str">
        <f t="shared" si="207"/>
        <v>2025-03</v>
      </c>
    </row>
    <row r="6622" spans="1:15" x14ac:dyDescent="0.3">
      <c r="A6622" t="s">
        <v>15577</v>
      </c>
      <c r="B6622" t="s">
        <v>15578</v>
      </c>
      <c r="C6622" t="s">
        <v>58</v>
      </c>
      <c r="D6622" t="s">
        <v>29</v>
      </c>
      <c r="E6622" t="s">
        <v>45</v>
      </c>
      <c r="F6622" t="s">
        <v>94</v>
      </c>
      <c r="G6622">
        <v>1.24</v>
      </c>
      <c r="H6622" t="s">
        <v>41</v>
      </c>
      <c r="I6622" t="s">
        <v>42</v>
      </c>
      <c r="M6622">
        <f>VLOOKUP(H6622,'Stage Order'!$A$2:$B$8,2,FALSE)</f>
        <v>2</v>
      </c>
      <c r="N6622" t="str">
        <f t="shared" si="206"/>
        <v>2. 1-24 hours</v>
      </c>
      <c r="O6622" t="str">
        <f t="shared" si="207"/>
        <v>2026-06</v>
      </c>
    </row>
    <row r="6623" spans="1:15" x14ac:dyDescent="0.3">
      <c r="A6623" t="s">
        <v>15579</v>
      </c>
      <c r="B6623" t="s">
        <v>15580</v>
      </c>
      <c r="C6623" t="s">
        <v>58</v>
      </c>
      <c r="D6623" t="s">
        <v>29</v>
      </c>
      <c r="E6623" t="s">
        <v>30</v>
      </c>
      <c r="F6623" t="s">
        <v>82</v>
      </c>
      <c r="G6623">
        <v>3.42</v>
      </c>
      <c r="H6623" t="s">
        <v>61</v>
      </c>
      <c r="I6623" t="s">
        <v>42</v>
      </c>
      <c r="M6623">
        <f>VLOOKUP(H6623,'Stage Order'!$A$2:$B$8,2,FALSE)</f>
        <v>1</v>
      </c>
      <c r="N6623" t="str">
        <f t="shared" si="206"/>
        <v>2. 1-24 hours</v>
      </c>
      <c r="O6623" t="str">
        <f t="shared" si="207"/>
        <v>2025-12</v>
      </c>
    </row>
    <row r="6624" spans="1:15" x14ac:dyDescent="0.3">
      <c r="A6624" t="s">
        <v>15581</v>
      </c>
      <c r="B6624" t="s">
        <v>15582</v>
      </c>
      <c r="C6624" t="s">
        <v>81</v>
      </c>
      <c r="D6624" t="s">
        <v>29</v>
      </c>
      <c r="E6624" t="s">
        <v>30</v>
      </c>
      <c r="F6624" t="s">
        <v>78</v>
      </c>
      <c r="G6624">
        <v>3.76</v>
      </c>
      <c r="H6624" t="s">
        <v>61</v>
      </c>
      <c r="I6624" t="s">
        <v>42</v>
      </c>
      <c r="M6624">
        <f>VLOOKUP(H6624,'Stage Order'!$A$2:$B$8,2,FALSE)</f>
        <v>1</v>
      </c>
      <c r="N6624" t="str">
        <f t="shared" si="206"/>
        <v>2. 1-24 hours</v>
      </c>
      <c r="O6624" t="str">
        <f t="shared" si="207"/>
        <v>2025-06</v>
      </c>
    </row>
    <row r="6625" spans="1:15" x14ac:dyDescent="0.3">
      <c r="A6625" t="s">
        <v>15583</v>
      </c>
      <c r="B6625" t="s">
        <v>15584</v>
      </c>
      <c r="C6625" t="s">
        <v>37</v>
      </c>
      <c r="D6625" t="s">
        <v>97</v>
      </c>
      <c r="E6625" t="s">
        <v>39</v>
      </c>
      <c r="F6625" t="s">
        <v>106</v>
      </c>
      <c r="G6625">
        <v>3.87</v>
      </c>
      <c r="H6625" t="s">
        <v>146</v>
      </c>
      <c r="I6625" t="s">
        <v>48</v>
      </c>
      <c r="J6625" t="s">
        <v>139</v>
      </c>
      <c r="K6625">
        <v>1549.12</v>
      </c>
      <c r="L6625" t="s">
        <v>15585</v>
      </c>
      <c r="M6625">
        <f>VLOOKUP(H6625,'Stage Order'!$A$2:$B$8,2,FALSE)</f>
        <v>5</v>
      </c>
      <c r="N6625" t="str">
        <f t="shared" si="206"/>
        <v>2. 1-24 hours</v>
      </c>
      <c r="O6625" t="str">
        <f t="shared" si="207"/>
        <v>2026-06</v>
      </c>
    </row>
    <row r="6626" spans="1:15" x14ac:dyDescent="0.3">
      <c r="A6626" t="s">
        <v>15586</v>
      </c>
      <c r="B6626" t="s">
        <v>15587</v>
      </c>
      <c r="C6626" t="s">
        <v>81</v>
      </c>
      <c r="D6626" t="s">
        <v>54</v>
      </c>
      <c r="E6626" t="s">
        <v>90</v>
      </c>
      <c r="F6626" t="s">
        <v>145</v>
      </c>
      <c r="G6626">
        <v>3.32</v>
      </c>
      <c r="H6626" t="s">
        <v>61</v>
      </c>
      <c r="I6626" t="s">
        <v>42</v>
      </c>
      <c r="M6626">
        <f>VLOOKUP(H6626,'Stage Order'!$A$2:$B$8,2,FALSE)</f>
        <v>1</v>
      </c>
      <c r="N6626" t="str">
        <f t="shared" si="206"/>
        <v>2. 1-24 hours</v>
      </c>
      <c r="O6626" t="str">
        <f t="shared" si="207"/>
        <v>2025-12</v>
      </c>
    </row>
    <row r="6627" spans="1:15" x14ac:dyDescent="0.3">
      <c r="A6627" t="s">
        <v>15588</v>
      </c>
      <c r="B6627" t="s">
        <v>15589</v>
      </c>
      <c r="C6627" t="s">
        <v>58</v>
      </c>
      <c r="D6627" t="s">
        <v>97</v>
      </c>
      <c r="E6627" t="s">
        <v>30</v>
      </c>
      <c r="F6627" t="s">
        <v>82</v>
      </c>
      <c r="G6627">
        <v>1.64</v>
      </c>
      <c r="H6627" t="s">
        <v>61</v>
      </c>
      <c r="I6627" t="s">
        <v>42</v>
      </c>
      <c r="M6627">
        <f>VLOOKUP(H6627,'Stage Order'!$A$2:$B$8,2,FALSE)</f>
        <v>1</v>
      </c>
      <c r="N6627" t="str">
        <f t="shared" si="206"/>
        <v>2. 1-24 hours</v>
      </c>
      <c r="O6627" t="str">
        <f t="shared" si="207"/>
        <v>2025-07</v>
      </c>
    </row>
    <row r="6628" spans="1:15" x14ac:dyDescent="0.3">
      <c r="A6628" t="s">
        <v>15590</v>
      </c>
      <c r="B6628" t="s">
        <v>15591</v>
      </c>
      <c r="C6628" t="s">
        <v>28</v>
      </c>
      <c r="D6628" t="s">
        <v>38</v>
      </c>
      <c r="E6628" t="s">
        <v>59</v>
      </c>
      <c r="F6628" t="s">
        <v>117</v>
      </c>
      <c r="G6628">
        <v>9.34</v>
      </c>
      <c r="H6628" t="s">
        <v>41</v>
      </c>
      <c r="I6628" t="s">
        <v>42</v>
      </c>
      <c r="M6628">
        <f>VLOOKUP(H6628,'Stage Order'!$A$2:$B$8,2,FALSE)</f>
        <v>2</v>
      </c>
      <c r="N6628" t="str">
        <f t="shared" si="206"/>
        <v>2. 1-24 hours</v>
      </c>
      <c r="O6628" t="str">
        <f t="shared" si="207"/>
        <v>2025-08</v>
      </c>
    </row>
    <row r="6629" spans="1:15" x14ac:dyDescent="0.3">
      <c r="A6629" t="s">
        <v>15592</v>
      </c>
      <c r="B6629" t="s">
        <v>15593</v>
      </c>
      <c r="C6629" t="s">
        <v>37</v>
      </c>
      <c r="D6629" t="s">
        <v>54</v>
      </c>
      <c r="E6629" t="s">
        <v>39</v>
      </c>
      <c r="F6629" t="s">
        <v>106</v>
      </c>
      <c r="G6629">
        <v>17.399999999999999</v>
      </c>
      <c r="H6629" t="s">
        <v>41</v>
      </c>
      <c r="I6629" t="s">
        <v>42</v>
      </c>
      <c r="M6629">
        <f>VLOOKUP(H6629,'Stage Order'!$A$2:$B$8,2,FALSE)</f>
        <v>2</v>
      </c>
      <c r="N6629" t="str">
        <f t="shared" si="206"/>
        <v>2. 1-24 hours</v>
      </c>
      <c r="O6629" t="str">
        <f t="shared" si="207"/>
        <v>2025-02</v>
      </c>
    </row>
    <row r="6630" spans="1:15" x14ac:dyDescent="0.3">
      <c r="A6630" t="s">
        <v>15594</v>
      </c>
      <c r="B6630" t="s">
        <v>15595</v>
      </c>
      <c r="C6630" t="s">
        <v>58</v>
      </c>
      <c r="D6630" t="s">
        <v>77</v>
      </c>
      <c r="E6630" t="s">
        <v>45</v>
      </c>
      <c r="F6630" t="s">
        <v>46</v>
      </c>
      <c r="G6630">
        <v>3.74</v>
      </c>
      <c r="H6630" t="s">
        <v>32</v>
      </c>
      <c r="I6630" t="s">
        <v>33</v>
      </c>
      <c r="K6630">
        <v>1114.1199999999999</v>
      </c>
      <c r="L6630" t="s">
        <v>15596</v>
      </c>
      <c r="M6630">
        <f>VLOOKUP(H6630,'Stage Order'!$A$2:$B$8,2,FALSE)</f>
        <v>7</v>
      </c>
      <c r="N6630" t="str">
        <f t="shared" si="206"/>
        <v>2. 1-24 hours</v>
      </c>
      <c r="O6630" t="str">
        <f t="shared" si="207"/>
        <v>2025-04</v>
      </c>
    </row>
    <row r="6631" spans="1:15" x14ac:dyDescent="0.3">
      <c r="A6631" t="s">
        <v>15597</v>
      </c>
      <c r="B6631" t="s">
        <v>15598</v>
      </c>
      <c r="C6631" t="s">
        <v>125</v>
      </c>
      <c r="D6631" t="s">
        <v>29</v>
      </c>
      <c r="E6631" t="s">
        <v>59</v>
      </c>
      <c r="F6631" t="s">
        <v>117</v>
      </c>
      <c r="G6631">
        <v>5.0599999999999996</v>
      </c>
      <c r="H6631" t="s">
        <v>47</v>
      </c>
      <c r="I6631" t="s">
        <v>48</v>
      </c>
      <c r="J6631" t="s">
        <v>113</v>
      </c>
      <c r="K6631">
        <v>538.92999999999995</v>
      </c>
      <c r="L6631" t="s">
        <v>15599</v>
      </c>
      <c r="M6631">
        <f>VLOOKUP(H6631,'Stage Order'!$A$2:$B$8,2,FALSE)</f>
        <v>4</v>
      </c>
      <c r="N6631" t="str">
        <f t="shared" si="206"/>
        <v>2. 1-24 hours</v>
      </c>
      <c r="O6631" t="str">
        <f t="shared" si="207"/>
        <v>2026-01</v>
      </c>
    </row>
    <row r="6632" spans="1:15" x14ac:dyDescent="0.3">
      <c r="A6632" t="s">
        <v>15600</v>
      </c>
      <c r="B6632" t="s">
        <v>15601</v>
      </c>
      <c r="C6632" t="s">
        <v>125</v>
      </c>
      <c r="D6632" t="s">
        <v>97</v>
      </c>
      <c r="E6632" t="s">
        <v>59</v>
      </c>
      <c r="F6632" t="s">
        <v>117</v>
      </c>
      <c r="G6632">
        <v>1.1599999999999999</v>
      </c>
      <c r="H6632" t="s">
        <v>41</v>
      </c>
      <c r="I6632" t="s">
        <v>42</v>
      </c>
      <c r="M6632">
        <f>VLOOKUP(H6632,'Stage Order'!$A$2:$B$8,2,FALSE)</f>
        <v>2</v>
      </c>
      <c r="N6632" t="str">
        <f t="shared" si="206"/>
        <v>2. 1-24 hours</v>
      </c>
      <c r="O6632" t="str">
        <f t="shared" si="207"/>
        <v>2025-08</v>
      </c>
    </row>
    <row r="6633" spans="1:15" x14ac:dyDescent="0.3">
      <c r="A6633" t="s">
        <v>15602</v>
      </c>
      <c r="B6633" t="s">
        <v>15603</v>
      </c>
      <c r="C6633" t="s">
        <v>125</v>
      </c>
      <c r="D6633" t="s">
        <v>54</v>
      </c>
      <c r="E6633" t="s">
        <v>45</v>
      </c>
      <c r="F6633" t="s">
        <v>94</v>
      </c>
      <c r="G6633">
        <v>3</v>
      </c>
      <c r="H6633" t="s">
        <v>41</v>
      </c>
      <c r="I6633" t="s">
        <v>42</v>
      </c>
      <c r="M6633">
        <f>VLOOKUP(H6633,'Stage Order'!$A$2:$B$8,2,FALSE)</f>
        <v>2</v>
      </c>
      <c r="N6633" t="str">
        <f t="shared" si="206"/>
        <v>2. 1-24 hours</v>
      </c>
      <c r="O6633" t="str">
        <f t="shared" si="207"/>
        <v>2025-01</v>
      </c>
    </row>
    <row r="6634" spans="1:15" x14ac:dyDescent="0.3">
      <c r="A6634" t="s">
        <v>15604</v>
      </c>
      <c r="B6634" t="s">
        <v>15605</v>
      </c>
      <c r="C6634" t="s">
        <v>53</v>
      </c>
      <c r="D6634" t="s">
        <v>54</v>
      </c>
      <c r="E6634" t="s">
        <v>39</v>
      </c>
      <c r="F6634" t="s">
        <v>106</v>
      </c>
      <c r="G6634">
        <v>2.5099999999999998</v>
      </c>
      <c r="H6634" t="s">
        <v>138</v>
      </c>
      <c r="I6634" t="s">
        <v>48</v>
      </c>
      <c r="J6634" t="s">
        <v>139</v>
      </c>
      <c r="K6634">
        <v>593.29999999999995</v>
      </c>
      <c r="L6634" t="s">
        <v>15606</v>
      </c>
      <c r="M6634">
        <f>VLOOKUP(H6634,'Stage Order'!$A$2:$B$8,2,FALSE)</f>
        <v>6</v>
      </c>
      <c r="N6634" t="str">
        <f t="shared" si="206"/>
        <v>2. 1-24 hours</v>
      </c>
      <c r="O6634" t="str">
        <f t="shared" si="207"/>
        <v>2025-02</v>
      </c>
    </row>
    <row r="6635" spans="1:15" x14ac:dyDescent="0.3">
      <c r="A6635" t="s">
        <v>15607</v>
      </c>
      <c r="B6635" t="s">
        <v>15608</v>
      </c>
      <c r="C6635" t="s">
        <v>58</v>
      </c>
      <c r="D6635" t="s">
        <v>77</v>
      </c>
      <c r="E6635" t="s">
        <v>45</v>
      </c>
      <c r="F6635" t="s">
        <v>46</v>
      </c>
      <c r="G6635">
        <v>9.81</v>
      </c>
      <c r="H6635" t="s">
        <v>61</v>
      </c>
      <c r="I6635" t="s">
        <v>42</v>
      </c>
      <c r="M6635">
        <f>VLOOKUP(H6635,'Stage Order'!$A$2:$B$8,2,FALSE)</f>
        <v>1</v>
      </c>
      <c r="N6635" t="str">
        <f t="shared" si="206"/>
        <v>2. 1-24 hours</v>
      </c>
      <c r="O6635" t="str">
        <f t="shared" si="207"/>
        <v>2025-11</v>
      </c>
    </row>
    <row r="6636" spans="1:15" x14ac:dyDescent="0.3">
      <c r="A6636" t="s">
        <v>15609</v>
      </c>
      <c r="B6636" t="s">
        <v>15610</v>
      </c>
      <c r="C6636" t="s">
        <v>37</v>
      </c>
      <c r="D6636" t="s">
        <v>29</v>
      </c>
      <c r="E6636" t="s">
        <v>39</v>
      </c>
      <c r="F6636" t="s">
        <v>106</v>
      </c>
      <c r="G6636">
        <v>1.47</v>
      </c>
      <c r="H6636" t="s">
        <v>32</v>
      </c>
      <c r="I6636" t="s">
        <v>33</v>
      </c>
      <c r="K6636">
        <v>712.4</v>
      </c>
      <c r="L6636" t="s">
        <v>15611</v>
      </c>
      <c r="M6636">
        <f>VLOOKUP(H6636,'Stage Order'!$A$2:$B$8,2,FALSE)</f>
        <v>7</v>
      </c>
      <c r="N6636" t="str">
        <f t="shared" si="206"/>
        <v>2. 1-24 hours</v>
      </c>
      <c r="O6636" t="str">
        <f t="shared" si="207"/>
        <v>2026-01</v>
      </c>
    </row>
    <row r="6637" spans="1:15" x14ac:dyDescent="0.3">
      <c r="A6637" t="s">
        <v>15612</v>
      </c>
      <c r="B6637" t="s">
        <v>15613</v>
      </c>
      <c r="C6637" t="s">
        <v>53</v>
      </c>
      <c r="D6637" t="s">
        <v>29</v>
      </c>
      <c r="E6637" t="s">
        <v>59</v>
      </c>
      <c r="F6637" t="s">
        <v>117</v>
      </c>
      <c r="G6637">
        <v>1.75</v>
      </c>
      <c r="H6637" t="s">
        <v>61</v>
      </c>
      <c r="I6637" t="s">
        <v>42</v>
      </c>
      <c r="M6637">
        <f>VLOOKUP(H6637,'Stage Order'!$A$2:$B$8,2,FALSE)</f>
        <v>1</v>
      </c>
      <c r="N6637" t="str">
        <f t="shared" si="206"/>
        <v>2. 1-24 hours</v>
      </c>
      <c r="O6637" t="str">
        <f t="shared" si="207"/>
        <v>2025-11</v>
      </c>
    </row>
    <row r="6638" spans="1:15" x14ac:dyDescent="0.3">
      <c r="A6638" t="s">
        <v>15614</v>
      </c>
      <c r="B6638" t="s">
        <v>15615</v>
      </c>
      <c r="C6638" t="s">
        <v>125</v>
      </c>
      <c r="D6638" t="s">
        <v>29</v>
      </c>
      <c r="E6638" t="s">
        <v>90</v>
      </c>
      <c r="F6638" t="s">
        <v>112</v>
      </c>
      <c r="G6638">
        <v>13.12</v>
      </c>
      <c r="H6638" t="s">
        <v>61</v>
      </c>
      <c r="I6638" t="s">
        <v>42</v>
      </c>
      <c r="M6638">
        <f>VLOOKUP(H6638,'Stage Order'!$A$2:$B$8,2,FALSE)</f>
        <v>1</v>
      </c>
      <c r="N6638" t="str">
        <f t="shared" si="206"/>
        <v>2. 1-24 hours</v>
      </c>
      <c r="O6638" t="str">
        <f t="shared" si="207"/>
        <v>2025-12</v>
      </c>
    </row>
    <row r="6639" spans="1:15" x14ac:dyDescent="0.3">
      <c r="A6639" t="s">
        <v>15616</v>
      </c>
      <c r="B6639" t="s">
        <v>15617</v>
      </c>
      <c r="C6639" t="s">
        <v>58</v>
      </c>
      <c r="D6639" t="s">
        <v>29</v>
      </c>
      <c r="E6639" t="s">
        <v>90</v>
      </c>
      <c r="F6639" t="s">
        <v>145</v>
      </c>
      <c r="G6639">
        <v>3.66</v>
      </c>
      <c r="H6639" t="s">
        <v>47</v>
      </c>
      <c r="I6639" t="s">
        <v>48</v>
      </c>
      <c r="J6639" t="s">
        <v>113</v>
      </c>
      <c r="K6639">
        <v>627.21</v>
      </c>
      <c r="L6639" t="s">
        <v>15618</v>
      </c>
      <c r="M6639">
        <f>VLOOKUP(H6639,'Stage Order'!$A$2:$B$8,2,FALSE)</f>
        <v>4</v>
      </c>
      <c r="N6639" t="str">
        <f t="shared" si="206"/>
        <v>2. 1-24 hours</v>
      </c>
      <c r="O6639" t="str">
        <f t="shared" si="207"/>
        <v>2026-01</v>
      </c>
    </row>
    <row r="6640" spans="1:15" x14ac:dyDescent="0.3">
      <c r="A6640" t="s">
        <v>15619</v>
      </c>
      <c r="B6640" t="s">
        <v>15620</v>
      </c>
      <c r="C6640" t="s">
        <v>28</v>
      </c>
      <c r="D6640" t="s">
        <v>77</v>
      </c>
      <c r="E6640" t="s">
        <v>39</v>
      </c>
      <c r="F6640" t="s">
        <v>40</v>
      </c>
      <c r="G6640">
        <v>3.8</v>
      </c>
      <c r="H6640" t="s">
        <v>138</v>
      </c>
      <c r="I6640" t="s">
        <v>48</v>
      </c>
      <c r="J6640" t="s">
        <v>49</v>
      </c>
      <c r="K6640">
        <v>942.39</v>
      </c>
      <c r="L6640" t="s">
        <v>15621</v>
      </c>
      <c r="M6640">
        <f>VLOOKUP(H6640,'Stage Order'!$A$2:$B$8,2,FALSE)</f>
        <v>6</v>
      </c>
      <c r="N6640" t="str">
        <f t="shared" si="206"/>
        <v>2. 1-24 hours</v>
      </c>
      <c r="O6640" t="str">
        <f t="shared" si="207"/>
        <v>2026-03</v>
      </c>
    </row>
    <row r="6641" spans="1:15" x14ac:dyDescent="0.3">
      <c r="A6641" t="s">
        <v>15622</v>
      </c>
      <c r="B6641" t="s">
        <v>15623</v>
      </c>
      <c r="C6641" t="s">
        <v>125</v>
      </c>
      <c r="D6641" t="s">
        <v>54</v>
      </c>
      <c r="E6641" t="s">
        <v>59</v>
      </c>
      <c r="F6641" t="s">
        <v>117</v>
      </c>
      <c r="G6641">
        <v>0.66</v>
      </c>
      <c r="H6641" t="s">
        <v>32</v>
      </c>
      <c r="I6641" t="s">
        <v>33</v>
      </c>
      <c r="K6641">
        <v>489.29</v>
      </c>
      <c r="L6641" t="s">
        <v>15624</v>
      </c>
      <c r="M6641">
        <f>VLOOKUP(H6641,'Stage Order'!$A$2:$B$8,2,FALSE)</f>
        <v>7</v>
      </c>
      <c r="N6641" t="str">
        <f t="shared" si="206"/>
        <v>1. Under 1 hour</v>
      </c>
      <c r="O6641" t="str">
        <f t="shared" si="207"/>
        <v>2025-02</v>
      </c>
    </row>
    <row r="6642" spans="1:15" x14ac:dyDescent="0.3">
      <c r="A6642" t="s">
        <v>15625</v>
      </c>
      <c r="B6642" t="s">
        <v>15626</v>
      </c>
      <c r="C6642" t="s">
        <v>58</v>
      </c>
      <c r="D6642" t="s">
        <v>38</v>
      </c>
      <c r="E6642" t="s">
        <v>90</v>
      </c>
      <c r="F6642" t="s">
        <v>91</v>
      </c>
      <c r="G6642">
        <v>3.61</v>
      </c>
      <c r="H6642" t="s">
        <v>41</v>
      </c>
      <c r="I6642" t="s">
        <v>42</v>
      </c>
      <c r="M6642">
        <f>VLOOKUP(H6642,'Stage Order'!$A$2:$B$8,2,FALSE)</f>
        <v>2</v>
      </c>
      <c r="N6642" t="str">
        <f t="shared" si="206"/>
        <v>2. 1-24 hours</v>
      </c>
      <c r="O6642" t="str">
        <f t="shared" si="207"/>
        <v>2026-04</v>
      </c>
    </row>
    <row r="6643" spans="1:15" x14ac:dyDescent="0.3">
      <c r="A6643" t="s">
        <v>15627</v>
      </c>
      <c r="B6643" t="s">
        <v>15628</v>
      </c>
      <c r="C6643" t="s">
        <v>53</v>
      </c>
      <c r="D6643" t="s">
        <v>29</v>
      </c>
      <c r="E6643" t="s">
        <v>59</v>
      </c>
      <c r="F6643" t="s">
        <v>117</v>
      </c>
      <c r="G6643">
        <v>0.52</v>
      </c>
      <c r="H6643" t="s">
        <v>32</v>
      </c>
      <c r="I6643" t="s">
        <v>33</v>
      </c>
      <c r="K6643">
        <v>585.41</v>
      </c>
      <c r="L6643" t="s">
        <v>15629</v>
      </c>
      <c r="M6643">
        <f>VLOOKUP(H6643,'Stage Order'!$A$2:$B$8,2,FALSE)</f>
        <v>7</v>
      </c>
      <c r="N6643" t="str">
        <f t="shared" si="206"/>
        <v>1. Under 1 hour</v>
      </c>
      <c r="O6643" t="str">
        <f t="shared" si="207"/>
        <v>2025-05</v>
      </c>
    </row>
    <row r="6644" spans="1:15" x14ac:dyDescent="0.3">
      <c r="A6644" t="s">
        <v>15630</v>
      </c>
      <c r="B6644" t="s">
        <v>15631</v>
      </c>
      <c r="C6644" t="s">
        <v>53</v>
      </c>
      <c r="D6644" t="s">
        <v>97</v>
      </c>
      <c r="E6644" t="s">
        <v>39</v>
      </c>
      <c r="F6644" t="s">
        <v>106</v>
      </c>
      <c r="G6644">
        <v>5.22</v>
      </c>
      <c r="H6644" t="s">
        <v>138</v>
      </c>
      <c r="I6644" t="s">
        <v>48</v>
      </c>
      <c r="J6644" t="s">
        <v>49</v>
      </c>
      <c r="K6644">
        <v>1646.09</v>
      </c>
      <c r="L6644" t="s">
        <v>15632</v>
      </c>
      <c r="M6644">
        <f>VLOOKUP(H6644,'Stage Order'!$A$2:$B$8,2,FALSE)</f>
        <v>6</v>
      </c>
      <c r="N6644" t="str">
        <f t="shared" si="206"/>
        <v>2. 1-24 hours</v>
      </c>
      <c r="O6644" t="str">
        <f t="shared" si="207"/>
        <v>2025-02</v>
      </c>
    </row>
    <row r="6645" spans="1:15" x14ac:dyDescent="0.3">
      <c r="A6645" t="s">
        <v>15633</v>
      </c>
      <c r="B6645" t="s">
        <v>15634</v>
      </c>
      <c r="C6645" t="s">
        <v>76</v>
      </c>
      <c r="D6645" t="s">
        <v>29</v>
      </c>
      <c r="E6645" t="s">
        <v>30</v>
      </c>
      <c r="F6645" t="s">
        <v>78</v>
      </c>
      <c r="G6645">
        <v>1.63</v>
      </c>
      <c r="H6645" t="s">
        <v>41</v>
      </c>
      <c r="I6645" t="s">
        <v>42</v>
      </c>
      <c r="M6645">
        <f>VLOOKUP(H6645,'Stage Order'!$A$2:$B$8,2,FALSE)</f>
        <v>2</v>
      </c>
      <c r="N6645" t="str">
        <f t="shared" si="206"/>
        <v>2. 1-24 hours</v>
      </c>
      <c r="O6645" t="str">
        <f t="shared" si="207"/>
        <v>2025-05</v>
      </c>
    </row>
    <row r="6646" spans="1:15" x14ac:dyDescent="0.3">
      <c r="A6646" t="s">
        <v>15635</v>
      </c>
      <c r="B6646" t="s">
        <v>15636</v>
      </c>
      <c r="C6646" t="s">
        <v>58</v>
      </c>
      <c r="D6646" t="s">
        <v>54</v>
      </c>
      <c r="E6646" t="s">
        <v>45</v>
      </c>
      <c r="F6646" t="s">
        <v>55</v>
      </c>
      <c r="G6646">
        <v>2.85</v>
      </c>
      <c r="H6646" t="s">
        <v>138</v>
      </c>
      <c r="I6646" t="s">
        <v>48</v>
      </c>
      <c r="J6646" t="s">
        <v>98</v>
      </c>
      <c r="K6646">
        <v>549.6</v>
      </c>
      <c r="L6646" t="s">
        <v>15637</v>
      </c>
      <c r="M6646">
        <f>VLOOKUP(H6646,'Stage Order'!$A$2:$B$8,2,FALSE)</f>
        <v>6</v>
      </c>
      <c r="N6646" t="str">
        <f t="shared" si="206"/>
        <v>2. 1-24 hours</v>
      </c>
      <c r="O6646" t="str">
        <f t="shared" si="207"/>
        <v>2026-03</v>
      </c>
    </row>
    <row r="6647" spans="1:15" x14ac:dyDescent="0.3">
      <c r="A6647" t="s">
        <v>15638</v>
      </c>
      <c r="B6647" t="s">
        <v>15639</v>
      </c>
      <c r="C6647" t="s">
        <v>37</v>
      </c>
      <c r="D6647" t="s">
        <v>77</v>
      </c>
      <c r="E6647" t="s">
        <v>59</v>
      </c>
      <c r="F6647" t="s">
        <v>60</v>
      </c>
      <c r="G6647">
        <v>2.4300000000000002</v>
      </c>
      <c r="H6647" t="s">
        <v>41</v>
      </c>
      <c r="I6647" t="s">
        <v>42</v>
      </c>
      <c r="M6647">
        <f>VLOOKUP(H6647,'Stage Order'!$A$2:$B$8,2,FALSE)</f>
        <v>2</v>
      </c>
      <c r="N6647" t="str">
        <f t="shared" si="206"/>
        <v>2. 1-24 hours</v>
      </c>
      <c r="O6647" t="str">
        <f t="shared" si="207"/>
        <v>2025-10</v>
      </c>
    </row>
    <row r="6648" spans="1:15" x14ac:dyDescent="0.3">
      <c r="A6648" t="s">
        <v>15640</v>
      </c>
      <c r="B6648" t="s">
        <v>15641</v>
      </c>
      <c r="C6648" t="s">
        <v>53</v>
      </c>
      <c r="D6648" t="s">
        <v>38</v>
      </c>
      <c r="E6648" t="s">
        <v>90</v>
      </c>
      <c r="F6648" t="s">
        <v>112</v>
      </c>
      <c r="G6648">
        <v>1.83</v>
      </c>
      <c r="H6648" t="s">
        <v>138</v>
      </c>
      <c r="I6648" t="s">
        <v>48</v>
      </c>
      <c r="J6648" t="s">
        <v>139</v>
      </c>
      <c r="K6648">
        <v>393.89</v>
      </c>
      <c r="L6648" t="s">
        <v>15642</v>
      </c>
      <c r="M6648">
        <f>VLOOKUP(H6648,'Stage Order'!$A$2:$B$8,2,FALSE)</f>
        <v>6</v>
      </c>
      <c r="N6648" t="str">
        <f t="shared" si="206"/>
        <v>2. 1-24 hours</v>
      </c>
      <c r="O6648" t="str">
        <f t="shared" si="207"/>
        <v>2025-05</v>
      </c>
    </row>
    <row r="6649" spans="1:15" x14ac:dyDescent="0.3">
      <c r="A6649" t="s">
        <v>15643</v>
      </c>
      <c r="B6649" t="s">
        <v>15644</v>
      </c>
      <c r="C6649" t="s">
        <v>58</v>
      </c>
      <c r="D6649" t="s">
        <v>54</v>
      </c>
      <c r="E6649" t="s">
        <v>39</v>
      </c>
      <c r="F6649" t="s">
        <v>66</v>
      </c>
      <c r="G6649">
        <v>6.83</v>
      </c>
      <c r="H6649" t="s">
        <v>41</v>
      </c>
      <c r="I6649" t="s">
        <v>42</v>
      </c>
      <c r="M6649">
        <f>VLOOKUP(H6649,'Stage Order'!$A$2:$B$8,2,FALSE)</f>
        <v>2</v>
      </c>
      <c r="N6649" t="str">
        <f t="shared" si="206"/>
        <v>2. 1-24 hours</v>
      </c>
      <c r="O6649" t="str">
        <f t="shared" si="207"/>
        <v>2025-05</v>
      </c>
    </row>
    <row r="6650" spans="1:15" x14ac:dyDescent="0.3">
      <c r="A6650" t="s">
        <v>15645</v>
      </c>
      <c r="B6650" t="s">
        <v>15646</v>
      </c>
      <c r="C6650" t="s">
        <v>37</v>
      </c>
      <c r="D6650" t="s">
        <v>54</v>
      </c>
      <c r="E6650" t="s">
        <v>45</v>
      </c>
      <c r="F6650" t="s">
        <v>94</v>
      </c>
      <c r="G6650">
        <v>0.25</v>
      </c>
      <c r="H6650" t="s">
        <v>32</v>
      </c>
      <c r="I6650" t="s">
        <v>33</v>
      </c>
      <c r="K6650">
        <v>574.12</v>
      </c>
      <c r="L6650" t="s">
        <v>15647</v>
      </c>
      <c r="M6650">
        <f>VLOOKUP(H6650,'Stage Order'!$A$2:$B$8,2,FALSE)</f>
        <v>7</v>
      </c>
      <c r="N6650" t="str">
        <f t="shared" si="206"/>
        <v>1. Under 1 hour</v>
      </c>
      <c r="O6650" t="str">
        <f t="shared" si="207"/>
        <v>2025-12</v>
      </c>
    </row>
    <row r="6651" spans="1:15" x14ac:dyDescent="0.3">
      <c r="A6651" t="s">
        <v>15648</v>
      </c>
      <c r="B6651" t="s">
        <v>15649</v>
      </c>
      <c r="C6651" t="s">
        <v>58</v>
      </c>
      <c r="D6651" t="s">
        <v>54</v>
      </c>
      <c r="E6651" t="s">
        <v>45</v>
      </c>
      <c r="F6651" t="s">
        <v>55</v>
      </c>
      <c r="G6651">
        <v>3.02</v>
      </c>
      <c r="H6651" t="s">
        <v>138</v>
      </c>
      <c r="I6651" t="s">
        <v>48</v>
      </c>
      <c r="J6651" t="s">
        <v>139</v>
      </c>
      <c r="K6651">
        <v>552.94000000000005</v>
      </c>
      <c r="L6651" t="s">
        <v>15650</v>
      </c>
      <c r="M6651">
        <f>VLOOKUP(H6651,'Stage Order'!$A$2:$B$8,2,FALSE)</f>
        <v>6</v>
      </c>
      <c r="N6651" t="str">
        <f t="shared" si="206"/>
        <v>2. 1-24 hours</v>
      </c>
      <c r="O6651" t="str">
        <f t="shared" si="207"/>
        <v>2025-11</v>
      </c>
    </row>
    <row r="6652" spans="1:15" x14ac:dyDescent="0.3">
      <c r="A6652" t="s">
        <v>15651</v>
      </c>
      <c r="B6652" t="s">
        <v>4819</v>
      </c>
      <c r="C6652" t="s">
        <v>37</v>
      </c>
      <c r="D6652" t="s">
        <v>38</v>
      </c>
      <c r="E6652" t="s">
        <v>90</v>
      </c>
      <c r="F6652" t="s">
        <v>91</v>
      </c>
      <c r="G6652">
        <v>0.56999999999999995</v>
      </c>
      <c r="H6652" t="s">
        <v>47</v>
      </c>
      <c r="I6652" t="s">
        <v>48</v>
      </c>
      <c r="J6652" t="s">
        <v>98</v>
      </c>
      <c r="K6652">
        <v>349.05</v>
      </c>
      <c r="L6652" t="s">
        <v>15652</v>
      </c>
      <c r="M6652">
        <f>VLOOKUP(H6652,'Stage Order'!$A$2:$B$8,2,FALSE)</f>
        <v>4</v>
      </c>
      <c r="N6652" t="str">
        <f t="shared" si="206"/>
        <v>1. Under 1 hour</v>
      </c>
      <c r="O6652" t="str">
        <f t="shared" si="207"/>
        <v>2025-08</v>
      </c>
    </row>
    <row r="6653" spans="1:15" x14ac:dyDescent="0.3">
      <c r="A6653" t="s">
        <v>15653</v>
      </c>
      <c r="B6653" t="s">
        <v>15654</v>
      </c>
      <c r="C6653" t="s">
        <v>37</v>
      </c>
      <c r="D6653" t="s">
        <v>77</v>
      </c>
      <c r="E6653" t="s">
        <v>45</v>
      </c>
      <c r="F6653" t="s">
        <v>46</v>
      </c>
      <c r="G6653">
        <v>1.4</v>
      </c>
      <c r="H6653" t="s">
        <v>41</v>
      </c>
      <c r="I6653" t="s">
        <v>42</v>
      </c>
      <c r="M6653">
        <f>VLOOKUP(H6653,'Stage Order'!$A$2:$B$8,2,FALSE)</f>
        <v>2</v>
      </c>
      <c r="N6653" t="str">
        <f t="shared" si="206"/>
        <v>2. 1-24 hours</v>
      </c>
      <c r="O6653" t="str">
        <f t="shared" si="207"/>
        <v>2025-08</v>
      </c>
    </row>
    <row r="6654" spans="1:15" x14ac:dyDescent="0.3">
      <c r="A6654" t="s">
        <v>15655</v>
      </c>
      <c r="B6654" t="s">
        <v>15656</v>
      </c>
      <c r="C6654" t="s">
        <v>58</v>
      </c>
      <c r="D6654" t="s">
        <v>54</v>
      </c>
      <c r="E6654" t="s">
        <v>59</v>
      </c>
      <c r="F6654" t="s">
        <v>137</v>
      </c>
      <c r="G6654">
        <v>2.12</v>
      </c>
      <c r="H6654" t="s">
        <v>138</v>
      </c>
      <c r="I6654" t="s">
        <v>48</v>
      </c>
      <c r="J6654" t="s">
        <v>49</v>
      </c>
      <c r="K6654">
        <v>456.22</v>
      </c>
      <c r="L6654" t="s">
        <v>15657</v>
      </c>
      <c r="M6654">
        <f>VLOOKUP(H6654,'Stage Order'!$A$2:$B$8,2,FALSE)</f>
        <v>6</v>
      </c>
      <c r="N6654" t="str">
        <f t="shared" si="206"/>
        <v>2. 1-24 hours</v>
      </c>
      <c r="O6654" t="str">
        <f t="shared" si="207"/>
        <v>2025-05</v>
      </c>
    </row>
    <row r="6655" spans="1:15" x14ac:dyDescent="0.3">
      <c r="A6655" t="s">
        <v>15658</v>
      </c>
      <c r="B6655" t="s">
        <v>15659</v>
      </c>
      <c r="C6655" t="s">
        <v>53</v>
      </c>
      <c r="D6655" t="s">
        <v>29</v>
      </c>
      <c r="E6655" t="s">
        <v>39</v>
      </c>
      <c r="F6655" t="s">
        <v>66</v>
      </c>
      <c r="G6655">
        <v>10.37</v>
      </c>
      <c r="H6655" t="s">
        <v>41</v>
      </c>
      <c r="I6655" t="s">
        <v>42</v>
      </c>
      <c r="M6655">
        <f>VLOOKUP(H6655,'Stage Order'!$A$2:$B$8,2,FALSE)</f>
        <v>2</v>
      </c>
      <c r="N6655" t="str">
        <f t="shared" si="206"/>
        <v>2. 1-24 hours</v>
      </c>
      <c r="O6655" t="str">
        <f t="shared" si="207"/>
        <v>2026-06</v>
      </c>
    </row>
    <row r="6656" spans="1:15" x14ac:dyDescent="0.3">
      <c r="A6656" t="s">
        <v>15660</v>
      </c>
      <c r="B6656" t="s">
        <v>15661</v>
      </c>
      <c r="C6656" t="s">
        <v>37</v>
      </c>
      <c r="D6656" t="s">
        <v>54</v>
      </c>
      <c r="E6656" t="s">
        <v>90</v>
      </c>
      <c r="F6656" t="s">
        <v>91</v>
      </c>
      <c r="G6656">
        <v>0.68</v>
      </c>
      <c r="H6656" t="s">
        <v>61</v>
      </c>
      <c r="I6656" t="s">
        <v>42</v>
      </c>
      <c r="M6656">
        <f>VLOOKUP(H6656,'Stage Order'!$A$2:$B$8,2,FALSE)</f>
        <v>1</v>
      </c>
      <c r="N6656" t="str">
        <f t="shared" si="206"/>
        <v>1. Under 1 hour</v>
      </c>
      <c r="O6656" t="str">
        <f t="shared" si="207"/>
        <v>2025-12</v>
      </c>
    </row>
    <row r="6657" spans="1:15" x14ac:dyDescent="0.3">
      <c r="A6657" t="s">
        <v>15662</v>
      </c>
      <c r="B6657" t="s">
        <v>15663</v>
      </c>
      <c r="C6657" t="s">
        <v>58</v>
      </c>
      <c r="D6657" t="s">
        <v>77</v>
      </c>
      <c r="E6657" t="s">
        <v>59</v>
      </c>
      <c r="F6657" t="s">
        <v>60</v>
      </c>
      <c r="G6657">
        <v>18.93</v>
      </c>
      <c r="H6657" t="s">
        <v>41</v>
      </c>
      <c r="I6657" t="s">
        <v>42</v>
      </c>
      <c r="M6657">
        <f>VLOOKUP(H6657,'Stage Order'!$A$2:$B$8,2,FALSE)</f>
        <v>2</v>
      </c>
      <c r="N6657" t="str">
        <f t="shared" si="206"/>
        <v>2. 1-24 hours</v>
      </c>
      <c r="O6657" t="str">
        <f t="shared" si="207"/>
        <v>2026-01</v>
      </c>
    </row>
    <row r="6658" spans="1:15" x14ac:dyDescent="0.3">
      <c r="A6658" t="s">
        <v>15664</v>
      </c>
      <c r="B6658" t="s">
        <v>15665</v>
      </c>
      <c r="C6658" t="s">
        <v>28</v>
      </c>
      <c r="D6658" t="s">
        <v>38</v>
      </c>
      <c r="E6658" t="s">
        <v>59</v>
      </c>
      <c r="F6658" t="s">
        <v>137</v>
      </c>
      <c r="G6658">
        <v>2.8</v>
      </c>
      <c r="H6658" t="s">
        <v>47</v>
      </c>
      <c r="I6658" t="s">
        <v>48</v>
      </c>
      <c r="J6658" t="s">
        <v>139</v>
      </c>
      <c r="K6658">
        <v>323.17</v>
      </c>
      <c r="L6658" t="s">
        <v>15666</v>
      </c>
      <c r="M6658">
        <f>VLOOKUP(H6658,'Stage Order'!$A$2:$B$8,2,FALSE)</f>
        <v>4</v>
      </c>
      <c r="N6658" t="str">
        <f t="shared" ref="N6658:N6721" si="208">IF(G6658&lt;=1,"1. Under 1 hour",IF(G6658&lt;=24,"2. 1-24 hours",IF(G6658&lt;=72,"3. 1-3 days","4. Over 3 days")))</f>
        <v>2. 1-24 hours</v>
      </c>
      <c r="O6658" t="str">
        <f t="shared" ref="O6658:O6721" si="209">TEXT(B6658,"YYYY-MM")</f>
        <v>2026-05</v>
      </c>
    </row>
    <row r="6659" spans="1:15" x14ac:dyDescent="0.3">
      <c r="A6659" t="s">
        <v>15667</v>
      </c>
      <c r="B6659" t="s">
        <v>15668</v>
      </c>
      <c r="C6659" t="s">
        <v>37</v>
      </c>
      <c r="D6659" t="s">
        <v>29</v>
      </c>
      <c r="E6659" t="s">
        <v>39</v>
      </c>
      <c r="F6659" t="s">
        <v>40</v>
      </c>
      <c r="G6659">
        <v>1.67</v>
      </c>
      <c r="H6659" t="s">
        <v>61</v>
      </c>
      <c r="I6659" t="s">
        <v>42</v>
      </c>
      <c r="M6659">
        <f>VLOOKUP(H6659,'Stage Order'!$A$2:$B$8,2,FALSE)</f>
        <v>1</v>
      </c>
      <c r="N6659" t="str">
        <f t="shared" si="208"/>
        <v>2. 1-24 hours</v>
      </c>
      <c r="O6659" t="str">
        <f t="shared" si="209"/>
        <v>2025-01</v>
      </c>
    </row>
    <row r="6660" spans="1:15" x14ac:dyDescent="0.3">
      <c r="A6660" t="s">
        <v>15669</v>
      </c>
      <c r="B6660" t="s">
        <v>15670</v>
      </c>
      <c r="C6660" t="s">
        <v>37</v>
      </c>
      <c r="D6660" t="s">
        <v>54</v>
      </c>
      <c r="E6660" t="s">
        <v>39</v>
      </c>
      <c r="F6660" t="s">
        <v>40</v>
      </c>
      <c r="G6660">
        <v>1.4</v>
      </c>
      <c r="H6660" t="s">
        <v>41</v>
      </c>
      <c r="I6660" t="s">
        <v>42</v>
      </c>
      <c r="M6660">
        <f>VLOOKUP(H6660,'Stage Order'!$A$2:$B$8,2,FALSE)</f>
        <v>2</v>
      </c>
      <c r="N6660" t="str">
        <f t="shared" si="208"/>
        <v>2. 1-24 hours</v>
      </c>
      <c r="O6660" t="str">
        <f t="shared" si="209"/>
        <v>2026-01</v>
      </c>
    </row>
    <row r="6661" spans="1:15" x14ac:dyDescent="0.3">
      <c r="A6661" t="s">
        <v>15671</v>
      </c>
      <c r="B6661" t="s">
        <v>15672</v>
      </c>
      <c r="C6661" t="s">
        <v>58</v>
      </c>
      <c r="D6661" t="s">
        <v>54</v>
      </c>
      <c r="E6661" t="s">
        <v>39</v>
      </c>
      <c r="F6661" t="s">
        <v>40</v>
      </c>
      <c r="G6661">
        <v>2.93</v>
      </c>
      <c r="H6661" t="s">
        <v>41</v>
      </c>
      <c r="I6661" t="s">
        <v>42</v>
      </c>
      <c r="M6661">
        <f>VLOOKUP(H6661,'Stage Order'!$A$2:$B$8,2,FALSE)</f>
        <v>2</v>
      </c>
      <c r="N6661" t="str">
        <f t="shared" si="208"/>
        <v>2. 1-24 hours</v>
      </c>
      <c r="O6661" t="str">
        <f t="shared" si="209"/>
        <v>2025-01</v>
      </c>
    </row>
    <row r="6662" spans="1:15" x14ac:dyDescent="0.3">
      <c r="A6662" t="s">
        <v>15673</v>
      </c>
      <c r="B6662" t="s">
        <v>15674</v>
      </c>
      <c r="C6662" t="s">
        <v>53</v>
      </c>
      <c r="D6662" t="s">
        <v>77</v>
      </c>
      <c r="E6662" t="s">
        <v>45</v>
      </c>
      <c r="F6662" t="s">
        <v>55</v>
      </c>
      <c r="G6662">
        <v>4.12</v>
      </c>
      <c r="H6662" t="s">
        <v>32</v>
      </c>
      <c r="I6662" t="s">
        <v>33</v>
      </c>
      <c r="K6662">
        <v>841.2</v>
      </c>
      <c r="L6662" t="s">
        <v>15675</v>
      </c>
      <c r="M6662">
        <f>VLOOKUP(H6662,'Stage Order'!$A$2:$B$8,2,FALSE)</f>
        <v>7</v>
      </c>
      <c r="N6662" t="str">
        <f t="shared" si="208"/>
        <v>2. 1-24 hours</v>
      </c>
      <c r="O6662" t="str">
        <f t="shared" si="209"/>
        <v>2026-03</v>
      </c>
    </row>
    <row r="6663" spans="1:15" x14ac:dyDescent="0.3">
      <c r="A6663" t="s">
        <v>15676</v>
      </c>
      <c r="B6663" t="s">
        <v>15677</v>
      </c>
      <c r="C6663" t="s">
        <v>37</v>
      </c>
      <c r="D6663" t="s">
        <v>38</v>
      </c>
      <c r="E6663" t="s">
        <v>39</v>
      </c>
      <c r="F6663" t="s">
        <v>40</v>
      </c>
      <c r="G6663">
        <v>1.18</v>
      </c>
      <c r="H6663" t="s">
        <v>41</v>
      </c>
      <c r="I6663" t="s">
        <v>42</v>
      </c>
      <c r="M6663">
        <f>VLOOKUP(H6663,'Stage Order'!$A$2:$B$8,2,FALSE)</f>
        <v>2</v>
      </c>
      <c r="N6663" t="str">
        <f t="shared" si="208"/>
        <v>2. 1-24 hours</v>
      </c>
      <c r="O6663" t="str">
        <f t="shared" si="209"/>
        <v>2025-01</v>
      </c>
    </row>
    <row r="6664" spans="1:15" x14ac:dyDescent="0.3">
      <c r="A6664" t="s">
        <v>15678</v>
      </c>
      <c r="B6664" t="s">
        <v>15679</v>
      </c>
      <c r="C6664" t="s">
        <v>37</v>
      </c>
      <c r="D6664" t="s">
        <v>38</v>
      </c>
      <c r="E6664" t="s">
        <v>45</v>
      </c>
      <c r="F6664" t="s">
        <v>55</v>
      </c>
      <c r="G6664">
        <v>2.41</v>
      </c>
      <c r="H6664" t="s">
        <v>41</v>
      </c>
      <c r="I6664" t="s">
        <v>42</v>
      </c>
      <c r="M6664">
        <f>VLOOKUP(H6664,'Stage Order'!$A$2:$B$8,2,FALSE)</f>
        <v>2</v>
      </c>
      <c r="N6664" t="str">
        <f t="shared" si="208"/>
        <v>2. 1-24 hours</v>
      </c>
      <c r="O6664" t="str">
        <f t="shared" si="209"/>
        <v>2025-01</v>
      </c>
    </row>
    <row r="6665" spans="1:15" x14ac:dyDescent="0.3">
      <c r="A6665" t="s">
        <v>15680</v>
      </c>
      <c r="B6665" t="s">
        <v>15681</v>
      </c>
      <c r="C6665" t="s">
        <v>125</v>
      </c>
      <c r="D6665" t="s">
        <v>29</v>
      </c>
      <c r="E6665" t="s">
        <v>59</v>
      </c>
      <c r="F6665" t="s">
        <v>137</v>
      </c>
      <c r="G6665">
        <v>1.49</v>
      </c>
      <c r="H6665" t="s">
        <v>61</v>
      </c>
      <c r="I6665" t="s">
        <v>42</v>
      </c>
      <c r="M6665">
        <f>VLOOKUP(H6665,'Stage Order'!$A$2:$B$8,2,FALSE)</f>
        <v>1</v>
      </c>
      <c r="N6665" t="str">
        <f t="shared" si="208"/>
        <v>2. 1-24 hours</v>
      </c>
      <c r="O6665" t="str">
        <f t="shared" si="209"/>
        <v>2025-09</v>
      </c>
    </row>
    <row r="6666" spans="1:15" x14ac:dyDescent="0.3">
      <c r="A6666" t="s">
        <v>15682</v>
      </c>
      <c r="B6666" t="s">
        <v>15683</v>
      </c>
      <c r="C6666" t="s">
        <v>125</v>
      </c>
      <c r="D6666" t="s">
        <v>77</v>
      </c>
      <c r="E6666" t="s">
        <v>59</v>
      </c>
      <c r="F6666" t="s">
        <v>117</v>
      </c>
      <c r="G6666">
        <v>1.45</v>
      </c>
      <c r="H6666" t="s">
        <v>41</v>
      </c>
      <c r="I6666" t="s">
        <v>42</v>
      </c>
      <c r="M6666">
        <f>VLOOKUP(H6666,'Stage Order'!$A$2:$B$8,2,FALSE)</f>
        <v>2</v>
      </c>
      <c r="N6666" t="str">
        <f t="shared" si="208"/>
        <v>2. 1-24 hours</v>
      </c>
      <c r="O6666" t="str">
        <f t="shared" si="209"/>
        <v>2026-05</v>
      </c>
    </row>
    <row r="6667" spans="1:15" x14ac:dyDescent="0.3">
      <c r="A6667" t="s">
        <v>15684</v>
      </c>
      <c r="B6667" t="s">
        <v>15685</v>
      </c>
      <c r="C6667" t="s">
        <v>58</v>
      </c>
      <c r="D6667" t="s">
        <v>77</v>
      </c>
      <c r="E6667" t="s">
        <v>59</v>
      </c>
      <c r="F6667" t="s">
        <v>60</v>
      </c>
      <c r="G6667">
        <v>1.9</v>
      </c>
      <c r="H6667" t="s">
        <v>47</v>
      </c>
      <c r="I6667" t="s">
        <v>48</v>
      </c>
      <c r="J6667" t="s">
        <v>113</v>
      </c>
      <c r="K6667">
        <v>827.54</v>
      </c>
      <c r="L6667" t="s">
        <v>15686</v>
      </c>
      <c r="M6667">
        <f>VLOOKUP(H6667,'Stage Order'!$A$2:$B$8,2,FALSE)</f>
        <v>4</v>
      </c>
      <c r="N6667" t="str">
        <f t="shared" si="208"/>
        <v>2. 1-24 hours</v>
      </c>
      <c r="O6667" t="str">
        <f t="shared" si="209"/>
        <v>2025-10</v>
      </c>
    </row>
    <row r="6668" spans="1:15" x14ac:dyDescent="0.3">
      <c r="A6668" t="s">
        <v>15687</v>
      </c>
      <c r="B6668" t="s">
        <v>15688</v>
      </c>
      <c r="C6668" t="s">
        <v>28</v>
      </c>
      <c r="D6668" t="s">
        <v>29</v>
      </c>
      <c r="E6668" t="s">
        <v>45</v>
      </c>
      <c r="F6668" t="s">
        <v>94</v>
      </c>
      <c r="G6668">
        <v>3.68</v>
      </c>
      <c r="H6668" t="s">
        <v>41</v>
      </c>
      <c r="I6668" t="s">
        <v>42</v>
      </c>
      <c r="M6668">
        <f>VLOOKUP(H6668,'Stage Order'!$A$2:$B$8,2,FALSE)</f>
        <v>2</v>
      </c>
      <c r="N6668" t="str">
        <f t="shared" si="208"/>
        <v>2. 1-24 hours</v>
      </c>
      <c r="O6668" t="str">
        <f t="shared" si="209"/>
        <v>2026-06</v>
      </c>
    </row>
    <row r="6669" spans="1:15" x14ac:dyDescent="0.3">
      <c r="A6669" t="s">
        <v>15689</v>
      </c>
      <c r="B6669" t="s">
        <v>15690</v>
      </c>
      <c r="C6669" t="s">
        <v>37</v>
      </c>
      <c r="D6669" t="s">
        <v>38</v>
      </c>
      <c r="E6669" t="s">
        <v>59</v>
      </c>
      <c r="F6669" t="s">
        <v>117</v>
      </c>
      <c r="G6669">
        <v>1.45</v>
      </c>
      <c r="H6669" t="s">
        <v>32</v>
      </c>
      <c r="I6669" t="s">
        <v>33</v>
      </c>
      <c r="K6669">
        <v>402.36</v>
      </c>
      <c r="L6669" t="s">
        <v>15691</v>
      </c>
      <c r="M6669">
        <f>VLOOKUP(H6669,'Stage Order'!$A$2:$B$8,2,FALSE)</f>
        <v>7</v>
      </c>
      <c r="N6669" t="str">
        <f t="shared" si="208"/>
        <v>2. 1-24 hours</v>
      </c>
      <c r="O6669" t="str">
        <f t="shared" si="209"/>
        <v>2025-04</v>
      </c>
    </row>
    <row r="6670" spans="1:15" x14ac:dyDescent="0.3">
      <c r="A6670" t="s">
        <v>15692</v>
      </c>
      <c r="B6670" t="s">
        <v>15693</v>
      </c>
      <c r="C6670" t="s">
        <v>76</v>
      </c>
      <c r="D6670" t="s">
        <v>54</v>
      </c>
      <c r="E6670" t="s">
        <v>39</v>
      </c>
      <c r="F6670" t="s">
        <v>66</v>
      </c>
      <c r="G6670">
        <v>1.37</v>
      </c>
      <c r="H6670" t="s">
        <v>41</v>
      </c>
      <c r="I6670" t="s">
        <v>42</v>
      </c>
      <c r="M6670">
        <f>VLOOKUP(H6670,'Stage Order'!$A$2:$B$8,2,FALSE)</f>
        <v>2</v>
      </c>
      <c r="N6670" t="str">
        <f t="shared" si="208"/>
        <v>2. 1-24 hours</v>
      </c>
      <c r="O6670" t="str">
        <f t="shared" si="209"/>
        <v>2025-09</v>
      </c>
    </row>
    <row r="6671" spans="1:15" x14ac:dyDescent="0.3">
      <c r="A6671" t="s">
        <v>15694</v>
      </c>
      <c r="B6671" t="s">
        <v>15695</v>
      </c>
      <c r="C6671" t="s">
        <v>81</v>
      </c>
      <c r="D6671" t="s">
        <v>97</v>
      </c>
      <c r="E6671" t="s">
        <v>59</v>
      </c>
      <c r="F6671" t="s">
        <v>137</v>
      </c>
      <c r="G6671">
        <v>2.06</v>
      </c>
      <c r="H6671" t="s">
        <v>61</v>
      </c>
      <c r="I6671" t="s">
        <v>42</v>
      </c>
      <c r="M6671">
        <f>VLOOKUP(H6671,'Stage Order'!$A$2:$B$8,2,FALSE)</f>
        <v>1</v>
      </c>
      <c r="N6671" t="str">
        <f t="shared" si="208"/>
        <v>2. 1-24 hours</v>
      </c>
      <c r="O6671" t="str">
        <f t="shared" si="209"/>
        <v>2025-04</v>
      </c>
    </row>
    <row r="6672" spans="1:15" x14ac:dyDescent="0.3">
      <c r="A6672" t="s">
        <v>15696</v>
      </c>
      <c r="B6672" t="s">
        <v>15697</v>
      </c>
      <c r="C6672" t="s">
        <v>76</v>
      </c>
      <c r="D6672" t="s">
        <v>54</v>
      </c>
      <c r="E6672" t="s">
        <v>39</v>
      </c>
      <c r="F6672" t="s">
        <v>106</v>
      </c>
      <c r="G6672">
        <v>2.91</v>
      </c>
      <c r="H6672" t="s">
        <v>32</v>
      </c>
      <c r="I6672" t="s">
        <v>33</v>
      </c>
      <c r="K6672">
        <v>598.82000000000005</v>
      </c>
      <c r="L6672" t="s">
        <v>15698</v>
      </c>
      <c r="M6672">
        <f>VLOOKUP(H6672,'Stage Order'!$A$2:$B$8,2,FALSE)</f>
        <v>7</v>
      </c>
      <c r="N6672" t="str">
        <f t="shared" si="208"/>
        <v>2. 1-24 hours</v>
      </c>
      <c r="O6672" t="str">
        <f t="shared" si="209"/>
        <v>2026-03</v>
      </c>
    </row>
    <row r="6673" spans="1:15" x14ac:dyDescent="0.3">
      <c r="A6673" t="s">
        <v>15699</v>
      </c>
      <c r="B6673" t="s">
        <v>15700</v>
      </c>
      <c r="C6673" t="s">
        <v>58</v>
      </c>
      <c r="D6673" t="s">
        <v>77</v>
      </c>
      <c r="E6673" t="s">
        <v>45</v>
      </c>
      <c r="F6673" t="s">
        <v>94</v>
      </c>
      <c r="G6673">
        <v>2.3199999999999998</v>
      </c>
      <c r="H6673" t="s">
        <v>47</v>
      </c>
      <c r="I6673" t="s">
        <v>48</v>
      </c>
      <c r="J6673" t="s">
        <v>98</v>
      </c>
      <c r="K6673">
        <v>1153.78</v>
      </c>
      <c r="L6673" t="s">
        <v>15701</v>
      </c>
      <c r="M6673">
        <f>VLOOKUP(H6673,'Stage Order'!$A$2:$B$8,2,FALSE)</f>
        <v>4</v>
      </c>
      <c r="N6673" t="str">
        <f t="shared" si="208"/>
        <v>2. 1-24 hours</v>
      </c>
      <c r="O6673" t="str">
        <f t="shared" si="209"/>
        <v>2025-06</v>
      </c>
    </row>
    <row r="6674" spans="1:15" x14ac:dyDescent="0.3">
      <c r="A6674" t="s">
        <v>15702</v>
      </c>
      <c r="B6674" t="s">
        <v>15703</v>
      </c>
      <c r="C6674" t="s">
        <v>37</v>
      </c>
      <c r="D6674" t="s">
        <v>77</v>
      </c>
      <c r="E6674" t="s">
        <v>45</v>
      </c>
      <c r="F6674" t="s">
        <v>55</v>
      </c>
      <c r="G6674">
        <v>1.28</v>
      </c>
      <c r="H6674" t="s">
        <v>138</v>
      </c>
      <c r="I6674" t="s">
        <v>48</v>
      </c>
      <c r="J6674" t="s">
        <v>139</v>
      </c>
      <c r="K6674">
        <v>821.58</v>
      </c>
      <c r="L6674" t="s">
        <v>15704</v>
      </c>
      <c r="M6674">
        <f>VLOOKUP(H6674,'Stage Order'!$A$2:$B$8,2,FALSE)</f>
        <v>6</v>
      </c>
      <c r="N6674" t="str">
        <f t="shared" si="208"/>
        <v>2. 1-24 hours</v>
      </c>
      <c r="O6674" t="str">
        <f t="shared" si="209"/>
        <v>2025-02</v>
      </c>
    </row>
    <row r="6675" spans="1:15" x14ac:dyDescent="0.3">
      <c r="A6675" t="s">
        <v>15705</v>
      </c>
      <c r="B6675" t="s">
        <v>15706</v>
      </c>
      <c r="C6675" t="s">
        <v>58</v>
      </c>
      <c r="D6675" t="s">
        <v>54</v>
      </c>
      <c r="E6675" t="s">
        <v>59</v>
      </c>
      <c r="F6675" t="s">
        <v>137</v>
      </c>
      <c r="G6675">
        <v>18.47</v>
      </c>
      <c r="H6675" t="s">
        <v>47</v>
      </c>
      <c r="I6675" t="s">
        <v>48</v>
      </c>
      <c r="J6675" t="s">
        <v>139</v>
      </c>
      <c r="K6675">
        <v>460.4</v>
      </c>
      <c r="L6675" t="s">
        <v>15707</v>
      </c>
      <c r="M6675">
        <f>VLOOKUP(H6675,'Stage Order'!$A$2:$B$8,2,FALSE)</f>
        <v>4</v>
      </c>
      <c r="N6675" t="str">
        <f t="shared" si="208"/>
        <v>2. 1-24 hours</v>
      </c>
      <c r="O6675" t="str">
        <f t="shared" si="209"/>
        <v>2026-04</v>
      </c>
    </row>
    <row r="6676" spans="1:15" x14ac:dyDescent="0.3">
      <c r="A6676" t="s">
        <v>15708</v>
      </c>
      <c r="B6676" t="s">
        <v>15709</v>
      </c>
      <c r="C6676" t="s">
        <v>37</v>
      </c>
      <c r="D6676" t="s">
        <v>29</v>
      </c>
      <c r="E6676" t="s">
        <v>39</v>
      </c>
      <c r="F6676" t="s">
        <v>106</v>
      </c>
      <c r="G6676">
        <v>5.27</v>
      </c>
      <c r="H6676" t="s">
        <v>138</v>
      </c>
      <c r="I6676" t="s">
        <v>48</v>
      </c>
      <c r="J6676" t="s">
        <v>113</v>
      </c>
      <c r="K6676">
        <v>627.65</v>
      </c>
      <c r="L6676" t="s">
        <v>15710</v>
      </c>
      <c r="M6676">
        <f>VLOOKUP(H6676,'Stage Order'!$A$2:$B$8,2,FALSE)</f>
        <v>6</v>
      </c>
      <c r="N6676" t="str">
        <f t="shared" si="208"/>
        <v>2. 1-24 hours</v>
      </c>
      <c r="O6676" t="str">
        <f t="shared" si="209"/>
        <v>2025-03</v>
      </c>
    </row>
    <row r="6677" spans="1:15" x14ac:dyDescent="0.3">
      <c r="A6677" t="s">
        <v>15711</v>
      </c>
      <c r="B6677" t="s">
        <v>15712</v>
      </c>
      <c r="C6677" t="s">
        <v>58</v>
      </c>
      <c r="D6677" t="s">
        <v>54</v>
      </c>
      <c r="E6677" t="s">
        <v>90</v>
      </c>
      <c r="F6677" t="s">
        <v>112</v>
      </c>
      <c r="G6677">
        <v>3.27</v>
      </c>
      <c r="H6677" t="s">
        <v>41</v>
      </c>
      <c r="I6677" t="s">
        <v>42</v>
      </c>
      <c r="M6677">
        <f>VLOOKUP(H6677,'Stage Order'!$A$2:$B$8,2,FALSE)</f>
        <v>2</v>
      </c>
      <c r="N6677" t="str">
        <f t="shared" si="208"/>
        <v>2. 1-24 hours</v>
      </c>
      <c r="O6677" t="str">
        <f t="shared" si="209"/>
        <v>2025-09</v>
      </c>
    </row>
    <row r="6678" spans="1:15" x14ac:dyDescent="0.3">
      <c r="A6678" t="s">
        <v>15713</v>
      </c>
      <c r="B6678" t="s">
        <v>15714</v>
      </c>
      <c r="C6678" t="s">
        <v>37</v>
      </c>
      <c r="D6678" t="s">
        <v>29</v>
      </c>
      <c r="E6678" t="s">
        <v>90</v>
      </c>
      <c r="F6678" t="s">
        <v>112</v>
      </c>
      <c r="G6678">
        <v>2.19</v>
      </c>
      <c r="H6678" t="s">
        <v>41</v>
      </c>
      <c r="I6678" t="s">
        <v>42</v>
      </c>
      <c r="M6678">
        <f>VLOOKUP(H6678,'Stage Order'!$A$2:$B$8,2,FALSE)</f>
        <v>2</v>
      </c>
      <c r="N6678" t="str">
        <f t="shared" si="208"/>
        <v>2. 1-24 hours</v>
      </c>
      <c r="O6678" t="str">
        <f t="shared" si="209"/>
        <v>2025-06</v>
      </c>
    </row>
    <row r="6679" spans="1:15" x14ac:dyDescent="0.3">
      <c r="A6679" t="s">
        <v>15715</v>
      </c>
      <c r="B6679" t="s">
        <v>15716</v>
      </c>
      <c r="C6679" t="s">
        <v>28</v>
      </c>
      <c r="D6679" t="s">
        <v>54</v>
      </c>
      <c r="E6679" t="s">
        <v>39</v>
      </c>
      <c r="F6679" t="s">
        <v>40</v>
      </c>
      <c r="G6679">
        <v>20.98</v>
      </c>
      <c r="H6679" t="s">
        <v>41</v>
      </c>
      <c r="I6679" t="s">
        <v>42</v>
      </c>
      <c r="M6679">
        <f>VLOOKUP(H6679,'Stage Order'!$A$2:$B$8,2,FALSE)</f>
        <v>2</v>
      </c>
      <c r="N6679" t="str">
        <f t="shared" si="208"/>
        <v>2. 1-24 hours</v>
      </c>
      <c r="O6679" t="str">
        <f t="shared" si="209"/>
        <v>2025-07</v>
      </c>
    </row>
    <row r="6680" spans="1:15" x14ac:dyDescent="0.3">
      <c r="A6680" t="s">
        <v>15717</v>
      </c>
      <c r="B6680" t="s">
        <v>15718</v>
      </c>
      <c r="C6680" t="s">
        <v>37</v>
      </c>
      <c r="D6680" t="s">
        <v>54</v>
      </c>
      <c r="E6680" t="s">
        <v>39</v>
      </c>
      <c r="F6680" t="s">
        <v>66</v>
      </c>
      <c r="G6680">
        <v>0.61</v>
      </c>
      <c r="H6680" t="s">
        <v>146</v>
      </c>
      <c r="I6680" t="s">
        <v>48</v>
      </c>
      <c r="J6680" t="s">
        <v>98</v>
      </c>
      <c r="K6680">
        <v>468.14</v>
      </c>
      <c r="L6680" t="s">
        <v>15719</v>
      </c>
      <c r="M6680">
        <f>VLOOKUP(H6680,'Stage Order'!$A$2:$B$8,2,FALSE)</f>
        <v>5</v>
      </c>
      <c r="N6680" t="str">
        <f t="shared" si="208"/>
        <v>1. Under 1 hour</v>
      </c>
      <c r="O6680" t="str">
        <f t="shared" si="209"/>
        <v>2025-03</v>
      </c>
    </row>
    <row r="6681" spans="1:15" x14ac:dyDescent="0.3">
      <c r="A6681" t="s">
        <v>15720</v>
      </c>
      <c r="B6681" t="s">
        <v>15721</v>
      </c>
      <c r="C6681" t="s">
        <v>37</v>
      </c>
      <c r="D6681" t="s">
        <v>97</v>
      </c>
      <c r="E6681" t="s">
        <v>59</v>
      </c>
      <c r="F6681" t="s">
        <v>117</v>
      </c>
      <c r="G6681">
        <v>8.07</v>
      </c>
      <c r="H6681" t="s">
        <v>32</v>
      </c>
      <c r="I6681" t="s">
        <v>33</v>
      </c>
      <c r="K6681">
        <v>1598.11</v>
      </c>
      <c r="L6681" t="s">
        <v>15722</v>
      </c>
      <c r="M6681">
        <f>VLOOKUP(H6681,'Stage Order'!$A$2:$B$8,2,FALSE)</f>
        <v>7</v>
      </c>
      <c r="N6681" t="str">
        <f t="shared" si="208"/>
        <v>2. 1-24 hours</v>
      </c>
      <c r="O6681" t="str">
        <f t="shared" si="209"/>
        <v>2025-04</v>
      </c>
    </row>
    <row r="6682" spans="1:15" x14ac:dyDescent="0.3">
      <c r="A6682" t="s">
        <v>15723</v>
      </c>
      <c r="B6682" t="s">
        <v>15724</v>
      </c>
      <c r="C6682" t="s">
        <v>37</v>
      </c>
      <c r="D6682" t="s">
        <v>38</v>
      </c>
      <c r="E6682" t="s">
        <v>59</v>
      </c>
      <c r="F6682" t="s">
        <v>60</v>
      </c>
      <c r="G6682">
        <v>1.6</v>
      </c>
      <c r="H6682" t="s">
        <v>41</v>
      </c>
      <c r="I6682" t="s">
        <v>42</v>
      </c>
      <c r="M6682">
        <f>VLOOKUP(H6682,'Stage Order'!$A$2:$B$8,2,FALSE)</f>
        <v>2</v>
      </c>
      <c r="N6682" t="str">
        <f t="shared" si="208"/>
        <v>2. 1-24 hours</v>
      </c>
      <c r="O6682" t="str">
        <f t="shared" si="209"/>
        <v>2026-04</v>
      </c>
    </row>
    <row r="6683" spans="1:15" x14ac:dyDescent="0.3">
      <c r="A6683" t="s">
        <v>15725</v>
      </c>
      <c r="B6683" t="s">
        <v>15726</v>
      </c>
      <c r="C6683" t="s">
        <v>125</v>
      </c>
      <c r="D6683" t="s">
        <v>54</v>
      </c>
      <c r="E6683" t="s">
        <v>39</v>
      </c>
      <c r="F6683" t="s">
        <v>106</v>
      </c>
      <c r="G6683">
        <v>1.31</v>
      </c>
      <c r="H6683" t="s">
        <v>47</v>
      </c>
      <c r="I6683" t="s">
        <v>48</v>
      </c>
      <c r="J6683" t="s">
        <v>742</v>
      </c>
      <c r="K6683">
        <v>535.24</v>
      </c>
      <c r="L6683" t="s">
        <v>15727</v>
      </c>
      <c r="M6683">
        <f>VLOOKUP(H6683,'Stage Order'!$A$2:$B$8,2,FALSE)</f>
        <v>4</v>
      </c>
      <c r="N6683" t="str">
        <f t="shared" si="208"/>
        <v>2. 1-24 hours</v>
      </c>
      <c r="O6683" t="str">
        <f t="shared" si="209"/>
        <v>2026-04</v>
      </c>
    </row>
    <row r="6684" spans="1:15" x14ac:dyDescent="0.3">
      <c r="A6684" t="s">
        <v>15728</v>
      </c>
      <c r="B6684" t="s">
        <v>15729</v>
      </c>
      <c r="C6684" t="s">
        <v>53</v>
      </c>
      <c r="D6684" t="s">
        <v>54</v>
      </c>
      <c r="E6684" t="s">
        <v>45</v>
      </c>
      <c r="F6684" t="s">
        <v>55</v>
      </c>
      <c r="G6684">
        <v>3.09</v>
      </c>
      <c r="H6684" t="s">
        <v>32</v>
      </c>
      <c r="I6684" t="s">
        <v>33</v>
      </c>
      <c r="K6684">
        <v>503.42</v>
      </c>
      <c r="L6684" t="s">
        <v>15730</v>
      </c>
      <c r="M6684">
        <f>VLOOKUP(H6684,'Stage Order'!$A$2:$B$8,2,FALSE)</f>
        <v>7</v>
      </c>
      <c r="N6684" t="str">
        <f t="shared" si="208"/>
        <v>2. 1-24 hours</v>
      </c>
      <c r="O6684" t="str">
        <f t="shared" si="209"/>
        <v>2025-04</v>
      </c>
    </row>
    <row r="6685" spans="1:15" x14ac:dyDescent="0.3">
      <c r="A6685" t="s">
        <v>15731</v>
      </c>
      <c r="B6685" t="s">
        <v>15732</v>
      </c>
      <c r="C6685" t="s">
        <v>58</v>
      </c>
      <c r="D6685" t="s">
        <v>77</v>
      </c>
      <c r="E6685" t="s">
        <v>39</v>
      </c>
      <c r="F6685" t="s">
        <v>66</v>
      </c>
      <c r="G6685">
        <v>6.17</v>
      </c>
      <c r="H6685" t="s">
        <v>41</v>
      </c>
      <c r="I6685" t="s">
        <v>42</v>
      </c>
      <c r="M6685">
        <f>VLOOKUP(H6685,'Stage Order'!$A$2:$B$8,2,FALSE)</f>
        <v>2</v>
      </c>
      <c r="N6685" t="str">
        <f t="shared" si="208"/>
        <v>2. 1-24 hours</v>
      </c>
      <c r="O6685" t="str">
        <f t="shared" si="209"/>
        <v>2025-04</v>
      </c>
    </row>
    <row r="6686" spans="1:15" x14ac:dyDescent="0.3">
      <c r="A6686" t="s">
        <v>15733</v>
      </c>
      <c r="B6686" t="s">
        <v>15734</v>
      </c>
      <c r="C6686" t="s">
        <v>58</v>
      </c>
      <c r="D6686" t="s">
        <v>54</v>
      </c>
      <c r="E6686" t="s">
        <v>45</v>
      </c>
      <c r="F6686" t="s">
        <v>55</v>
      </c>
      <c r="G6686">
        <v>0.55000000000000004</v>
      </c>
      <c r="H6686" t="s">
        <v>41</v>
      </c>
      <c r="I6686" t="s">
        <v>42</v>
      </c>
      <c r="M6686">
        <f>VLOOKUP(H6686,'Stage Order'!$A$2:$B$8,2,FALSE)</f>
        <v>2</v>
      </c>
      <c r="N6686" t="str">
        <f t="shared" si="208"/>
        <v>1. Under 1 hour</v>
      </c>
      <c r="O6686" t="str">
        <f t="shared" si="209"/>
        <v>2026-02</v>
      </c>
    </row>
    <row r="6687" spans="1:15" x14ac:dyDescent="0.3">
      <c r="A6687" t="s">
        <v>15735</v>
      </c>
      <c r="B6687" t="s">
        <v>15736</v>
      </c>
      <c r="C6687" t="s">
        <v>125</v>
      </c>
      <c r="D6687" t="s">
        <v>29</v>
      </c>
      <c r="E6687" t="s">
        <v>45</v>
      </c>
      <c r="F6687" t="s">
        <v>94</v>
      </c>
      <c r="G6687">
        <v>4.7300000000000004</v>
      </c>
      <c r="H6687" t="s">
        <v>128</v>
      </c>
      <c r="I6687" t="s">
        <v>42</v>
      </c>
      <c r="M6687">
        <f>VLOOKUP(H6687,'Stage Order'!$A$2:$B$8,2,FALSE)</f>
        <v>3</v>
      </c>
      <c r="N6687" t="str">
        <f t="shared" si="208"/>
        <v>2. 1-24 hours</v>
      </c>
      <c r="O6687" t="str">
        <f t="shared" si="209"/>
        <v>2025-09</v>
      </c>
    </row>
    <row r="6688" spans="1:15" x14ac:dyDescent="0.3">
      <c r="A6688" t="s">
        <v>15737</v>
      </c>
      <c r="B6688" t="s">
        <v>15738</v>
      </c>
      <c r="C6688" t="s">
        <v>28</v>
      </c>
      <c r="D6688" t="s">
        <v>29</v>
      </c>
      <c r="E6688" t="s">
        <v>45</v>
      </c>
      <c r="F6688" t="s">
        <v>94</v>
      </c>
      <c r="G6688">
        <v>17.350000000000001</v>
      </c>
      <c r="H6688" t="s">
        <v>32</v>
      </c>
      <c r="I6688" t="s">
        <v>33</v>
      </c>
      <c r="K6688">
        <v>671.04</v>
      </c>
      <c r="L6688" t="s">
        <v>15739</v>
      </c>
      <c r="M6688">
        <f>VLOOKUP(H6688,'Stage Order'!$A$2:$B$8,2,FALSE)</f>
        <v>7</v>
      </c>
      <c r="N6688" t="str">
        <f t="shared" si="208"/>
        <v>2. 1-24 hours</v>
      </c>
      <c r="O6688" t="str">
        <f t="shared" si="209"/>
        <v>2025-05</v>
      </c>
    </row>
    <row r="6689" spans="1:15" x14ac:dyDescent="0.3">
      <c r="A6689" t="s">
        <v>15740</v>
      </c>
      <c r="B6689" t="s">
        <v>15741</v>
      </c>
      <c r="C6689" t="s">
        <v>53</v>
      </c>
      <c r="D6689" t="s">
        <v>38</v>
      </c>
      <c r="E6689" t="s">
        <v>45</v>
      </c>
      <c r="F6689" t="s">
        <v>46</v>
      </c>
      <c r="G6689">
        <v>6.7</v>
      </c>
      <c r="H6689" t="s">
        <v>32</v>
      </c>
      <c r="I6689" t="s">
        <v>33</v>
      </c>
      <c r="K6689">
        <v>397.51</v>
      </c>
      <c r="L6689" t="s">
        <v>15742</v>
      </c>
      <c r="M6689">
        <f>VLOOKUP(H6689,'Stage Order'!$A$2:$B$8,2,FALSE)</f>
        <v>7</v>
      </c>
      <c r="N6689" t="str">
        <f t="shared" si="208"/>
        <v>2. 1-24 hours</v>
      </c>
      <c r="O6689" t="str">
        <f t="shared" si="209"/>
        <v>2025-04</v>
      </c>
    </row>
    <row r="6690" spans="1:15" x14ac:dyDescent="0.3">
      <c r="A6690" t="s">
        <v>15743</v>
      </c>
      <c r="B6690" t="s">
        <v>15744</v>
      </c>
      <c r="C6690" t="s">
        <v>81</v>
      </c>
      <c r="D6690" t="s">
        <v>77</v>
      </c>
      <c r="E6690" t="s">
        <v>45</v>
      </c>
      <c r="F6690" t="s">
        <v>94</v>
      </c>
      <c r="G6690">
        <v>1.54</v>
      </c>
      <c r="H6690" t="s">
        <v>61</v>
      </c>
      <c r="I6690" t="s">
        <v>42</v>
      </c>
      <c r="M6690">
        <f>VLOOKUP(H6690,'Stage Order'!$A$2:$B$8,2,FALSE)</f>
        <v>1</v>
      </c>
      <c r="N6690" t="str">
        <f t="shared" si="208"/>
        <v>2. 1-24 hours</v>
      </c>
      <c r="O6690" t="str">
        <f t="shared" si="209"/>
        <v>2025-07</v>
      </c>
    </row>
    <row r="6691" spans="1:15" x14ac:dyDescent="0.3">
      <c r="A6691" t="s">
        <v>15745</v>
      </c>
      <c r="B6691" t="s">
        <v>15746</v>
      </c>
      <c r="C6691" t="s">
        <v>37</v>
      </c>
      <c r="D6691" t="s">
        <v>54</v>
      </c>
      <c r="E6691" t="s">
        <v>39</v>
      </c>
      <c r="F6691" t="s">
        <v>106</v>
      </c>
      <c r="G6691">
        <v>11.37</v>
      </c>
      <c r="H6691" t="s">
        <v>138</v>
      </c>
      <c r="I6691" t="s">
        <v>48</v>
      </c>
      <c r="J6691" t="s">
        <v>742</v>
      </c>
      <c r="K6691">
        <v>589.30999999999995</v>
      </c>
      <c r="L6691" t="s">
        <v>15747</v>
      </c>
      <c r="M6691">
        <f>VLOOKUP(H6691,'Stage Order'!$A$2:$B$8,2,FALSE)</f>
        <v>6</v>
      </c>
      <c r="N6691" t="str">
        <f t="shared" si="208"/>
        <v>2. 1-24 hours</v>
      </c>
      <c r="O6691" t="str">
        <f t="shared" si="209"/>
        <v>2026-03</v>
      </c>
    </row>
    <row r="6692" spans="1:15" x14ac:dyDescent="0.3">
      <c r="A6692" t="s">
        <v>15748</v>
      </c>
      <c r="B6692" t="s">
        <v>15749</v>
      </c>
      <c r="C6692" t="s">
        <v>28</v>
      </c>
      <c r="D6692" t="s">
        <v>54</v>
      </c>
      <c r="E6692" t="s">
        <v>90</v>
      </c>
      <c r="F6692" t="s">
        <v>145</v>
      </c>
      <c r="G6692">
        <v>20.45</v>
      </c>
      <c r="H6692" t="s">
        <v>146</v>
      </c>
      <c r="I6692" t="s">
        <v>48</v>
      </c>
      <c r="J6692" t="s">
        <v>139</v>
      </c>
      <c r="K6692">
        <v>461.07</v>
      </c>
      <c r="L6692" t="s">
        <v>15750</v>
      </c>
      <c r="M6692">
        <f>VLOOKUP(H6692,'Stage Order'!$A$2:$B$8,2,FALSE)</f>
        <v>5</v>
      </c>
      <c r="N6692" t="str">
        <f t="shared" si="208"/>
        <v>2. 1-24 hours</v>
      </c>
      <c r="O6692" t="str">
        <f t="shared" si="209"/>
        <v>2025-11</v>
      </c>
    </row>
    <row r="6693" spans="1:15" x14ac:dyDescent="0.3">
      <c r="A6693" t="s">
        <v>15751</v>
      </c>
      <c r="B6693" t="s">
        <v>15752</v>
      </c>
      <c r="C6693" t="s">
        <v>37</v>
      </c>
      <c r="D6693" t="s">
        <v>38</v>
      </c>
      <c r="E6693" t="s">
        <v>45</v>
      </c>
      <c r="F6693" t="s">
        <v>94</v>
      </c>
      <c r="G6693">
        <v>1.8</v>
      </c>
      <c r="H6693" t="s">
        <v>32</v>
      </c>
      <c r="I6693" t="s">
        <v>33</v>
      </c>
      <c r="K6693">
        <v>409.07</v>
      </c>
      <c r="L6693" t="s">
        <v>15753</v>
      </c>
      <c r="M6693">
        <f>VLOOKUP(H6693,'Stage Order'!$A$2:$B$8,2,FALSE)</f>
        <v>7</v>
      </c>
      <c r="N6693" t="str">
        <f t="shared" si="208"/>
        <v>2. 1-24 hours</v>
      </c>
      <c r="O6693" t="str">
        <f t="shared" si="209"/>
        <v>2026-02</v>
      </c>
    </row>
    <row r="6694" spans="1:15" x14ac:dyDescent="0.3">
      <c r="A6694" t="s">
        <v>15754</v>
      </c>
      <c r="B6694" t="s">
        <v>15755</v>
      </c>
      <c r="C6694" t="s">
        <v>37</v>
      </c>
      <c r="D6694" t="s">
        <v>77</v>
      </c>
      <c r="E6694" t="s">
        <v>59</v>
      </c>
      <c r="F6694" t="s">
        <v>60</v>
      </c>
      <c r="G6694">
        <v>4.79</v>
      </c>
      <c r="H6694" t="s">
        <v>32</v>
      </c>
      <c r="I6694" t="s">
        <v>33</v>
      </c>
      <c r="K6694">
        <v>904.54</v>
      </c>
      <c r="L6694" t="s">
        <v>15756</v>
      </c>
      <c r="M6694">
        <f>VLOOKUP(H6694,'Stage Order'!$A$2:$B$8,2,FALSE)</f>
        <v>7</v>
      </c>
      <c r="N6694" t="str">
        <f t="shared" si="208"/>
        <v>2. 1-24 hours</v>
      </c>
      <c r="O6694" t="str">
        <f t="shared" si="209"/>
        <v>2025-08</v>
      </c>
    </row>
    <row r="6695" spans="1:15" x14ac:dyDescent="0.3">
      <c r="A6695" t="s">
        <v>15757</v>
      </c>
      <c r="B6695" t="s">
        <v>15758</v>
      </c>
      <c r="C6695" t="s">
        <v>28</v>
      </c>
      <c r="D6695" t="s">
        <v>38</v>
      </c>
      <c r="E6695" t="s">
        <v>39</v>
      </c>
      <c r="F6695" t="s">
        <v>106</v>
      </c>
      <c r="G6695">
        <v>3.04</v>
      </c>
      <c r="H6695" t="s">
        <v>41</v>
      </c>
      <c r="I6695" t="s">
        <v>42</v>
      </c>
      <c r="M6695">
        <f>VLOOKUP(H6695,'Stage Order'!$A$2:$B$8,2,FALSE)</f>
        <v>2</v>
      </c>
      <c r="N6695" t="str">
        <f t="shared" si="208"/>
        <v>2. 1-24 hours</v>
      </c>
      <c r="O6695" t="str">
        <f t="shared" si="209"/>
        <v>2026-02</v>
      </c>
    </row>
    <row r="6696" spans="1:15" x14ac:dyDescent="0.3">
      <c r="A6696" t="s">
        <v>15759</v>
      </c>
      <c r="B6696" t="s">
        <v>15760</v>
      </c>
      <c r="C6696" t="s">
        <v>125</v>
      </c>
      <c r="D6696" t="s">
        <v>54</v>
      </c>
      <c r="E6696" t="s">
        <v>59</v>
      </c>
      <c r="F6696" t="s">
        <v>137</v>
      </c>
      <c r="G6696">
        <v>7.5</v>
      </c>
      <c r="H6696" t="s">
        <v>61</v>
      </c>
      <c r="I6696" t="s">
        <v>42</v>
      </c>
      <c r="M6696">
        <f>VLOOKUP(H6696,'Stage Order'!$A$2:$B$8,2,FALSE)</f>
        <v>1</v>
      </c>
      <c r="N6696" t="str">
        <f t="shared" si="208"/>
        <v>2. 1-24 hours</v>
      </c>
      <c r="O6696" t="str">
        <f t="shared" si="209"/>
        <v>2025-07</v>
      </c>
    </row>
    <row r="6697" spans="1:15" x14ac:dyDescent="0.3">
      <c r="A6697" t="s">
        <v>15761</v>
      </c>
      <c r="B6697" t="s">
        <v>15762</v>
      </c>
      <c r="C6697" t="s">
        <v>37</v>
      </c>
      <c r="D6697" t="s">
        <v>38</v>
      </c>
      <c r="E6697" t="s">
        <v>59</v>
      </c>
      <c r="F6697" t="s">
        <v>117</v>
      </c>
      <c r="G6697">
        <v>0.92</v>
      </c>
      <c r="H6697" t="s">
        <v>41</v>
      </c>
      <c r="I6697" t="s">
        <v>42</v>
      </c>
      <c r="M6697">
        <f>VLOOKUP(H6697,'Stage Order'!$A$2:$B$8,2,FALSE)</f>
        <v>2</v>
      </c>
      <c r="N6697" t="str">
        <f t="shared" si="208"/>
        <v>1. Under 1 hour</v>
      </c>
      <c r="O6697" t="str">
        <f t="shared" si="209"/>
        <v>2025-12</v>
      </c>
    </row>
    <row r="6698" spans="1:15" x14ac:dyDescent="0.3">
      <c r="A6698" t="s">
        <v>15763</v>
      </c>
      <c r="B6698" t="s">
        <v>5860</v>
      </c>
      <c r="C6698" t="s">
        <v>76</v>
      </c>
      <c r="D6698" t="s">
        <v>54</v>
      </c>
      <c r="E6698" t="s">
        <v>45</v>
      </c>
      <c r="F6698" t="s">
        <v>94</v>
      </c>
      <c r="G6698">
        <v>2.13</v>
      </c>
      <c r="H6698" t="s">
        <v>61</v>
      </c>
      <c r="I6698" t="s">
        <v>42</v>
      </c>
      <c r="M6698">
        <f>VLOOKUP(H6698,'Stage Order'!$A$2:$B$8,2,FALSE)</f>
        <v>1</v>
      </c>
      <c r="N6698" t="str">
        <f t="shared" si="208"/>
        <v>2. 1-24 hours</v>
      </c>
      <c r="O6698" t="str">
        <f t="shared" si="209"/>
        <v>2025-01</v>
      </c>
    </row>
    <row r="6699" spans="1:15" x14ac:dyDescent="0.3">
      <c r="A6699" t="s">
        <v>15764</v>
      </c>
      <c r="B6699" t="s">
        <v>15765</v>
      </c>
      <c r="C6699" t="s">
        <v>28</v>
      </c>
      <c r="D6699" t="s">
        <v>77</v>
      </c>
      <c r="E6699" t="s">
        <v>90</v>
      </c>
      <c r="F6699" t="s">
        <v>91</v>
      </c>
      <c r="G6699">
        <v>3.75</v>
      </c>
      <c r="H6699" t="s">
        <v>61</v>
      </c>
      <c r="I6699" t="s">
        <v>42</v>
      </c>
      <c r="M6699">
        <f>VLOOKUP(H6699,'Stage Order'!$A$2:$B$8,2,FALSE)</f>
        <v>1</v>
      </c>
      <c r="N6699" t="str">
        <f t="shared" si="208"/>
        <v>2. 1-24 hours</v>
      </c>
      <c r="O6699" t="str">
        <f t="shared" si="209"/>
        <v>2025-11</v>
      </c>
    </row>
    <row r="6700" spans="1:15" x14ac:dyDescent="0.3">
      <c r="A6700" t="s">
        <v>15766</v>
      </c>
      <c r="B6700" t="s">
        <v>15767</v>
      </c>
      <c r="C6700" t="s">
        <v>37</v>
      </c>
      <c r="D6700" t="s">
        <v>38</v>
      </c>
      <c r="E6700" t="s">
        <v>59</v>
      </c>
      <c r="F6700" t="s">
        <v>60</v>
      </c>
      <c r="G6700">
        <v>0.46</v>
      </c>
      <c r="H6700" t="s">
        <v>32</v>
      </c>
      <c r="I6700" t="s">
        <v>33</v>
      </c>
      <c r="K6700">
        <v>310.19</v>
      </c>
      <c r="L6700" t="s">
        <v>15768</v>
      </c>
      <c r="M6700">
        <f>VLOOKUP(H6700,'Stage Order'!$A$2:$B$8,2,FALSE)</f>
        <v>7</v>
      </c>
      <c r="N6700" t="str">
        <f t="shared" si="208"/>
        <v>1. Under 1 hour</v>
      </c>
      <c r="O6700" t="str">
        <f t="shared" si="209"/>
        <v>2025-08</v>
      </c>
    </row>
    <row r="6701" spans="1:15" x14ac:dyDescent="0.3">
      <c r="A6701" t="s">
        <v>15769</v>
      </c>
      <c r="B6701" t="s">
        <v>15770</v>
      </c>
      <c r="C6701" t="s">
        <v>125</v>
      </c>
      <c r="D6701" t="s">
        <v>38</v>
      </c>
      <c r="E6701" t="s">
        <v>45</v>
      </c>
      <c r="F6701" t="s">
        <v>55</v>
      </c>
      <c r="G6701">
        <v>6.3</v>
      </c>
      <c r="H6701" t="s">
        <v>61</v>
      </c>
      <c r="I6701" t="s">
        <v>42</v>
      </c>
      <c r="M6701">
        <f>VLOOKUP(H6701,'Stage Order'!$A$2:$B$8,2,FALSE)</f>
        <v>1</v>
      </c>
      <c r="N6701" t="str">
        <f t="shared" si="208"/>
        <v>2. 1-24 hours</v>
      </c>
      <c r="O6701" t="str">
        <f t="shared" si="209"/>
        <v>2026-05</v>
      </c>
    </row>
    <row r="6702" spans="1:15" x14ac:dyDescent="0.3">
      <c r="A6702" t="s">
        <v>15771</v>
      </c>
      <c r="B6702" t="s">
        <v>15772</v>
      </c>
      <c r="C6702" t="s">
        <v>81</v>
      </c>
      <c r="D6702" t="s">
        <v>97</v>
      </c>
      <c r="E6702" t="s">
        <v>39</v>
      </c>
      <c r="F6702" t="s">
        <v>66</v>
      </c>
      <c r="G6702">
        <v>2.38</v>
      </c>
      <c r="H6702" t="s">
        <v>41</v>
      </c>
      <c r="I6702" t="s">
        <v>42</v>
      </c>
      <c r="M6702">
        <f>VLOOKUP(H6702,'Stage Order'!$A$2:$B$8,2,FALSE)</f>
        <v>2</v>
      </c>
      <c r="N6702" t="str">
        <f t="shared" si="208"/>
        <v>2. 1-24 hours</v>
      </c>
      <c r="O6702" t="str">
        <f t="shared" si="209"/>
        <v>2025-07</v>
      </c>
    </row>
    <row r="6703" spans="1:15" x14ac:dyDescent="0.3">
      <c r="A6703" t="s">
        <v>15773</v>
      </c>
      <c r="B6703" t="s">
        <v>15774</v>
      </c>
      <c r="C6703" t="s">
        <v>53</v>
      </c>
      <c r="D6703" t="s">
        <v>29</v>
      </c>
      <c r="E6703" t="s">
        <v>45</v>
      </c>
      <c r="F6703" t="s">
        <v>94</v>
      </c>
      <c r="G6703">
        <v>1.8</v>
      </c>
      <c r="H6703" t="s">
        <v>41</v>
      </c>
      <c r="I6703" t="s">
        <v>42</v>
      </c>
      <c r="M6703">
        <f>VLOOKUP(H6703,'Stage Order'!$A$2:$B$8,2,FALSE)</f>
        <v>2</v>
      </c>
      <c r="N6703" t="str">
        <f t="shared" si="208"/>
        <v>2. 1-24 hours</v>
      </c>
      <c r="O6703" t="str">
        <f t="shared" si="209"/>
        <v>2025-07</v>
      </c>
    </row>
    <row r="6704" spans="1:15" x14ac:dyDescent="0.3">
      <c r="A6704" t="s">
        <v>15775</v>
      </c>
      <c r="B6704" t="s">
        <v>15776</v>
      </c>
      <c r="C6704" t="s">
        <v>28</v>
      </c>
      <c r="D6704" t="s">
        <v>77</v>
      </c>
      <c r="E6704" t="s">
        <v>39</v>
      </c>
      <c r="F6704" t="s">
        <v>66</v>
      </c>
      <c r="G6704">
        <v>0.85</v>
      </c>
      <c r="H6704" t="s">
        <v>41</v>
      </c>
      <c r="I6704" t="s">
        <v>42</v>
      </c>
      <c r="M6704">
        <f>VLOOKUP(H6704,'Stage Order'!$A$2:$B$8,2,FALSE)</f>
        <v>2</v>
      </c>
      <c r="N6704" t="str">
        <f t="shared" si="208"/>
        <v>1. Under 1 hour</v>
      </c>
      <c r="O6704" t="str">
        <f t="shared" si="209"/>
        <v>2025-07</v>
      </c>
    </row>
    <row r="6705" spans="1:15" x14ac:dyDescent="0.3">
      <c r="A6705" t="s">
        <v>15777</v>
      </c>
      <c r="B6705" t="s">
        <v>15778</v>
      </c>
      <c r="C6705" t="s">
        <v>28</v>
      </c>
      <c r="D6705" t="s">
        <v>54</v>
      </c>
      <c r="E6705" t="s">
        <v>90</v>
      </c>
      <c r="F6705" t="s">
        <v>112</v>
      </c>
      <c r="G6705">
        <v>1.52</v>
      </c>
      <c r="H6705" t="s">
        <v>138</v>
      </c>
      <c r="I6705" t="s">
        <v>48</v>
      </c>
      <c r="J6705" t="s">
        <v>98</v>
      </c>
      <c r="K6705">
        <v>521.11</v>
      </c>
      <c r="L6705" t="s">
        <v>15779</v>
      </c>
      <c r="M6705">
        <f>VLOOKUP(H6705,'Stage Order'!$A$2:$B$8,2,FALSE)</f>
        <v>6</v>
      </c>
      <c r="N6705" t="str">
        <f t="shared" si="208"/>
        <v>2. 1-24 hours</v>
      </c>
      <c r="O6705" t="str">
        <f t="shared" si="209"/>
        <v>2026-05</v>
      </c>
    </row>
    <row r="6706" spans="1:15" x14ac:dyDescent="0.3">
      <c r="A6706" t="s">
        <v>15780</v>
      </c>
      <c r="B6706" t="s">
        <v>15781</v>
      </c>
      <c r="C6706" t="s">
        <v>58</v>
      </c>
      <c r="D6706" t="s">
        <v>29</v>
      </c>
      <c r="E6706" t="s">
        <v>45</v>
      </c>
      <c r="F6706" t="s">
        <v>55</v>
      </c>
      <c r="G6706">
        <v>0.53</v>
      </c>
      <c r="H6706" t="s">
        <v>41</v>
      </c>
      <c r="I6706" t="s">
        <v>42</v>
      </c>
      <c r="M6706">
        <f>VLOOKUP(H6706,'Stage Order'!$A$2:$B$8,2,FALSE)</f>
        <v>2</v>
      </c>
      <c r="N6706" t="str">
        <f t="shared" si="208"/>
        <v>1. Under 1 hour</v>
      </c>
      <c r="O6706" t="str">
        <f t="shared" si="209"/>
        <v>2025-09</v>
      </c>
    </row>
    <row r="6707" spans="1:15" x14ac:dyDescent="0.3">
      <c r="A6707" t="s">
        <v>15782</v>
      </c>
      <c r="B6707" t="s">
        <v>15783</v>
      </c>
      <c r="C6707" t="s">
        <v>58</v>
      </c>
      <c r="D6707" t="s">
        <v>29</v>
      </c>
      <c r="E6707" t="s">
        <v>45</v>
      </c>
      <c r="F6707" t="s">
        <v>46</v>
      </c>
      <c r="G6707">
        <v>0.43</v>
      </c>
      <c r="H6707" t="s">
        <v>32</v>
      </c>
      <c r="I6707" t="s">
        <v>33</v>
      </c>
      <c r="K6707">
        <v>609.51</v>
      </c>
      <c r="L6707" t="s">
        <v>15784</v>
      </c>
      <c r="M6707">
        <f>VLOOKUP(H6707,'Stage Order'!$A$2:$B$8,2,FALSE)</f>
        <v>7</v>
      </c>
      <c r="N6707" t="str">
        <f t="shared" si="208"/>
        <v>1. Under 1 hour</v>
      </c>
      <c r="O6707" t="str">
        <f t="shared" si="209"/>
        <v>2025-04</v>
      </c>
    </row>
    <row r="6708" spans="1:15" x14ac:dyDescent="0.3">
      <c r="A6708" t="s">
        <v>15785</v>
      </c>
      <c r="B6708" t="s">
        <v>15786</v>
      </c>
      <c r="C6708" t="s">
        <v>81</v>
      </c>
      <c r="D6708" t="s">
        <v>97</v>
      </c>
      <c r="E6708" t="s">
        <v>59</v>
      </c>
      <c r="F6708" t="s">
        <v>60</v>
      </c>
      <c r="G6708">
        <v>17.239999999999998</v>
      </c>
      <c r="H6708" t="s">
        <v>41</v>
      </c>
      <c r="I6708" t="s">
        <v>42</v>
      </c>
      <c r="M6708">
        <f>VLOOKUP(H6708,'Stage Order'!$A$2:$B$8,2,FALSE)</f>
        <v>2</v>
      </c>
      <c r="N6708" t="str">
        <f t="shared" si="208"/>
        <v>2. 1-24 hours</v>
      </c>
      <c r="O6708" t="str">
        <f t="shared" si="209"/>
        <v>2025-08</v>
      </c>
    </row>
    <row r="6709" spans="1:15" x14ac:dyDescent="0.3">
      <c r="A6709" t="s">
        <v>15787</v>
      </c>
      <c r="B6709" t="s">
        <v>15788</v>
      </c>
      <c r="C6709" t="s">
        <v>53</v>
      </c>
      <c r="D6709" t="s">
        <v>29</v>
      </c>
      <c r="E6709" t="s">
        <v>45</v>
      </c>
      <c r="F6709" t="s">
        <v>55</v>
      </c>
      <c r="G6709">
        <v>6.46</v>
      </c>
      <c r="H6709" t="s">
        <v>32</v>
      </c>
      <c r="I6709" t="s">
        <v>33</v>
      </c>
      <c r="K6709">
        <v>566.24</v>
      </c>
      <c r="L6709" t="s">
        <v>15789</v>
      </c>
      <c r="M6709">
        <f>VLOOKUP(H6709,'Stage Order'!$A$2:$B$8,2,FALSE)</f>
        <v>7</v>
      </c>
      <c r="N6709" t="str">
        <f t="shared" si="208"/>
        <v>2. 1-24 hours</v>
      </c>
      <c r="O6709" t="str">
        <f t="shared" si="209"/>
        <v>2025-08</v>
      </c>
    </row>
    <row r="6710" spans="1:15" x14ac:dyDescent="0.3">
      <c r="A6710" t="s">
        <v>15790</v>
      </c>
      <c r="B6710" t="s">
        <v>15791</v>
      </c>
      <c r="C6710" t="s">
        <v>81</v>
      </c>
      <c r="D6710" t="s">
        <v>29</v>
      </c>
      <c r="E6710" t="s">
        <v>39</v>
      </c>
      <c r="F6710" t="s">
        <v>40</v>
      </c>
      <c r="G6710">
        <v>1.84</v>
      </c>
      <c r="H6710" t="s">
        <v>41</v>
      </c>
      <c r="I6710" t="s">
        <v>42</v>
      </c>
      <c r="M6710">
        <f>VLOOKUP(H6710,'Stage Order'!$A$2:$B$8,2,FALSE)</f>
        <v>2</v>
      </c>
      <c r="N6710" t="str">
        <f t="shared" si="208"/>
        <v>2. 1-24 hours</v>
      </c>
      <c r="O6710" t="str">
        <f t="shared" si="209"/>
        <v>2025-03</v>
      </c>
    </row>
    <row r="6711" spans="1:15" x14ac:dyDescent="0.3">
      <c r="A6711" t="s">
        <v>15792</v>
      </c>
      <c r="B6711" t="s">
        <v>15793</v>
      </c>
      <c r="C6711" t="s">
        <v>76</v>
      </c>
      <c r="D6711" t="s">
        <v>77</v>
      </c>
      <c r="E6711" t="s">
        <v>59</v>
      </c>
      <c r="F6711" t="s">
        <v>117</v>
      </c>
      <c r="G6711">
        <v>2.76</v>
      </c>
      <c r="H6711" t="s">
        <v>41</v>
      </c>
      <c r="I6711" t="s">
        <v>42</v>
      </c>
      <c r="M6711">
        <f>VLOOKUP(H6711,'Stage Order'!$A$2:$B$8,2,FALSE)</f>
        <v>2</v>
      </c>
      <c r="N6711" t="str">
        <f t="shared" si="208"/>
        <v>2. 1-24 hours</v>
      </c>
      <c r="O6711" t="str">
        <f t="shared" si="209"/>
        <v>2025-06</v>
      </c>
    </row>
    <row r="6712" spans="1:15" x14ac:dyDescent="0.3">
      <c r="A6712" t="s">
        <v>15794</v>
      </c>
      <c r="B6712" t="s">
        <v>15795</v>
      </c>
      <c r="C6712" t="s">
        <v>28</v>
      </c>
      <c r="D6712" t="s">
        <v>38</v>
      </c>
      <c r="E6712" t="s">
        <v>30</v>
      </c>
      <c r="F6712" t="s">
        <v>31</v>
      </c>
      <c r="G6712">
        <v>6.03</v>
      </c>
      <c r="H6712" t="s">
        <v>146</v>
      </c>
      <c r="I6712" t="s">
        <v>48</v>
      </c>
      <c r="J6712" t="s">
        <v>113</v>
      </c>
      <c r="K6712">
        <v>296.61</v>
      </c>
      <c r="L6712" t="s">
        <v>15796</v>
      </c>
      <c r="M6712">
        <f>VLOOKUP(H6712,'Stage Order'!$A$2:$B$8,2,FALSE)</f>
        <v>5</v>
      </c>
      <c r="N6712" t="str">
        <f t="shared" si="208"/>
        <v>2. 1-24 hours</v>
      </c>
      <c r="O6712" t="str">
        <f t="shared" si="209"/>
        <v>2026-06</v>
      </c>
    </row>
    <row r="6713" spans="1:15" x14ac:dyDescent="0.3">
      <c r="A6713" t="s">
        <v>15797</v>
      </c>
      <c r="B6713" t="s">
        <v>15798</v>
      </c>
      <c r="C6713" t="s">
        <v>76</v>
      </c>
      <c r="D6713" t="s">
        <v>54</v>
      </c>
      <c r="E6713" t="s">
        <v>59</v>
      </c>
      <c r="F6713" t="s">
        <v>137</v>
      </c>
      <c r="G6713">
        <v>4.66</v>
      </c>
      <c r="H6713" t="s">
        <v>41</v>
      </c>
      <c r="I6713" t="s">
        <v>42</v>
      </c>
      <c r="M6713">
        <f>VLOOKUP(H6713,'Stage Order'!$A$2:$B$8,2,FALSE)</f>
        <v>2</v>
      </c>
      <c r="N6713" t="str">
        <f t="shared" si="208"/>
        <v>2. 1-24 hours</v>
      </c>
      <c r="O6713" t="str">
        <f t="shared" si="209"/>
        <v>2025-10</v>
      </c>
    </row>
    <row r="6714" spans="1:15" x14ac:dyDescent="0.3">
      <c r="A6714" t="s">
        <v>15799</v>
      </c>
      <c r="B6714" t="s">
        <v>15800</v>
      </c>
      <c r="C6714" t="s">
        <v>53</v>
      </c>
      <c r="D6714" t="s">
        <v>54</v>
      </c>
      <c r="E6714" t="s">
        <v>45</v>
      </c>
      <c r="F6714" t="s">
        <v>55</v>
      </c>
      <c r="G6714">
        <v>6.34</v>
      </c>
      <c r="H6714" t="s">
        <v>41</v>
      </c>
      <c r="I6714" t="s">
        <v>42</v>
      </c>
      <c r="M6714">
        <f>VLOOKUP(H6714,'Stage Order'!$A$2:$B$8,2,FALSE)</f>
        <v>2</v>
      </c>
      <c r="N6714" t="str">
        <f t="shared" si="208"/>
        <v>2. 1-24 hours</v>
      </c>
      <c r="O6714" t="str">
        <f t="shared" si="209"/>
        <v>2025-08</v>
      </c>
    </row>
    <row r="6715" spans="1:15" x14ac:dyDescent="0.3">
      <c r="A6715" t="s">
        <v>15801</v>
      </c>
      <c r="B6715" t="s">
        <v>15802</v>
      </c>
      <c r="C6715" t="s">
        <v>125</v>
      </c>
      <c r="D6715" t="s">
        <v>38</v>
      </c>
      <c r="E6715" t="s">
        <v>59</v>
      </c>
      <c r="F6715" t="s">
        <v>117</v>
      </c>
      <c r="G6715">
        <v>2.56</v>
      </c>
      <c r="H6715" t="s">
        <v>138</v>
      </c>
      <c r="I6715" t="s">
        <v>48</v>
      </c>
      <c r="J6715" t="s">
        <v>742</v>
      </c>
      <c r="K6715">
        <v>379.23</v>
      </c>
      <c r="L6715" t="s">
        <v>15803</v>
      </c>
      <c r="M6715">
        <f>VLOOKUP(H6715,'Stage Order'!$A$2:$B$8,2,FALSE)</f>
        <v>6</v>
      </c>
      <c r="N6715" t="str">
        <f t="shared" si="208"/>
        <v>2. 1-24 hours</v>
      </c>
      <c r="O6715" t="str">
        <f t="shared" si="209"/>
        <v>2025-01</v>
      </c>
    </row>
    <row r="6716" spans="1:15" x14ac:dyDescent="0.3">
      <c r="A6716" t="s">
        <v>15804</v>
      </c>
      <c r="B6716" t="s">
        <v>15805</v>
      </c>
      <c r="C6716" t="s">
        <v>53</v>
      </c>
      <c r="D6716" t="s">
        <v>54</v>
      </c>
      <c r="E6716" t="s">
        <v>45</v>
      </c>
      <c r="F6716" t="s">
        <v>46</v>
      </c>
      <c r="G6716">
        <v>3.06</v>
      </c>
      <c r="H6716" t="s">
        <v>32</v>
      </c>
      <c r="I6716" t="s">
        <v>33</v>
      </c>
      <c r="K6716">
        <v>454.96</v>
      </c>
      <c r="L6716" t="s">
        <v>15806</v>
      </c>
      <c r="M6716">
        <f>VLOOKUP(H6716,'Stage Order'!$A$2:$B$8,2,FALSE)</f>
        <v>7</v>
      </c>
      <c r="N6716" t="str">
        <f t="shared" si="208"/>
        <v>2. 1-24 hours</v>
      </c>
      <c r="O6716" t="str">
        <f t="shared" si="209"/>
        <v>2025-12</v>
      </c>
    </row>
    <row r="6717" spans="1:15" x14ac:dyDescent="0.3">
      <c r="A6717" t="s">
        <v>15807</v>
      </c>
      <c r="B6717" t="s">
        <v>15808</v>
      </c>
      <c r="C6717" t="s">
        <v>53</v>
      </c>
      <c r="D6717" t="s">
        <v>54</v>
      </c>
      <c r="E6717" t="s">
        <v>39</v>
      </c>
      <c r="F6717" t="s">
        <v>40</v>
      </c>
      <c r="G6717">
        <v>2.0099999999999998</v>
      </c>
      <c r="H6717" t="s">
        <v>41</v>
      </c>
      <c r="I6717" t="s">
        <v>42</v>
      </c>
      <c r="M6717">
        <f>VLOOKUP(H6717,'Stage Order'!$A$2:$B$8,2,FALSE)</f>
        <v>2</v>
      </c>
      <c r="N6717" t="str">
        <f t="shared" si="208"/>
        <v>2. 1-24 hours</v>
      </c>
      <c r="O6717" t="str">
        <f t="shared" si="209"/>
        <v>2025-08</v>
      </c>
    </row>
    <row r="6718" spans="1:15" x14ac:dyDescent="0.3">
      <c r="A6718" t="s">
        <v>15809</v>
      </c>
      <c r="B6718" t="s">
        <v>15810</v>
      </c>
      <c r="C6718" t="s">
        <v>81</v>
      </c>
      <c r="D6718" t="s">
        <v>77</v>
      </c>
      <c r="E6718" t="s">
        <v>90</v>
      </c>
      <c r="F6718" t="s">
        <v>91</v>
      </c>
      <c r="G6718">
        <v>6.46</v>
      </c>
      <c r="H6718" t="s">
        <v>61</v>
      </c>
      <c r="I6718" t="s">
        <v>42</v>
      </c>
      <c r="M6718">
        <f>VLOOKUP(H6718,'Stage Order'!$A$2:$B$8,2,FALSE)</f>
        <v>1</v>
      </c>
      <c r="N6718" t="str">
        <f t="shared" si="208"/>
        <v>2. 1-24 hours</v>
      </c>
      <c r="O6718" t="str">
        <f t="shared" si="209"/>
        <v>2025-11</v>
      </c>
    </row>
    <row r="6719" spans="1:15" x14ac:dyDescent="0.3">
      <c r="A6719" t="s">
        <v>15811</v>
      </c>
      <c r="B6719" t="s">
        <v>15812</v>
      </c>
      <c r="C6719" t="s">
        <v>53</v>
      </c>
      <c r="D6719" t="s">
        <v>77</v>
      </c>
      <c r="E6719" t="s">
        <v>90</v>
      </c>
      <c r="F6719" t="s">
        <v>91</v>
      </c>
      <c r="G6719">
        <v>1.31</v>
      </c>
      <c r="H6719" t="s">
        <v>41</v>
      </c>
      <c r="I6719" t="s">
        <v>42</v>
      </c>
      <c r="M6719">
        <f>VLOOKUP(H6719,'Stage Order'!$A$2:$B$8,2,FALSE)</f>
        <v>2</v>
      </c>
      <c r="N6719" t="str">
        <f t="shared" si="208"/>
        <v>2. 1-24 hours</v>
      </c>
      <c r="O6719" t="str">
        <f t="shared" si="209"/>
        <v>2025-06</v>
      </c>
    </row>
    <row r="6720" spans="1:15" x14ac:dyDescent="0.3">
      <c r="A6720" t="s">
        <v>15813</v>
      </c>
      <c r="B6720" t="s">
        <v>15814</v>
      </c>
      <c r="C6720" t="s">
        <v>81</v>
      </c>
      <c r="D6720" t="s">
        <v>77</v>
      </c>
      <c r="E6720" t="s">
        <v>90</v>
      </c>
      <c r="F6720" t="s">
        <v>145</v>
      </c>
      <c r="G6720">
        <v>1.72</v>
      </c>
      <c r="H6720" t="s">
        <v>128</v>
      </c>
      <c r="I6720" t="s">
        <v>42</v>
      </c>
      <c r="M6720">
        <f>VLOOKUP(H6720,'Stage Order'!$A$2:$B$8,2,FALSE)</f>
        <v>3</v>
      </c>
      <c r="N6720" t="str">
        <f t="shared" si="208"/>
        <v>2. 1-24 hours</v>
      </c>
      <c r="O6720" t="str">
        <f t="shared" si="209"/>
        <v>2025-08</v>
      </c>
    </row>
    <row r="6721" spans="1:15" x14ac:dyDescent="0.3">
      <c r="A6721" t="s">
        <v>15815</v>
      </c>
      <c r="B6721" t="s">
        <v>3849</v>
      </c>
      <c r="C6721" t="s">
        <v>58</v>
      </c>
      <c r="D6721" t="s">
        <v>54</v>
      </c>
      <c r="E6721" t="s">
        <v>30</v>
      </c>
      <c r="F6721" t="s">
        <v>78</v>
      </c>
      <c r="G6721">
        <v>7.69</v>
      </c>
      <c r="H6721" t="s">
        <v>146</v>
      </c>
      <c r="I6721" t="s">
        <v>48</v>
      </c>
      <c r="J6721" t="s">
        <v>113</v>
      </c>
      <c r="K6721">
        <v>547.04999999999995</v>
      </c>
      <c r="L6721" t="s">
        <v>15816</v>
      </c>
      <c r="M6721">
        <f>VLOOKUP(H6721,'Stage Order'!$A$2:$B$8,2,FALSE)</f>
        <v>5</v>
      </c>
      <c r="N6721" t="str">
        <f t="shared" si="208"/>
        <v>2. 1-24 hours</v>
      </c>
      <c r="O6721" t="str">
        <f t="shared" si="209"/>
        <v>2026-03</v>
      </c>
    </row>
    <row r="6722" spans="1:15" x14ac:dyDescent="0.3">
      <c r="A6722" t="s">
        <v>15817</v>
      </c>
      <c r="B6722" t="s">
        <v>15818</v>
      </c>
      <c r="C6722" t="s">
        <v>53</v>
      </c>
      <c r="D6722" t="s">
        <v>29</v>
      </c>
      <c r="E6722" t="s">
        <v>39</v>
      </c>
      <c r="F6722" t="s">
        <v>40</v>
      </c>
      <c r="G6722">
        <v>3.22</v>
      </c>
      <c r="H6722" t="s">
        <v>32</v>
      </c>
      <c r="I6722" t="s">
        <v>33</v>
      </c>
      <c r="K6722">
        <v>732.9</v>
      </c>
      <c r="L6722" t="s">
        <v>15819</v>
      </c>
      <c r="M6722">
        <f>VLOOKUP(H6722,'Stage Order'!$A$2:$B$8,2,FALSE)</f>
        <v>7</v>
      </c>
      <c r="N6722" t="str">
        <f t="shared" ref="N6722:N6785" si="210">IF(G6722&lt;=1,"1. Under 1 hour",IF(G6722&lt;=24,"2. 1-24 hours",IF(G6722&lt;=72,"3. 1-3 days","4. Over 3 days")))</f>
        <v>2. 1-24 hours</v>
      </c>
      <c r="O6722" t="str">
        <f t="shared" ref="O6722:O6785" si="211">TEXT(B6722,"YYYY-MM")</f>
        <v>2025-11</v>
      </c>
    </row>
    <row r="6723" spans="1:15" x14ac:dyDescent="0.3">
      <c r="A6723" t="s">
        <v>15820</v>
      </c>
      <c r="B6723" t="s">
        <v>15821</v>
      </c>
      <c r="C6723" t="s">
        <v>125</v>
      </c>
      <c r="D6723" t="s">
        <v>38</v>
      </c>
      <c r="E6723" t="s">
        <v>59</v>
      </c>
      <c r="F6723" t="s">
        <v>117</v>
      </c>
      <c r="G6723">
        <v>6.76</v>
      </c>
      <c r="H6723" t="s">
        <v>138</v>
      </c>
      <c r="I6723" t="s">
        <v>48</v>
      </c>
      <c r="J6723" t="s">
        <v>98</v>
      </c>
      <c r="K6723">
        <v>388.42</v>
      </c>
      <c r="L6723" t="s">
        <v>15822</v>
      </c>
      <c r="M6723">
        <f>VLOOKUP(H6723,'Stage Order'!$A$2:$B$8,2,FALSE)</f>
        <v>6</v>
      </c>
      <c r="N6723" t="str">
        <f t="shared" si="210"/>
        <v>2. 1-24 hours</v>
      </c>
      <c r="O6723" t="str">
        <f t="shared" si="211"/>
        <v>2026-06</v>
      </c>
    </row>
    <row r="6724" spans="1:15" x14ac:dyDescent="0.3">
      <c r="A6724" t="s">
        <v>15823</v>
      </c>
      <c r="B6724" t="s">
        <v>15824</v>
      </c>
      <c r="C6724" t="s">
        <v>76</v>
      </c>
      <c r="D6724" t="s">
        <v>38</v>
      </c>
      <c r="E6724" t="s">
        <v>45</v>
      </c>
      <c r="F6724" t="s">
        <v>55</v>
      </c>
      <c r="G6724">
        <v>4.53</v>
      </c>
      <c r="H6724" t="s">
        <v>41</v>
      </c>
      <c r="I6724" t="s">
        <v>42</v>
      </c>
      <c r="M6724">
        <f>VLOOKUP(H6724,'Stage Order'!$A$2:$B$8,2,FALSE)</f>
        <v>2</v>
      </c>
      <c r="N6724" t="str">
        <f t="shared" si="210"/>
        <v>2. 1-24 hours</v>
      </c>
      <c r="O6724" t="str">
        <f t="shared" si="211"/>
        <v>2026-02</v>
      </c>
    </row>
    <row r="6725" spans="1:15" x14ac:dyDescent="0.3">
      <c r="A6725" t="s">
        <v>15825</v>
      </c>
      <c r="B6725" t="s">
        <v>15826</v>
      </c>
      <c r="C6725" t="s">
        <v>76</v>
      </c>
      <c r="D6725" t="s">
        <v>29</v>
      </c>
      <c r="E6725" t="s">
        <v>30</v>
      </c>
      <c r="F6725" t="s">
        <v>31</v>
      </c>
      <c r="G6725">
        <v>3.7</v>
      </c>
      <c r="H6725" t="s">
        <v>32</v>
      </c>
      <c r="I6725" t="s">
        <v>33</v>
      </c>
      <c r="K6725">
        <v>649.57000000000005</v>
      </c>
      <c r="L6725" t="s">
        <v>15827</v>
      </c>
      <c r="M6725">
        <f>VLOOKUP(H6725,'Stage Order'!$A$2:$B$8,2,FALSE)</f>
        <v>7</v>
      </c>
      <c r="N6725" t="str">
        <f t="shared" si="210"/>
        <v>2. 1-24 hours</v>
      </c>
      <c r="O6725" t="str">
        <f t="shared" si="211"/>
        <v>2025-05</v>
      </c>
    </row>
    <row r="6726" spans="1:15" x14ac:dyDescent="0.3">
      <c r="A6726" t="s">
        <v>15828</v>
      </c>
      <c r="B6726" t="s">
        <v>15829</v>
      </c>
      <c r="C6726" t="s">
        <v>53</v>
      </c>
      <c r="D6726" t="s">
        <v>77</v>
      </c>
      <c r="E6726" t="s">
        <v>59</v>
      </c>
      <c r="F6726" t="s">
        <v>117</v>
      </c>
      <c r="G6726">
        <v>6.85</v>
      </c>
      <c r="H6726" t="s">
        <v>32</v>
      </c>
      <c r="I6726" t="s">
        <v>33</v>
      </c>
      <c r="K6726">
        <v>873.26</v>
      </c>
      <c r="L6726" t="s">
        <v>15830</v>
      </c>
      <c r="M6726">
        <f>VLOOKUP(H6726,'Stage Order'!$A$2:$B$8,2,FALSE)</f>
        <v>7</v>
      </c>
      <c r="N6726" t="str">
        <f t="shared" si="210"/>
        <v>2. 1-24 hours</v>
      </c>
      <c r="O6726" t="str">
        <f t="shared" si="211"/>
        <v>2025-08</v>
      </c>
    </row>
    <row r="6727" spans="1:15" x14ac:dyDescent="0.3">
      <c r="A6727" t="s">
        <v>15831</v>
      </c>
      <c r="B6727" t="s">
        <v>15832</v>
      </c>
      <c r="C6727" t="s">
        <v>37</v>
      </c>
      <c r="D6727" t="s">
        <v>97</v>
      </c>
      <c r="E6727" t="s">
        <v>45</v>
      </c>
      <c r="F6727" t="s">
        <v>94</v>
      </c>
      <c r="G6727">
        <v>7.64</v>
      </c>
      <c r="H6727" t="s">
        <v>41</v>
      </c>
      <c r="I6727" t="s">
        <v>42</v>
      </c>
      <c r="M6727">
        <f>VLOOKUP(H6727,'Stage Order'!$A$2:$B$8,2,FALSE)</f>
        <v>2</v>
      </c>
      <c r="N6727" t="str">
        <f t="shared" si="210"/>
        <v>2. 1-24 hours</v>
      </c>
      <c r="O6727" t="str">
        <f t="shared" si="211"/>
        <v>2025-04</v>
      </c>
    </row>
    <row r="6728" spans="1:15" x14ac:dyDescent="0.3">
      <c r="A6728" t="s">
        <v>15833</v>
      </c>
      <c r="B6728" t="s">
        <v>15834</v>
      </c>
      <c r="C6728" t="s">
        <v>53</v>
      </c>
      <c r="D6728" t="s">
        <v>97</v>
      </c>
      <c r="E6728" t="s">
        <v>30</v>
      </c>
      <c r="F6728" t="s">
        <v>31</v>
      </c>
      <c r="G6728">
        <v>3.26</v>
      </c>
      <c r="H6728" t="s">
        <v>41</v>
      </c>
      <c r="I6728" t="s">
        <v>42</v>
      </c>
      <c r="M6728">
        <f>VLOOKUP(H6728,'Stage Order'!$A$2:$B$8,2,FALSE)</f>
        <v>2</v>
      </c>
      <c r="N6728" t="str">
        <f t="shared" si="210"/>
        <v>2. 1-24 hours</v>
      </c>
      <c r="O6728" t="str">
        <f t="shared" si="211"/>
        <v>2026-01</v>
      </c>
    </row>
    <row r="6729" spans="1:15" x14ac:dyDescent="0.3">
      <c r="A6729" t="s">
        <v>15835</v>
      </c>
      <c r="B6729" t="s">
        <v>15836</v>
      </c>
      <c r="C6729" t="s">
        <v>125</v>
      </c>
      <c r="D6729" t="s">
        <v>54</v>
      </c>
      <c r="E6729" t="s">
        <v>90</v>
      </c>
      <c r="F6729" t="s">
        <v>112</v>
      </c>
      <c r="G6729">
        <v>2.65</v>
      </c>
      <c r="H6729" t="s">
        <v>41</v>
      </c>
      <c r="I6729" t="s">
        <v>42</v>
      </c>
      <c r="M6729">
        <f>VLOOKUP(H6729,'Stage Order'!$A$2:$B$8,2,FALSE)</f>
        <v>2</v>
      </c>
      <c r="N6729" t="str">
        <f t="shared" si="210"/>
        <v>2. 1-24 hours</v>
      </c>
      <c r="O6729" t="str">
        <f t="shared" si="211"/>
        <v>2025-04</v>
      </c>
    </row>
    <row r="6730" spans="1:15" x14ac:dyDescent="0.3">
      <c r="A6730" t="s">
        <v>15837</v>
      </c>
      <c r="B6730" t="s">
        <v>15838</v>
      </c>
      <c r="C6730" t="s">
        <v>81</v>
      </c>
      <c r="D6730" t="s">
        <v>97</v>
      </c>
      <c r="E6730" t="s">
        <v>59</v>
      </c>
      <c r="F6730" t="s">
        <v>137</v>
      </c>
      <c r="G6730">
        <v>0.74</v>
      </c>
      <c r="H6730" t="s">
        <v>41</v>
      </c>
      <c r="I6730" t="s">
        <v>42</v>
      </c>
      <c r="M6730">
        <f>VLOOKUP(H6730,'Stage Order'!$A$2:$B$8,2,FALSE)</f>
        <v>2</v>
      </c>
      <c r="N6730" t="str">
        <f t="shared" si="210"/>
        <v>1. Under 1 hour</v>
      </c>
      <c r="O6730" t="str">
        <f t="shared" si="211"/>
        <v>2026-05</v>
      </c>
    </row>
    <row r="6731" spans="1:15" x14ac:dyDescent="0.3">
      <c r="A6731" t="s">
        <v>15839</v>
      </c>
      <c r="B6731" t="s">
        <v>15840</v>
      </c>
      <c r="C6731" t="s">
        <v>28</v>
      </c>
      <c r="D6731" t="s">
        <v>54</v>
      </c>
      <c r="E6731" t="s">
        <v>30</v>
      </c>
      <c r="F6731" t="s">
        <v>78</v>
      </c>
      <c r="G6731">
        <v>2.2799999999999998</v>
      </c>
      <c r="H6731" t="s">
        <v>138</v>
      </c>
      <c r="I6731" t="s">
        <v>48</v>
      </c>
      <c r="J6731" t="s">
        <v>139</v>
      </c>
      <c r="K6731">
        <v>524.24</v>
      </c>
      <c r="L6731" t="s">
        <v>15841</v>
      </c>
      <c r="M6731">
        <f>VLOOKUP(H6731,'Stage Order'!$A$2:$B$8,2,FALSE)</f>
        <v>6</v>
      </c>
      <c r="N6731" t="str">
        <f t="shared" si="210"/>
        <v>2. 1-24 hours</v>
      </c>
      <c r="O6731" t="str">
        <f t="shared" si="211"/>
        <v>2025-04</v>
      </c>
    </row>
    <row r="6732" spans="1:15" x14ac:dyDescent="0.3">
      <c r="A6732" t="s">
        <v>15842</v>
      </c>
      <c r="B6732" t="s">
        <v>15843</v>
      </c>
      <c r="C6732" t="s">
        <v>53</v>
      </c>
      <c r="D6732" t="s">
        <v>77</v>
      </c>
      <c r="E6732" t="s">
        <v>39</v>
      </c>
      <c r="F6732" t="s">
        <v>106</v>
      </c>
      <c r="G6732">
        <v>2.7</v>
      </c>
      <c r="H6732" t="s">
        <v>41</v>
      </c>
      <c r="I6732" t="s">
        <v>42</v>
      </c>
      <c r="M6732">
        <f>VLOOKUP(H6732,'Stage Order'!$A$2:$B$8,2,FALSE)</f>
        <v>2</v>
      </c>
      <c r="N6732" t="str">
        <f t="shared" si="210"/>
        <v>2. 1-24 hours</v>
      </c>
      <c r="O6732" t="str">
        <f t="shared" si="211"/>
        <v>2026-01</v>
      </c>
    </row>
    <row r="6733" spans="1:15" x14ac:dyDescent="0.3">
      <c r="A6733" t="s">
        <v>15844</v>
      </c>
      <c r="B6733" t="s">
        <v>15845</v>
      </c>
      <c r="C6733" t="s">
        <v>28</v>
      </c>
      <c r="D6733" t="s">
        <v>38</v>
      </c>
      <c r="E6733" t="s">
        <v>59</v>
      </c>
      <c r="F6733" t="s">
        <v>137</v>
      </c>
      <c r="G6733">
        <v>4.09</v>
      </c>
      <c r="H6733" t="s">
        <v>32</v>
      </c>
      <c r="I6733" t="s">
        <v>33</v>
      </c>
      <c r="K6733">
        <v>407.19</v>
      </c>
      <c r="L6733" t="s">
        <v>15846</v>
      </c>
      <c r="M6733">
        <f>VLOOKUP(H6733,'Stage Order'!$A$2:$B$8,2,FALSE)</f>
        <v>7</v>
      </c>
      <c r="N6733" t="str">
        <f t="shared" si="210"/>
        <v>2. 1-24 hours</v>
      </c>
      <c r="O6733" t="str">
        <f t="shared" si="211"/>
        <v>2025-05</v>
      </c>
    </row>
    <row r="6734" spans="1:15" x14ac:dyDescent="0.3">
      <c r="A6734" t="s">
        <v>15847</v>
      </c>
      <c r="B6734" t="s">
        <v>15848</v>
      </c>
      <c r="C6734" t="s">
        <v>37</v>
      </c>
      <c r="D6734" t="s">
        <v>29</v>
      </c>
      <c r="E6734" t="s">
        <v>45</v>
      </c>
      <c r="F6734" t="s">
        <v>94</v>
      </c>
      <c r="G6734">
        <v>1.86</v>
      </c>
      <c r="H6734" t="s">
        <v>47</v>
      </c>
      <c r="I6734" t="s">
        <v>48</v>
      </c>
      <c r="J6734" t="s">
        <v>49</v>
      </c>
      <c r="K6734">
        <v>633.71</v>
      </c>
      <c r="L6734" t="s">
        <v>15849</v>
      </c>
      <c r="M6734">
        <f>VLOOKUP(H6734,'Stage Order'!$A$2:$B$8,2,FALSE)</f>
        <v>4</v>
      </c>
      <c r="N6734" t="str">
        <f t="shared" si="210"/>
        <v>2. 1-24 hours</v>
      </c>
      <c r="O6734" t="str">
        <f t="shared" si="211"/>
        <v>2025-10</v>
      </c>
    </row>
    <row r="6735" spans="1:15" x14ac:dyDescent="0.3">
      <c r="A6735" t="s">
        <v>15850</v>
      </c>
      <c r="B6735" t="s">
        <v>15851</v>
      </c>
      <c r="C6735" t="s">
        <v>125</v>
      </c>
      <c r="D6735" t="s">
        <v>29</v>
      </c>
      <c r="E6735" t="s">
        <v>39</v>
      </c>
      <c r="F6735" t="s">
        <v>106</v>
      </c>
      <c r="G6735">
        <v>2.94</v>
      </c>
      <c r="H6735" t="s">
        <v>61</v>
      </c>
      <c r="I6735" t="s">
        <v>42</v>
      </c>
      <c r="M6735">
        <f>VLOOKUP(H6735,'Stage Order'!$A$2:$B$8,2,FALSE)</f>
        <v>1</v>
      </c>
      <c r="N6735" t="str">
        <f t="shared" si="210"/>
        <v>2. 1-24 hours</v>
      </c>
      <c r="O6735" t="str">
        <f t="shared" si="211"/>
        <v>2025-04</v>
      </c>
    </row>
    <row r="6736" spans="1:15" x14ac:dyDescent="0.3">
      <c r="A6736" t="s">
        <v>15852</v>
      </c>
      <c r="B6736" t="s">
        <v>15853</v>
      </c>
      <c r="C6736" t="s">
        <v>125</v>
      </c>
      <c r="D6736" t="s">
        <v>29</v>
      </c>
      <c r="E6736" t="s">
        <v>45</v>
      </c>
      <c r="F6736" t="s">
        <v>55</v>
      </c>
      <c r="G6736">
        <v>9.15</v>
      </c>
      <c r="H6736" t="s">
        <v>41</v>
      </c>
      <c r="I6736" t="s">
        <v>42</v>
      </c>
      <c r="M6736">
        <f>VLOOKUP(H6736,'Stage Order'!$A$2:$B$8,2,FALSE)</f>
        <v>2</v>
      </c>
      <c r="N6736" t="str">
        <f t="shared" si="210"/>
        <v>2. 1-24 hours</v>
      </c>
      <c r="O6736" t="str">
        <f t="shared" si="211"/>
        <v>2025-06</v>
      </c>
    </row>
    <row r="6737" spans="1:15" x14ac:dyDescent="0.3">
      <c r="A6737" t="s">
        <v>15854</v>
      </c>
      <c r="B6737" t="s">
        <v>15855</v>
      </c>
      <c r="C6737" t="s">
        <v>37</v>
      </c>
      <c r="D6737" t="s">
        <v>54</v>
      </c>
      <c r="E6737" t="s">
        <v>39</v>
      </c>
      <c r="F6737" t="s">
        <v>40</v>
      </c>
      <c r="G6737">
        <v>4.07</v>
      </c>
      <c r="H6737" t="s">
        <v>41</v>
      </c>
      <c r="I6737" t="s">
        <v>42</v>
      </c>
      <c r="M6737">
        <f>VLOOKUP(H6737,'Stage Order'!$A$2:$B$8,2,FALSE)</f>
        <v>2</v>
      </c>
      <c r="N6737" t="str">
        <f t="shared" si="210"/>
        <v>2. 1-24 hours</v>
      </c>
      <c r="O6737" t="str">
        <f t="shared" si="211"/>
        <v>2025-09</v>
      </c>
    </row>
    <row r="6738" spans="1:15" x14ac:dyDescent="0.3">
      <c r="A6738" t="s">
        <v>15856</v>
      </c>
      <c r="B6738" t="s">
        <v>15857</v>
      </c>
      <c r="C6738" t="s">
        <v>37</v>
      </c>
      <c r="D6738" t="s">
        <v>29</v>
      </c>
      <c r="E6738" t="s">
        <v>45</v>
      </c>
      <c r="F6738" t="s">
        <v>55</v>
      </c>
      <c r="G6738">
        <v>1.55</v>
      </c>
      <c r="H6738" t="s">
        <v>41</v>
      </c>
      <c r="I6738" t="s">
        <v>42</v>
      </c>
      <c r="M6738">
        <f>VLOOKUP(H6738,'Stage Order'!$A$2:$B$8,2,FALSE)</f>
        <v>2</v>
      </c>
      <c r="N6738" t="str">
        <f t="shared" si="210"/>
        <v>2. 1-24 hours</v>
      </c>
      <c r="O6738" t="str">
        <f t="shared" si="211"/>
        <v>2025-04</v>
      </c>
    </row>
    <row r="6739" spans="1:15" x14ac:dyDescent="0.3">
      <c r="A6739" t="s">
        <v>15858</v>
      </c>
      <c r="B6739" t="s">
        <v>15859</v>
      </c>
      <c r="C6739" t="s">
        <v>28</v>
      </c>
      <c r="D6739" t="s">
        <v>38</v>
      </c>
      <c r="E6739" t="s">
        <v>30</v>
      </c>
      <c r="F6739" t="s">
        <v>78</v>
      </c>
      <c r="G6739">
        <v>3.81</v>
      </c>
      <c r="H6739" t="s">
        <v>47</v>
      </c>
      <c r="I6739" t="s">
        <v>48</v>
      </c>
      <c r="J6739" t="s">
        <v>49</v>
      </c>
      <c r="K6739">
        <v>359.83</v>
      </c>
      <c r="L6739" t="s">
        <v>15860</v>
      </c>
      <c r="M6739">
        <f>VLOOKUP(H6739,'Stage Order'!$A$2:$B$8,2,FALSE)</f>
        <v>4</v>
      </c>
      <c r="N6739" t="str">
        <f t="shared" si="210"/>
        <v>2. 1-24 hours</v>
      </c>
      <c r="O6739" t="str">
        <f t="shared" si="211"/>
        <v>2026-06</v>
      </c>
    </row>
    <row r="6740" spans="1:15" x14ac:dyDescent="0.3">
      <c r="A6740" t="s">
        <v>15861</v>
      </c>
      <c r="B6740" t="s">
        <v>15862</v>
      </c>
      <c r="C6740" t="s">
        <v>28</v>
      </c>
      <c r="D6740" t="s">
        <v>97</v>
      </c>
      <c r="E6740" t="s">
        <v>45</v>
      </c>
      <c r="F6740" t="s">
        <v>94</v>
      </c>
      <c r="G6740">
        <v>1.59</v>
      </c>
      <c r="H6740" t="s">
        <v>32</v>
      </c>
      <c r="I6740" t="s">
        <v>33</v>
      </c>
      <c r="K6740">
        <v>1525.99</v>
      </c>
      <c r="L6740" t="s">
        <v>15863</v>
      </c>
      <c r="M6740">
        <f>VLOOKUP(H6740,'Stage Order'!$A$2:$B$8,2,FALSE)</f>
        <v>7</v>
      </c>
      <c r="N6740" t="str">
        <f t="shared" si="210"/>
        <v>2. 1-24 hours</v>
      </c>
      <c r="O6740" t="str">
        <f t="shared" si="211"/>
        <v>2026-04</v>
      </c>
    </row>
    <row r="6741" spans="1:15" x14ac:dyDescent="0.3">
      <c r="A6741" t="s">
        <v>15864</v>
      </c>
      <c r="B6741" t="s">
        <v>15865</v>
      </c>
      <c r="C6741" t="s">
        <v>125</v>
      </c>
      <c r="D6741" t="s">
        <v>77</v>
      </c>
      <c r="E6741" t="s">
        <v>39</v>
      </c>
      <c r="F6741" t="s">
        <v>106</v>
      </c>
      <c r="G6741">
        <v>7.29</v>
      </c>
      <c r="H6741" t="s">
        <v>47</v>
      </c>
      <c r="I6741" t="s">
        <v>48</v>
      </c>
      <c r="J6741" t="s">
        <v>113</v>
      </c>
      <c r="K6741">
        <v>1087.33</v>
      </c>
      <c r="L6741" t="s">
        <v>15866</v>
      </c>
      <c r="M6741">
        <f>VLOOKUP(H6741,'Stage Order'!$A$2:$B$8,2,FALSE)</f>
        <v>4</v>
      </c>
      <c r="N6741" t="str">
        <f t="shared" si="210"/>
        <v>2. 1-24 hours</v>
      </c>
      <c r="O6741" t="str">
        <f t="shared" si="211"/>
        <v>2025-07</v>
      </c>
    </row>
    <row r="6742" spans="1:15" x14ac:dyDescent="0.3">
      <c r="A6742" t="s">
        <v>15867</v>
      </c>
      <c r="B6742" t="s">
        <v>15868</v>
      </c>
      <c r="C6742" t="s">
        <v>125</v>
      </c>
      <c r="D6742" t="s">
        <v>77</v>
      </c>
      <c r="E6742" t="s">
        <v>45</v>
      </c>
      <c r="F6742" t="s">
        <v>46</v>
      </c>
      <c r="G6742">
        <v>2.0499999999999998</v>
      </c>
      <c r="H6742" t="s">
        <v>61</v>
      </c>
      <c r="I6742" t="s">
        <v>42</v>
      </c>
      <c r="M6742">
        <f>VLOOKUP(H6742,'Stage Order'!$A$2:$B$8,2,FALSE)</f>
        <v>1</v>
      </c>
      <c r="N6742" t="str">
        <f t="shared" si="210"/>
        <v>2. 1-24 hours</v>
      </c>
      <c r="O6742" t="str">
        <f t="shared" si="211"/>
        <v>2026-05</v>
      </c>
    </row>
    <row r="6743" spans="1:15" x14ac:dyDescent="0.3">
      <c r="A6743" t="s">
        <v>15869</v>
      </c>
      <c r="B6743" t="s">
        <v>15870</v>
      </c>
      <c r="C6743" t="s">
        <v>76</v>
      </c>
      <c r="D6743" t="s">
        <v>77</v>
      </c>
      <c r="E6743" t="s">
        <v>59</v>
      </c>
      <c r="F6743" t="s">
        <v>137</v>
      </c>
      <c r="G6743">
        <v>2.0099999999999998</v>
      </c>
      <c r="H6743" t="s">
        <v>41</v>
      </c>
      <c r="I6743" t="s">
        <v>42</v>
      </c>
      <c r="M6743">
        <f>VLOOKUP(H6743,'Stage Order'!$A$2:$B$8,2,FALSE)</f>
        <v>2</v>
      </c>
      <c r="N6743" t="str">
        <f t="shared" si="210"/>
        <v>2. 1-24 hours</v>
      </c>
      <c r="O6743" t="str">
        <f t="shared" si="211"/>
        <v>2025-05</v>
      </c>
    </row>
    <row r="6744" spans="1:15" x14ac:dyDescent="0.3">
      <c r="A6744" t="s">
        <v>15871</v>
      </c>
      <c r="B6744" t="s">
        <v>15872</v>
      </c>
      <c r="C6744" t="s">
        <v>37</v>
      </c>
      <c r="D6744" t="s">
        <v>77</v>
      </c>
      <c r="E6744" t="s">
        <v>90</v>
      </c>
      <c r="F6744" t="s">
        <v>112</v>
      </c>
      <c r="G6744">
        <v>3.2</v>
      </c>
      <c r="H6744" t="s">
        <v>61</v>
      </c>
      <c r="I6744" t="s">
        <v>42</v>
      </c>
      <c r="M6744">
        <f>VLOOKUP(H6744,'Stage Order'!$A$2:$B$8,2,FALSE)</f>
        <v>1</v>
      </c>
      <c r="N6744" t="str">
        <f t="shared" si="210"/>
        <v>2. 1-24 hours</v>
      </c>
      <c r="O6744" t="str">
        <f t="shared" si="211"/>
        <v>2025-11</v>
      </c>
    </row>
    <row r="6745" spans="1:15" x14ac:dyDescent="0.3">
      <c r="A6745" t="s">
        <v>15873</v>
      </c>
      <c r="B6745" t="s">
        <v>15874</v>
      </c>
      <c r="C6745" t="s">
        <v>58</v>
      </c>
      <c r="D6745" t="s">
        <v>54</v>
      </c>
      <c r="E6745" t="s">
        <v>59</v>
      </c>
      <c r="F6745" t="s">
        <v>137</v>
      </c>
      <c r="G6745">
        <v>4.0199999999999996</v>
      </c>
      <c r="H6745" t="s">
        <v>61</v>
      </c>
      <c r="I6745" t="s">
        <v>42</v>
      </c>
      <c r="M6745">
        <f>VLOOKUP(H6745,'Stage Order'!$A$2:$B$8,2,FALSE)</f>
        <v>1</v>
      </c>
      <c r="N6745" t="str">
        <f t="shared" si="210"/>
        <v>2. 1-24 hours</v>
      </c>
      <c r="O6745" t="str">
        <f t="shared" si="211"/>
        <v>2025-12</v>
      </c>
    </row>
    <row r="6746" spans="1:15" x14ac:dyDescent="0.3">
      <c r="A6746" t="s">
        <v>15875</v>
      </c>
      <c r="B6746" t="s">
        <v>15876</v>
      </c>
      <c r="C6746" t="s">
        <v>53</v>
      </c>
      <c r="D6746" t="s">
        <v>54</v>
      </c>
      <c r="E6746" t="s">
        <v>39</v>
      </c>
      <c r="F6746" t="s">
        <v>66</v>
      </c>
      <c r="G6746">
        <v>3.54</v>
      </c>
      <c r="H6746" t="s">
        <v>146</v>
      </c>
      <c r="I6746" t="s">
        <v>48</v>
      </c>
      <c r="J6746" t="s">
        <v>113</v>
      </c>
      <c r="K6746">
        <v>511.98</v>
      </c>
      <c r="L6746" t="s">
        <v>15877</v>
      </c>
      <c r="M6746">
        <f>VLOOKUP(H6746,'Stage Order'!$A$2:$B$8,2,FALSE)</f>
        <v>5</v>
      </c>
      <c r="N6746" t="str">
        <f t="shared" si="210"/>
        <v>2. 1-24 hours</v>
      </c>
      <c r="O6746" t="str">
        <f t="shared" si="211"/>
        <v>2025-05</v>
      </c>
    </row>
    <row r="6747" spans="1:15" x14ac:dyDescent="0.3">
      <c r="A6747" t="s">
        <v>15878</v>
      </c>
      <c r="B6747" t="s">
        <v>15879</v>
      </c>
      <c r="C6747" t="s">
        <v>76</v>
      </c>
      <c r="D6747" t="s">
        <v>77</v>
      </c>
      <c r="E6747" t="s">
        <v>39</v>
      </c>
      <c r="F6747" t="s">
        <v>66</v>
      </c>
      <c r="G6747">
        <v>1.4</v>
      </c>
      <c r="H6747" t="s">
        <v>61</v>
      </c>
      <c r="I6747" t="s">
        <v>42</v>
      </c>
      <c r="M6747">
        <f>VLOOKUP(H6747,'Stage Order'!$A$2:$B$8,2,FALSE)</f>
        <v>1</v>
      </c>
      <c r="N6747" t="str">
        <f t="shared" si="210"/>
        <v>2. 1-24 hours</v>
      </c>
      <c r="O6747" t="str">
        <f t="shared" si="211"/>
        <v>2026-06</v>
      </c>
    </row>
    <row r="6748" spans="1:15" x14ac:dyDescent="0.3">
      <c r="A6748" t="s">
        <v>15880</v>
      </c>
      <c r="B6748" t="s">
        <v>15881</v>
      </c>
      <c r="C6748" t="s">
        <v>58</v>
      </c>
      <c r="D6748" t="s">
        <v>77</v>
      </c>
      <c r="E6748" t="s">
        <v>59</v>
      </c>
      <c r="F6748" t="s">
        <v>60</v>
      </c>
      <c r="G6748">
        <v>5.3</v>
      </c>
      <c r="H6748" t="s">
        <v>32</v>
      </c>
      <c r="I6748" t="s">
        <v>33</v>
      </c>
      <c r="K6748">
        <v>1114.31</v>
      </c>
      <c r="L6748" t="s">
        <v>15882</v>
      </c>
      <c r="M6748">
        <f>VLOOKUP(H6748,'Stage Order'!$A$2:$B$8,2,FALSE)</f>
        <v>7</v>
      </c>
      <c r="N6748" t="str">
        <f t="shared" si="210"/>
        <v>2. 1-24 hours</v>
      </c>
      <c r="O6748" t="str">
        <f t="shared" si="211"/>
        <v>2025-11</v>
      </c>
    </row>
    <row r="6749" spans="1:15" x14ac:dyDescent="0.3">
      <c r="A6749" t="s">
        <v>15883</v>
      </c>
      <c r="B6749" t="s">
        <v>15884</v>
      </c>
      <c r="C6749" t="s">
        <v>37</v>
      </c>
      <c r="D6749" t="s">
        <v>29</v>
      </c>
      <c r="E6749" t="s">
        <v>45</v>
      </c>
      <c r="F6749" t="s">
        <v>94</v>
      </c>
      <c r="G6749">
        <v>1.17</v>
      </c>
      <c r="H6749" t="s">
        <v>41</v>
      </c>
      <c r="I6749" t="s">
        <v>42</v>
      </c>
      <c r="M6749">
        <f>VLOOKUP(H6749,'Stage Order'!$A$2:$B$8,2,FALSE)</f>
        <v>2</v>
      </c>
      <c r="N6749" t="str">
        <f t="shared" si="210"/>
        <v>2. 1-24 hours</v>
      </c>
      <c r="O6749" t="str">
        <f t="shared" si="211"/>
        <v>2025-11</v>
      </c>
    </row>
    <row r="6750" spans="1:15" x14ac:dyDescent="0.3">
      <c r="A6750" t="s">
        <v>15885</v>
      </c>
      <c r="B6750" t="s">
        <v>15886</v>
      </c>
      <c r="C6750" t="s">
        <v>125</v>
      </c>
      <c r="D6750" t="s">
        <v>54</v>
      </c>
      <c r="E6750" t="s">
        <v>59</v>
      </c>
      <c r="F6750" t="s">
        <v>60</v>
      </c>
      <c r="G6750">
        <v>5.27</v>
      </c>
      <c r="H6750" t="s">
        <v>41</v>
      </c>
      <c r="I6750" t="s">
        <v>42</v>
      </c>
      <c r="M6750">
        <f>VLOOKUP(H6750,'Stage Order'!$A$2:$B$8,2,FALSE)</f>
        <v>2</v>
      </c>
      <c r="N6750" t="str">
        <f t="shared" si="210"/>
        <v>2. 1-24 hours</v>
      </c>
      <c r="O6750" t="str">
        <f t="shared" si="211"/>
        <v>2026-03</v>
      </c>
    </row>
    <row r="6751" spans="1:15" x14ac:dyDescent="0.3">
      <c r="A6751" t="s">
        <v>15887</v>
      </c>
      <c r="B6751" t="s">
        <v>15888</v>
      </c>
      <c r="C6751" t="s">
        <v>37</v>
      </c>
      <c r="D6751" t="s">
        <v>54</v>
      </c>
      <c r="E6751" t="s">
        <v>90</v>
      </c>
      <c r="F6751" t="s">
        <v>145</v>
      </c>
      <c r="G6751">
        <v>4.22</v>
      </c>
      <c r="H6751" t="s">
        <v>47</v>
      </c>
      <c r="I6751" t="s">
        <v>48</v>
      </c>
      <c r="J6751" t="s">
        <v>98</v>
      </c>
      <c r="K6751">
        <v>533.03</v>
      </c>
      <c r="L6751" t="s">
        <v>15889</v>
      </c>
      <c r="M6751">
        <f>VLOOKUP(H6751,'Stage Order'!$A$2:$B$8,2,FALSE)</f>
        <v>4</v>
      </c>
      <c r="N6751" t="str">
        <f t="shared" si="210"/>
        <v>2. 1-24 hours</v>
      </c>
      <c r="O6751" t="str">
        <f t="shared" si="211"/>
        <v>2025-10</v>
      </c>
    </row>
    <row r="6752" spans="1:15" x14ac:dyDescent="0.3">
      <c r="A6752" t="s">
        <v>15890</v>
      </c>
      <c r="B6752" t="s">
        <v>15891</v>
      </c>
      <c r="C6752" t="s">
        <v>81</v>
      </c>
      <c r="D6752" t="s">
        <v>29</v>
      </c>
      <c r="E6752" t="s">
        <v>45</v>
      </c>
      <c r="F6752" t="s">
        <v>55</v>
      </c>
      <c r="G6752">
        <v>2.9</v>
      </c>
      <c r="H6752" t="s">
        <v>61</v>
      </c>
      <c r="I6752" t="s">
        <v>42</v>
      </c>
      <c r="M6752">
        <f>VLOOKUP(H6752,'Stage Order'!$A$2:$B$8,2,FALSE)</f>
        <v>1</v>
      </c>
      <c r="N6752" t="str">
        <f t="shared" si="210"/>
        <v>2. 1-24 hours</v>
      </c>
      <c r="O6752" t="str">
        <f t="shared" si="211"/>
        <v>2025-08</v>
      </c>
    </row>
    <row r="6753" spans="1:15" x14ac:dyDescent="0.3">
      <c r="A6753" t="s">
        <v>15892</v>
      </c>
      <c r="B6753" t="s">
        <v>15893</v>
      </c>
      <c r="C6753" t="s">
        <v>81</v>
      </c>
      <c r="D6753" t="s">
        <v>77</v>
      </c>
      <c r="E6753" t="s">
        <v>45</v>
      </c>
      <c r="F6753" t="s">
        <v>94</v>
      </c>
      <c r="G6753">
        <v>1.76</v>
      </c>
      <c r="H6753" t="s">
        <v>61</v>
      </c>
      <c r="I6753" t="s">
        <v>42</v>
      </c>
      <c r="M6753">
        <f>VLOOKUP(H6753,'Stage Order'!$A$2:$B$8,2,FALSE)</f>
        <v>1</v>
      </c>
      <c r="N6753" t="str">
        <f t="shared" si="210"/>
        <v>2. 1-24 hours</v>
      </c>
      <c r="O6753" t="str">
        <f t="shared" si="211"/>
        <v>2025-02</v>
      </c>
    </row>
    <row r="6754" spans="1:15" x14ac:dyDescent="0.3">
      <c r="A6754" t="s">
        <v>15894</v>
      </c>
      <c r="B6754" t="s">
        <v>15895</v>
      </c>
      <c r="C6754" t="s">
        <v>37</v>
      </c>
      <c r="D6754" t="s">
        <v>29</v>
      </c>
      <c r="E6754" t="s">
        <v>45</v>
      </c>
      <c r="F6754" t="s">
        <v>94</v>
      </c>
      <c r="G6754">
        <v>4.42</v>
      </c>
      <c r="H6754" t="s">
        <v>41</v>
      </c>
      <c r="I6754" t="s">
        <v>42</v>
      </c>
      <c r="M6754">
        <f>VLOOKUP(H6754,'Stage Order'!$A$2:$B$8,2,FALSE)</f>
        <v>2</v>
      </c>
      <c r="N6754" t="str">
        <f t="shared" si="210"/>
        <v>2. 1-24 hours</v>
      </c>
      <c r="O6754" t="str">
        <f t="shared" si="211"/>
        <v>2025-07</v>
      </c>
    </row>
    <row r="6755" spans="1:15" x14ac:dyDescent="0.3">
      <c r="A6755" t="s">
        <v>15896</v>
      </c>
      <c r="B6755" t="s">
        <v>15897</v>
      </c>
      <c r="C6755" t="s">
        <v>53</v>
      </c>
      <c r="D6755" t="s">
        <v>29</v>
      </c>
      <c r="E6755" t="s">
        <v>90</v>
      </c>
      <c r="F6755" t="s">
        <v>145</v>
      </c>
      <c r="G6755">
        <v>17.940000000000001</v>
      </c>
      <c r="H6755" t="s">
        <v>41</v>
      </c>
      <c r="I6755" t="s">
        <v>42</v>
      </c>
      <c r="M6755">
        <f>VLOOKUP(H6755,'Stage Order'!$A$2:$B$8,2,FALSE)</f>
        <v>2</v>
      </c>
      <c r="N6755" t="str">
        <f t="shared" si="210"/>
        <v>2. 1-24 hours</v>
      </c>
      <c r="O6755" t="str">
        <f t="shared" si="211"/>
        <v>2025-02</v>
      </c>
    </row>
    <row r="6756" spans="1:15" x14ac:dyDescent="0.3">
      <c r="A6756" t="s">
        <v>15898</v>
      </c>
      <c r="B6756" t="s">
        <v>15899</v>
      </c>
      <c r="C6756" t="s">
        <v>37</v>
      </c>
      <c r="D6756" t="s">
        <v>54</v>
      </c>
      <c r="E6756" t="s">
        <v>39</v>
      </c>
      <c r="F6756" t="s">
        <v>66</v>
      </c>
      <c r="G6756">
        <v>2.33</v>
      </c>
      <c r="H6756" t="s">
        <v>41</v>
      </c>
      <c r="I6756" t="s">
        <v>42</v>
      </c>
      <c r="M6756">
        <f>VLOOKUP(H6756,'Stage Order'!$A$2:$B$8,2,FALSE)</f>
        <v>2</v>
      </c>
      <c r="N6756" t="str">
        <f t="shared" si="210"/>
        <v>2. 1-24 hours</v>
      </c>
      <c r="O6756" t="str">
        <f t="shared" si="211"/>
        <v>2026-06</v>
      </c>
    </row>
    <row r="6757" spans="1:15" x14ac:dyDescent="0.3">
      <c r="A6757" t="s">
        <v>15900</v>
      </c>
      <c r="B6757" t="s">
        <v>15901</v>
      </c>
      <c r="C6757" t="s">
        <v>53</v>
      </c>
      <c r="D6757" t="s">
        <v>29</v>
      </c>
      <c r="E6757" t="s">
        <v>90</v>
      </c>
      <c r="F6757" t="s">
        <v>145</v>
      </c>
      <c r="G6757">
        <v>2.97</v>
      </c>
      <c r="H6757" t="s">
        <v>41</v>
      </c>
      <c r="I6757" t="s">
        <v>42</v>
      </c>
      <c r="M6757">
        <f>VLOOKUP(H6757,'Stage Order'!$A$2:$B$8,2,FALSE)</f>
        <v>2</v>
      </c>
      <c r="N6757" t="str">
        <f t="shared" si="210"/>
        <v>2. 1-24 hours</v>
      </c>
      <c r="O6757" t="str">
        <f t="shared" si="211"/>
        <v>2025-10</v>
      </c>
    </row>
    <row r="6758" spans="1:15" x14ac:dyDescent="0.3">
      <c r="A6758" t="s">
        <v>15902</v>
      </c>
      <c r="B6758" t="s">
        <v>15903</v>
      </c>
      <c r="C6758" t="s">
        <v>58</v>
      </c>
      <c r="D6758" t="s">
        <v>38</v>
      </c>
      <c r="E6758" t="s">
        <v>59</v>
      </c>
      <c r="F6758" t="s">
        <v>137</v>
      </c>
      <c r="G6758">
        <v>24.85</v>
      </c>
      <c r="H6758" t="s">
        <v>41</v>
      </c>
      <c r="I6758" t="s">
        <v>42</v>
      </c>
      <c r="M6758">
        <f>VLOOKUP(H6758,'Stage Order'!$A$2:$B$8,2,FALSE)</f>
        <v>2</v>
      </c>
      <c r="N6758" t="str">
        <f t="shared" si="210"/>
        <v>3. 1-3 days</v>
      </c>
      <c r="O6758" t="str">
        <f t="shared" si="211"/>
        <v>2025-01</v>
      </c>
    </row>
    <row r="6759" spans="1:15" x14ac:dyDescent="0.3">
      <c r="A6759" t="s">
        <v>15904</v>
      </c>
      <c r="B6759" t="s">
        <v>15905</v>
      </c>
      <c r="C6759" t="s">
        <v>81</v>
      </c>
      <c r="D6759" t="s">
        <v>29</v>
      </c>
      <c r="E6759" t="s">
        <v>59</v>
      </c>
      <c r="F6759" t="s">
        <v>137</v>
      </c>
      <c r="G6759">
        <v>0.56000000000000005</v>
      </c>
      <c r="H6759" t="s">
        <v>61</v>
      </c>
      <c r="I6759" t="s">
        <v>42</v>
      </c>
      <c r="M6759">
        <f>VLOOKUP(H6759,'Stage Order'!$A$2:$B$8,2,FALSE)</f>
        <v>1</v>
      </c>
      <c r="N6759" t="str">
        <f t="shared" si="210"/>
        <v>1. Under 1 hour</v>
      </c>
      <c r="O6759" t="str">
        <f t="shared" si="211"/>
        <v>2025-06</v>
      </c>
    </row>
    <row r="6760" spans="1:15" x14ac:dyDescent="0.3">
      <c r="A6760" t="s">
        <v>15906</v>
      </c>
      <c r="B6760" t="s">
        <v>15907</v>
      </c>
      <c r="C6760" t="s">
        <v>37</v>
      </c>
      <c r="D6760" t="s">
        <v>54</v>
      </c>
      <c r="E6760" t="s">
        <v>90</v>
      </c>
      <c r="F6760" t="s">
        <v>91</v>
      </c>
      <c r="G6760">
        <v>16.96</v>
      </c>
      <c r="H6760" t="s">
        <v>41</v>
      </c>
      <c r="I6760" t="s">
        <v>42</v>
      </c>
      <c r="M6760">
        <f>VLOOKUP(H6760,'Stage Order'!$A$2:$B$8,2,FALSE)</f>
        <v>2</v>
      </c>
      <c r="N6760" t="str">
        <f t="shared" si="210"/>
        <v>2. 1-24 hours</v>
      </c>
      <c r="O6760" t="str">
        <f t="shared" si="211"/>
        <v>2025-07</v>
      </c>
    </row>
    <row r="6761" spans="1:15" x14ac:dyDescent="0.3">
      <c r="A6761" t="s">
        <v>15908</v>
      </c>
      <c r="B6761" t="s">
        <v>15909</v>
      </c>
      <c r="C6761" t="s">
        <v>37</v>
      </c>
      <c r="D6761" t="s">
        <v>54</v>
      </c>
      <c r="E6761" t="s">
        <v>39</v>
      </c>
      <c r="F6761" t="s">
        <v>40</v>
      </c>
      <c r="G6761">
        <v>2.83</v>
      </c>
      <c r="H6761" t="s">
        <v>41</v>
      </c>
      <c r="I6761" t="s">
        <v>42</v>
      </c>
      <c r="M6761">
        <f>VLOOKUP(H6761,'Stage Order'!$A$2:$B$8,2,FALSE)</f>
        <v>2</v>
      </c>
      <c r="N6761" t="str">
        <f t="shared" si="210"/>
        <v>2. 1-24 hours</v>
      </c>
      <c r="O6761" t="str">
        <f t="shared" si="211"/>
        <v>2026-03</v>
      </c>
    </row>
    <row r="6762" spans="1:15" x14ac:dyDescent="0.3">
      <c r="A6762" t="s">
        <v>15910</v>
      </c>
      <c r="B6762" t="s">
        <v>15911</v>
      </c>
      <c r="C6762" t="s">
        <v>53</v>
      </c>
      <c r="D6762" t="s">
        <v>38</v>
      </c>
      <c r="E6762" t="s">
        <v>59</v>
      </c>
      <c r="F6762" t="s">
        <v>60</v>
      </c>
      <c r="G6762">
        <v>4.42</v>
      </c>
      <c r="H6762" t="s">
        <v>41</v>
      </c>
      <c r="I6762" t="s">
        <v>42</v>
      </c>
      <c r="M6762">
        <f>VLOOKUP(H6762,'Stage Order'!$A$2:$B$8,2,FALSE)</f>
        <v>2</v>
      </c>
      <c r="N6762" t="str">
        <f t="shared" si="210"/>
        <v>2. 1-24 hours</v>
      </c>
      <c r="O6762" t="str">
        <f t="shared" si="211"/>
        <v>2025-03</v>
      </c>
    </row>
    <row r="6763" spans="1:15" x14ac:dyDescent="0.3">
      <c r="A6763" t="s">
        <v>15912</v>
      </c>
      <c r="B6763" t="s">
        <v>15913</v>
      </c>
      <c r="C6763" t="s">
        <v>28</v>
      </c>
      <c r="D6763" t="s">
        <v>97</v>
      </c>
      <c r="E6763" t="s">
        <v>45</v>
      </c>
      <c r="F6763" t="s">
        <v>46</v>
      </c>
      <c r="G6763">
        <v>1.19</v>
      </c>
      <c r="H6763" t="s">
        <v>41</v>
      </c>
      <c r="I6763" t="s">
        <v>42</v>
      </c>
      <c r="M6763">
        <f>VLOOKUP(H6763,'Stage Order'!$A$2:$B$8,2,FALSE)</f>
        <v>2</v>
      </c>
      <c r="N6763" t="str">
        <f t="shared" si="210"/>
        <v>2. 1-24 hours</v>
      </c>
      <c r="O6763" t="str">
        <f t="shared" si="211"/>
        <v>2025-07</v>
      </c>
    </row>
    <row r="6764" spans="1:15" x14ac:dyDescent="0.3">
      <c r="A6764" t="s">
        <v>15914</v>
      </c>
      <c r="B6764" t="s">
        <v>15915</v>
      </c>
      <c r="C6764" t="s">
        <v>76</v>
      </c>
      <c r="D6764" t="s">
        <v>97</v>
      </c>
      <c r="E6764" t="s">
        <v>30</v>
      </c>
      <c r="F6764" t="s">
        <v>78</v>
      </c>
      <c r="G6764">
        <v>3.13</v>
      </c>
      <c r="H6764" t="s">
        <v>41</v>
      </c>
      <c r="I6764" t="s">
        <v>42</v>
      </c>
      <c r="M6764">
        <f>VLOOKUP(H6764,'Stage Order'!$A$2:$B$8,2,FALSE)</f>
        <v>2</v>
      </c>
      <c r="N6764" t="str">
        <f t="shared" si="210"/>
        <v>2. 1-24 hours</v>
      </c>
      <c r="O6764" t="str">
        <f t="shared" si="211"/>
        <v>2025-01</v>
      </c>
    </row>
    <row r="6765" spans="1:15" x14ac:dyDescent="0.3">
      <c r="A6765" t="s">
        <v>15916</v>
      </c>
      <c r="B6765" t="s">
        <v>15917</v>
      </c>
      <c r="C6765" t="s">
        <v>37</v>
      </c>
      <c r="D6765" t="s">
        <v>97</v>
      </c>
      <c r="E6765" t="s">
        <v>39</v>
      </c>
      <c r="F6765" t="s">
        <v>106</v>
      </c>
      <c r="G6765">
        <v>5.36</v>
      </c>
      <c r="H6765" t="s">
        <v>41</v>
      </c>
      <c r="I6765" t="s">
        <v>42</v>
      </c>
      <c r="M6765">
        <f>VLOOKUP(H6765,'Stage Order'!$A$2:$B$8,2,FALSE)</f>
        <v>2</v>
      </c>
      <c r="N6765" t="str">
        <f t="shared" si="210"/>
        <v>2. 1-24 hours</v>
      </c>
      <c r="O6765" t="str">
        <f t="shared" si="211"/>
        <v>2026-03</v>
      </c>
    </row>
    <row r="6766" spans="1:15" x14ac:dyDescent="0.3">
      <c r="A6766" t="s">
        <v>15918</v>
      </c>
      <c r="B6766" t="s">
        <v>15919</v>
      </c>
      <c r="C6766" t="s">
        <v>76</v>
      </c>
      <c r="D6766" t="s">
        <v>54</v>
      </c>
      <c r="E6766" t="s">
        <v>90</v>
      </c>
      <c r="F6766" t="s">
        <v>145</v>
      </c>
      <c r="G6766">
        <v>8.15</v>
      </c>
      <c r="H6766" t="s">
        <v>61</v>
      </c>
      <c r="I6766" t="s">
        <v>42</v>
      </c>
      <c r="M6766">
        <f>VLOOKUP(H6766,'Stage Order'!$A$2:$B$8,2,FALSE)</f>
        <v>1</v>
      </c>
      <c r="N6766" t="str">
        <f t="shared" si="210"/>
        <v>2. 1-24 hours</v>
      </c>
      <c r="O6766" t="str">
        <f t="shared" si="211"/>
        <v>2025-04</v>
      </c>
    </row>
    <row r="6767" spans="1:15" x14ac:dyDescent="0.3">
      <c r="A6767" t="s">
        <v>15920</v>
      </c>
      <c r="B6767" t="s">
        <v>15921</v>
      </c>
      <c r="C6767" t="s">
        <v>125</v>
      </c>
      <c r="D6767" t="s">
        <v>54</v>
      </c>
      <c r="E6767" t="s">
        <v>39</v>
      </c>
      <c r="F6767" t="s">
        <v>106</v>
      </c>
      <c r="G6767">
        <v>3.88</v>
      </c>
      <c r="H6767" t="s">
        <v>41</v>
      </c>
      <c r="I6767" t="s">
        <v>42</v>
      </c>
      <c r="M6767">
        <f>VLOOKUP(H6767,'Stage Order'!$A$2:$B$8,2,FALSE)</f>
        <v>2</v>
      </c>
      <c r="N6767" t="str">
        <f t="shared" si="210"/>
        <v>2. 1-24 hours</v>
      </c>
      <c r="O6767" t="str">
        <f t="shared" si="211"/>
        <v>2025-05</v>
      </c>
    </row>
    <row r="6768" spans="1:15" x14ac:dyDescent="0.3">
      <c r="A6768" t="s">
        <v>15922</v>
      </c>
      <c r="B6768" t="s">
        <v>11307</v>
      </c>
      <c r="C6768" t="s">
        <v>53</v>
      </c>
      <c r="D6768" t="s">
        <v>97</v>
      </c>
      <c r="E6768" t="s">
        <v>59</v>
      </c>
      <c r="F6768" t="s">
        <v>117</v>
      </c>
      <c r="G6768">
        <v>0.9</v>
      </c>
      <c r="H6768" t="s">
        <v>32</v>
      </c>
      <c r="I6768" t="s">
        <v>33</v>
      </c>
      <c r="K6768">
        <v>1673.4</v>
      </c>
      <c r="L6768" t="s">
        <v>15923</v>
      </c>
      <c r="M6768">
        <f>VLOOKUP(H6768,'Stage Order'!$A$2:$B$8,2,FALSE)</f>
        <v>7</v>
      </c>
      <c r="N6768" t="str">
        <f t="shared" si="210"/>
        <v>1. Under 1 hour</v>
      </c>
      <c r="O6768" t="str">
        <f t="shared" si="211"/>
        <v>2026-05</v>
      </c>
    </row>
    <row r="6769" spans="1:15" x14ac:dyDescent="0.3">
      <c r="A6769" t="s">
        <v>15924</v>
      </c>
      <c r="B6769" t="s">
        <v>15925</v>
      </c>
      <c r="C6769" t="s">
        <v>58</v>
      </c>
      <c r="D6769" t="s">
        <v>29</v>
      </c>
      <c r="E6769" t="s">
        <v>59</v>
      </c>
      <c r="F6769" t="s">
        <v>60</v>
      </c>
      <c r="G6769">
        <v>2.12</v>
      </c>
      <c r="H6769" t="s">
        <v>146</v>
      </c>
      <c r="I6769" t="s">
        <v>48</v>
      </c>
      <c r="J6769" t="s">
        <v>113</v>
      </c>
      <c r="K6769">
        <v>731.08</v>
      </c>
      <c r="L6769" t="s">
        <v>15926</v>
      </c>
      <c r="M6769">
        <f>VLOOKUP(H6769,'Stage Order'!$A$2:$B$8,2,FALSE)</f>
        <v>5</v>
      </c>
      <c r="N6769" t="str">
        <f t="shared" si="210"/>
        <v>2. 1-24 hours</v>
      </c>
      <c r="O6769" t="str">
        <f t="shared" si="211"/>
        <v>2025-04</v>
      </c>
    </row>
    <row r="6770" spans="1:15" x14ac:dyDescent="0.3">
      <c r="A6770" t="s">
        <v>15927</v>
      </c>
      <c r="B6770" t="s">
        <v>15928</v>
      </c>
      <c r="C6770" t="s">
        <v>125</v>
      </c>
      <c r="D6770" t="s">
        <v>38</v>
      </c>
      <c r="E6770" t="s">
        <v>90</v>
      </c>
      <c r="F6770" t="s">
        <v>145</v>
      </c>
      <c r="G6770">
        <v>4.9400000000000004</v>
      </c>
      <c r="H6770" t="s">
        <v>61</v>
      </c>
      <c r="I6770" t="s">
        <v>42</v>
      </c>
      <c r="M6770">
        <f>VLOOKUP(H6770,'Stage Order'!$A$2:$B$8,2,FALSE)</f>
        <v>1</v>
      </c>
      <c r="N6770" t="str">
        <f t="shared" si="210"/>
        <v>2. 1-24 hours</v>
      </c>
      <c r="O6770" t="str">
        <f t="shared" si="211"/>
        <v>2025-07</v>
      </c>
    </row>
    <row r="6771" spans="1:15" x14ac:dyDescent="0.3">
      <c r="A6771" t="s">
        <v>15929</v>
      </c>
      <c r="B6771" t="s">
        <v>15930</v>
      </c>
      <c r="C6771" t="s">
        <v>58</v>
      </c>
      <c r="D6771" t="s">
        <v>38</v>
      </c>
      <c r="E6771" t="s">
        <v>90</v>
      </c>
      <c r="F6771" t="s">
        <v>112</v>
      </c>
      <c r="G6771">
        <v>14.17</v>
      </c>
      <c r="H6771" t="s">
        <v>61</v>
      </c>
      <c r="I6771" t="s">
        <v>42</v>
      </c>
      <c r="M6771">
        <f>VLOOKUP(H6771,'Stage Order'!$A$2:$B$8,2,FALSE)</f>
        <v>1</v>
      </c>
      <c r="N6771" t="str">
        <f t="shared" si="210"/>
        <v>2. 1-24 hours</v>
      </c>
      <c r="O6771" t="str">
        <f t="shared" si="211"/>
        <v>2026-03</v>
      </c>
    </row>
    <row r="6772" spans="1:15" x14ac:dyDescent="0.3">
      <c r="A6772" t="s">
        <v>15931</v>
      </c>
      <c r="B6772" t="s">
        <v>12893</v>
      </c>
      <c r="C6772" t="s">
        <v>125</v>
      </c>
      <c r="D6772" t="s">
        <v>77</v>
      </c>
      <c r="E6772" t="s">
        <v>39</v>
      </c>
      <c r="F6772" t="s">
        <v>40</v>
      </c>
      <c r="G6772">
        <v>1.34</v>
      </c>
      <c r="H6772" t="s">
        <v>32</v>
      </c>
      <c r="I6772" t="s">
        <v>33</v>
      </c>
      <c r="K6772">
        <v>1023.98</v>
      </c>
      <c r="L6772" t="s">
        <v>15932</v>
      </c>
      <c r="M6772">
        <f>VLOOKUP(H6772,'Stage Order'!$A$2:$B$8,2,FALSE)</f>
        <v>7</v>
      </c>
      <c r="N6772" t="str">
        <f t="shared" si="210"/>
        <v>2. 1-24 hours</v>
      </c>
      <c r="O6772" t="str">
        <f t="shared" si="211"/>
        <v>2026-04</v>
      </c>
    </row>
    <row r="6773" spans="1:15" x14ac:dyDescent="0.3">
      <c r="A6773" t="s">
        <v>15933</v>
      </c>
      <c r="B6773" t="s">
        <v>15934</v>
      </c>
      <c r="C6773" t="s">
        <v>81</v>
      </c>
      <c r="D6773" t="s">
        <v>29</v>
      </c>
      <c r="E6773" t="s">
        <v>90</v>
      </c>
      <c r="F6773" t="s">
        <v>112</v>
      </c>
      <c r="G6773">
        <v>2.91</v>
      </c>
      <c r="H6773" t="s">
        <v>47</v>
      </c>
      <c r="I6773" t="s">
        <v>48</v>
      </c>
      <c r="J6773" t="s">
        <v>742</v>
      </c>
      <c r="K6773">
        <v>769.63</v>
      </c>
      <c r="L6773" t="s">
        <v>15935</v>
      </c>
      <c r="M6773">
        <f>VLOOKUP(H6773,'Stage Order'!$A$2:$B$8,2,FALSE)</f>
        <v>4</v>
      </c>
      <c r="N6773" t="str">
        <f t="shared" si="210"/>
        <v>2. 1-24 hours</v>
      </c>
      <c r="O6773" t="str">
        <f t="shared" si="211"/>
        <v>2025-08</v>
      </c>
    </row>
    <row r="6774" spans="1:15" x14ac:dyDescent="0.3">
      <c r="A6774" t="s">
        <v>15936</v>
      </c>
      <c r="B6774" t="s">
        <v>15937</v>
      </c>
      <c r="C6774" t="s">
        <v>37</v>
      </c>
      <c r="D6774" t="s">
        <v>97</v>
      </c>
      <c r="E6774" t="s">
        <v>39</v>
      </c>
      <c r="F6774" t="s">
        <v>40</v>
      </c>
      <c r="G6774">
        <v>5.44</v>
      </c>
      <c r="H6774" t="s">
        <v>41</v>
      </c>
      <c r="I6774" t="s">
        <v>42</v>
      </c>
      <c r="M6774">
        <f>VLOOKUP(H6774,'Stage Order'!$A$2:$B$8,2,FALSE)</f>
        <v>2</v>
      </c>
      <c r="N6774" t="str">
        <f t="shared" si="210"/>
        <v>2. 1-24 hours</v>
      </c>
      <c r="O6774" t="str">
        <f t="shared" si="211"/>
        <v>2026-05</v>
      </c>
    </row>
    <row r="6775" spans="1:15" x14ac:dyDescent="0.3">
      <c r="A6775" t="s">
        <v>15938</v>
      </c>
      <c r="B6775" t="s">
        <v>15939</v>
      </c>
      <c r="C6775" t="s">
        <v>28</v>
      </c>
      <c r="D6775" t="s">
        <v>54</v>
      </c>
      <c r="E6775" t="s">
        <v>59</v>
      </c>
      <c r="F6775" t="s">
        <v>137</v>
      </c>
      <c r="G6775">
        <v>2.21</v>
      </c>
      <c r="H6775" t="s">
        <v>41</v>
      </c>
      <c r="I6775" t="s">
        <v>42</v>
      </c>
      <c r="M6775">
        <f>VLOOKUP(H6775,'Stage Order'!$A$2:$B$8,2,FALSE)</f>
        <v>2</v>
      </c>
      <c r="N6775" t="str">
        <f t="shared" si="210"/>
        <v>2. 1-24 hours</v>
      </c>
      <c r="O6775" t="str">
        <f t="shared" si="211"/>
        <v>2026-02</v>
      </c>
    </row>
    <row r="6776" spans="1:15" x14ac:dyDescent="0.3">
      <c r="A6776" t="s">
        <v>15940</v>
      </c>
      <c r="B6776" t="s">
        <v>15941</v>
      </c>
      <c r="C6776" t="s">
        <v>125</v>
      </c>
      <c r="D6776" t="s">
        <v>54</v>
      </c>
      <c r="E6776" t="s">
        <v>39</v>
      </c>
      <c r="F6776" t="s">
        <v>40</v>
      </c>
      <c r="G6776">
        <v>1.1100000000000001</v>
      </c>
      <c r="H6776" t="s">
        <v>47</v>
      </c>
      <c r="I6776" t="s">
        <v>48</v>
      </c>
      <c r="J6776" t="s">
        <v>98</v>
      </c>
      <c r="K6776">
        <v>596.29999999999995</v>
      </c>
      <c r="L6776" t="s">
        <v>15942</v>
      </c>
      <c r="M6776">
        <f>VLOOKUP(H6776,'Stage Order'!$A$2:$B$8,2,FALSE)</f>
        <v>4</v>
      </c>
      <c r="N6776" t="str">
        <f t="shared" si="210"/>
        <v>2. 1-24 hours</v>
      </c>
      <c r="O6776" t="str">
        <f t="shared" si="211"/>
        <v>2025-03</v>
      </c>
    </row>
    <row r="6777" spans="1:15" x14ac:dyDescent="0.3">
      <c r="A6777" t="s">
        <v>15943</v>
      </c>
      <c r="B6777" t="s">
        <v>15944</v>
      </c>
      <c r="C6777" t="s">
        <v>37</v>
      </c>
      <c r="D6777" t="s">
        <v>29</v>
      </c>
      <c r="E6777" t="s">
        <v>30</v>
      </c>
      <c r="F6777" t="s">
        <v>78</v>
      </c>
      <c r="G6777">
        <v>2.97</v>
      </c>
      <c r="H6777" t="s">
        <v>41</v>
      </c>
      <c r="I6777" t="s">
        <v>42</v>
      </c>
      <c r="M6777">
        <f>VLOOKUP(H6777,'Stage Order'!$A$2:$B$8,2,FALSE)</f>
        <v>2</v>
      </c>
      <c r="N6777" t="str">
        <f t="shared" si="210"/>
        <v>2. 1-24 hours</v>
      </c>
      <c r="O6777" t="str">
        <f t="shared" si="211"/>
        <v>2025-11</v>
      </c>
    </row>
    <row r="6778" spans="1:15" x14ac:dyDescent="0.3">
      <c r="A6778" t="s">
        <v>15945</v>
      </c>
      <c r="B6778" t="s">
        <v>15946</v>
      </c>
      <c r="C6778" t="s">
        <v>53</v>
      </c>
      <c r="D6778" t="s">
        <v>54</v>
      </c>
      <c r="E6778" t="s">
        <v>90</v>
      </c>
      <c r="F6778" t="s">
        <v>91</v>
      </c>
      <c r="G6778">
        <v>0.44</v>
      </c>
      <c r="H6778" t="s">
        <v>41</v>
      </c>
      <c r="I6778" t="s">
        <v>42</v>
      </c>
      <c r="M6778">
        <f>VLOOKUP(H6778,'Stage Order'!$A$2:$B$8,2,FALSE)</f>
        <v>2</v>
      </c>
      <c r="N6778" t="str">
        <f t="shared" si="210"/>
        <v>1. Under 1 hour</v>
      </c>
      <c r="O6778" t="str">
        <f t="shared" si="211"/>
        <v>2025-05</v>
      </c>
    </row>
    <row r="6779" spans="1:15" x14ac:dyDescent="0.3">
      <c r="A6779" t="s">
        <v>15947</v>
      </c>
      <c r="B6779" t="s">
        <v>15948</v>
      </c>
      <c r="C6779" t="s">
        <v>76</v>
      </c>
      <c r="D6779" t="s">
        <v>54</v>
      </c>
      <c r="E6779" t="s">
        <v>39</v>
      </c>
      <c r="F6779" t="s">
        <v>106</v>
      </c>
      <c r="G6779">
        <v>0.87</v>
      </c>
      <c r="H6779" t="s">
        <v>41</v>
      </c>
      <c r="I6779" t="s">
        <v>42</v>
      </c>
      <c r="M6779">
        <f>VLOOKUP(H6779,'Stage Order'!$A$2:$B$8,2,FALSE)</f>
        <v>2</v>
      </c>
      <c r="N6779" t="str">
        <f t="shared" si="210"/>
        <v>1. Under 1 hour</v>
      </c>
      <c r="O6779" t="str">
        <f t="shared" si="211"/>
        <v>2025-12</v>
      </c>
    </row>
    <row r="6780" spans="1:15" x14ac:dyDescent="0.3">
      <c r="A6780" t="s">
        <v>15949</v>
      </c>
      <c r="B6780" t="s">
        <v>15950</v>
      </c>
      <c r="C6780" t="s">
        <v>28</v>
      </c>
      <c r="D6780" t="s">
        <v>77</v>
      </c>
      <c r="E6780" t="s">
        <v>90</v>
      </c>
      <c r="F6780" t="s">
        <v>145</v>
      </c>
      <c r="G6780">
        <v>5.65</v>
      </c>
      <c r="H6780" t="s">
        <v>41</v>
      </c>
      <c r="I6780" t="s">
        <v>42</v>
      </c>
      <c r="M6780">
        <f>VLOOKUP(H6780,'Stage Order'!$A$2:$B$8,2,FALSE)</f>
        <v>2</v>
      </c>
      <c r="N6780" t="str">
        <f t="shared" si="210"/>
        <v>2. 1-24 hours</v>
      </c>
      <c r="O6780" t="str">
        <f t="shared" si="211"/>
        <v>2025-12</v>
      </c>
    </row>
    <row r="6781" spans="1:15" x14ac:dyDescent="0.3">
      <c r="A6781" t="s">
        <v>15951</v>
      </c>
      <c r="B6781" t="s">
        <v>15952</v>
      </c>
      <c r="C6781" t="s">
        <v>125</v>
      </c>
      <c r="D6781" t="s">
        <v>97</v>
      </c>
      <c r="E6781" t="s">
        <v>30</v>
      </c>
      <c r="F6781" t="s">
        <v>78</v>
      </c>
      <c r="G6781">
        <v>3.82</v>
      </c>
      <c r="H6781" t="s">
        <v>41</v>
      </c>
      <c r="I6781" t="s">
        <v>42</v>
      </c>
      <c r="M6781">
        <f>VLOOKUP(H6781,'Stage Order'!$A$2:$B$8,2,FALSE)</f>
        <v>2</v>
      </c>
      <c r="N6781" t="str">
        <f t="shared" si="210"/>
        <v>2. 1-24 hours</v>
      </c>
      <c r="O6781" t="str">
        <f t="shared" si="211"/>
        <v>2025-06</v>
      </c>
    </row>
    <row r="6782" spans="1:15" x14ac:dyDescent="0.3">
      <c r="A6782" t="s">
        <v>15953</v>
      </c>
      <c r="B6782" t="s">
        <v>15954</v>
      </c>
      <c r="C6782" t="s">
        <v>125</v>
      </c>
      <c r="D6782" t="s">
        <v>97</v>
      </c>
      <c r="E6782" t="s">
        <v>45</v>
      </c>
      <c r="F6782" t="s">
        <v>46</v>
      </c>
      <c r="G6782">
        <v>2.57</v>
      </c>
      <c r="H6782" t="s">
        <v>41</v>
      </c>
      <c r="I6782" t="s">
        <v>42</v>
      </c>
      <c r="M6782">
        <f>VLOOKUP(H6782,'Stage Order'!$A$2:$B$8,2,FALSE)</f>
        <v>2</v>
      </c>
      <c r="N6782" t="str">
        <f t="shared" si="210"/>
        <v>2. 1-24 hours</v>
      </c>
      <c r="O6782" t="str">
        <f t="shared" si="211"/>
        <v>2025-01</v>
      </c>
    </row>
    <row r="6783" spans="1:15" x14ac:dyDescent="0.3">
      <c r="A6783" t="s">
        <v>15955</v>
      </c>
      <c r="B6783" t="s">
        <v>15956</v>
      </c>
      <c r="C6783" t="s">
        <v>28</v>
      </c>
      <c r="D6783" t="s">
        <v>54</v>
      </c>
      <c r="E6783" t="s">
        <v>39</v>
      </c>
      <c r="F6783" t="s">
        <v>40</v>
      </c>
      <c r="G6783">
        <v>1.22</v>
      </c>
      <c r="H6783" t="s">
        <v>41</v>
      </c>
      <c r="I6783" t="s">
        <v>42</v>
      </c>
      <c r="M6783">
        <f>VLOOKUP(H6783,'Stage Order'!$A$2:$B$8,2,FALSE)</f>
        <v>2</v>
      </c>
      <c r="N6783" t="str">
        <f t="shared" si="210"/>
        <v>2. 1-24 hours</v>
      </c>
      <c r="O6783" t="str">
        <f t="shared" si="211"/>
        <v>2026-01</v>
      </c>
    </row>
    <row r="6784" spans="1:15" x14ac:dyDescent="0.3">
      <c r="A6784" t="s">
        <v>15957</v>
      </c>
      <c r="B6784" t="s">
        <v>15958</v>
      </c>
      <c r="C6784" t="s">
        <v>58</v>
      </c>
      <c r="D6784" t="s">
        <v>29</v>
      </c>
      <c r="E6784" t="s">
        <v>45</v>
      </c>
      <c r="F6784" t="s">
        <v>94</v>
      </c>
      <c r="G6784">
        <v>5.82</v>
      </c>
      <c r="H6784" t="s">
        <v>47</v>
      </c>
      <c r="I6784" t="s">
        <v>48</v>
      </c>
      <c r="J6784" t="s">
        <v>113</v>
      </c>
      <c r="K6784">
        <v>599.51</v>
      </c>
      <c r="L6784" t="s">
        <v>15959</v>
      </c>
      <c r="M6784">
        <f>VLOOKUP(H6784,'Stage Order'!$A$2:$B$8,2,FALSE)</f>
        <v>4</v>
      </c>
      <c r="N6784" t="str">
        <f t="shared" si="210"/>
        <v>2. 1-24 hours</v>
      </c>
      <c r="O6784" t="str">
        <f t="shared" si="211"/>
        <v>2025-11</v>
      </c>
    </row>
    <row r="6785" spans="1:15" x14ac:dyDescent="0.3">
      <c r="A6785" t="s">
        <v>15960</v>
      </c>
      <c r="B6785" t="s">
        <v>15961</v>
      </c>
      <c r="C6785" t="s">
        <v>58</v>
      </c>
      <c r="D6785" t="s">
        <v>29</v>
      </c>
      <c r="E6785" t="s">
        <v>90</v>
      </c>
      <c r="F6785" t="s">
        <v>145</v>
      </c>
      <c r="G6785">
        <v>0.56999999999999995</v>
      </c>
      <c r="H6785" t="s">
        <v>41</v>
      </c>
      <c r="I6785" t="s">
        <v>42</v>
      </c>
      <c r="M6785">
        <f>VLOOKUP(H6785,'Stage Order'!$A$2:$B$8,2,FALSE)</f>
        <v>2</v>
      </c>
      <c r="N6785" t="str">
        <f t="shared" si="210"/>
        <v>1. Under 1 hour</v>
      </c>
      <c r="O6785" t="str">
        <f t="shared" si="211"/>
        <v>2025-03</v>
      </c>
    </row>
    <row r="6786" spans="1:15" x14ac:dyDescent="0.3">
      <c r="A6786" t="s">
        <v>15962</v>
      </c>
      <c r="B6786" t="s">
        <v>15963</v>
      </c>
      <c r="C6786" t="s">
        <v>28</v>
      </c>
      <c r="D6786" t="s">
        <v>77</v>
      </c>
      <c r="E6786" t="s">
        <v>59</v>
      </c>
      <c r="F6786" t="s">
        <v>137</v>
      </c>
      <c r="G6786">
        <v>1.71</v>
      </c>
      <c r="H6786" t="s">
        <v>32</v>
      </c>
      <c r="I6786" t="s">
        <v>33</v>
      </c>
      <c r="K6786">
        <v>893.76</v>
      </c>
      <c r="L6786" t="s">
        <v>15964</v>
      </c>
      <c r="M6786">
        <f>VLOOKUP(H6786,'Stage Order'!$A$2:$B$8,2,FALSE)</f>
        <v>7</v>
      </c>
      <c r="N6786" t="str">
        <f t="shared" ref="N6786:N6849" si="212">IF(G6786&lt;=1,"1. Under 1 hour",IF(G6786&lt;=24,"2. 1-24 hours",IF(G6786&lt;=72,"3. 1-3 days","4. Over 3 days")))</f>
        <v>2. 1-24 hours</v>
      </c>
      <c r="O6786" t="str">
        <f t="shared" ref="O6786:O6849" si="213">TEXT(B6786,"YYYY-MM")</f>
        <v>2025-08</v>
      </c>
    </row>
    <row r="6787" spans="1:15" x14ac:dyDescent="0.3">
      <c r="A6787" t="s">
        <v>15965</v>
      </c>
      <c r="B6787" t="s">
        <v>15966</v>
      </c>
      <c r="C6787" t="s">
        <v>37</v>
      </c>
      <c r="D6787" t="s">
        <v>54</v>
      </c>
      <c r="E6787" t="s">
        <v>59</v>
      </c>
      <c r="F6787" t="s">
        <v>60</v>
      </c>
      <c r="G6787">
        <v>6.78</v>
      </c>
      <c r="H6787" t="s">
        <v>41</v>
      </c>
      <c r="I6787" t="s">
        <v>42</v>
      </c>
      <c r="M6787">
        <f>VLOOKUP(H6787,'Stage Order'!$A$2:$B$8,2,FALSE)</f>
        <v>2</v>
      </c>
      <c r="N6787" t="str">
        <f t="shared" si="212"/>
        <v>2. 1-24 hours</v>
      </c>
      <c r="O6787" t="str">
        <f t="shared" si="213"/>
        <v>2025-11</v>
      </c>
    </row>
    <row r="6788" spans="1:15" x14ac:dyDescent="0.3">
      <c r="A6788" t="s">
        <v>15967</v>
      </c>
      <c r="B6788" t="s">
        <v>15968</v>
      </c>
      <c r="C6788" t="s">
        <v>28</v>
      </c>
      <c r="D6788" t="s">
        <v>54</v>
      </c>
      <c r="E6788" t="s">
        <v>39</v>
      </c>
      <c r="F6788" t="s">
        <v>40</v>
      </c>
      <c r="G6788">
        <v>2.33</v>
      </c>
      <c r="H6788" t="s">
        <v>146</v>
      </c>
      <c r="I6788" t="s">
        <v>48</v>
      </c>
      <c r="J6788" t="s">
        <v>113</v>
      </c>
      <c r="K6788">
        <v>419.75</v>
      </c>
      <c r="L6788" t="s">
        <v>15969</v>
      </c>
      <c r="M6788">
        <f>VLOOKUP(H6788,'Stage Order'!$A$2:$B$8,2,FALSE)</f>
        <v>5</v>
      </c>
      <c r="N6788" t="str">
        <f t="shared" si="212"/>
        <v>2. 1-24 hours</v>
      </c>
      <c r="O6788" t="str">
        <f t="shared" si="213"/>
        <v>2025-10</v>
      </c>
    </row>
    <row r="6789" spans="1:15" x14ac:dyDescent="0.3">
      <c r="A6789" t="s">
        <v>15970</v>
      </c>
      <c r="B6789" t="s">
        <v>15971</v>
      </c>
      <c r="C6789" t="s">
        <v>37</v>
      </c>
      <c r="D6789" t="s">
        <v>77</v>
      </c>
      <c r="E6789" t="s">
        <v>45</v>
      </c>
      <c r="F6789" t="s">
        <v>46</v>
      </c>
      <c r="G6789">
        <v>6.12</v>
      </c>
      <c r="H6789" t="s">
        <v>41</v>
      </c>
      <c r="I6789" t="s">
        <v>42</v>
      </c>
      <c r="M6789">
        <f>VLOOKUP(H6789,'Stage Order'!$A$2:$B$8,2,FALSE)</f>
        <v>2</v>
      </c>
      <c r="N6789" t="str">
        <f t="shared" si="212"/>
        <v>2. 1-24 hours</v>
      </c>
      <c r="O6789" t="str">
        <f t="shared" si="213"/>
        <v>2025-02</v>
      </c>
    </row>
    <row r="6790" spans="1:15" x14ac:dyDescent="0.3">
      <c r="A6790" t="s">
        <v>15972</v>
      </c>
      <c r="B6790" t="s">
        <v>15973</v>
      </c>
      <c r="C6790" t="s">
        <v>81</v>
      </c>
      <c r="D6790" t="s">
        <v>97</v>
      </c>
      <c r="E6790" t="s">
        <v>59</v>
      </c>
      <c r="F6790" t="s">
        <v>117</v>
      </c>
      <c r="G6790">
        <v>7.25</v>
      </c>
      <c r="H6790" t="s">
        <v>128</v>
      </c>
      <c r="I6790" t="s">
        <v>42</v>
      </c>
      <c r="M6790">
        <f>VLOOKUP(H6790,'Stage Order'!$A$2:$B$8,2,FALSE)</f>
        <v>3</v>
      </c>
      <c r="N6790" t="str">
        <f t="shared" si="212"/>
        <v>2. 1-24 hours</v>
      </c>
      <c r="O6790" t="str">
        <f t="shared" si="213"/>
        <v>2025-07</v>
      </c>
    </row>
    <row r="6791" spans="1:15" x14ac:dyDescent="0.3">
      <c r="A6791" t="s">
        <v>15974</v>
      </c>
      <c r="B6791" t="s">
        <v>15975</v>
      </c>
      <c r="C6791" t="s">
        <v>58</v>
      </c>
      <c r="D6791" t="s">
        <v>54</v>
      </c>
      <c r="E6791" t="s">
        <v>39</v>
      </c>
      <c r="F6791" t="s">
        <v>66</v>
      </c>
      <c r="G6791">
        <v>1.37</v>
      </c>
      <c r="H6791" t="s">
        <v>41</v>
      </c>
      <c r="I6791" t="s">
        <v>42</v>
      </c>
      <c r="M6791">
        <f>VLOOKUP(H6791,'Stage Order'!$A$2:$B$8,2,FALSE)</f>
        <v>2</v>
      </c>
      <c r="N6791" t="str">
        <f t="shared" si="212"/>
        <v>2. 1-24 hours</v>
      </c>
      <c r="O6791" t="str">
        <f t="shared" si="213"/>
        <v>2026-01</v>
      </c>
    </row>
    <row r="6792" spans="1:15" x14ac:dyDescent="0.3">
      <c r="A6792" t="s">
        <v>15976</v>
      </c>
      <c r="B6792" t="s">
        <v>15977</v>
      </c>
      <c r="C6792" t="s">
        <v>125</v>
      </c>
      <c r="D6792" t="s">
        <v>29</v>
      </c>
      <c r="E6792" t="s">
        <v>90</v>
      </c>
      <c r="F6792" t="s">
        <v>145</v>
      </c>
      <c r="G6792">
        <v>1.83</v>
      </c>
      <c r="H6792" t="s">
        <v>41</v>
      </c>
      <c r="I6792" t="s">
        <v>42</v>
      </c>
      <c r="M6792">
        <f>VLOOKUP(H6792,'Stage Order'!$A$2:$B$8,2,FALSE)</f>
        <v>2</v>
      </c>
      <c r="N6792" t="str">
        <f t="shared" si="212"/>
        <v>2. 1-24 hours</v>
      </c>
      <c r="O6792" t="str">
        <f t="shared" si="213"/>
        <v>2025-03</v>
      </c>
    </row>
    <row r="6793" spans="1:15" x14ac:dyDescent="0.3">
      <c r="A6793" t="s">
        <v>15978</v>
      </c>
      <c r="B6793" t="s">
        <v>15979</v>
      </c>
      <c r="C6793" t="s">
        <v>37</v>
      </c>
      <c r="D6793" t="s">
        <v>97</v>
      </c>
      <c r="E6793" t="s">
        <v>45</v>
      </c>
      <c r="F6793" t="s">
        <v>55</v>
      </c>
      <c r="G6793">
        <v>3.44</v>
      </c>
      <c r="H6793" t="s">
        <v>41</v>
      </c>
      <c r="I6793" t="s">
        <v>42</v>
      </c>
      <c r="M6793">
        <f>VLOOKUP(H6793,'Stage Order'!$A$2:$B$8,2,FALSE)</f>
        <v>2</v>
      </c>
      <c r="N6793" t="str">
        <f t="shared" si="212"/>
        <v>2. 1-24 hours</v>
      </c>
      <c r="O6793" t="str">
        <f t="shared" si="213"/>
        <v>2025-09</v>
      </c>
    </row>
    <row r="6794" spans="1:15" x14ac:dyDescent="0.3">
      <c r="A6794" t="s">
        <v>15980</v>
      </c>
      <c r="B6794" t="s">
        <v>15981</v>
      </c>
      <c r="C6794" t="s">
        <v>58</v>
      </c>
      <c r="D6794" t="s">
        <v>29</v>
      </c>
      <c r="E6794" t="s">
        <v>45</v>
      </c>
      <c r="F6794" t="s">
        <v>46</v>
      </c>
      <c r="G6794">
        <v>4.76</v>
      </c>
      <c r="H6794" t="s">
        <v>138</v>
      </c>
      <c r="I6794" t="s">
        <v>48</v>
      </c>
      <c r="J6794" t="s">
        <v>113</v>
      </c>
      <c r="K6794">
        <v>685.71</v>
      </c>
      <c r="L6794" t="s">
        <v>15982</v>
      </c>
      <c r="M6794">
        <f>VLOOKUP(H6794,'Stage Order'!$A$2:$B$8,2,FALSE)</f>
        <v>6</v>
      </c>
      <c r="N6794" t="str">
        <f t="shared" si="212"/>
        <v>2. 1-24 hours</v>
      </c>
      <c r="O6794" t="str">
        <f t="shared" si="213"/>
        <v>2025-12</v>
      </c>
    </row>
    <row r="6795" spans="1:15" x14ac:dyDescent="0.3">
      <c r="A6795" t="s">
        <v>15983</v>
      </c>
      <c r="B6795" t="s">
        <v>15984</v>
      </c>
      <c r="C6795" t="s">
        <v>125</v>
      </c>
      <c r="D6795" t="s">
        <v>29</v>
      </c>
      <c r="E6795" t="s">
        <v>30</v>
      </c>
      <c r="F6795" t="s">
        <v>31</v>
      </c>
      <c r="G6795">
        <v>1.1499999999999999</v>
      </c>
      <c r="H6795" t="s">
        <v>146</v>
      </c>
      <c r="I6795" t="s">
        <v>48</v>
      </c>
      <c r="J6795" t="s">
        <v>98</v>
      </c>
      <c r="K6795">
        <v>603.87</v>
      </c>
      <c r="L6795" t="s">
        <v>15985</v>
      </c>
      <c r="M6795">
        <f>VLOOKUP(H6795,'Stage Order'!$A$2:$B$8,2,FALSE)</f>
        <v>5</v>
      </c>
      <c r="N6795" t="str">
        <f t="shared" si="212"/>
        <v>2. 1-24 hours</v>
      </c>
      <c r="O6795" t="str">
        <f t="shared" si="213"/>
        <v>2025-03</v>
      </c>
    </row>
    <row r="6796" spans="1:15" x14ac:dyDescent="0.3">
      <c r="A6796" t="s">
        <v>15986</v>
      </c>
      <c r="B6796" t="s">
        <v>15987</v>
      </c>
      <c r="C6796" t="s">
        <v>81</v>
      </c>
      <c r="D6796" t="s">
        <v>77</v>
      </c>
      <c r="E6796" t="s">
        <v>39</v>
      </c>
      <c r="F6796" t="s">
        <v>106</v>
      </c>
      <c r="G6796">
        <v>0.7</v>
      </c>
      <c r="H6796" t="s">
        <v>41</v>
      </c>
      <c r="I6796" t="s">
        <v>42</v>
      </c>
      <c r="M6796">
        <f>VLOOKUP(H6796,'Stage Order'!$A$2:$B$8,2,FALSE)</f>
        <v>2</v>
      </c>
      <c r="N6796" t="str">
        <f t="shared" si="212"/>
        <v>1. Under 1 hour</v>
      </c>
      <c r="O6796" t="str">
        <f t="shared" si="213"/>
        <v>2025-03</v>
      </c>
    </row>
    <row r="6797" spans="1:15" x14ac:dyDescent="0.3">
      <c r="A6797" t="s">
        <v>15988</v>
      </c>
      <c r="B6797" t="s">
        <v>15989</v>
      </c>
      <c r="C6797" t="s">
        <v>58</v>
      </c>
      <c r="D6797" t="s">
        <v>97</v>
      </c>
      <c r="E6797" t="s">
        <v>39</v>
      </c>
      <c r="F6797" t="s">
        <v>106</v>
      </c>
      <c r="G6797">
        <v>2.89</v>
      </c>
      <c r="H6797" t="s">
        <v>41</v>
      </c>
      <c r="I6797" t="s">
        <v>42</v>
      </c>
      <c r="M6797">
        <f>VLOOKUP(H6797,'Stage Order'!$A$2:$B$8,2,FALSE)</f>
        <v>2</v>
      </c>
      <c r="N6797" t="str">
        <f t="shared" si="212"/>
        <v>2. 1-24 hours</v>
      </c>
      <c r="O6797" t="str">
        <f t="shared" si="213"/>
        <v>2026-04</v>
      </c>
    </row>
    <row r="6798" spans="1:15" x14ac:dyDescent="0.3">
      <c r="A6798" t="s">
        <v>15990</v>
      </c>
      <c r="B6798" t="s">
        <v>15991</v>
      </c>
      <c r="C6798" t="s">
        <v>76</v>
      </c>
      <c r="D6798" t="s">
        <v>97</v>
      </c>
      <c r="E6798" t="s">
        <v>59</v>
      </c>
      <c r="F6798" t="s">
        <v>117</v>
      </c>
      <c r="G6798">
        <v>7.09</v>
      </c>
      <c r="H6798" t="s">
        <v>41</v>
      </c>
      <c r="I6798" t="s">
        <v>42</v>
      </c>
      <c r="M6798">
        <f>VLOOKUP(H6798,'Stage Order'!$A$2:$B$8,2,FALSE)</f>
        <v>2</v>
      </c>
      <c r="N6798" t="str">
        <f t="shared" si="212"/>
        <v>2. 1-24 hours</v>
      </c>
      <c r="O6798" t="str">
        <f t="shared" si="213"/>
        <v>2026-02</v>
      </c>
    </row>
    <row r="6799" spans="1:15" x14ac:dyDescent="0.3">
      <c r="A6799" t="s">
        <v>15992</v>
      </c>
      <c r="B6799" t="s">
        <v>15993</v>
      </c>
      <c r="C6799" t="s">
        <v>37</v>
      </c>
      <c r="D6799" t="s">
        <v>54</v>
      </c>
      <c r="E6799" t="s">
        <v>39</v>
      </c>
      <c r="F6799" t="s">
        <v>106</v>
      </c>
      <c r="G6799">
        <v>3.88</v>
      </c>
      <c r="H6799" t="s">
        <v>138</v>
      </c>
      <c r="I6799" t="s">
        <v>48</v>
      </c>
      <c r="J6799" t="s">
        <v>139</v>
      </c>
      <c r="K6799">
        <v>422.53</v>
      </c>
      <c r="L6799" t="s">
        <v>15994</v>
      </c>
      <c r="M6799">
        <f>VLOOKUP(H6799,'Stage Order'!$A$2:$B$8,2,FALSE)</f>
        <v>6</v>
      </c>
      <c r="N6799" t="str">
        <f t="shared" si="212"/>
        <v>2. 1-24 hours</v>
      </c>
      <c r="O6799" t="str">
        <f t="shared" si="213"/>
        <v>2026-01</v>
      </c>
    </row>
    <row r="6800" spans="1:15" x14ac:dyDescent="0.3">
      <c r="A6800" t="s">
        <v>15995</v>
      </c>
      <c r="B6800" t="s">
        <v>15996</v>
      </c>
      <c r="C6800" t="s">
        <v>58</v>
      </c>
      <c r="D6800" t="s">
        <v>77</v>
      </c>
      <c r="E6800" t="s">
        <v>39</v>
      </c>
      <c r="F6800" t="s">
        <v>106</v>
      </c>
      <c r="G6800">
        <v>1.35</v>
      </c>
      <c r="H6800" t="s">
        <v>41</v>
      </c>
      <c r="I6800" t="s">
        <v>42</v>
      </c>
      <c r="M6800">
        <f>VLOOKUP(H6800,'Stage Order'!$A$2:$B$8,2,FALSE)</f>
        <v>2</v>
      </c>
      <c r="N6800" t="str">
        <f t="shared" si="212"/>
        <v>2. 1-24 hours</v>
      </c>
      <c r="O6800" t="str">
        <f t="shared" si="213"/>
        <v>2025-06</v>
      </c>
    </row>
    <row r="6801" spans="1:15" x14ac:dyDescent="0.3">
      <c r="A6801" t="s">
        <v>15997</v>
      </c>
      <c r="B6801" t="s">
        <v>15998</v>
      </c>
      <c r="C6801" t="s">
        <v>81</v>
      </c>
      <c r="D6801" t="s">
        <v>38</v>
      </c>
      <c r="E6801" t="s">
        <v>39</v>
      </c>
      <c r="F6801" t="s">
        <v>40</v>
      </c>
      <c r="G6801">
        <v>3.04</v>
      </c>
      <c r="H6801" t="s">
        <v>41</v>
      </c>
      <c r="I6801" t="s">
        <v>42</v>
      </c>
      <c r="M6801">
        <f>VLOOKUP(H6801,'Stage Order'!$A$2:$B$8,2,FALSE)</f>
        <v>2</v>
      </c>
      <c r="N6801" t="str">
        <f t="shared" si="212"/>
        <v>2. 1-24 hours</v>
      </c>
      <c r="O6801" t="str">
        <f t="shared" si="213"/>
        <v>2025-04</v>
      </c>
    </row>
    <row r="6802" spans="1:15" x14ac:dyDescent="0.3">
      <c r="A6802" t="s">
        <v>15999</v>
      </c>
      <c r="B6802" t="s">
        <v>3158</v>
      </c>
      <c r="C6802" t="s">
        <v>58</v>
      </c>
      <c r="D6802" t="s">
        <v>29</v>
      </c>
      <c r="E6802" t="s">
        <v>39</v>
      </c>
      <c r="F6802" t="s">
        <v>66</v>
      </c>
      <c r="G6802">
        <v>0.81</v>
      </c>
      <c r="H6802" t="s">
        <v>32</v>
      </c>
      <c r="I6802" t="s">
        <v>33</v>
      </c>
      <c r="K6802">
        <v>619.21</v>
      </c>
      <c r="L6802" t="s">
        <v>16000</v>
      </c>
      <c r="M6802">
        <f>VLOOKUP(H6802,'Stage Order'!$A$2:$B$8,2,FALSE)</f>
        <v>7</v>
      </c>
      <c r="N6802" t="str">
        <f t="shared" si="212"/>
        <v>1. Under 1 hour</v>
      </c>
      <c r="O6802" t="str">
        <f t="shared" si="213"/>
        <v>2025-06</v>
      </c>
    </row>
    <row r="6803" spans="1:15" x14ac:dyDescent="0.3">
      <c r="A6803" t="s">
        <v>16001</v>
      </c>
      <c r="B6803" t="s">
        <v>16002</v>
      </c>
      <c r="C6803" t="s">
        <v>37</v>
      </c>
      <c r="D6803" t="s">
        <v>77</v>
      </c>
      <c r="E6803" t="s">
        <v>30</v>
      </c>
      <c r="F6803" t="s">
        <v>82</v>
      </c>
      <c r="G6803">
        <v>9.0399999999999991</v>
      </c>
      <c r="H6803" t="s">
        <v>61</v>
      </c>
      <c r="I6803" t="s">
        <v>42</v>
      </c>
      <c r="M6803">
        <f>VLOOKUP(H6803,'Stage Order'!$A$2:$B$8,2,FALSE)</f>
        <v>1</v>
      </c>
      <c r="N6803" t="str">
        <f t="shared" si="212"/>
        <v>2. 1-24 hours</v>
      </c>
      <c r="O6803" t="str">
        <f t="shared" si="213"/>
        <v>2025-03</v>
      </c>
    </row>
    <row r="6804" spans="1:15" x14ac:dyDescent="0.3">
      <c r="A6804" t="s">
        <v>16003</v>
      </c>
      <c r="B6804" t="s">
        <v>16004</v>
      </c>
      <c r="C6804" t="s">
        <v>81</v>
      </c>
      <c r="D6804" t="s">
        <v>54</v>
      </c>
      <c r="E6804" t="s">
        <v>30</v>
      </c>
      <c r="F6804" t="s">
        <v>78</v>
      </c>
      <c r="G6804">
        <v>1.48</v>
      </c>
      <c r="H6804" t="s">
        <v>61</v>
      </c>
      <c r="I6804" t="s">
        <v>42</v>
      </c>
      <c r="M6804">
        <f>VLOOKUP(H6804,'Stage Order'!$A$2:$B$8,2,FALSE)</f>
        <v>1</v>
      </c>
      <c r="N6804" t="str">
        <f t="shared" si="212"/>
        <v>2. 1-24 hours</v>
      </c>
      <c r="O6804" t="str">
        <f t="shared" si="213"/>
        <v>2026-02</v>
      </c>
    </row>
    <row r="6805" spans="1:15" x14ac:dyDescent="0.3">
      <c r="A6805" t="s">
        <v>16005</v>
      </c>
      <c r="B6805" t="s">
        <v>16006</v>
      </c>
      <c r="C6805" t="s">
        <v>58</v>
      </c>
      <c r="D6805" t="s">
        <v>77</v>
      </c>
      <c r="E6805" t="s">
        <v>30</v>
      </c>
      <c r="F6805" t="s">
        <v>31</v>
      </c>
      <c r="G6805">
        <v>5.84</v>
      </c>
      <c r="H6805" t="s">
        <v>41</v>
      </c>
      <c r="I6805" t="s">
        <v>42</v>
      </c>
      <c r="M6805">
        <f>VLOOKUP(H6805,'Stage Order'!$A$2:$B$8,2,FALSE)</f>
        <v>2</v>
      </c>
      <c r="N6805" t="str">
        <f t="shared" si="212"/>
        <v>2. 1-24 hours</v>
      </c>
      <c r="O6805" t="str">
        <f t="shared" si="213"/>
        <v>2025-05</v>
      </c>
    </row>
    <row r="6806" spans="1:15" x14ac:dyDescent="0.3">
      <c r="A6806" t="s">
        <v>16007</v>
      </c>
      <c r="B6806" t="s">
        <v>16008</v>
      </c>
      <c r="C6806" t="s">
        <v>53</v>
      </c>
      <c r="D6806" t="s">
        <v>38</v>
      </c>
      <c r="E6806" t="s">
        <v>30</v>
      </c>
      <c r="F6806" t="s">
        <v>82</v>
      </c>
      <c r="G6806">
        <v>3.62</v>
      </c>
      <c r="H6806" t="s">
        <v>32</v>
      </c>
      <c r="I6806" t="s">
        <v>33</v>
      </c>
      <c r="K6806">
        <v>289.07</v>
      </c>
      <c r="L6806" t="s">
        <v>16009</v>
      </c>
      <c r="M6806">
        <f>VLOOKUP(H6806,'Stage Order'!$A$2:$B$8,2,FALSE)</f>
        <v>7</v>
      </c>
      <c r="N6806" t="str">
        <f t="shared" si="212"/>
        <v>2. 1-24 hours</v>
      </c>
      <c r="O6806" t="str">
        <f t="shared" si="213"/>
        <v>2025-06</v>
      </c>
    </row>
    <row r="6807" spans="1:15" x14ac:dyDescent="0.3">
      <c r="A6807" t="s">
        <v>16010</v>
      </c>
      <c r="B6807" t="s">
        <v>16011</v>
      </c>
      <c r="C6807" t="s">
        <v>76</v>
      </c>
      <c r="D6807" t="s">
        <v>77</v>
      </c>
      <c r="E6807" t="s">
        <v>90</v>
      </c>
      <c r="F6807" t="s">
        <v>91</v>
      </c>
      <c r="G6807">
        <v>1.47</v>
      </c>
      <c r="H6807" t="s">
        <v>41</v>
      </c>
      <c r="I6807" t="s">
        <v>42</v>
      </c>
      <c r="M6807">
        <f>VLOOKUP(H6807,'Stage Order'!$A$2:$B$8,2,FALSE)</f>
        <v>2</v>
      </c>
      <c r="N6807" t="str">
        <f t="shared" si="212"/>
        <v>2. 1-24 hours</v>
      </c>
      <c r="O6807" t="str">
        <f t="shared" si="213"/>
        <v>2025-10</v>
      </c>
    </row>
    <row r="6808" spans="1:15" x14ac:dyDescent="0.3">
      <c r="A6808" t="s">
        <v>16012</v>
      </c>
      <c r="B6808" t="s">
        <v>16013</v>
      </c>
      <c r="C6808" t="s">
        <v>58</v>
      </c>
      <c r="D6808" t="s">
        <v>77</v>
      </c>
      <c r="E6808" t="s">
        <v>90</v>
      </c>
      <c r="F6808" t="s">
        <v>145</v>
      </c>
      <c r="G6808">
        <v>1.72</v>
      </c>
      <c r="H6808" t="s">
        <v>61</v>
      </c>
      <c r="I6808" t="s">
        <v>42</v>
      </c>
      <c r="M6808">
        <f>VLOOKUP(H6808,'Stage Order'!$A$2:$B$8,2,FALSE)</f>
        <v>1</v>
      </c>
      <c r="N6808" t="str">
        <f t="shared" si="212"/>
        <v>2. 1-24 hours</v>
      </c>
      <c r="O6808" t="str">
        <f t="shared" si="213"/>
        <v>2025-03</v>
      </c>
    </row>
    <row r="6809" spans="1:15" x14ac:dyDescent="0.3">
      <c r="A6809" t="s">
        <v>16014</v>
      </c>
      <c r="B6809" t="s">
        <v>16015</v>
      </c>
      <c r="C6809" t="s">
        <v>125</v>
      </c>
      <c r="D6809" t="s">
        <v>77</v>
      </c>
      <c r="E6809" t="s">
        <v>90</v>
      </c>
      <c r="F6809" t="s">
        <v>145</v>
      </c>
      <c r="G6809">
        <v>1.28</v>
      </c>
      <c r="H6809" t="s">
        <v>41</v>
      </c>
      <c r="I6809" t="s">
        <v>42</v>
      </c>
      <c r="M6809">
        <f>VLOOKUP(H6809,'Stage Order'!$A$2:$B$8,2,FALSE)</f>
        <v>2</v>
      </c>
      <c r="N6809" t="str">
        <f t="shared" si="212"/>
        <v>2. 1-24 hours</v>
      </c>
      <c r="O6809" t="str">
        <f t="shared" si="213"/>
        <v>2026-01</v>
      </c>
    </row>
    <row r="6810" spans="1:15" x14ac:dyDescent="0.3">
      <c r="A6810" t="s">
        <v>16016</v>
      </c>
      <c r="B6810" t="s">
        <v>16017</v>
      </c>
      <c r="C6810" t="s">
        <v>28</v>
      </c>
      <c r="D6810" t="s">
        <v>38</v>
      </c>
      <c r="E6810" t="s">
        <v>45</v>
      </c>
      <c r="F6810" t="s">
        <v>46</v>
      </c>
      <c r="G6810">
        <v>4.8099999999999996</v>
      </c>
      <c r="H6810" t="s">
        <v>32</v>
      </c>
      <c r="I6810" t="s">
        <v>33</v>
      </c>
      <c r="K6810">
        <v>378.52</v>
      </c>
      <c r="L6810" t="s">
        <v>16018</v>
      </c>
      <c r="M6810">
        <f>VLOOKUP(H6810,'Stage Order'!$A$2:$B$8,2,FALSE)</f>
        <v>7</v>
      </c>
      <c r="N6810" t="str">
        <f t="shared" si="212"/>
        <v>2. 1-24 hours</v>
      </c>
      <c r="O6810" t="str">
        <f t="shared" si="213"/>
        <v>2025-03</v>
      </c>
    </row>
    <row r="6811" spans="1:15" x14ac:dyDescent="0.3">
      <c r="A6811" t="s">
        <v>16019</v>
      </c>
      <c r="B6811" t="s">
        <v>16020</v>
      </c>
      <c r="C6811" t="s">
        <v>125</v>
      </c>
      <c r="D6811" t="s">
        <v>29</v>
      </c>
      <c r="E6811" t="s">
        <v>45</v>
      </c>
      <c r="F6811" t="s">
        <v>94</v>
      </c>
      <c r="G6811">
        <v>13.55</v>
      </c>
      <c r="H6811" t="s">
        <v>41</v>
      </c>
      <c r="I6811" t="s">
        <v>42</v>
      </c>
      <c r="M6811">
        <f>VLOOKUP(H6811,'Stage Order'!$A$2:$B$8,2,FALSE)</f>
        <v>2</v>
      </c>
      <c r="N6811" t="str">
        <f t="shared" si="212"/>
        <v>2. 1-24 hours</v>
      </c>
      <c r="O6811" t="str">
        <f t="shared" si="213"/>
        <v>2025-09</v>
      </c>
    </row>
    <row r="6812" spans="1:15" x14ac:dyDescent="0.3">
      <c r="A6812" t="s">
        <v>16021</v>
      </c>
      <c r="B6812" t="s">
        <v>16022</v>
      </c>
      <c r="C6812" t="s">
        <v>53</v>
      </c>
      <c r="D6812" t="s">
        <v>54</v>
      </c>
      <c r="E6812" t="s">
        <v>90</v>
      </c>
      <c r="F6812" t="s">
        <v>112</v>
      </c>
      <c r="G6812">
        <v>13.08</v>
      </c>
      <c r="H6812" t="s">
        <v>41</v>
      </c>
      <c r="I6812" t="s">
        <v>42</v>
      </c>
      <c r="M6812">
        <f>VLOOKUP(H6812,'Stage Order'!$A$2:$B$8,2,FALSE)</f>
        <v>2</v>
      </c>
      <c r="N6812" t="str">
        <f t="shared" si="212"/>
        <v>2. 1-24 hours</v>
      </c>
      <c r="O6812" t="str">
        <f t="shared" si="213"/>
        <v>2026-03</v>
      </c>
    </row>
    <row r="6813" spans="1:15" x14ac:dyDescent="0.3">
      <c r="A6813" t="s">
        <v>16023</v>
      </c>
      <c r="B6813" t="s">
        <v>16024</v>
      </c>
      <c r="C6813" t="s">
        <v>58</v>
      </c>
      <c r="D6813" t="s">
        <v>97</v>
      </c>
      <c r="E6813" t="s">
        <v>45</v>
      </c>
      <c r="F6813" t="s">
        <v>94</v>
      </c>
      <c r="G6813">
        <v>1.68</v>
      </c>
      <c r="H6813" t="s">
        <v>41</v>
      </c>
      <c r="I6813" t="s">
        <v>42</v>
      </c>
      <c r="M6813">
        <f>VLOOKUP(H6813,'Stage Order'!$A$2:$B$8,2,FALSE)</f>
        <v>2</v>
      </c>
      <c r="N6813" t="str">
        <f t="shared" si="212"/>
        <v>2. 1-24 hours</v>
      </c>
      <c r="O6813" t="str">
        <f t="shared" si="213"/>
        <v>2025-04</v>
      </c>
    </row>
    <row r="6814" spans="1:15" x14ac:dyDescent="0.3">
      <c r="A6814" t="s">
        <v>16025</v>
      </c>
      <c r="B6814" t="s">
        <v>16026</v>
      </c>
      <c r="C6814" t="s">
        <v>37</v>
      </c>
      <c r="D6814" t="s">
        <v>77</v>
      </c>
      <c r="E6814" t="s">
        <v>90</v>
      </c>
      <c r="F6814" t="s">
        <v>145</v>
      </c>
      <c r="G6814">
        <v>54.25</v>
      </c>
      <c r="H6814" t="s">
        <v>41</v>
      </c>
      <c r="I6814" t="s">
        <v>42</v>
      </c>
      <c r="M6814">
        <f>VLOOKUP(H6814,'Stage Order'!$A$2:$B$8,2,FALSE)</f>
        <v>2</v>
      </c>
      <c r="N6814" t="str">
        <f t="shared" si="212"/>
        <v>3. 1-3 days</v>
      </c>
      <c r="O6814" t="str">
        <f t="shared" si="213"/>
        <v>2025-04</v>
      </c>
    </row>
    <row r="6815" spans="1:15" x14ac:dyDescent="0.3">
      <c r="A6815" t="s">
        <v>16027</v>
      </c>
      <c r="B6815" t="s">
        <v>16028</v>
      </c>
      <c r="C6815" t="s">
        <v>81</v>
      </c>
      <c r="D6815" t="s">
        <v>29</v>
      </c>
      <c r="E6815" t="s">
        <v>39</v>
      </c>
      <c r="F6815" t="s">
        <v>106</v>
      </c>
      <c r="G6815">
        <v>3.25</v>
      </c>
      <c r="H6815" t="s">
        <v>41</v>
      </c>
      <c r="I6815" t="s">
        <v>42</v>
      </c>
      <c r="M6815">
        <f>VLOOKUP(H6815,'Stage Order'!$A$2:$B$8,2,FALSE)</f>
        <v>2</v>
      </c>
      <c r="N6815" t="str">
        <f t="shared" si="212"/>
        <v>2. 1-24 hours</v>
      </c>
      <c r="O6815" t="str">
        <f t="shared" si="213"/>
        <v>2026-02</v>
      </c>
    </row>
    <row r="6816" spans="1:15" x14ac:dyDescent="0.3">
      <c r="A6816" t="s">
        <v>16029</v>
      </c>
      <c r="B6816" t="s">
        <v>16030</v>
      </c>
      <c r="C6816" t="s">
        <v>37</v>
      </c>
      <c r="D6816" t="s">
        <v>77</v>
      </c>
      <c r="E6816" t="s">
        <v>45</v>
      </c>
      <c r="F6816" t="s">
        <v>94</v>
      </c>
      <c r="G6816">
        <v>12.01</v>
      </c>
      <c r="H6816" t="s">
        <v>32</v>
      </c>
      <c r="I6816" t="s">
        <v>33</v>
      </c>
      <c r="K6816">
        <v>1095.1199999999999</v>
      </c>
      <c r="L6816" t="s">
        <v>16031</v>
      </c>
      <c r="M6816">
        <f>VLOOKUP(H6816,'Stage Order'!$A$2:$B$8,2,FALSE)</f>
        <v>7</v>
      </c>
      <c r="N6816" t="str">
        <f t="shared" si="212"/>
        <v>2. 1-24 hours</v>
      </c>
      <c r="O6816" t="str">
        <f t="shared" si="213"/>
        <v>2025-11</v>
      </c>
    </row>
    <row r="6817" spans="1:15" x14ac:dyDescent="0.3">
      <c r="A6817" t="s">
        <v>16032</v>
      </c>
      <c r="B6817" t="s">
        <v>16033</v>
      </c>
      <c r="C6817" t="s">
        <v>37</v>
      </c>
      <c r="D6817" t="s">
        <v>29</v>
      </c>
      <c r="E6817" t="s">
        <v>45</v>
      </c>
      <c r="F6817" t="s">
        <v>94</v>
      </c>
      <c r="G6817">
        <v>1.65</v>
      </c>
      <c r="H6817" t="s">
        <v>32</v>
      </c>
      <c r="I6817" t="s">
        <v>33</v>
      </c>
      <c r="K6817">
        <v>725.73</v>
      </c>
      <c r="L6817" t="s">
        <v>16034</v>
      </c>
      <c r="M6817">
        <f>VLOOKUP(H6817,'Stage Order'!$A$2:$B$8,2,FALSE)</f>
        <v>7</v>
      </c>
      <c r="N6817" t="str">
        <f t="shared" si="212"/>
        <v>2. 1-24 hours</v>
      </c>
      <c r="O6817" t="str">
        <f t="shared" si="213"/>
        <v>2026-06</v>
      </c>
    </row>
    <row r="6818" spans="1:15" x14ac:dyDescent="0.3">
      <c r="A6818" t="s">
        <v>16035</v>
      </c>
      <c r="B6818" t="s">
        <v>16036</v>
      </c>
      <c r="C6818" t="s">
        <v>53</v>
      </c>
      <c r="D6818" t="s">
        <v>77</v>
      </c>
      <c r="E6818" t="s">
        <v>45</v>
      </c>
      <c r="F6818" t="s">
        <v>46</v>
      </c>
      <c r="G6818">
        <v>1.6</v>
      </c>
      <c r="H6818" t="s">
        <v>138</v>
      </c>
      <c r="I6818" t="s">
        <v>48</v>
      </c>
      <c r="J6818" t="s">
        <v>113</v>
      </c>
      <c r="K6818">
        <v>1099.54</v>
      </c>
      <c r="L6818" t="s">
        <v>16037</v>
      </c>
      <c r="M6818">
        <f>VLOOKUP(H6818,'Stage Order'!$A$2:$B$8,2,FALSE)</f>
        <v>6</v>
      </c>
      <c r="N6818" t="str">
        <f t="shared" si="212"/>
        <v>2. 1-24 hours</v>
      </c>
      <c r="O6818" t="str">
        <f t="shared" si="213"/>
        <v>2025-10</v>
      </c>
    </row>
    <row r="6819" spans="1:15" x14ac:dyDescent="0.3">
      <c r="A6819" t="s">
        <v>16038</v>
      </c>
      <c r="B6819" t="s">
        <v>16039</v>
      </c>
      <c r="C6819" t="s">
        <v>76</v>
      </c>
      <c r="D6819" t="s">
        <v>54</v>
      </c>
      <c r="E6819" t="s">
        <v>30</v>
      </c>
      <c r="F6819" t="s">
        <v>82</v>
      </c>
      <c r="G6819">
        <v>0.99</v>
      </c>
      <c r="H6819" t="s">
        <v>41</v>
      </c>
      <c r="I6819" t="s">
        <v>42</v>
      </c>
      <c r="M6819">
        <f>VLOOKUP(H6819,'Stage Order'!$A$2:$B$8,2,FALSE)</f>
        <v>2</v>
      </c>
      <c r="N6819" t="str">
        <f t="shared" si="212"/>
        <v>1. Under 1 hour</v>
      </c>
      <c r="O6819" t="str">
        <f t="shared" si="213"/>
        <v>2025-06</v>
      </c>
    </row>
    <row r="6820" spans="1:15" x14ac:dyDescent="0.3">
      <c r="A6820" t="s">
        <v>16040</v>
      </c>
      <c r="B6820" t="s">
        <v>16041</v>
      </c>
      <c r="C6820" t="s">
        <v>58</v>
      </c>
      <c r="D6820" t="s">
        <v>38</v>
      </c>
      <c r="E6820" t="s">
        <v>59</v>
      </c>
      <c r="F6820" t="s">
        <v>117</v>
      </c>
      <c r="G6820">
        <v>1.1000000000000001</v>
      </c>
      <c r="H6820" t="s">
        <v>41</v>
      </c>
      <c r="I6820" t="s">
        <v>42</v>
      </c>
      <c r="M6820">
        <f>VLOOKUP(H6820,'Stage Order'!$A$2:$B$8,2,FALSE)</f>
        <v>2</v>
      </c>
      <c r="N6820" t="str">
        <f t="shared" si="212"/>
        <v>2. 1-24 hours</v>
      </c>
      <c r="O6820" t="str">
        <f t="shared" si="213"/>
        <v>2025-01</v>
      </c>
    </row>
    <row r="6821" spans="1:15" x14ac:dyDescent="0.3">
      <c r="A6821" t="s">
        <v>16042</v>
      </c>
      <c r="B6821" t="s">
        <v>16043</v>
      </c>
      <c r="C6821" t="s">
        <v>53</v>
      </c>
      <c r="D6821" t="s">
        <v>97</v>
      </c>
      <c r="E6821" t="s">
        <v>59</v>
      </c>
      <c r="F6821" t="s">
        <v>117</v>
      </c>
      <c r="G6821">
        <v>3.92</v>
      </c>
      <c r="H6821" t="s">
        <v>138</v>
      </c>
      <c r="I6821" t="s">
        <v>48</v>
      </c>
      <c r="J6821" t="s">
        <v>98</v>
      </c>
      <c r="K6821">
        <v>1568.25</v>
      </c>
      <c r="L6821" t="s">
        <v>16044</v>
      </c>
      <c r="M6821">
        <f>VLOOKUP(H6821,'Stage Order'!$A$2:$B$8,2,FALSE)</f>
        <v>6</v>
      </c>
      <c r="N6821" t="str">
        <f t="shared" si="212"/>
        <v>2. 1-24 hours</v>
      </c>
      <c r="O6821" t="str">
        <f t="shared" si="213"/>
        <v>2025-01</v>
      </c>
    </row>
    <row r="6822" spans="1:15" x14ac:dyDescent="0.3">
      <c r="A6822" t="s">
        <v>16045</v>
      </c>
      <c r="B6822" t="s">
        <v>16046</v>
      </c>
      <c r="C6822" t="s">
        <v>125</v>
      </c>
      <c r="D6822" t="s">
        <v>77</v>
      </c>
      <c r="E6822" t="s">
        <v>45</v>
      </c>
      <c r="F6822" t="s">
        <v>55</v>
      </c>
      <c r="G6822">
        <v>3.47</v>
      </c>
      <c r="H6822" t="s">
        <v>41</v>
      </c>
      <c r="I6822" t="s">
        <v>42</v>
      </c>
      <c r="M6822">
        <f>VLOOKUP(H6822,'Stage Order'!$A$2:$B$8,2,FALSE)</f>
        <v>2</v>
      </c>
      <c r="N6822" t="str">
        <f t="shared" si="212"/>
        <v>2. 1-24 hours</v>
      </c>
      <c r="O6822" t="str">
        <f t="shared" si="213"/>
        <v>2026-05</v>
      </c>
    </row>
    <row r="6823" spans="1:15" x14ac:dyDescent="0.3">
      <c r="A6823" t="s">
        <v>16047</v>
      </c>
      <c r="B6823" t="s">
        <v>16048</v>
      </c>
      <c r="C6823" t="s">
        <v>58</v>
      </c>
      <c r="D6823" t="s">
        <v>77</v>
      </c>
      <c r="E6823" t="s">
        <v>39</v>
      </c>
      <c r="F6823" t="s">
        <v>66</v>
      </c>
      <c r="G6823">
        <v>0.24</v>
      </c>
      <c r="H6823" t="s">
        <v>61</v>
      </c>
      <c r="I6823" t="s">
        <v>42</v>
      </c>
      <c r="M6823">
        <f>VLOOKUP(H6823,'Stage Order'!$A$2:$B$8,2,FALSE)</f>
        <v>1</v>
      </c>
      <c r="N6823" t="str">
        <f t="shared" si="212"/>
        <v>1. Under 1 hour</v>
      </c>
      <c r="O6823" t="str">
        <f t="shared" si="213"/>
        <v>2026-01</v>
      </c>
    </row>
    <row r="6824" spans="1:15" x14ac:dyDescent="0.3">
      <c r="A6824" t="s">
        <v>16049</v>
      </c>
      <c r="B6824" t="s">
        <v>16050</v>
      </c>
      <c r="C6824" t="s">
        <v>125</v>
      </c>
      <c r="D6824" t="s">
        <v>54</v>
      </c>
      <c r="E6824" t="s">
        <v>59</v>
      </c>
      <c r="F6824" t="s">
        <v>60</v>
      </c>
      <c r="G6824">
        <v>1.01</v>
      </c>
      <c r="H6824" t="s">
        <v>61</v>
      </c>
      <c r="I6824" t="s">
        <v>42</v>
      </c>
      <c r="M6824">
        <f>VLOOKUP(H6824,'Stage Order'!$A$2:$B$8,2,FALSE)</f>
        <v>1</v>
      </c>
      <c r="N6824" t="str">
        <f t="shared" si="212"/>
        <v>2. 1-24 hours</v>
      </c>
      <c r="O6824" t="str">
        <f t="shared" si="213"/>
        <v>2025-06</v>
      </c>
    </row>
    <row r="6825" spans="1:15" x14ac:dyDescent="0.3">
      <c r="A6825" t="s">
        <v>16051</v>
      </c>
      <c r="B6825" t="s">
        <v>16052</v>
      </c>
      <c r="C6825" t="s">
        <v>125</v>
      </c>
      <c r="D6825" t="s">
        <v>29</v>
      </c>
      <c r="E6825" t="s">
        <v>59</v>
      </c>
      <c r="F6825" t="s">
        <v>60</v>
      </c>
      <c r="G6825">
        <v>5.31</v>
      </c>
      <c r="H6825" t="s">
        <v>41</v>
      </c>
      <c r="I6825" t="s">
        <v>42</v>
      </c>
      <c r="M6825">
        <f>VLOOKUP(H6825,'Stage Order'!$A$2:$B$8,2,FALSE)</f>
        <v>2</v>
      </c>
      <c r="N6825" t="str">
        <f t="shared" si="212"/>
        <v>2. 1-24 hours</v>
      </c>
      <c r="O6825" t="str">
        <f t="shared" si="213"/>
        <v>2026-05</v>
      </c>
    </row>
    <row r="6826" spans="1:15" x14ac:dyDescent="0.3">
      <c r="A6826" t="s">
        <v>16053</v>
      </c>
      <c r="B6826" t="s">
        <v>16054</v>
      </c>
      <c r="C6826" t="s">
        <v>37</v>
      </c>
      <c r="D6826" t="s">
        <v>77</v>
      </c>
      <c r="E6826" t="s">
        <v>45</v>
      </c>
      <c r="F6826" t="s">
        <v>94</v>
      </c>
      <c r="G6826">
        <v>1.33</v>
      </c>
      <c r="H6826" t="s">
        <v>146</v>
      </c>
      <c r="I6826" t="s">
        <v>48</v>
      </c>
      <c r="J6826" t="s">
        <v>139</v>
      </c>
      <c r="K6826">
        <v>1054.1500000000001</v>
      </c>
      <c r="L6826" t="s">
        <v>16055</v>
      </c>
      <c r="M6826">
        <f>VLOOKUP(H6826,'Stage Order'!$A$2:$B$8,2,FALSE)</f>
        <v>5</v>
      </c>
      <c r="N6826" t="str">
        <f t="shared" si="212"/>
        <v>2. 1-24 hours</v>
      </c>
      <c r="O6826" t="str">
        <f t="shared" si="213"/>
        <v>2025-11</v>
      </c>
    </row>
    <row r="6827" spans="1:15" x14ac:dyDescent="0.3">
      <c r="A6827" t="s">
        <v>16056</v>
      </c>
      <c r="B6827" t="s">
        <v>16057</v>
      </c>
      <c r="C6827" t="s">
        <v>125</v>
      </c>
      <c r="D6827" t="s">
        <v>29</v>
      </c>
      <c r="E6827" t="s">
        <v>45</v>
      </c>
      <c r="F6827" t="s">
        <v>55</v>
      </c>
      <c r="G6827">
        <v>2.48</v>
      </c>
      <c r="H6827" t="s">
        <v>138</v>
      </c>
      <c r="I6827" t="s">
        <v>48</v>
      </c>
      <c r="J6827" t="s">
        <v>98</v>
      </c>
      <c r="K6827">
        <v>583.59</v>
      </c>
      <c r="L6827" t="s">
        <v>16058</v>
      </c>
      <c r="M6827">
        <f>VLOOKUP(H6827,'Stage Order'!$A$2:$B$8,2,FALSE)</f>
        <v>6</v>
      </c>
      <c r="N6827" t="str">
        <f t="shared" si="212"/>
        <v>2. 1-24 hours</v>
      </c>
      <c r="O6827" t="str">
        <f t="shared" si="213"/>
        <v>2025-06</v>
      </c>
    </row>
    <row r="6828" spans="1:15" x14ac:dyDescent="0.3">
      <c r="A6828" t="s">
        <v>16059</v>
      </c>
      <c r="B6828" t="s">
        <v>16060</v>
      </c>
      <c r="C6828" t="s">
        <v>37</v>
      </c>
      <c r="D6828" t="s">
        <v>54</v>
      </c>
      <c r="E6828" t="s">
        <v>39</v>
      </c>
      <c r="F6828" t="s">
        <v>40</v>
      </c>
      <c r="G6828">
        <v>0.81</v>
      </c>
      <c r="H6828" t="s">
        <v>41</v>
      </c>
      <c r="I6828" t="s">
        <v>42</v>
      </c>
      <c r="M6828">
        <f>VLOOKUP(H6828,'Stage Order'!$A$2:$B$8,2,FALSE)</f>
        <v>2</v>
      </c>
      <c r="N6828" t="str">
        <f t="shared" si="212"/>
        <v>1. Under 1 hour</v>
      </c>
      <c r="O6828" t="str">
        <f t="shared" si="213"/>
        <v>2025-06</v>
      </c>
    </row>
    <row r="6829" spans="1:15" x14ac:dyDescent="0.3">
      <c r="A6829" t="s">
        <v>16061</v>
      </c>
      <c r="B6829" t="s">
        <v>16062</v>
      </c>
      <c r="C6829" t="s">
        <v>58</v>
      </c>
      <c r="D6829" t="s">
        <v>54</v>
      </c>
      <c r="E6829" t="s">
        <v>45</v>
      </c>
      <c r="F6829" t="s">
        <v>55</v>
      </c>
      <c r="G6829">
        <v>1.07</v>
      </c>
      <c r="H6829" t="s">
        <v>138</v>
      </c>
      <c r="I6829" t="s">
        <v>48</v>
      </c>
      <c r="J6829" t="s">
        <v>98</v>
      </c>
      <c r="K6829">
        <v>484.54</v>
      </c>
      <c r="L6829" t="s">
        <v>16063</v>
      </c>
      <c r="M6829">
        <f>VLOOKUP(H6829,'Stage Order'!$A$2:$B$8,2,FALSE)</f>
        <v>6</v>
      </c>
      <c r="N6829" t="str">
        <f t="shared" si="212"/>
        <v>2. 1-24 hours</v>
      </c>
      <c r="O6829" t="str">
        <f t="shared" si="213"/>
        <v>2025-07</v>
      </c>
    </row>
    <row r="6830" spans="1:15" x14ac:dyDescent="0.3">
      <c r="A6830" t="s">
        <v>16064</v>
      </c>
      <c r="B6830" t="s">
        <v>16065</v>
      </c>
      <c r="C6830" t="s">
        <v>81</v>
      </c>
      <c r="D6830" t="s">
        <v>77</v>
      </c>
      <c r="E6830" t="s">
        <v>39</v>
      </c>
      <c r="F6830" t="s">
        <v>106</v>
      </c>
      <c r="G6830">
        <v>1.4</v>
      </c>
      <c r="H6830" t="s">
        <v>61</v>
      </c>
      <c r="I6830" t="s">
        <v>42</v>
      </c>
      <c r="M6830">
        <f>VLOOKUP(H6830,'Stage Order'!$A$2:$B$8,2,FALSE)</f>
        <v>1</v>
      </c>
      <c r="N6830" t="str">
        <f t="shared" si="212"/>
        <v>2. 1-24 hours</v>
      </c>
      <c r="O6830" t="str">
        <f t="shared" si="213"/>
        <v>2025-03</v>
      </c>
    </row>
    <row r="6831" spans="1:15" x14ac:dyDescent="0.3">
      <c r="A6831" t="s">
        <v>16066</v>
      </c>
      <c r="B6831" t="s">
        <v>16067</v>
      </c>
      <c r="C6831" t="s">
        <v>53</v>
      </c>
      <c r="D6831" t="s">
        <v>38</v>
      </c>
      <c r="E6831" t="s">
        <v>45</v>
      </c>
      <c r="F6831" t="s">
        <v>46</v>
      </c>
      <c r="G6831">
        <v>2.87</v>
      </c>
      <c r="H6831" t="s">
        <v>41</v>
      </c>
      <c r="I6831" t="s">
        <v>42</v>
      </c>
      <c r="M6831">
        <f>VLOOKUP(H6831,'Stage Order'!$A$2:$B$8,2,FALSE)</f>
        <v>2</v>
      </c>
      <c r="N6831" t="str">
        <f t="shared" si="212"/>
        <v>2. 1-24 hours</v>
      </c>
      <c r="O6831" t="str">
        <f t="shared" si="213"/>
        <v>2025-12</v>
      </c>
    </row>
    <row r="6832" spans="1:15" x14ac:dyDescent="0.3">
      <c r="A6832" t="s">
        <v>16068</v>
      </c>
      <c r="B6832" t="s">
        <v>16069</v>
      </c>
      <c r="C6832" t="s">
        <v>37</v>
      </c>
      <c r="D6832" t="s">
        <v>38</v>
      </c>
      <c r="E6832" t="s">
        <v>90</v>
      </c>
      <c r="F6832" t="s">
        <v>145</v>
      </c>
      <c r="G6832">
        <v>3.39</v>
      </c>
      <c r="H6832" t="s">
        <v>61</v>
      </c>
      <c r="I6832" t="s">
        <v>42</v>
      </c>
      <c r="M6832">
        <f>VLOOKUP(H6832,'Stage Order'!$A$2:$B$8,2,FALSE)</f>
        <v>1</v>
      </c>
      <c r="N6832" t="str">
        <f t="shared" si="212"/>
        <v>2. 1-24 hours</v>
      </c>
      <c r="O6832" t="str">
        <f t="shared" si="213"/>
        <v>2025-10</v>
      </c>
    </row>
    <row r="6833" spans="1:15" x14ac:dyDescent="0.3">
      <c r="A6833" t="s">
        <v>16070</v>
      </c>
      <c r="B6833" t="s">
        <v>16071</v>
      </c>
      <c r="C6833" t="s">
        <v>58</v>
      </c>
      <c r="D6833" t="s">
        <v>77</v>
      </c>
      <c r="E6833" t="s">
        <v>45</v>
      </c>
      <c r="F6833" t="s">
        <v>46</v>
      </c>
      <c r="G6833">
        <v>1.54</v>
      </c>
      <c r="H6833" t="s">
        <v>47</v>
      </c>
      <c r="I6833" t="s">
        <v>48</v>
      </c>
      <c r="J6833" t="s">
        <v>49</v>
      </c>
      <c r="K6833">
        <v>1105.75</v>
      </c>
      <c r="L6833" t="s">
        <v>16072</v>
      </c>
      <c r="M6833">
        <f>VLOOKUP(H6833,'Stage Order'!$A$2:$B$8,2,FALSE)</f>
        <v>4</v>
      </c>
      <c r="N6833" t="str">
        <f t="shared" si="212"/>
        <v>2. 1-24 hours</v>
      </c>
      <c r="O6833" t="str">
        <f t="shared" si="213"/>
        <v>2026-06</v>
      </c>
    </row>
    <row r="6834" spans="1:15" x14ac:dyDescent="0.3">
      <c r="A6834" t="s">
        <v>16073</v>
      </c>
      <c r="B6834" t="s">
        <v>16074</v>
      </c>
      <c r="C6834" t="s">
        <v>76</v>
      </c>
      <c r="D6834" t="s">
        <v>38</v>
      </c>
      <c r="E6834" t="s">
        <v>90</v>
      </c>
      <c r="F6834" t="s">
        <v>91</v>
      </c>
      <c r="G6834">
        <v>1.68</v>
      </c>
      <c r="H6834" t="s">
        <v>47</v>
      </c>
      <c r="I6834" t="s">
        <v>48</v>
      </c>
      <c r="J6834" t="s">
        <v>49</v>
      </c>
      <c r="K6834">
        <v>336.34</v>
      </c>
      <c r="L6834" t="s">
        <v>16075</v>
      </c>
      <c r="M6834">
        <f>VLOOKUP(H6834,'Stage Order'!$A$2:$B$8,2,FALSE)</f>
        <v>4</v>
      </c>
      <c r="N6834" t="str">
        <f t="shared" si="212"/>
        <v>2. 1-24 hours</v>
      </c>
      <c r="O6834" t="str">
        <f t="shared" si="213"/>
        <v>2025-11</v>
      </c>
    </row>
    <row r="6835" spans="1:15" x14ac:dyDescent="0.3">
      <c r="A6835" t="s">
        <v>16076</v>
      </c>
      <c r="B6835" t="s">
        <v>16077</v>
      </c>
      <c r="C6835" t="s">
        <v>81</v>
      </c>
      <c r="D6835" t="s">
        <v>97</v>
      </c>
      <c r="E6835" t="s">
        <v>39</v>
      </c>
      <c r="F6835" t="s">
        <v>66</v>
      </c>
      <c r="G6835">
        <v>7.06</v>
      </c>
      <c r="H6835" t="s">
        <v>41</v>
      </c>
      <c r="I6835" t="s">
        <v>42</v>
      </c>
      <c r="M6835">
        <f>VLOOKUP(H6835,'Stage Order'!$A$2:$B$8,2,FALSE)</f>
        <v>2</v>
      </c>
      <c r="N6835" t="str">
        <f t="shared" si="212"/>
        <v>2. 1-24 hours</v>
      </c>
      <c r="O6835" t="str">
        <f t="shared" si="213"/>
        <v>2025-11</v>
      </c>
    </row>
    <row r="6836" spans="1:15" x14ac:dyDescent="0.3">
      <c r="A6836" t="s">
        <v>16078</v>
      </c>
      <c r="B6836" t="s">
        <v>16079</v>
      </c>
      <c r="C6836" t="s">
        <v>58</v>
      </c>
      <c r="D6836" t="s">
        <v>97</v>
      </c>
      <c r="E6836" t="s">
        <v>39</v>
      </c>
      <c r="F6836" t="s">
        <v>40</v>
      </c>
      <c r="G6836">
        <v>7.66</v>
      </c>
      <c r="H6836" t="s">
        <v>41</v>
      </c>
      <c r="I6836" t="s">
        <v>42</v>
      </c>
      <c r="M6836">
        <f>VLOOKUP(H6836,'Stage Order'!$A$2:$B$8,2,FALSE)</f>
        <v>2</v>
      </c>
      <c r="N6836" t="str">
        <f t="shared" si="212"/>
        <v>2. 1-24 hours</v>
      </c>
      <c r="O6836" t="str">
        <f t="shared" si="213"/>
        <v>2026-05</v>
      </c>
    </row>
    <row r="6837" spans="1:15" x14ac:dyDescent="0.3">
      <c r="A6837" t="s">
        <v>16080</v>
      </c>
      <c r="B6837" t="s">
        <v>16081</v>
      </c>
      <c r="C6837" t="s">
        <v>53</v>
      </c>
      <c r="D6837" t="s">
        <v>77</v>
      </c>
      <c r="E6837" t="s">
        <v>39</v>
      </c>
      <c r="F6837" t="s">
        <v>40</v>
      </c>
      <c r="G6837">
        <v>7.97</v>
      </c>
      <c r="H6837" t="s">
        <v>32</v>
      </c>
      <c r="I6837" t="s">
        <v>33</v>
      </c>
      <c r="K6837">
        <v>1068.8599999999999</v>
      </c>
      <c r="L6837" t="s">
        <v>16082</v>
      </c>
      <c r="M6837">
        <f>VLOOKUP(H6837,'Stage Order'!$A$2:$B$8,2,FALSE)</f>
        <v>7</v>
      </c>
      <c r="N6837" t="str">
        <f t="shared" si="212"/>
        <v>2. 1-24 hours</v>
      </c>
      <c r="O6837" t="str">
        <f t="shared" si="213"/>
        <v>2025-09</v>
      </c>
    </row>
    <row r="6838" spans="1:15" x14ac:dyDescent="0.3">
      <c r="A6838" t="s">
        <v>16083</v>
      </c>
      <c r="B6838" t="s">
        <v>16084</v>
      </c>
      <c r="C6838" t="s">
        <v>37</v>
      </c>
      <c r="D6838" t="s">
        <v>29</v>
      </c>
      <c r="E6838" t="s">
        <v>30</v>
      </c>
      <c r="F6838" t="s">
        <v>31</v>
      </c>
      <c r="G6838">
        <v>1.94</v>
      </c>
      <c r="H6838" t="s">
        <v>32</v>
      </c>
      <c r="I6838" t="s">
        <v>33</v>
      </c>
      <c r="K6838">
        <v>624.07000000000005</v>
      </c>
      <c r="L6838" t="s">
        <v>16085</v>
      </c>
      <c r="M6838">
        <f>VLOOKUP(H6838,'Stage Order'!$A$2:$B$8,2,FALSE)</f>
        <v>7</v>
      </c>
      <c r="N6838" t="str">
        <f t="shared" si="212"/>
        <v>2. 1-24 hours</v>
      </c>
      <c r="O6838" t="str">
        <f t="shared" si="213"/>
        <v>2025-05</v>
      </c>
    </row>
    <row r="6839" spans="1:15" x14ac:dyDescent="0.3">
      <c r="A6839" t="s">
        <v>16086</v>
      </c>
      <c r="B6839" t="s">
        <v>16087</v>
      </c>
      <c r="C6839" t="s">
        <v>58</v>
      </c>
      <c r="D6839" t="s">
        <v>54</v>
      </c>
      <c r="E6839" t="s">
        <v>90</v>
      </c>
      <c r="F6839" t="s">
        <v>112</v>
      </c>
      <c r="G6839">
        <v>1.51</v>
      </c>
      <c r="H6839" t="s">
        <v>47</v>
      </c>
      <c r="I6839" t="s">
        <v>48</v>
      </c>
      <c r="J6839" t="s">
        <v>98</v>
      </c>
      <c r="K6839">
        <v>539.69000000000005</v>
      </c>
      <c r="L6839" t="s">
        <v>16088</v>
      </c>
      <c r="M6839">
        <f>VLOOKUP(H6839,'Stage Order'!$A$2:$B$8,2,FALSE)</f>
        <v>4</v>
      </c>
      <c r="N6839" t="str">
        <f t="shared" si="212"/>
        <v>2. 1-24 hours</v>
      </c>
      <c r="O6839" t="str">
        <f t="shared" si="213"/>
        <v>2025-02</v>
      </c>
    </row>
    <row r="6840" spans="1:15" x14ac:dyDescent="0.3">
      <c r="A6840" t="s">
        <v>16089</v>
      </c>
      <c r="B6840" t="s">
        <v>16090</v>
      </c>
      <c r="C6840" t="s">
        <v>37</v>
      </c>
      <c r="D6840" t="s">
        <v>54</v>
      </c>
      <c r="E6840" t="s">
        <v>45</v>
      </c>
      <c r="F6840" t="s">
        <v>55</v>
      </c>
      <c r="G6840">
        <v>1.89</v>
      </c>
      <c r="H6840" t="s">
        <v>41</v>
      </c>
      <c r="I6840" t="s">
        <v>42</v>
      </c>
      <c r="M6840">
        <f>VLOOKUP(H6840,'Stage Order'!$A$2:$B$8,2,FALSE)</f>
        <v>2</v>
      </c>
      <c r="N6840" t="str">
        <f t="shared" si="212"/>
        <v>2. 1-24 hours</v>
      </c>
      <c r="O6840" t="str">
        <f t="shared" si="213"/>
        <v>2025-01</v>
      </c>
    </row>
    <row r="6841" spans="1:15" x14ac:dyDescent="0.3">
      <c r="A6841" t="s">
        <v>16091</v>
      </c>
      <c r="B6841" t="s">
        <v>16092</v>
      </c>
      <c r="C6841" t="s">
        <v>58</v>
      </c>
      <c r="D6841" t="s">
        <v>29</v>
      </c>
      <c r="E6841" t="s">
        <v>45</v>
      </c>
      <c r="F6841" t="s">
        <v>55</v>
      </c>
      <c r="G6841">
        <v>0.9</v>
      </c>
      <c r="H6841" t="s">
        <v>61</v>
      </c>
      <c r="I6841" t="s">
        <v>42</v>
      </c>
      <c r="M6841">
        <f>VLOOKUP(H6841,'Stage Order'!$A$2:$B$8,2,FALSE)</f>
        <v>1</v>
      </c>
      <c r="N6841" t="str">
        <f t="shared" si="212"/>
        <v>1. Under 1 hour</v>
      </c>
      <c r="O6841" t="str">
        <f t="shared" si="213"/>
        <v>2025-04</v>
      </c>
    </row>
    <row r="6842" spans="1:15" x14ac:dyDescent="0.3">
      <c r="A6842" t="s">
        <v>16093</v>
      </c>
      <c r="B6842" t="s">
        <v>16094</v>
      </c>
      <c r="C6842" t="s">
        <v>53</v>
      </c>
      <c r="D6842" t="s">
        <v>29</v>
      </c>
      <c r="E6842" t="s">
        <v>39</v>
      </c>
      <c r="F6842" t="s">
        <v>66</v>
      </c>
      <c r="G6842">
        <v>9.61</v>
      </c>
      <c r="H6842" t="s">
        <v>41</v>
      </c>
      <c r="I6842" t="s">
        <v>42</v>
      </c>
      <c r="M6842">
        <f>VLOOKUP(H6842,'Stage Order'!$A$2:$B$8,2,FALSE)</f>
        <v>2</v>
      </c>
      <c r="N6842" t="str">
        <f t="shared" si="212"/>
        <v>2. 1-24 hours</v>
      </c>
      <c r="O6842" t="str">
        <f t="shared" si="213"/>
        <v>2025-05</v>
      </c>
    </row>
    <row r="6843" spans="1:15" x14ac:dyDescent="0.3">
      <c r="A6843" t="s">
        <v>16095</v>
      </c>
      <c r="B6843" t="s">
        <v>16096</v>
      </c>
      <c r="C6843" t="s">
        <v>53</v>
      </c>
      <c r="D6843" t="s">
        <v>77</v>
      </c>
      <c r="E6843" t="s">
        <v>45</v>
      </c>
      <c r="F6843" t="s">
        <v>94</v>
      </c>
      <c r="G6843">
        <v>2.2599999999999998</v>
      </c>
      <c r="H6843" t="s">
        <v>41</v>
      </c>
      <c r="I6843" t="s">
        <v>42</v>
      </c>
      <c r="M6843">
        <f>VLOOKUP(H6843,'Stage Order'!$A$2:$B$8,2,FALSE)</f>
        <v>2</v>
      </c>
      <c r="N6843" t="str">
        <f t="shared" si="212"/>
        <v>2. 1-24 hours</v>
      </c>
      <c r="O6843" t="str">
        <f t="shared" si="213"/>
        <v>2025-05</v>
      </c>
    </row>
    <row r="6844" spans="1:15" x14ac:dyDescent="0.3">
      <c r="A6844" t="s">
        <v>16097</v>
      </c>
      <c r="B6844" t="s">
        <v>16098</v>
      </c>
      <c r="C6844" t="s">
        <v>76</v>
      </c>
      <c r="D6844" t="s">
        <v>29</v>
      </c>
      <c r="E6844" t="s">
        <v>45</v>
      </c>
      <c r="F6844" t="s">
        <v>94</v>
      </c>
      <c r="G6844">
        <v>0.68</v>
      </c>
      <c r="H6844" t="s">
        <v>32</v>
      </c>
      <c r="I6844" t="s">
        <v>33</v>
      </c>
      <c r="K6844">
        <v>704.11</v>
      </c>
      <c r="L6844" t="s">
        <v>16099</v>
      </c>
      <c r="M6844">
        <f>VLOOKUP(H6844,'Stage Order'!$A$2:$B$8,2,FALSE)</f>
        <v>7</v>
      </c>
      <c r="N6844" t="str">
        <f t="shared" si="212"/>
        <v>1. Under 1 hour</v>
      </c>
      <c r="O6844" t="str">
        <f t="shared" si="213"/>
        <v>2025-10</v>
      </c>
    </row>
    <row r="6845" spans="1:15" x14ac:dyDescent="0.3">
      <c r="A6845" t="s">
        <v>16100</v>
      </c>
      <c r="B6845" t="s">
        <v>16101</v>
      </c>
      <c r="C6845" t="s">
        <v>53</v>
      </c>
      <c r="D6845" t="s">
        <v>54</v>
      </c>
      <c r="E6845" t="s">
        <v>30</v>
      </c>
      <c r="F6845" t="s">
        <v>82</v>
      </c>
      <c r="G6845">
        <v>7.85</v>
      </c>
      <c r="H6845" t="s">
        <v>41</v>
      </c>
      <c r="I6845" t="s">
        <v>42</v>
      </c>
      <c r="M6845">
        <f>VLOOKUP(H6845,'Stage Order'!$A$2:$B$8,2,FALSE)</f>
        <v>2</v>
      </c>
      <c r="N6845" t="str">
        <f t="shared" si="212"/>
        <v>2. 1-24 hours</v>
      </c>
      <c r="O6845" t="str">
        <f t="shared" si="213"/>
        <v>2026-03</v>
      </c>
    </row>
    <row r="6846" spans="1:15" x14ac:dyDescent="0.3">
      <c r="A6846" t="s">
        <v>16102</v>
      </c>
      <c r="B6846" t="s">
        <v>16103</v>
      </c>
      <c r="C6846" t="s">
        <v>76</v>
      </c>
      <c r="D6846" t="s">
        <v>77</v>
      </c>
      <c r="E6846" t="s">
        <v>39</v>
      </c>
      <c r="F6846" t="s">
        <v>66</v>
      </c>
      <c r="G6846">
        <v>1.74</v>
      </c>
      <c r="H6846" t="s">
        <v>47</v>
      </c>
      <c r="I6846" t="s">
        <v>48</v>
      </c>
      <c r="J6846" t="s">
        <v>98</v>
      </c>
      <c r="K6846">
        <v>919.05</v>
      </c>
      <c r="L6846" t="s">
        <v>16104</v>
      </c>
      <c r="M6846">
        <f>VLOOKUP(H6846,'Stage Order'!$A$2:$B$8,2,FALSE)</f>
        <v>4</v>
      </c>
      <c r="N6846" t="str">
        <f t="shared" si="212"/>
        <v>2. 1-24 hours</v>
      </c>
      <c r="O6846" t="str">
        <f t="shared" si="213"/>
        <v>2026-02</v>
      </c>
    </row>
    <row r="6847" spans="1:15" x14ac:dyDescent="0.3">
      <c r="A6847" t="s">
        <v>16105</v>
      </c>
      <c r="B6847" t="s">
        <v>16106</v>
      </c>
      <c r="C6847" t="s">
        <v>37</v>
      </c>
      <c r="D6847" t="s">
        <v>29</v>
      </c>
      <c r="E6847" t="s">
        <v>30</v>
      </c>
      <c r="F6847" t="s">
        <v>82</v>
      </c>
      <c r="G6847">
        <v>3.77</v>
      </c>
      <c r="H6847" t="s">
        <v>47</v>
      </c>
      <c r="I6847" t="s">
        <v>48</v>
      </c>
      <c r="J6847" t="s">
        <v>98</v>
      </c>
      <c r="K6847">
        <v>714.16</v>
      </c>
      <c r="L6847" t="s">
        <v>16107</v>
      </c>
      <c r="M6847">
        <f>VLOOKUP(H6847,'Stage Order'!$A$2:$B$8,2,FALSE)</f>
        <v>4</v>
      </c>
      <c r="N6847" t="str">
        <f t="shared" si="212"/>
        <v>2. 1-24 hours</v>
      </c>
      <c r="O6847" t="str">
        <f t="shared" si="213"/>
        <v>2026-06</v>
      </c>
    </row>
    <row r="6848" spans="1:15" x14ac:dyDescent="0.3">
      <c r="A6848" t="s">
        <v>16108</v>
      </c>
      <c r="B6848" t="s">
        <v>16109</v>
      </c>
      <c r="C6848" t="s">
        <v>81</v>
      </c>
      <c r="D6848" t="s">
        <v>77</v>
      </c>
      <c r="E6848" t="s">
        <v>45</v>
      </c>
      <c r="F6848" t="s">
        <v>55</v>
      </c>
      <c r="G6848">
        <v>0.91</v>
      </c>
      <c r="H6848" t="s">
        <v>41</v>
      </c>
      <c r="I6848" t="s">
        <v>42</v>
      </c>
      <c r="M6848">
        <f>VLOOKUP(H6848,'Stage Order'!$A$2:$B$8,2,FALSE)</f>
        <v>2</v>
      </c>
      <c r="N6848" t="str">
        <f t="shared" si="212"/>
        <v>1. Under 1 hour</v>
      </c>
      <c r="O6848" t="str">
        <f t="shared" si="213"/>
        <v>2026-06</v>
      </c>
    </row>
    <row r="6849" spans="1:15" x14ac:dyDescent="0.3">
      <c r="A6849" t="s">
        <v>16110</v>
      </c>
      <c r="B6849" t="s">
        <v>16111</v>
      </c>
      <c r="C6849" t="s">
        <v>28</v>
      </c>
      <c r="D6849" t="s">
        <v>54</v>
      </c>
      <c r="E6849" t="s">
        <v>45</v>
      </c>
      <c r="F6849" t="s">
        <v>46</v>
      </c>
      <c r="G6849">
        <v>23.17</v>
      </c>
      <c r="H6849" t="s">
        <v>41</v>
      </c>
      <c r="I6849" t="s">
        <v>42</v>
      </c>
      <c r="M6849">
        <f>VLOOKUP(H6849,'Stage Order'!$A$2:$B$8,2,FALSE)</f>
        <v>2</v>
      </c>
      <c r="N6849" t="str">
        <f t="shared" si="212"/>
        <v>2. 1-24 hours</v>
      </c>
      <c r="O6849" t="str">
        <f t="shared" si="213"/>
        <v>2025-12</v>
      </c>
    </row>
    <row r="6850" spans="1:15" x14ac:dyDescent="0.3">
      <c r="A6850" t="s">
        <v>16112</v>
      </c>
      <c r="B6850" t="s">
        <v>16113</v>
      </c>
      <c r="C6850" t="s">
        <v>53</v>
      </c>
      <c r="D6850" t="s">
        <v>38</v>
      </c>
      <c r="E6850" t="s">
        <v>45</v>
      </c>
      <c r="F6850" t="s">
        <v>46</v>
      </c>
      <c r="G6850">
        <v>3.55</v>
      </c>
      <c r="H6850" t="s">
        <v>32</v>
      </c>
      <c r="I6850" t="s">
        <v>33</v>
      </c>
      <c r="K6850">
        <v>371.04</v>
      </c>
      <c r="L6850" t="s">
        <v>16114</v>
      </c>
      <c r="M6850">
        <f>VLOOKUP(H6850,'Stage Order'!$A$2:$B$8,2,FALSE)</f>
        <v>7</v>
      </c>
      <c r="N6850" t="str">
        <f t="shared" ref="N6850:N6913" si="214">IF(G6850&lt;=1,"1. Under 1 hour",IF(G6850&lt;=24,"2. 1-24 hours",IF(G6850&lt;=72,"3. 1-3 days","4. Over 3 days")))</f>
        <v>2. 1-24 hours</v>
      </c>
      <c r="O6850" t="str">
        <f t="shared" ref="O6850:O6913" si="215">TEXT(B6850,"YYYY-MM")</f>
        <v>2025-05</v>
      </c>
    </row>
    <row r="6851" spans="1:15" x14ac:dyDescent="0.3">
      <c r="A6851" t="s">
        <v>16115</v>
      </c>
      <c r="B6851" t="s">
        <v>16116</v>
      </c>
      <c r="C6851" t="s">
        <v>28</v>
      </c>
      <c r="D6851" t="s">
        <v>97</v>
      </c>
      <c r="E6851" t="s">
        <v>90</v>
      </c>
      <c r="F6851" t="s">
        <v>145</v>
      </c>
      <c r="G6851">
        <v>5.77</v>
      </c>
      <c r="H6851" t="s">
        <v>138</v>
      </c>
      <c r="I6851" t="s">
        <v>48</v>
      </c>
      <c r="J6851" t="s">
        <v>742</v>
      </c>
      <c r="K6851">
        <v>1717.93</v>
      </c>
      <c r="L6851" t="s">
        <v>16117</v>
      </c>
      <c r="M6851">
        <f>VLOOKUP(H6851,'Stage Order'!$A$2:$B$8,2,FALSE)</f>
        <v>6</v>
      </c>
      <c r="N6851" t="str">
        <f t="shared" si="214"/>
        <v>2. 1-24 hours</v>
      </c>
      <c r="O6851" t="str">
        <f t="shared" si="215"/>
        <v>2025-07</v>
      </c>
    </row>
    <row r="6852" spans="1:15" x14ac:dyDescent="0.3">
      <c r="A6852" t="s">
        <v>16118</v>
      </c>
      <c r="B6852" t="s">
        <v>16119</v>
      </c>
      <c r="C6852" t="s">
        <v>37</v>
      </c>
      <c r="D6852" t="s">
        <v>54</v>
      </c>
      <c r="E6852" t="s">
        <v>59</v>
      </c>
      <c r="F6852" t="s">
        <v>137</v>
      </c>
      <c r="G6852">
        <v>7.44</v>
      </c>
      <c r="H6852" t="s">
        <v>41</v>
      </c>
      <c r="I6852" t="s">
        <v>42</v>
      </c>
      <c r="M6852">
        <f>VLOOKUP(H6852,'Stage Order'!$A$2:$B$8,2,FALSE)</f>
        <v>2</v>
      </c>
      <c r="N6852" t="str">
        <f t="shared" si="214"/>
        <v>2. 1-24 hours</v>
      </c>
      <c r="O6852" t="str">
        <f t="shared" si="215"/>
        <v>2025-06</v>
      </c>
    </row>
    <row r="6853" spans="1:15" x14ac:dyDescent="0.3">
      <c r="A6853" t="s">
        <v>16120</v>
      </c>
      <c r="B6853" t="s">
        <v>16121</v>
      </c>
      <c r="C6853" t="s">
        <v>37</v>
      </c>
      <c r="D6853" t="s">
        <v>54</v>
      </c>
      <c r="E6853" t="s">
        <v>45</v>
      </c>
      <c r="F6853" t="s">
        <v>55</v>
      </c>
      <c r="G6853">
        <v>7.91</v>
      </c>
      <c r="H6853" t="s">
        <v>41</v>
      </c>
      <c r="I6853" t="s">
        <v>42</v>
      </c>
      <c r="M6853">
        <f>VLOOKUP(H6853,'Stage Order'!$A$2:$B$8,2,FALSE)</f>
        <v>2</v>
      </c>
      <c r="N6853" t="str">
        <f t="shared" si="214"/>
        <v>2. 1-24 hours</v>
      </c>
      <c r="O6853" t="str">
        <f t="shared" si="215"/>
        <v>2025-12</v>
      </c>
    </row>
    <row r="6854" spans="1:15" x14ac:dyDescent="0.3">
      <c r="A6854" t="s">
        <v>16122</v>
      </c>
      <c r="B6854" t="s">
        <v>16123</v>
      </c>
      <c r="C6854" t="s">
        <v>53</v>
      </c>
      <c r="D6854" t="s">
        <v>54</v>
      </c>
      <c r="E6854" t="s">
        <v>30</v>
      </c>
      <c r="F6854" t="s">
        <v>78</v>
      </c>
      <c r="G6854">
        <v>8.74</v>
      </c>
      <c r="H6854" t="s">
        <v>41</v>
      </c>
      <c r="I6854" t="s">
        <v>42</v>
      </c>
      <c r="M6854">
        <f>VLOOKUP(H6854,'Stage Order'!$A$2:$B$8,2,FALSE)</f>
        <v>2</v>
      </c>
      <c r="N6854" t="str">
        <f t="shared" si="214"/>
        <v>2. 1-24 hours</v>
      </c>
      <c r="O6854" t="str">
        <f t="shared" si="215"/>
        <v>2025-11</v>
      </c>
    </row>
    <row r="6855" spans="1:15" x14ac:dyDescent="0.3">
      <c r="A6855" t="s">
        <v>16124</v>
      </c>
      <c r="B6855" t="s">
        <v>16125</v>
      </c>
      <c r="C6855" t="s">
        <v>28</v>
      </c>
      <c r="D6855" t="s">
        <v>38</v>
      </c>
      <c r="E6855" t="s">
        <v>45</v>
      </c>
      <c r="F6855" t="s">
        <v>94</v>
      </c>
      <c r="G6855">
        <v>5.22</v>
      </c>
      <c r="H6855" t="s">
        <v>41</v>
      </c>
      <c r="I6855" t="s">
        <v>42</v>
      </c>
      <c r="M6855">
        <f>VLOOKUP(H6855,'Stage Order'!$A$2:$B$8,2,FALSE)</f>
        <v>2</v>
      </c>
      <c r="N6855" t="str">
        <f t="shared" si="214"/>
        <v>2. 1-24 hours</v>
      </c>
      <c r="O6855" t="str">
        <f t="shared" si="215"/>
        <v>2025-09</v>
      </c>
    </row>
    <row r="6856" spans="1:15" x14ac:dyDescent="0.3">
      <c r="A6856" t="s">
        <v>16126</v>
      </c>
      <c r="B6856" t="s">
        <v>16127</v>
      </c>
      <c r="C6856" t="s">
        <v>81</v>
      </c>
      <c r="D6856" t="s">
        <v>54</v>
      </c>
      <c r="E6856" t="s">
        <v>39</v>
      </c>
      <c r="F6856" t="s">
        <v>40</v>
      </c>
      <c r="G6856">
        <v>2.36</v>
      </c>
      <c r="H6856" t="s">
        <v>41</v>
      </c>
      <c r="I6856" t="s">
        <v>42</v>
      </c>
      <c r="M6856">
        <f>VLOOKUP(H6856,'Stage Order'!$A$2:$B$8,2,FALSE)</f>
        <v>2</v>
      </c>
      <c r="N6856" t="str">
        <f t="shared" si="214"/>
        <v>2. 1-24 hours</v>
      </c>
      <c r="O6856" t="str">
        <f t="shared" si="215"/>
        <v>2026-01</v>
      </c>
    </row>
    <row r="6857" spans="1:15" x14ac:dyDescent="0.3">
      <c r="A6857" t="s">
        <v>16128</v>
      </c>
      <c r="B6857" t="s">
        <v>16129</v>
      </c>
      <c r="C6857" t="s">
        <v>125</v>
      </c>
      <c r="D6857" t="s">
        <v>54</v>
      </c>
      <c r="E6857" t="s">
        <v>45</v>
      </c>
      <c r="F6857" t="s">
        <v>94</v>
      </c>
      <c r="G6857">
        <v>0.9</v>
      </c>
      <c r="H6857" t="s">
        <v>41</v>
      </c>
      <c r="I6857" t="s">
        <v>42</v>
      </c>
      <c r="M6857">
        <f>VLOOKUP(H6857,'Stage Order'!$A$2:$B$8,2,FALSE)</f>
        <v>2</v>
      </c>
      <c r="N6857" t="str">
        <f t="shared" si="214"/>
        <v>1. Under 1 hour</v>
      </c>
      <c r="O6857" t="str">
        <f t="shared" si="215"/>
        <v>2026-03</v>
      </c>
    </row>
    <row r="6858" spans="1:15" x14ac:dyDescent="0.3">
      <c r="A6858" t="s">
        <v>16130</v>
      </c>
      <c r="B6858" t="s">
        <v>16131</v>
      </c>
      <c r="C6858" t="s">
        <v>125</v>
      </c>
      <c r="D6858" t="s">
        <v>77</v>
      </c>
      <c r="E6858" t="s">
        <v>30</v>
      </c>
      <c r="F6858" t="s">
        <v>82</v>
      </c>
      <c r="G6858">
        <v>2.0699999999999998</v>
      </c>
      <c r="H6858" t="s">
        <v>61</v>
      </c>
      <c r="I6858" t="s">
        <v>42</v>
      </c>
      <c r="M6858">
        <f>VLOOKUP(H6858,'Stage Order'!$A$2:$B$8,2,FALSE)</f>
        <v>1</v>
      </c>
      <c r="N6858" t="str">
        <f t="shared" si="214"/>
        <v>2. 1-24 hours</v>
      </c>
      <c r="O6858" t="str">
        <f t="shared" si="215"/>
        <v>2025-01</v>
      </c>
    </row>
    <row r="6859" spans="1:15" x14ac:dyDescent="0.3">
      <c r="A6859" t="s">
        <v>16132</v>
      </c>
      <c r="B6859" t="s">
        <v>16133</v>
      </c>
      <c r="C6859" t="s">
        <v>76</v>
      </c>
      <c r="D6859" t="s">
        <v>77</v>
      </c>
      <c r="E6859" t="s">
        <v>45</v>
      </c>
      <c r="F6859" t="s">
        <v>55</v>
      </c>
      <c r="G6859">
        <v>9.3699999999999992</v>
      </c>
      <c r="H6859" t="s">
        <v>41</v>
      </c>
      <c r="I6859" t="s">
        <v>42</v>
      </c>
      <c r="M6859">
        <f>VLOOKUP(H6859,'Stage Order'!$A$2:$B$8,2,FALSE)</f>
        <v>2</v>
      </c>
      <c r="N6859" t="str">
        <f t="shared" si="214"/>
        <v>2. 1-24 hours</v>
      </c>
      <c r="O6859" t="str">
        <f t="shared" si="215"/>
        <v>2025-09</v>
      </c>
    </row>
    <row r="6860" spans="1:15" x14ac:dyDescent="0.3">
      <c r="A6860" t="s">
        <v>16134</v>
      </c>
      <c r="B6860" t="s">
        <v>16135</v>
      </c>
      <c r="C6860" t="s">
        <v>125</v>
      </c>
      <c r="D6860" t="s">
        <v>38</v>
      </c>
      <c r="E6860" t="s">
        <v>30</v>
      </c>
      <c r="F6860" t="s">
        <v>82</v>
      </c>
      <c r="G6860">
        <v>5.12</v>
      </c>
      <c r="H6860" t="s">
        <v>41</v>
      </c>
      <c r="I6860" t="s">
        <v>42</v>
      </c>
      <c r="M6860">
        <f>VLOOKUP(H6860,'Stage Order'!$A$2:$B$8,2,FALSE)</f>
        <v>2</v>
      </c>
      <c r="N6860" t="str">
        <f t="shared" si="214"/>
        <v>2. 1-24 hours</v>
      </c>
      <c r="O6860" t="str">
        <f t="shared" si="215"/>
        <v>2025-08</v>
      </c>
    </row>
    <row r="6861" spans="1:15" x14ac:dyDescent="0.3">
      <c r="A6861" t="s">
        <v>16136</v>
      </c>
      <c r="B6861" t="s">
        <v>16137</v>
      </c>
      <c r="C6861" t="s">
        <v>58</v>
      </c>
      <c r="D6861" t="s">
        <v>54</v>
      </c>
      <c r="E6861" t="s">
        <v>45</v>
      </c>
      <c r="F6861" t="s">
        <v>55</v>
      </c>
      <c r="G6861">
        <v>1.37</v>
      </c>
      <c r="H6861" t="s">
        <v>41</v>
      </c>
      <c r="I6861" t="s">
        <v>42</v>
      </c>
      <c r="M6861">
        <f>VLOOKUP(H6861,'Stage Order'!$A$2:$B$8,2,FALSE)</f>
        <v>2</v>
      </c>
      <c r="N6861" t="str">
        <f t="shared" si="214"/>
        <v>2. 1-24 hours</v>
      </c>
      <c r="O6861" t="str">
        <f t="shared" si="215"/>
        <v>2025-12</v>
      </c>
    </row>
    <row r="6862" spans="1:15" x14ac:dyDescent="0.3">
      <c r="A6862" t="s">
        <v>16138</v>
      </c>
      <c r="B6862" t="s">
        <v>16139</v>
      </c>
      <c r="C6862" t="s">
        <v>53</v>
      </c>
      <c r="D6862" t="s">
        <v>77</v>
      </c>
      <c r="E6862" t="s">
        <v>39</v>
      </c>
      <c r="F6862" t="s">
        <v>66</v>
      </c>
      <c r="G6862">
        <v>9.5</v>
      </c>
      <c r="H6862" t="s">
        <v>138</v>
      </c>
      <c r="I6862" t="s">
        <v>48</v>
      </c>
      <c r="J6862" t="s">
        <v>139</v>
      </c>
      <c r="K6862">
        <v>1083.58</v>
      </c>
      <c r="L6862" t="s">
        <v>16140</v>
      </c>
      <c r="M6862">
        <f>VLOOKUP(H6862,'Stage Order'!$A$2:$B$8,2,FALSE)</f>
        <v>6</v>
      </c>
      <c r="N6862" t="str">
        <f t="shared" si="214"/>
        <v>2. 1-24 hours</v>
      </c>
      <c r="O6862" t="str">
        <f t="shared" si="215"/>
        <v>2025-05</v>
      </c>
    </row>
    <row r="6863" spans="1:15" x14ac:dyDescent="0.3">
      <c r="A6863" t="s">
        <v>16141</v>
      </c>
      <c r="B6863" t="s">
        <v>16142</v>
      </c>
      <c r="C6863" t="s">
        <v>81</v>
      </c>
      <c r="D6863" t="s">
        <v>29</v>
      </c>
      <c r="E6863" t="s">
        <v>39</v>
      </c>
      <c r="F6863" t="s">
        <v>40</v>
      </c>
      <c r="G6863">
        <v>1.56</v>
      </c>
      <c r="H6863" t="s">
        <v>61</v>
      </c>
      <c r="I6863" t="s">
        <v>42</v>
      </c>
      <c r="M6863">
        <f>VLOOKUP(H6863,'Stage Order'!$A$2:$B$8,2,FALSE)</f>
        <v>1</v>
      </c>
      <c r="N6863" t="str">
        <f t="shared" si="214"/>
        <v>2. 1-24 hours</v>
      </c>
      <c r="O6863" t="str">
        <f t="shared" si="215"/>
        <v>2026-06</v>
      </c>
    </row>
    <row r="6864" spans="1:15" x14ac:dyDescent="0.3">
      <c r="A6864" t="s">
        <v>16143</v>
      </c>
      <c r="B6864" t="s">
        <v>16144</v>
      </c>
      <c r="C6864" t="s">
        <v>37</v>
      </c>
      <c r="D6864" t="s">
        <v>38</v>
      </c>
      <c r="E6864" t="s">
        <v>45</v>
      </c>
      <c r="F6864" t="s">
        <v>55</v>
      </c>
      <c r="G6864">
        <v>1.53</v>
      </c>
      <c r="H6864" t="s">
        <v>41</v>
      </c>
      <c r="I6864" t="s">
        <v>42</v>
      </c>
      <c r="M6864">
        <f>VLOOKUP(H6864,'Stage Order'!$A$2:$B$8,2,FALSE)</f>
        <v>2</v>
      </c>
      <c r="N6864" t="str">
        <f t="shared" si="214"/>
        <v>2. 1-24 hours</v>
      </c>
      <c r="O6864" t="str">
        <f t="shared" si="215"/>
        <v>2025-04</v>
      </c>
    </row>
    <row r="6865" spans="1:15" x14ac:dyDescent="0.3">
      <c r="A6865" t="s">
        <v>16145</v>
      </c>
      <c r="B6865" t="s">
        <v>16146</v>
      </c>
      <c r="C6865" t="s">
        <v>76</v>
      </c>
      <c r="D6865" t="s">
        <v>77</v>
      </c>
      <c r="E6865" t="s">
        <v>90</v>
      </c>
      <c r="F6865" t="s">
        <v>112</v>
      </c>
      <c r="G6865">
        <v>1.4</v>
      </c>
      <c r="H6865" t="s">
        <v>41</v>
      </c>
      <c r="I6865" t="s">
        <v>42</v>
      </c>
      <c r="M6865">
        <f>VLOOKUP(H6865,'Stage Order'!$A$2:$B$8,2,FALSE)</f>
        <v>2</v>
      </c>
      <c r="N6865" t="str">
        <f t="shared" si="214"/>
        <v>2. 1-24 hours</v>
      </c>
      <c r="O6865" t="str">
        <f t="shared" si="215"/>
        <v>2026-03</v>
      </c>
    </row>
    <row r="6866" spans="1:15" x14ac:dyDescent="0.3">
      <c r="A6866" t="s">
        <v>16147</v>
      </c>
      <c r="B6866" t="s">
        <v>16148</v>
      </c>
      <c r="C6866" t="s">
        <v>58</v>
      </c>
      <c r="D6866" t="s">
        <v>29</v>
      </c>
      <c r="E6866" t="s">
        <v>90</v>
      </c>
      <c r="F6866" t="s">
        <v>91</v>
      </c>
      <c r="G6866">
        <v>1.26</v>
      </c>
      <c r="H6866" t="s">
        <v>61</v>
      </c>
      <c r="I6866" t="s">
        <v>42</v>
      </c>
      <c r="M6866">
        <f>VLOOKUP(H6866,'Stage Order'!$A$2:$B$8,2,FALSE)</f>
        <v>1</v>
      </c>
      <c r="N6866" t="str">
        <f t="shared" si="214"/>
        <v>2. 1-24 hours</v>
      </c>
      <c r="O6866" t="str">
        <f t="shared" si="215"/>
        <v>2025-04</v>
      </c>
    </row>
    <row r="6867" spans="1:15" x14ac:dyDescent="0.3">
      <c r="A6867" t="s">
        <v>16149</v>
      </c>
      <c r="B6867" t="s">
        <v>16150</v>
      </c>
      <c r="C6867" t="s">
        <v>53</v>
      </c>
      <c r="D6867" t="s">
        <v>77</v>
      </c>
      <c r="E6867" t="s">
        <v>45</v>
      </c>
      <c r="F6867" t="s">
        <v>46</v>
      </c>
      <c r="G6867">
        <v>3.47</v>
      </c>
      <c r="H6867" t="s">
        <v>41</v>
      </c>
      <c r="I6867" t="s">
        <v>42</v>
      </c>
      <c r="M6867">
        <f>VLOOKUP(H6867,'Stage Order'!$A$2:$B$8,2,FALSE)</f>
        <v>2</v>
      </c>
      <c r="N6867" t="str">
        <f t="shared" si="214"/>
        <v>2. 1-24 hours</v>
      </c>
      <c r="O6867" t="str">
        <f t="shared" si="215"/>
        <v>2026-05</v>
      </c>
    </row>
    <row r="6868" spans="1:15" x14ac:dyDescent="0.3">
      <c r="A6868" t="s">
        <v>16151</v>
      </c>
      <c r="B6868" t="s">
        <v>16152</v>
      </c>
      <c r="C6868" t="s">
        <v>28</v>
      </c>
      <c r="D6868" t="s">
        <v>54</v>
      </c>
      <c r="E6868" t="s">
        <v>39</v>
      </c>
      <c r="F6868" t="s">
        <v>40</v>
      </c>
      <c r="G6868">
        <v>7.72</v>
      </c>
      <c r="H6868" t="s">
        <v>138</v>
      </c>
      <c r="I6868" t="s">
        <v>48</v>
      </c>
      <c r="J6868" t="s">
        <v>49</v>
      </c>
      <c r="K6868">
        <v>450</v>
      </c>
      <c r="L6868" t="s">
        <v>16153</v>
      </c>
      <c r="M6868">
        <f>VLOOKUP(H6868,'Stage Order'!$A$2:$B$8,2,FALSE)</f>
        <v>6</v>
      </c>
      <c r="N6868" t="str">
        <f t="shared" si="214"/>
        <v>2. 1-24 hours</v>
      </c>
      <c r="O6868" t="str">
        <f t="shared" si="215"/>
        <v>2026-01</v>
      </c>
    </row>
    <row r="6869" spans="1:15" x14ac:dyDescent="0.3">
      <c r="A6869" t="s">
        <v>16154</v>
      </c>
      <c r="B6869" t="s">
        <v>16155</v>
      </c>
      <c r="C6869" t="s">
        <v>76</v>
      </c>
      <c r="D6869" t="s">
        <v>97</v>
      </c>
      <c r="E6869" t="s">
        <v>45</v>
      </c>
      <c r="F6869" t="s">
        <v>94</v>
      </c>
      <c r="G6869">
        <v>0.62</v>
      </c>
      <c r="H6869" t="s">
        <v>41</v>
      </c>
      <c r="I6869" t="s">
        <v>42</v>
      </c>
      <c r="M6869">
        <f>VLOOKUP(H6869,'Stage Order'!$A$2:$B$8,2,FALSE)</f>
        <v>2</v>
      </c>
      <c r="N6869" t="str">
        <f t="shared" si="214"/>
        <v>1. Under 1 hour</v>
      </c>
      <c r="O6869" t="str">
        <f t="shared" si="215"/>
        <v>2026-04</v>
      </c>
    </row>
    <row r="6870" spans="1:15" x14ac:dyDescent="0.3">
      <c r="A6870" t="s">
        <v>16156</v>
      </c>
      <c r="B6870" t="s">
        <v>16157</v>
      </c>
      <c r="C6870" t="s">
        <v>37</v>
      </c>
      <c r="D6870" t="s">
        <v>97</v>
      </c>
      <c r="E6870" t="s">
        <v>30</v>
      </c>
      <c r="F6870" t="s">
        <v>78</v>
      </c>
      <c r="G6870">
        <v>2.2400000000000002</v>
      </c>
      <c r="H6870" t="s">
        <v>41</v>
      </c>
      <c r="I6870" t="s">
        <v>42</v>
      </c>
      <c r="M6870">
        <f>VLOOKUP(H6870,'Stage Order'!$A$2:$B$8,2,FALSE)</f>
        <v>2</v>
      </c>
      <c r="N6870" t="str">
        <f t="shared" si="214"/>
        <v>2. 1-24 hours</v>
      </c>
      <c r="O6870" t="str">
        <f t="shared" si="215"/>
        <v>2025-04</v>
      </c>
    </row>
    <row r="6871" spans="1:15" x14ac:dyDescent="0.3">
      <c r="A6871" t="s">
        <v>16158</v>
      </c>
      <c r="B6871" t="s">
        <v>16159</v>
      </c>
      <c r="C6871" t="s">
        <v>125</v>
      </c>
      <c r="D6871" t="s">
        <v>54</v>
      </c>
      <c r="E6871" t="s">
        <v>90</v>
      </c>
      <c r="F6871" t="s">
        <v>112</v>
      </c>
      <c r="G6871">
        <v>2.27</v>
      </c>
      <c r="H6871" t="s">
        <v>41</v>
      </c>
      <c r="I6871" t="s">
        <v>42</v>
      </c>
      <c r="M6871">
        <f>VLOOKUP(H6871,'Stage Order'!$A$2:$B$8,2,FALSE)</f>
        <v>2</v>
      </c>
      <c r="N6871" t="str">
        <f t="shared" si="214"/>
        <v>2. 1-24 hours</v>
      </c>
      <c r="O6871" t="str">
        <f t="shared" si="215"/>
        <v>2026-01</v>
      </c>
    </row>
    <row r="6872" spans="1:15" x14ac:dyDescent="0.3">
      <c r="A6872" t="s">
        <v>16160</v>
      </c>
      <c r="B6872" t="s">
        <v>16161</v>
      </c>
      <c r="C6872" t="s">
        <v>76</v>
      </c>
      <c r="D6872" t="s">
        <v>97</v>
      </c>
      <c r="E6872" t="s">
        <v>30</v>
      </c>
      <c r="F6872" t="s">
        <v>31</v>
      </c>
      <c r="G6872">
        <v>2</v>
      </c>
      <c r="H6872" t="s">
        <v>47</v>
      </c>
      <c r="I6872" t="s">
        <v>48</v>
      </c>
      <c r="J6872" t="s">
        <v>139</v>
      </c>
      <c r="K6872">
        <v>1403.14</v>
      </c>
      <c r="L6872" t="s">
        <v>16162</v>
      </c>
      <c r="M6872">
        <f>VLOOKUP(H6872,'Stage Order'!$A$2:$B$8,2,FALSE)</f>
        <v>4</v>
      </c>
      <c r="N6872" t="str">
        <f t="shared" si="214"/>
        <v>2. 1-24 hours</v>
      </c>
      <c r="O6872" t="str">
        <f t="shared" si="215"/>
        <v>2026-05</v>
      </c>
    </row>
    <row r="6873" spans="1:15" x14ac:dyDescent="0.3">
      <c r="A6873" t="s">
        <v>16163</v>
      </c>
      <c r="B6873" t="s">
        <v>16164</v>
      </c>
      <c r="C6873" t="s">
        <v>125</v>
      </c>
      <c r="D6873" t="s">
        <v>77</v>
      </c>
      <c r="E6873" t="s">
        <v>45</v>
      </c>
      <c r="F6873" t="s">
        <v>55</v>
      </c>
      <c r="G6873">
        <v>2.15</v>
      </c>
      <c r="H6873" t="s">
        <v>146</v>
      </c>
      <c r="I6873" t="s">
        <v>48</v>
      </c>
      <c r="J6873" t="s">
        <v>139</v>
      </c>
      <c r="K6873">
        <v>1004.51</v>
      </c>
      <c r="L6873" t="s">
        <v>16165</v>
      </c>
      <c r="M6873">
        <f>VLOOKUP(H6873,'Stage Order'!$A$2:$B$8,2,FALSE)</f>
        <v>5</v>
      </c>
      <c r="N6873" t="str">
        <f t="shared" si="214"/>
        <v>2. 1-24 hours</v>
      </c>
      <c r="O6873" t="str">
        <f t="shared" si="215"/>
        <v>2025-06</v>
      </c>
    </row>
    <row r="6874" spans="1:15" x14ac:dyDescent="0.3">
      <c r="A6874" t="s">
        <v>16166</v>
      </c>
      <c r="B6874" t="s">
        <v>16167</v>
      </c>
      <c r="C6874" t="s">
        <v>58</v>
      </c>
      <c r="D6874" t="s">
        <v>54</v>
      </c>
      <c r="E6874" t="s">
        <v>45</v>
      </c>
      <c r="F6874" t="s">
        <v>94</v>
      </c>
      <c r="G6874">
        <v>2.1800000000000002</v>
      </c>
      <c r="H6874" t="s">
        <v>47</v>
      </c>
      <c r="I6874" t="s">
        <v>48</v>
      </c>
      <c r="J6874" t="s">
        <v>113</v>
      </c>
      <c r="K6874">
        <v>477.54</v>
      </c>
      <c r="L6874" t="s">
        <v>16168</v>
      </c>
      <c r="M6874">
        <f>VLOOKUP(H6874,'Stage Order'!$A$2:$B$8,2,FALSE)</f>
        <v>4</v>
      </c>
      <c r="N6874" t="str">
        <f t="shared" si="214"/>
        <v>2. 1-24 hours</v>
      </c>
      <c r="O6874" t="str">
        <f t="shared" si="215"/>
        <v>2025-10</v>
      </c>
    </row>
    <row r="6875" spans="1:15" x14ac:dyDescent="0.3">
      <c r="A6875" t="s">
        <v>16169</v>
      </c>
      <c r="B6875" t="s">
        <v>16170</v>
      </c>
      <c r="C6875" t="s">
        <v>76</v>
      </c>
      <c r="D6875" t="s">
        <v>54</v>
      </c>
      <c r="E6875" t="s">
        <v>59</v>
      </c>
      <c r="F6875" t="s">
        <v>137</v>
      </c>
      <c r="G6875">
        <v>8.85</v>
      </c>
      <c r="H6875" t="s">
        <v>138</v>
      </c>
      <c r="I6875" t="s">
        <v>48</v>
      </c>
      <c r="J6875" t="s">
        <v>139</v>
      </c>
      <c r="K6875">
        <v>464.25</v>
      </c>
      <c r="L6875" t="s">
        <v>16171</v>
      </c>
      <c r="M6875">
        <f>VLOOKUP(H6875,'Stage Order'!$A$2:$B$8,2,FALSE)</f>
        <v>6</v>
      </c>
      <c r="N6875" t="str">
        <f t="shared" si="214"/>
        <v>2. 1-24 hours</v>
      </c>
      <c r="O6875" t="str">
        <f t="shared" si="215"/>
        <v>2026-04</v>
      </c>
    </row>
    <row r="6876" spans="1:15" x14ac:dyDescent="0.3">
      <c r="A6876" t="s">
        <v>16172</v>
      </c>
      <c r="B6876" t="s">
        <v>16173</v>
      </c>
      <c r="C6876" t="s">
        <v>37</v>
      </c>
      <c r="D6876" t="s">
        <v>77</v>
      </c>
      <c r="E6876" t="s">
        <v>90</v>
      </c>
      <c r="F6876" t="s">
        <v>145</v>
      </c>
      <c r="G6876">
        <v>5.55</v>
      </c>
      <c r="H6876" t="s">
        <v>32</v>
      </c>
      <c r="I6876" t="s">
        <v>33</v>
      </c>
      <c r="K6876">
        <v>855.24</v>
      </c>
      <c r="L6876" t="s">
        <v>16174</v>
      </c>
      <c r="M6876">
        <f>VLOOKUP(H6876,'Stage Order'!$A$2:$B$8,2,FALSE)</f>
        <v>7</v>
      </c>
      <c r="N6876" t="str">
        <f t="shared" si="214"/>
        <v>2. 1-24 hours</v>
      </c>
      <c r="O6876" t="str">
        <f t="shared" si="215"/>
        <v>2025-04</v>
      </c>
    </row>
    <row r="6877" spans="1:15" x14ac:dyDescent="0.3">
      <c r="A6877" t="s">
        <v>16175</v>
      </c>
      <c r="B6877" t="s">
        <v>16176</v>
      </c>
      <c r="C6877" t="s">
        <v>53</v>
      </c>
      <c r="D6877" t="s">
        <v>77</v>
      </c>
      <c r="E6877" t="s">
        <v>59</v>
      </c>
      <c r="F6877" t="s">
        <v>137</v>
      </c>
      <c r="G6877">
        <v>5.6</v>
      </c>
      <c r="H6877" t="s">
        <v>41</v>
      </c>
      <c r="I6877" t="s">
        <v>42</v>
      </c>
      <c r="M6877">
        <f>VLOOKUP(H6877,'Stage Order'!$A$2:$B$8,2,FALSE)</f>
        <v>2</v>
      </c>
      <c r="N6877" t="str">
        <f t="shared" si="214"/>
        <v>2. 1-24 hours</v>
      </c>
      <c r="O6877" t="str">
        <f t="shared" si="215"/>
        <v>2025-11</v>
      </c>
    </row>
    <row r="6878" spans="1:15" x14ac:dyDescent="0.3">
      <c r="A6878" t="s">
        <v>16177</v>
      </c>
      <c r="B6878" t="s">
        <v>16178</v>
      </c>
      <c r="C6878" t="s">
        <v>53</v>
      </c>
      <c r="D6878" t="s">
        <v>77</v>
      </c>
      <c r="E6878" t="s">
        <v>45</v>
      </c>
      <c r="F6878" t="s">
        <v>94</v>
      </c>
      <c r="G6878">
        <v>1.58</v>
      </c>
      <c r="H6878" t="s">
        <v>138</v>
      </c>
      <c r="I6878" t="s">
        <v>48</v>
      </c>
      <c r="J6878" t="s">
        <v>113</v>
      </c>
      <c r="K6878">
        <v>1182</v>
      </c>
      <c r="L6878" t="s">
        <v>16179</v>
      </c>
      <c r="M6878">
        <f>VLOOKUP(H6878,'Stage Order'!$A$2:$B$8,2,FALSE)</f>
        <v>6</v>
      </c>
      <c r="N6878" t="str">
        <f t="shared" si="214"/>
        <v>2. 1-24 hours</v>
      </c>
      <c r="O6878" t="str">
        <f t="shared" si="215"/>
        <v>2026-03</v>
      </c>
    </row>
    <row r="6879" spans="1:15" x14ac:dyDescent="0.3">
      <c r="A6879" t="s">
        <v>16180</v>
      </c>
      <c r="B6879" t="s">
        <v>16181</v>
      </c>
      <c r="C6879" t="s">
        <v>125</v>
      </c>
      <c r="D6879" t="s">
        <v>77</v>
      </c>
      <c r="E6879" t="s">
        <v>45</v>
      </c>
      <c r="F6879" t="s">
        <v>94</v>
      </c>
      <c r="G6879">
        <v>7.01</v>
      </c>
      <c r="H6879" t="s">
        <v>146</v>
      </c>
      <c r="I6879" t="s">
        <v>48</v>
      </c>
      <c r="J6879" t="s">
        <v>113</v>
      </c>
      <c r="K6879">
        <v>899.82</v>
      </c>
      <c r="L6879" t="s">
        <v>16182</v>
      </c>
      <c r="M6879">
        <f>VLOOKUP(H6879,'Stage Order'!$A$2:$B$8,2,FALSE)</f>
        <v>5</v>
      </c>
      <c r="N6879" t="str">
        <f t="shared" si="214"/>
        <v>2. 1-24 hours</v>
      </c>
      <c r="O6879" t="str">
        <f t="shared" si="215"/>
        <v>2025-03</v>
      </c>
    </row>
    <row r="6880" spans="1:15" x14ac:dyDescent="0.3">
      <c r="A6880" t="s">
        <v>16183</v>
      </c>
      <c r="B6880" t="s">
        <v>16184</v>
      </c>
      <c r="C6880" t="s">
        <v>125</v>
      </c>
      <c r="D6880" t="s">
        <v>38</v>
      </c>
      <c r="E6880" t="s">
        <v>90</v>
      </c>
      <c r="F6880" t="s">
        <v>145</v>
      </c>
      <c r="G6880">
        <v>2.81</v>
      </c>
      <c r="H6880" t="s">
        <v>61</v>
      </c>
      <c r="I6880" t="s">
        <v>42</v>
      </c>
      <c r="M6880">
        <f>VLOOKUP(H6880,'Stage Order'!$A$2:$B$8,2,FALSE)</f>
        <v>1</v>
      </c>
      <c r="N6880" t="str">
        <f t="shared" si="214"/>
        <v>2. 1-24 hours</v>
      </c>
      <c r="O6880" t="str">
        <f t="shared" si="215"/>
        <v>2026-06</v>
      </c>
    </row>
    <row r="6881" spans="1:15" x14ac:dyDescent="0.3">
      <c r="A6881" t="s">
        <v>16185</v>
      </c>
      <c r="B6881" t="s">
        <v>16186</v>
      </c>
      <c r="C6881" t="s">
        <v>37</v>
      </c>
      <c r="D6881" t="s">
        <v>38</v>
      </c>
      <c r="E6881" t="s">
        <v>30</v>
      </c>
      <c r="F6881" t="s">
        <v>31</v>
      </c>
      <c r="G6881">
        <v>3.42</v>
      </c>
      <c r="H6881" t="s">
        <v>41</v>
      </c>
      <c r="I6881" t="s">
        <v>42</v>
      </c>
      <c r="M6881">
        <f>VLOOKUP(H6881,'Stage Order'!$A$2:$B$8,2,FALSE)</f>
        <v>2</v>
      </c>
      <c r="N6881" t="str">
        <f t="shared" si="214"/>
        <v>2. 1-24 hours</v>
      </c>
      <c r="O6881" t="str">
        <f t="shared" si="215"/>
        <v>2026-06</v>
      </c>
    </row>
    <row r="6882" spans="1:15" x14ac:dyDescent="0.3">
      <c r="A6882" t="s">
        <v>16187</v>
      </c>
      <c r="B6882" t="s">
        <v>16188</v>
      </c>
      <c r="C6882" t="s">
        <v>125</v>
      </c>
      <c r="D6882" t="s">
        <v>77</v>
      </c>
      <c r="E6882" t="s">
        <v>39</v>
      </c>
      <c r="F6882" t="s">
        <v>40</v>
      </c>
      <c r="G6882">
        <v>2.95</v>
      </c>
      <c r="H6882" t="s">
        <v>41</v>
      </c>
      <c r="I6882" t="s">
        <v>42</v>
      </c>
      <c r="M6882">
        <f>VLOOKUP(H6882,'Stage Order'!$A$2:$B$8,2,FALSE)</f>
        <v>2</v>
      </c>
      <c r="N6882" t="str">
        <f t="shared" si="214"/>
        <v>2. 1-24 hours</v>
      </c>
      <c r="O6882" t="str">
        <f t="shared" si="215"/>
        <v>2025-12</v>
      </c>
    </row>
    <row r="6883" spans="1:15" x14ac:dyDescent="0.3">
      <c r="A6883" t="s">
        <v>16189</v>
      </c>
      <c r="B6883" t="s">
        <v>16190</v>
      </c>
      <c r="C6883" t="s">
        <v>37</v>
      </c>
      <c r="D6883" t="s">
        <v>77</v>
      </c>
      <c r="E6883" t="s">
        <v>30</v>
      </c>
      <c r="F6883" t="s">
        <v>78</v>
      </c>
      <c r="G6883">
        <v>4.29</v>
      </c>
      <c r="H6883" t="s">
        <v>41</v>
      </c>
      <c r="I6883" t="s">
        <v>42</v>
      </c>
      <c r="M6883">
        <f>VLOOKUP(H6883,'Stage Order'!$A$2:$B$8,2,FALSE)</f>
        <v>2</v>
      </c>
      <c r="N6883" t="str">
        <f t="shared" si="214"/>
        <v>2. 1-24 hours</v>
      </c>
      <c r="O6883" t="str">
        <f t="shared" si="215"/>
        <v>2026-02</v>
      </c>
    </row>
    <row r="6884" spans="1:15" x14ac:dyDescent="0.3">
      <c r="A6884" t="s">
        <v>16191</v>
      </c>
      <c r="B6884" t="s">
        <v>16192</v>
      </c>
      <c r="C6884" t="s">
        <v>53</v>
      </c>
      <c r="D6884" t="s">
        <v>77</v>
      </c>
      <c r="E6884" t="s">
        <v>39</v>
      </c>
      <c r="F6884" t="s">
        <v>40</v>
      </c>
      <c r="G6884">
        <v>2.09</v>
      </c>
      <c r="H6884" t="s">
        <v>138</v>
      </c>
      <c r="I6884" t="s">
        <v>48</v>
      </c>
      <c r="J6884" t="s">
        <v>139</v>
      </c>
      <c r="K6884">
        <v>912.25</v>
      </c>
      <c r="L6884" t="s">
        <v>16193</v>
      </c>
      <c r="M6884">
        <f>VLOOKUP(H6884,'Stage Order'!$A$2:$B$8,2,FALSE)</f>
        <v>6</v>
      </c>
      <c r="N6884" t="str">
        <f t="shared" si="214"/>
        <v>2. 1-24 hours</v>
      </c>
      <c r="O6884" t="str">
        <f t="shared" si="215"/>
        <v>2026-02</v>
      </c>
    </row>
    <row r="6885" spans="1:15" x14ac:dyDescent="0.3">
      <c r="A6885" t="s">
        <v>16194</v>
      </c>
      <c r="B6885" t="s">
        <v>16195</v>
      </c>
      <c r="C6885" t="s">
        <v>58</v>
      </c>
      <c r="D6885" t="s">
        <v>54</v>
      </c>
      <c r="E6885" t="s">
        <v>59</v>
      </c>
      <c r="F6885" t="s">
        <v>60</v>
      </c>
      <c r="G6885">
        <v>10.61</v>
      </c>
      <c r="H6885" t="s">
        <v>41</v>
      </c>
      <c r="I6885" t="s">
        <v>42</v>
      </c>
      <c r="M6885">
        <f>VLOOKUP(H6885,'Stage Order'!$A$2:$B$8,2,FALSE)</f>
        <v>2</v>
      </c>
      <c r="N6885" t="str">
        <f t="shared" si="214"/>
        <v>2. 1-24 hours</v>
      </c>
      <c r="O6885" t="str">
        <f t="shared" si="215"/>
        <v>2025-11</v>
      </c>
    </row>
    <row r="6886" spans="1:15" x14ac:dyDescent="0.3">
      <c r="A6886" t="s">
        <v>16196</v>
      </c>
      <c r="B6886" t="s">
        <v>16197</v>
      </c>
      <c r="C6886" t="s">
        <v>76</v>
      </c>
      <c r="D6886" t="s">
        <v>97</v>
      </c>
      <c r="E6886" t="s">
        <v>45</v>
      </c>
      <c r="F6886" t="s">
        <v>55</v>
      </c>
      <c r="G6886">
        <v>4.09</v>
      </c>
      <c r="H6886" t="s">
        <v>47</v>
      </c>
      <c r="I6886" t="s">
        <v>48</v>
      </c>
      <c r="J6886" t="s">
        <v>98</v>
      </c>
      <c r="K6886">
        <v>1585.58</v>
      </c>
      <c r="L6886" t="s">
        <v>16198</v>
      </c>
      <c r="M6886">
        <f>VLOOKUP(H6886,'Stage Order'!$A$2:$B$8,2,FALSE)</f>
        <v>4</v>
      </c>
      <c r="N6886" t="str">
        <f t="shared" si="214"/>
        <v>2. 1-24 hours</v>
      </c>
      <c r="O6886" t="str">
        <f t="shared" si="215"/>
        <v>2025-04</v>
      </c>
    </row>
    <row r="6887" spans="1:15" x14ac:dyDescent="0.3">
      <c r="A6887" t="s">
        <v>16199</v>
      </c>
      <c r="B6887" t="s">
        <v>16200</v>
      </c>
      <c r="C6887" t="s">
        <v>58</v>
      </c>
      <c r="D6887" t="s">
        <v>77</v>
      </c>
      <c r="E6887" t="s">
        <v>90</v>
      </c>
      <c r="F6887" t="s">
        <v>112</v>
      </c>
      <c r="G6887">
        <v>1.78</v>
      </c>
      <c r="H6887" t="s">
        <v>61</v>
      </c>
      <c r="I6887" t="s">
        <v>42</v>
      </c>
      <c r="M6887">
        <f>VLOOKUP(H6887,'Stage Order'!$A$2:$B$8,2,FALSE)</f>
        <v>1</v>
      </c>
      <c r="N6887" t="str">
        <f t="shared" si="214"/>
        <v>2. 1-24 hours</v>
      </c>
      <c r="O6887" t="str">
        <f t="shared" si="215"/>
        <v>2025-11</v>
      </c>
    </row>
    <row r="6888" spans="1:15" x14ac:dyDescent="0.3">
      <c r="A6888" t="s">
        <v>16201</v>
      </c>
      <c r="B6888" t="s">
        <v>16202</v>
      </c>
      <c r="C6888" t="s">
        <v>58</v>
      </c>
      <c r="D6888" t="s">
        <v>29</v>
      </c>
      <c r="E6888" t="s">
        <v>90</v>
      </c>
      <c r="F6888" t="s">
        <v>91</v>
      </c>
      <c r="G6888">
        <v>5.72</v>
      </c>
      <c r="H6888" t="s">
        <v>32</v>
      </c>
      <c r="I6888" t="s">
        <v>33</v>
      </c>
      <c r="K6888">
        <v>546.37</v>
      </c>
      <c r="L6888" t="s">
        <v>16203</v>
      </c>
      <c r="M6888">
        <f>VLOOKUP(H6888,'Stage Order'!$A$2:$B$8,2,FALSE)</f>
        <v>7</v>
      </c>
      <c r="N6888" t="str">
        <f t="shared" si="214"/>
        <v>2. 1-24 hours</v>
      </c>
      <c r="O6888" t="str">
        <f t="shared" si="215"/>
        <v>2026-05</v>
      </c>
    </row>
    <row r="6889" spans="1:15" x14ac:dyDescent="0.3">
      <c r="A6889" t="s">
        <v>16204</v>
      </c>
      <c r="B6889" t="s">
        <v>16205</v>
      </c>
      <c r="C6889" t="s">
        <v>76</v>
      </c>
      <c r="D6889" t="s">
        <v>38</v>
      </c>
      <c r="E6889" t="s">
        <v>90</v>
      </c>
      <c r="F6889" t="s">
        <v>145</v>
      </c>
      <c r="G6889">
        <v>16.059999999999999</v>
      </c>
      <c r="H6889" t="s">
        <v>146</v>
      </c>
      <c r="I6889" t="s">
        <v>48</v>
      </c>
      <c r="J6889" t="s">
        <v>139</v>
      </c>
      <c r="K6889">
        <v>414.42</v>
      </c>
      <c r="L6889" t="s">
        <v>16206</v>
      </c>
      <c r="M6889">
        <f>VLOOKUP(H6889,'Stage Order'!$A$2:$B$8,2,FALSE)</f>
        <v>5</v>
      </c>
      <c r="N6889" t="str">
        <f t="shared" si="214"/>
        <v>2. 1-24 hours</v>
      </c>
      <c r="O6889" t="str">
        <f t="shared" si="215"/>
        <v>2025-08</v>
      </c>
    </row>
    <row r="6890" spans="1:15" x14ac:dyDescent="0.3">
      <c r="A6890" t="s">
        <v>16207</v>
      </c>
      <c r="B6890" t="s">
        <v>16208</v>
      </c>
      <c r="C6890" t="s">
        <v>125</v>
      </c>
      <c r="D6890" t="s">
        <v>54</v>
      </c>
      <c r="E6890" t="s">
        <v>39</v>
      </c>
      <c r="F6890" t="s">
        <v>66</v>
      </c>
      <c r="G6890">
        <v>0.78</v>
      </c>
      <c r="H6890" t="s">
        <v>61</v>
      </c>
      <c r="I6890" t="s">
        <v>42</v>
      </c>
      <c r="M6890">
        <f>VLOOKUP(H6890,'Stage Order'!$A$2:$B$8,2,FALSE)</f>
        <v>1</v>
      </c>
      <c r="N6890" t="str">
        <f t="shared" si="214"/>
        <v>1. Under 1 hour</v>
      </c>
      <c r="O6890" t="str">
        <f t="shared" si="215"/>
        <v>2025-10</v>
      </c>
    </row>
    <row r="6891" spans="1:15" x14ac:dyDescent="0.3">
      <c r="A6891" t="s">
        <v>16209</v>
      </c>
      <c r="B6891" t="s">
        <v>16210</v>
      </c>
      <c r="C6891" t="s">
        <v>58</v>
      </c>
      <c r="D6891" t="s">
        <v>54</v>
      </c>
      <c r="E6891" t="s">
        <v>39</v>
      </c>
      <c r="F6891" t="s">
        <v>40</v>
      </c>
      <c r="G6891">
        <v>3</v>
      </c>
      <c r="H6891" t="s">
        <v>47</v>
      </c>
      <c r="I6891" t="s">
        <v>48</v>
      </c>
      <c r="J6891" t="s">
        <v>139</v>
      </c>
      <c r="K6891">
        <v>411.3</v>
      </c>
      <c r="L6891" t="s">
        <v>16211</v>
      </c>
      <c r="M6891">
        <f>VLOOKUP(H6891,'Stage Order'!$A$2:$B$8,2,FALSE)</f>
        <v>4</v>
      </c>
      <c r="N6891" t="str">
        <f t="shared" si="214"/>
        <v>2. 1-24 hours</v>
      </c>
      <c r="O6891" t="str">
        <f t="shared" si="215"/>
        <v>2026-04</v>
      </c>
    </row>
    <row r="6892" spans="1:15" x14ac:dyDescent="0.3">
      <c r="A6892" t="s">
        <v>16212</v>
      </c>
      <c r="B6892" t="s">
        <v>16213</v>
      </c>
      <c r="C6892" t="s">
        <v>53</v>
      </c>
      <c r="D6892" t="s">
        <v>38</v>
      </c>
      <c r="E6892" t="s">
        <v>39</v>
      </c>
      <c r="F6892" t="s">
        <v>106</v>
      </c>
      <c r="G6892">
        <v>4.1399999999999997</v>
      </c>
      <c r="H6892" t="s">
        <v>138</v>
      </c>
      <c r="I6892" t="s">
        <v>48</v>
      </c>
      <c r="J6892" t="s">
        <v>139</v>
      </c>
      <c r="K6892">
        <v>405.87</v>
      </c>
      <c r="L6892" t="s">
        <v>16214</v>
      </c>
      <c r="M6892">
        <f>VLOOKUP(H6892,'Stage Order'!$A$2:$B$8,2,FALSE)</f>
        <v>6</v>
      </c>
      <c r="N6892" t="str">
        <f t="shared" si="214"/>
        <v>2. 1-24 hours</v>
      </c>
      <c r="O6892" t="str">
        <f t="shared" si="215"/>
        <v>2026-03</v>
      </c>
    </row>
    <row r="6893" spans="1:15" x14ac:dyDescent="0.3">
      <c r="A6893" t="s">
        <v>16215</v>
      </c>
      <c r="B6893" t="s">
        <v>16216</v>
      </c>
      <c r="C6893" t="s">
        <v>37</v>
      </c>
      <c r="D6893" t="s">
        <v>29</v>
      </c>
      <c r="E6893" t="s">
        <v>90</v>
      </c>
      <c r="F6893" t="s">
        <v>145</v>
      </c>
      <c r="G6893">
        <v>1.45</v>
      </c>
      <c r="H6893" t="s">
        <v>41</v>
      </c>
      <c r="I6893" t="s">
        <v>42</v>
      </c>
      <c r="M6893">
        <f>VLOOKUP(H6893,'Stage Order'!$A$2:$B$8,2,FALSE)</f>
        <v>2</v>
      </c>
      <c r="N6893" t="str">
        <f t="shared" si="214"/>
        <v>2. 1-24 hours</v>
      </c>
      <c r="O6893" t="str">
        <f t="shared" si="215"/>
        <v>2025-04</v>
      </c>
    </row>
    <row r="6894" spans="1:15" x14ac:dyDescent="0.3">
      <c r="A6894" t="s">
        <v>16217</v>
      </c>
      <c r="B6894" t="s">
        <v>16218</v>
      </c>
      <c r="C6894" t="s">
        <v>125</v>
      </c>
      <c r="D6894" t="s">
        <v>54</v>
      </c>
      <c r="E6894" t="s">
        <v>59</v>
      </c>
      <c r="F6894" t="s">
        <v>117</v>
      </c>
      <c r="G6894">
        <v>0.33</v>
      </c>
      <c r="H6894" t="s">
        <v>41</v>
      </c>
      <c r="I6894" t="s">
        <v>42</v>
      </c>
      <c r="M6894">
        <f>VLOOKUP(H6894,'Stage Order'!$A$2:$B$8,2,FALSE)</f>
        <v>2</v>
      </c>
      <c r="N6894" t="str">
        <f t="shared" si="214"/>
        <v>1. Under 1 hour</v>
      </c>
      <c r="O6894" t="str">
        <f t="shared" si="215"/>
        <v>2025-12</v>
      </c>
    </row>
    <row r="6895" spans="1:15" x14ac:dyDescent="0.3">
      <c r="A6895" t="s">
        <v>16219</v>
      </c>
      <c r="B6895" t="s">
        <v>8912</v>
      </c>
      <c r="C6895" t="s">
        <v>58</v>
      </c>
      <c r="D6895" t="s">
        <v>77</v>
      </c>
      <c r="E6895" t="s">
        <v>39</v>
      </c>
      <c r="F6895" t="s">
        <v>106</v>
      </c>
      <c r="G6895">
        <v>1.5</v>
      </c>
      <c r="H6895" t="s">
        <v>32</v>
      </c>
      <c r="I6895" t="s">
        <v>33</v>
      </c>
      <c r="K6895">
        <v>1032.68</v>
      </c>
      <c r="L6895" t="s">
        <v>16220</v>
      </c>
      <c r="M6895">
        <f>VLOOKUP(H6895,'Stage Order'!$A$2:$B$8,2,FALSE)</f>
        <v>7</v>
      </c>
      <c r="N6895" t="str">
        <f t="shared" si="214"/>
        <v>2. 1-24 hours</v>
      </c>
      <c r="O6895" t="str">
        <f t="shared" si="215"/>
        <v>2025-06</v>
      </c>
    </row>
    <row r="6896" spans="1:15" x14ac:dyDescent="0.3">
      <c r="A6896" t="s">
        <v>16221</v>
      </c>
      <c r="B6896" t="s">
        <v>16222</v>
      </c>
      <c r="C6896" t="s">
        <v>125</v>
      </c>
      <c r="D6896" t="s">
        <v>29</v>
      </c>
      <c r="E6896" t="s">
        <v>59</v>
      </c>
      <c r="F6896" t="s">
        <v>60</v>
      </c>
      <c r="G6896">
        <v>2.11</v>
      </c>
      <c r="H6896" t="s">
        <v>41</v>
      </c>
      <c r="I6896" t="s">
        <v>42</v>
      </c>
      <c r="M6896">
        <f>VLOOKUP(H6896,'Stage Order'!$A$2:$B$8,2,FALSE)</f>
        <v>2</v>
      </c>
      <c r="N6896" t="str">
        <f t="shared" si="214"/>
        <v>2. 1-24 hours</v>
      </c>
      <c r="O6896" t="str">
        <f t="shared" si="215"/>
        <v>2025-09</v>
      </c>
    </row>
    <row r="6897" spans="1:15" x14ac:dyDescent="0.3">
      <c r="A6897" t="s">
        <v>16223</v>
      </c>
      <c r="B6897" t="s">
        <v>16224</v>
      </c>
      <c r="C6897" t="s">
        <v>37</v>
      </c>
      <c r="D6897" t="s">
        <v>77</v>
      </c>
      <c r="E6897" t="s">
        <v>90</v>
      </c>
      <c r="F6897" t="s">
        <v>112</v>
      </c>
      <c r="G6897">
        <v>2.41</v>
      </c>
      <c r="H6897" t="s">
        <v>61</v>
      </c>
      <c r="I6897" t="s">
        <v>42</v>
      </c>
      <c r="M6897">
        <f>VLOOKUP(H6897,'Stage Order'!$A$2:$B$8,2,FALSE)</f>
        <v>1</v>
      </c>
      <c r="N6897" t="str">
        <f t="shared" si="214"/>
        <v>2. 1-24 hours</v>
      </c>
      <c r="O6897" t="str">
        <f t="shared" si="215"/>
        <v>2026-05</v>
      </c>
    </row>
    <row r="6898" spans="1:15" x14ac:dyDescent="0.3">
      <c r="A6898" t="s">
        <v>16225</v>
      </c>
      <c r="B6898" t="s">
        <v>16226</v>
      </c>
      <c r="C6898" t="s">
        <v>37</v>
      </c>
      <c r="D6898" t="s">
        <v>77</v>
      </c>
      <c r="E6898" t="s">
        <v>59</v>
      </c>
      <c r="F6898" t="s">
        <v>137</v>
      </c>
      <c r="G6898">
        <v>3.97</v>
      </c>
      <c r="H6898" t="s">
        <v>41</v>
      </c>
      <c r="I6898" t="s">
        <v>42</v>
      </c>
      <c r="M6898">
        <f>VLOOKUP(H6898,'Stage Order'!$A$2:$B$8,2,FALSE)</f>
        <v>2</v>
      </c>
      <c r="N6898" t="str">
        <f t="shared" si="214"/>
        <v>2. 1-24 hours</v>
      </c>
      <c r="O6898" t="str">
        <f t="shared" si="215"/>
        <v>2026-01</v>
      </c>
    </row>
    <row r="6899" spans="1:15" x14ac:dyDescent="0.3">
      <c r="A6899" t="s">
        <v>16227</v>
      </c>
      <c r="B6899" t="s">
        <v>16228</v>
      </c>
      <c r="C6899" t="s">
        <v>76</v>
      </c>
      <c r="D6899" t="s">
        <v>29</v>
      </c>
      <c r="E6899" t="s">
        <v>59</v>
      </c>
      <c r="F6899" t="s">
        <v>137</v>
      </c>
      <c r="G6899">
        <v>4.88</v>
      </c>
      <c r="H6899" t="s">
        <v>32</v>
      </c>
      <c r="I6899" t="s">
        <v>33</v>
      </c>
      <c r="K6899">
        <v>659.13</v>
      </c>
      <c r="L6899" t="s">
        <v>16229</v>
      </c>
      <c r="M6899">
        <f>VLOOKUP(H6899,'Stage Order'!$A$2:$B$8,2,FALSE)</f>
        <v>7</v>
      </c>
      <c r="N6899" t="str">
        <f t="shared" si="214"/>
        <v>2. 1-24 hours</v>
      </c>
      <c r="O6899" t="str">
        <f t="shared" si="215"/>
        <v>2025-02</v>
      </c>
    </row>
    <row r="6900" spans="1:15" x14ac:dyDescent="0.3">
      <c r="A6900" t="s">
        <v>16230</v>
      </c>
      <c r="B6900" t="s">
        <v>16231</v>
      </c>
      <c r="C6900" t="s">
        <v>37</v>
      </c>
      <c r="D6900" t="s">
        <v>54</v>
      </c>
      <c r="E6900" t="s">
        <v>45</v>
      </c>
      <c r="F6900" t="s">
        <v>94</v>
      </c>
      <c r="G6900">
        <v>1.03</v>
      </c>
      <c r="H6900" t="s">
        <v>41</v>
      </c>
      <c r="I6900" t="s">
        <v>42</v>
      </c>
      <c r="M6900">
        <f>VLOOKUP(H6900,'Stage Order'!$A$2:$B$8,2,FALSE)</f>
        <v>2</v>
      </c>
      <c r="N6900" t="str">
        <f t="shared" si="214"/>
        <v>2. 1-24 hours</v>
      </c>
      <c r="O6900" t="str">
        <f t="shared" si="215"/>
        <v>2025-12</v>
      </c>
    </row>
    <row r="6901" spans="1:15" x14ac:dyDescent="0.3">
      <c r="A6901" t="s">
        <v>16232</v>
      </c>
      <c r="B6901" t="s">
        <v>16233</v>
      </c>
      <c r="C6901" t="s">
        <v>37</v>
      </c>
      <c r="D6901" t="s">
        <v>29</v>
      </c>
      <c r="E6901" t="s">
        <v>30</v>
      </c>
      <c r="F6901" t="s">
        <v>31</v>
      </c>
      <c r="G6901">
        <v>4.03</v>
      </c>
      <c r="H6901" t="s">
        <v>61</v>
      </c>
      <c r="I6901" t="s">
        <v>42</v>
      </c>
      <c r="M6901">
        <f>VLOOKUP(H6901,'Stage Order'!$A$2:$B$8,2,FALSE)</f>
        <v>1</v>
      </c>
      <c r="N6901" t="str">
        <f t="shared" si="214"/>
        <v>2. 1-24 hours</v>
      </c>
      <c r="O6901" t="str">
        <f t="shared" si="215"/>
        <v>2025-04</v>
      </c>
    </row>
    <row r="6902" spans="1:15" x14ac:dyDescent="0.3">
      <c r="A6902" t="s">
        <v>16234</v>
      </c>
      <c r="B6902" t="s">
        <v>16235</v>
      </c>
      <c r="C6902" t="s">
        <v>37</v>
      </c>
      <c r="D6902" t="s">
        <v>97</v>
      </c>
      <c r="E6902" t="s">
        <v>59</v>
      </c>
      <c r="F6902" t="s">
        <v>137</v>
      </c>
      <c r="G6902">
        <v>2.44</v>
      </c>
      <c r="H6902" t="s">
        <v>41</v>
      </c>
      <c r="I6902" t="s">
        <v>42</v>
      </c>
      <c r="M6902">
        <f>VLOOKUP(H6902,'Stage Order'!$A$2:$B$8,2,FALSE)</f>
        <v>2</v>
      </c>
      <c r="N6902" t="str">
        <f t="shared" si="214"/>
        <v>2. 1-24 hours</v>
      </c>
      <c r="O6902" t="str">
        <f t="shared" si="215"/>
        <v>2025-03</v>
      </c>
    </row>
    <row r="6903" spans="1:15" x14ac:dyDescent="0.3">
      <c r="A6903" t="s">
        <v>16236</v>
      </c>
      <c r="B6903" t="s">
        <v>16237</v>
      </c>
      <c r="C6903" t="s">
        <v>37</v>
      </c>
      <c r="D6903" t="s">
        <v>54</v>
      </c>
      <c r="E6903" t="s">
        <v>45</v>
      </c>
      <c r="F6903" t="s">
        <v>94</v>
      </c>
      <c r="G6903">
        <v>7.84</v>
      </c>
      <c r="H6903" t="s">
        <v>41</v>
      </c>
      <c r="I6903" t="s">
        <v>42</v>
      </c>
      <c r="M6903">
        <f>VLOOKUP(H6903,'Stage Order'!$A$2:$B$8,2,FALSE)</f>
        <v>2</v>
      </c>
      <c r="N6903" t="str">
        <f t="shared" si="214"/>
        <v>2. 1-24 hours</v>
      </c>
      <c r="O6903" t="str">
        <f t="shared" si="215"/>
        <v>2026-01</v>
      </c>
    </row>
    <row r="6904" spans="1:15" x14ac:dyDescent="0.3">
      <c r="A6904" t="s">
        <v>16238</v>
      </c>
      <c r="B6904" t="s">
        <v>16239</v>
      </c>
      <c r="C6904" t="s">
        <v>37</v>
      </c>
      <c r="D6904" t="s">
        <v>38</v>
      </c>
      <c r="E6904" t="s">
        <v>59</v>
      </c>
      <c r="F6904" t="s">
        <v>60</v>
      </c>
      <c r="G6904">
        <v>4.13</v>
      </c>
      <c r="H6904" t="s">
        <v>146</v>
      </c>
      <c r="I6904" t="s">
        <v>48</v>
      </c>
      <c r="J6904" t="s">
        <v>98</v>
      </c>
      <c r="K6904">
        <v>343.83</v>
      </c>
      <c r="L6904" t="s">
        <v>16240</v>
      </c>
      <c r="M6904">
        <f>VLOOKUP(H6904,'Stage Order'!$A$2:$B$8,2,FALSE)</f>
        <v>5</v>
      </c>
      <c r="N6904" t="str">
        <f t="shared" si="214"/>
        <v>2. 1-24 hours</v>
      </c>
      <c r="O6904" t="str">
        <f t="shared" si="215"/>
        <v>2025-09</v>
      </c>
    </row>
    <row r="6905" spans="1:15" x14ac:dyDescent="0.3">
      <c r="A6905" t="s">
        <v>16241</v>
      </c>
      <c r="B6905" t="s">
        <v>16242</v>
      </c>
      <c r="C6905" t="s">
        <v>28</v>
      </c>
      <c r="D6905" t="s">
        <v>29</v>
      </c>
      <c r="E6905" t="s">
        <v>39</v>
      </c>
      <c r="F6905" t="s">
        <v>40</v>
      </c>
      <c r="G6905">
        <v>2.63</v>
      </c>
      <c r="H6905" t="s">
        <v>32</v>
      </c>
      <c r="I6905" t="s">
        <v>33</v>
      </c>
      <c r="K6905">
        <v>707.76</v>
      </c>
      <c r="L6905" t="s">
        <v>16243</v>
      </c>
      <c r="M6905">
        <f>VLOOKUP(H6905,'Stage Order'!$A$2:$B$8,2,FALSE)</f>
        <v>7</v>
      </c>
      <c r="N6905" t="str">
        <f t="shared" si="214"/>
        <v>2. 1-24 hours</v>
      </c>
      <c r="O6905" t="str">
        <f t="shared" si="215"/>
        <v>2026-05</v>
      </c>
    </row>
    <row r="6906" spans="1:15" x14ac:dyDescent="0.3">
      <c r="A6906" t="s">
        <v>16244</v>
      </c>
      <c r="B6906" t="s">
        <v>16245</v>
      </c>
      <c r="C6906" t="s">
        <v>81</v>
      </c>
      <c r="D6906" t="s">
        <v>54</v>
      </c>
      <c r="E6906" t="s">
        <v>30</v>
      </c>
      <c r="F6906" t="s">
        <v>82</v>
      </c>
      <c r="G6906">
        <v>2.5299999999999998</v>
      </c>
      <c r="H6906" t="s">
        <v>61</v>
      </c>
      <c r="I6906" t="s">
        <v>42</v>
      </c>
      <c r="M6906">
        <f>VLOOKUP(H6906,'Stage Order'!$A$2:$B$8,2,FALSE)</f>
        <v>1</v>
      </c>
      <c r="N6906" t="str">
        <f t="shared" si="214"/>
        <v>2. 1-24 hours</v>
      </c>
      <c r="O6906" t="str">
        <f t="shared" si="215"/>
        <v>2026-05</v>
      </c>
    </row>
    <row r="6907" spans="1:15" x14ac:dyDescent="0.3">
      <c r="A6907" t="s">
        <v>16246</v>
      </c>
      <c r="B6907" t="s">
        <v>16247</v>
      </c>
      <c r="C6907" t="s">
        <v>37</v>
      </c>
      <c r="D6907" t="s">
        <v>38</v>
      </c>
      <c r="E6907" t="s">
        <v>90</v>
      </c>
      <c r="F6907" t="s">
        <v>145</v>
      </c>
      <c r="G6907">
        <v>4.04</v>
      </c>
      <c r="H6907" t="s">
        <v>41</v>
      </c>
      <c r="I6907" t="s">
        <v>42</v>
      </c>
      <c r="M6907">
        <f>VLOOKUP(H6907,'Stage Order'!$A$2:$B$8,2,FALSE)</f>
        <v>2</v>
      </c>
      <c r="N6907" t="str">
        <f t="shared" si="214"/>
        <v>2. 1-24 hours</v>
      </c>
      <c r="O6907" t="str">
        <f t="shared" si="215"/>
        <v>2025-01</v>
      </c>
    </row>
    <row r="6908" spans="1:15" x14ac:dyDescent="0.3">
      <c r="A6908" t="s">
        <v>16248</v>
      </c>
      <c r="B6908" t="s">
        <v>16249</v>
      </c>
      <c r="C6908" t="s">
        <v>37</v>
      </c>
      <c r="D6908" t="s">
        <v>97</v>
      </c>
      <c r="E6908" t="s">
        <v>39</v>
      </c>
      <c r="F6908" t="s">
        <v>66</v>
      </c>
      <c r="G6908">
        <v>1.38</v>
      </c>
      <c r="H6908" t="s">
        <v>61</v>
      </c>
      <c r="I6908" t="s">
        <v>42</v>
      </c>
      <c r="M6908">
        <f>VLOOKUP(H6908,'Stage Order'!$A$2:$B$8,2,FALSE)</f>
        <v>1</v>
      </c>
      <c r="N6908" t="str">
        <f t="shared" si="214"/>
        <v>2. 1-24 hours</v>
      </c>
      <c r="O6908" t="str">
        <f t="shared" si="215"/>
        <v>2025-10</v>
      </c>
    </row>
    <row r="6909" spans="1:15" x14ac:dyDescent="0.3">
      <c r="A6909" t="s">
        <v>16250</v>
      </c>
      <c r="B6909" t="s">
        <v>16251</v>
      </c>
      <c r="C6909" t="s">
        <v>53</v>
      </c>
      <c r="D6909" t="s">
        <v>54</v>
      </c>
      <c r="E6909" t="s">
        <v>30</v>
      </c>
      <c r="F6909" t="s">
        <v>78</v>
      </c>
      <c r="G6909">
        <v>2.12</v>
      </c>
      <c r="H6909" t="s">
        <v>41</v>
      </c>
      <c r="I6909" t="s">
        <v>42</v>
      </c>
      <c r="M6909">
        <f>VLOOKUP(H6909,'Stage Order'!$A$2:$B$8,2,FALSE)</f>
        <v>2</v>
      </c>
      <c r="N6909" t="str">
        <f t="shared" si="214"/>
        <v>2. 1-24 hours</v>
      </c>
      <c r="O6909" t="str">
        <f t="shared" si="215"/>
        <v>2025-09</v>
      </c>
    </row>
    <row r="6910" spans="1:15" x14ac:dyDescent="0.3">
      <c r="A6910" t="s">
        <v>16252</v>
      </c>
      <c r="B6910" t="s">
        <v>16253</v>
      </c>
      <c r="C6910" t="s">
        <v>58</v>
      </c>
      <c r="D6910" t="s">
        <v>54</v>
      </c>
      <c r="E6910" t="s">
        <v>59</v>
      </c>
      <c r="F6910" t="s">
        <v>137</v>
      </c>
      <c r="G6910">
        <v>6.49</v>
      </c>
      <c r="H6910" t="s">
        <v>128</v>
      </c>
      <c r="I6910" t="s">
        <v>42</v>
      </c>
      <c r="M6910">
        <f>VLOOKUP(H6910,'Stage Order'!$A$2:$B$8,2,FALSE)</f>
        <v>3</v>
      </c>
      <c r="N6910" t="str">
        <f t="shared" si="214"/>
        <v>2. 1-24 hours</v>
      </c>
      <c r="O6910" t="str">
        <f t="shared" si="215"/>
        <v>2025-05</v>
      </c>
    </row>
    <row r="6911" spans="1:15" x14ac:dyDescent="0.3">
      <c r="A6911" t="s">
        <v>16254</v>
      </c>
      <c r="B6911" t="s">
        <v>16255</v>
      </c>
      <c r="C6911" t="s">
        <v>125</v>
      </c>
      <c r="D6911" t="s">
        <v>38</v>
      </c>
      <c r="E6911" t="s">
        <v>59</v>
      </c>
      <c r="F6911" t="s">
        <v>60</v>
      </c>
      <c r="G6911">
        <v>5.72</v>
      </c>
      <c r="H6911" t="s">
        <v>61</v>
      </c>
      <c r="I6911" t="s">
        <v>42</v>
      </c>
      <c r="M6911">
        <f>VLOOKUP(H6911,'Stage Order'!$A$2:$B$8,2,FALSE)</f>
        <v>1</v>
      </c>
      <c r="N6911" t="str">
        <f t="shared" si="214"/>
        <v>2. 1-24 hours</v>
      </c>
      <c r="O6911" t="str">
        <f t="shared" si="215"/>
        <v>2026-03</v>
      </c>
    </row>
    <row r="6912" spans="1:15" x14ac:dyDescent="0.3">
      <c r="A6912" t="s">
        <v>16256</v>
      </c>
      <c r="B6912" t="s">
        <v>16257</v>
      </c>
      <c r="C6912" t="s">
        <v>125</v>
      </c>
      <c r="D6912" t="s">
        <v>97</v>
      </c>
      <c r="E6912" t="s">
        <v>59</v>
      </c>
      <c r="F6912" t="s">
        <v>60</v>
      </c>
      <c r="G6912">
        <v>0.78</v>
      </c>
      <c r="H6912" t="s">
        <v>32</v>
      </c>
      <c r="I6912" t="s">
        <v>33</v>
      </c>
      <c r="K6912">
        <v>1563.82</v>
      </c>
      <c r="L6912" t="s">
        <v>16258</v>
      </c>
      <c r="M6912">
        <f>VLOOKUP(H6912,'Stage Order'!$A$2:$B$8,2,FALSE)</f>
        <v>7</v>
      </c>
      <c r="N6912" t="str">
        <f t="shared" si="214"/>
        <v>1. Under 1 hour</v>
      </c>
      <c r="O6912" t="str">
        <f t="shared" si="215"/>
        <v>2026-03</v>
      </c>
    </row>
    <row r="6913" spans="1:15" x14ac:dyDescent="0.3">
      <c r="A6913" t="s">
        <v>16259</v>
      </c>
      <c r="B6913" t="s">
        <v>16260</v>
      </c>
      <c r="C6913" t="s">
        <v>125</v>
      </c>
      <c r="D6913" t="s">
        <v>54</v>
      </c>
      <c r="E6913" t="s">
        <v>90</v>
      </c>
      <c r="F6913" t="s">
        <v>112</v>
      </c>
      <c r="G6913">
        <v>2.04</v>
      </c>
      <c r="H6913" t="s">
        <v>61</v>
      </c>
      <c r="I6913" t="s">
        <v>42</v>
      </c>
      <c r="M6913">
        <f>VLOOKUP(H6913,'Stage Order'!$A$2:$B$8,2,FALSE)</f>
        <v>1</v>
      </c>
      <c r="N6913" t="str">
        <f t="shared" si="214"/>
        <v>2. 1-24 hours</v>
      </c>
      <c r="O6913" t="str">
        <f t="shared" si="215"/>
        <v>2025-04</v>
      </c>
    </row>
    <row r="6914" spans="1:15" x14ac:dyDescent="0.3">
      <c r="A6914" t="s">
        <v>16261</v>
      </c>
      <c r="B6914" t="s">
        <v>16262</v>
      </c>
      <c r="C6914" t="s">
        <v>37</v>
      </c>
      <c r="D6914" t="s">
        <v>77</v>
      </c>
      <c r="E6914" t="s">
        <v>45</v>
      </c>
      <c r="F6914" t="s">
        <v>46</v>
      </c>
      <c r="G6914">
        <v>1.41</v>
      </c>
      <c r="H6914" t="s">
        <v>41</v>
      </c>
      <c r="I6914" t="s">
        <v>42</v>
      </c>
      <c r="M6914">
        <f>VLOOKUP(H6914,'Stage Order'!$A$2:$B$8,2,FALSE)</f>
        <v>2</v>
      </c>
      <c r="N6914" t="str">
        <f t="shared" ref="N6914:N6977" si="216">IF(G6914&lt;=1,"1. Under 1 hour",IF(G6914&lt;=24,"2. 1-24 hours",IF(G6914&lt;=72,"3. 1-3 days","4. Over 3 days")))</f>
        <v>2. 1-24 hours</v>
      </c>
      <c r="O6914" t="str">
        <f t="shared" ref="O6914:O6977" si="217">TEXT(B6914,"YYYY-MM")</f>
        <v>2025-12</v>
      </c>
    </row>
    <row r="6915" spans="1:15" x14ac:dyDescent="0.3">
      <c r="A6915" t="s">
        <v>16263</v>
      </c>
      <c r="B6915" t="s">
        <v>16264</v>
      </c>
      <c r="C6915" t="s">
        <v>125</v>
      </c>
      <c r="D6915" t="s">
        <v>29</v>
      </c>
      <c r="E6915" t="s">
        <v>30</v>
      </c>
      <c r="F6915" t="s">
        <v>31</v>
      </c>
      <c r="G6915">
        <v>1.25</v>
      </c>
      <c r="H6915" t="s">
        <v>41</v>
      </c>
      <c r="I6915" t="s">
        <v>42</v>
      </c>
      <c r="M6915">
        <f>VLOOKUP(H6915,'Stage Order'!$A$2:$B$8,2,FALSE)</f>
        <v>2</v>
      </c>
      <c r="N6915" t="str">
        <f t="shared" si="216"/>
        <v>2. 1-24 hours</v>
      </c>
      <c r="O6915" t="str">
        <f t="shared" si="217"/>
        <v>2025-02</v>
      </c>
    </row>
    <row r="6916" spans="1:15" x14ac:dyDescent="0.3">
      <c r="A6916" t="s">
        <v>16265</v>
      </c>
      <c r="B6916" t="s">
        <v>16266</v>
      </c>
      <c r="C6916" t="s">
        <v>81</v>
      </c>
      <c r="D6916" t="s">
        <v>38</v>
      </c>
      <c r="E6916" t="s">
        <v>90</v>
      </c>
      <c r="F6916" t="s">
        <v>112</v>
      </c>
      <c r="G6916">
        <v>4.91</v>
      </c>
      <c r="H6916" t="s">
        <v>61</v>
      </c>
      <c r="I6916" t="s">
        <v>42</v>
      </c>
      <c r="M6916">
        <f>VLOOKUP(H6916,'Stage Order'!$A$2:$B$8,2,FALSE)</f>
        <v>1</v>
      </c>
      <c r="N6916" t="str">
        <f t="shared" si="216"/>
        <v>2. 1-24 hours</v>
      </c>
      <c r="O6916" t="str">
        <f t="shared" si="217"/>
        <v>2025-07</v>
      </c>
    </row>
    <row r="6917" spans="1:15" x14ac:dyDescent="0.3">
      <c r="A6917" t="s">
        <v>16267</v>
      </c>
      <c r="B6917" t="s">
        <v>16268</v>
      </c>
      <c r="C6917" t="s">
        <v>53</v>
      </c>
      <c r="D6917" t="s">
        <v>77</v>
      </c>
      <c r="E6917" t="s">
        <v>39</v>
      </c>
      <c r="F6917" t="s">
        <v>106</v>
      </c>
      <c r="G6917">
        <v>1.64</v>
      </c>
      <c r="H6917" t="s">
        <v>138</v>
      </c>
      <c r="I6917" t="s">
        <v>48</v>
      </c>
      <c r="J6917" t="s">
        <v>49</v>
      </c>
      <c r="K6917">
        <v>935.15</v>
      </c>
      <c r="L6917" t="s">
        <v>16269</v>
      </c>
      <c r="M6917">
        <f>VLOOKUP(H6917,'Stage Order'!$A$2:$B$8,2,FALSE)</f>
        <v>6</v>
      </c>
      <c r="N6917" t="str">
        <f t="shared" si="216"/>
        <v>2. 1-24 hours</v>
      </c>
      <c r="O6917" t="str">
        <f t="shared" si="217"/>
        <v>2026-06</v>
      </c>
    </row>
    <row r="6918" spans="1:15" x14ac:dyDescent="0.3">
      <c r="A6918" t="s">
        <v>16270</v>
      </c>
      <c r="B6918" t="s">
        <v>16271</v>
      </c>
      <c r="C6918" t="s">
        <v>58</v>
      </c>
      <c r="D6918" t="s">
        <v>54</v>
      </c>
      <c r="E6918" t="s">
        <v>90</v>
      </c>
      <c r="F6918" t="s">
        <v>91</v>
      </c>
      <c r="G6918">
        <v>3.52</v>
      </c>
      <c r="H6918" t="s">
        <v>41</v>
      </c>
      <c r="I6918" t="s">
        <v>42</v>
      </c>
      <c r="M6918">
        <f>VLOOKUP(H6918,'Stage Order'!$A$2:$B$8,2,FALSE)</f>
        <v>2</v>
      </c>
      <c r="N6918" t="str">
        <f t="shared" si="216"/>
        <v>2. 1-24 hours</v>
      </c>
      <c r="O6918" t="str">
        <f t="shared" si="217"/>
        <v>2025-11</v>
      </c>
    </row>
    <row r="6919" spans="1:15" x14ac:dyDescent="0.3">
      <c r="A6919" t="s">
        <v>16272</v>
      </c>
      <c r="B6919" t="s">
        <v>16273</v>
      </c>
      <c r="C6919" t="s">
        <v>37</v>
      </c>
      <c r="D6919" t="s">
        <v>77</v>
      </c>
      <c r="E6919" t="s">
        <v>45</v>
      </c>
      <c r="F6919" t="s">
        <v>94</v>
      </c>
      <c r="G6919">
        <v>6.69</v>
      </c>
      <c r="H6919" t="s">
        <v>32</v>
      </c>
      <c r="I6919" t="s">
        <v>33</v>
      </c>
      <c r="K6919">
        <v>1078.02</v>
      </c>
      <c r="L6919" t="s">
        <v>16274</v>
      </c>
      <c r="M6919">
        <f>VLOOKUP(H6919,'Stage Order'!$A$2:$B$8,2,FALSE)</f>
        <v>7</v>
      </c>
      <c r="N6919" t="str">
        <f t="shared" si="216"/>
        <v>2. 1-24 hours</v>
      </c>
      <c r="O6919" t="str">
        <f t="shared" si="217"/>
        <v>2025-06</v>
      </c>
    </row>
    <row r="6920" spans="1:15" x14ac:dyDescent="0.3">
      <c r="A6920" t="s">
        <v>16275</v>
      </c>
      <c r="B6920" t="s">
        <v>16276</v>
      </c>
      <c r="C6920" t="s">
        <v>125</v>
      </c>
      <c r="D6920" t="s">
        <v>54</v>
      </c>
      <c r="E6920" t="s">
        <v>39</v>
      </c>
      <c r="F6920" t="s">
        <v>106</v>
      </c>
      <c r="G6920">
        <v>1.21</v>
      </c>
      <c r="H6920" t="s">
        <v>47</v>
      </c>
      <c r="I6920" t="s">
        <v>48</v>
      </c>
      <c r="J6920" t="s">
        <v>113</v>
      </c>
      <c r="K6920">
        <v>422.58</v>
      </c>
      <c r="L6920" t="s">
        <v>16277</v>
      </c>
      <c r="M6920">
        <f>VLOOKUP(H6920,'Stage Order'!$A$2:$B$8,2,FALSE)</f>
        <v>4</v>
      </c>
      <c r="N6920" t="str">
        <f t="shared" si="216"/>
        <v>2. 1-24 hours</v>
      </c>
      <c r="O6920" t="str">
        <f t="shared" si="217"/>
        <v>2025-06</v>
      </c>
    </row>
    <row r="6921" spans="1:15" x14ac:dyDescent="0.3">
      <c r="A6921" t="s">
        <v>16278</v>
      </c>
      <c r="B6921" t="s">
        <v>16279</v>
      </c>
      <c r="C6921" t="s">
        <v>58</v>
      </c>
      <c r="D6921" t="s">
        <v>77</v>
      </c>
      <c r="E6921" t="s">
        <v>45</v>
      </c>
      <c r="F6921" t="s">
        <v>94</v>
      </c>
      <c r="G6921">
        <v>10.85</v>
      </c>
      <c r="H6921" t="s">
        <v>41</v>
      </c>
      <c r="I6921" t="s">
        <v>42</v>
      </c>
      <c r="M6921">
        <f>VLOOKUP(H6921,'Stage Order'!$A$2:$B$8,2,FALSE)</f>
        <v>2</v>
      </c>
      <c r="N6921" t="str">
        <f t="shared" si="216"/>
        <v>2. 1-24 hours</v>
      </c>
      <c r="O6921" t="str">
        <f t="shared" si="217"/>
        <v>2025-10</v>
      </c>
    </row>
    <row r="6922" spans="1:15" x14ac:dyDescent="0.3">
      <c r="A6922" t="s">
        <v>16280</v>
      </c>
      <c r="B6922" t="s">
        <v>16281</v>
      </c>
      <c r="C6922" t="s">
        <v>58</v>
      </c>
      <c r="D6922" t="s">
        <v>38</v>
      </c>
      <c r="E6922" t="s">
        <v>59</v>
      </c>
      <c r="F6922" t="s">
        <v>117</v>
      </c>
      <c r="G6922">
        <v>3.72</v>
      </c>
      <c r="H6922" t="s">
        <v>138</v>
      </c>
      <c r="I6922" t="s">
        <v>48</v>
      </c>
      <c r="J6922" t="s">
        <v>139</v>
      </c>
      <c r="K6922">
        <v>327.82</v>
      </c>
      <c r="L6922" t="s">
        <v>16282</v>
      </c>
      <c r="M6922">
        <f>VLOOKUP(H6922,'Stage Order'!$A$2:$B$8,2,FALSE)</f>
        <v>6</v>
      </c>
      <c r="N6922" t="str">
        <f t="shared" si="216"/>
        <v>2. 1-24 hours</v>
      </c>
      <c r="O6922" t="str">
        <f t="shared" si="217"/>
        <v>2026-01</v>
      </c>
    </row>
    <row r="6923" spans="1:15" x14ac:dyDescent="0.3">
      <c r="A6923" t="s">
        <v>16283</v>
      </c>
      <c r="B6923" t="s">
        <v>16284</v>
      </c>
      <c r="C6923" t="s">
        <v>28</v>
      </c>
      <c r="D6923" t="s">
        <v>29</v>
      </c>
      <c r="E6923" t="s">
        <v>59</v>
      </c>
      <c r="F6923" t="s">
        <v>137</v>
      </c>
      <c r="G6923">
        <v>3.03</v>
      </c>
      <c r="H6923" t="s">
        <v>41</v>
      </c>
      <c r="I6923" t="s">
        <v>42</v>
      </c>
      <c r="M6923">
        <f>VLOOKUP(H6923,'Stage Order'!$A$2:$B$8,2,FALSE)</f>
        <v>2</v>
      </c>
      <c r="N6923" t="str">
        <f t="shared" si="216"/>
        <v>2. 1-24 hours</v>
      </c>
      <c r="O6923" t="str">
        <f t="shared" si="217"/>
        <v>2025-07</v>
      </c>
    </row>
    <row r="6924" spans="1:15" x14ac:dyDescent="0.3">
      <c r="A6924" t="s">
        <v>16285</v>
      </c>
      <c r="B6924" t="s">
        <v>16286</v>
      </c>
      <c r="C6924" t="s">
        <v>76</v>
      </c>
      <c r="D6924" t="s">
        <v>29</v>
      </c>
      <c r="E6924" t="s">
        <v>90</v>
      </c>
      <c r="F6924" t="s">
        <v>112</v>
      </c>
      <c r="G6924">
        <v>5.89</v>
      </c>
      <c r="H6924" t="s">
        <v>41</v>
      </c>
      <c r="I6924" t="s">
        <v>42</v>
      </c>
      <c r="M6924">
        <f>VLOOKUP(H6924,'Stage Order'!$A$2:$B$8,2,FALSE)</f>
        <v>2</v>
      </c>
      <c r="N6924" t="str">
        <f t="shared" si="216"/>
        <v>2. 1-24 hours</v>
      </c>
      <c r="O6924" t="str">
        <f t="shared" si="217"/>
        <v>2026-03</v>
      </c>
    </row>
    <row r="6925" spans="1:15" x14ac:dyDescent="0.3">
      <c r="A6925" t="s">
        <v>16287</v>
      </c>
      <c r="B6925" t="s">
        <v>16288</v>
      </c>
      <c r="C6925" t="s">
        <v>37</v>
      </c>
      <c r="D6925" t="s">
        <v>54</v>
      </c>
      <c r="E6925" t="s">
        <v>39</v>
      </c>
      <c r="F6925" t="s">
        <v>40</v>
      </c>
      <c r="G6925">
        <v>1.6</v>
      </c>
      <c r="H6925" t="s">
        <v>41</v>
      </c>
      <c r="I6925" t="s">
        <v>42</v>
      </c>
      <c r="M6925">
        <f>VLOOKUP(H6925,'Stage Order'!$A$2:$B$8,2,FALSE)</f>
        <v>2</v>
      </c>
      <c r="N6925" t="str">
        <f t="shared" si="216"/>
        <v>2. 1-24 hours</v>
      </c>
      <c r="O6925" t="str">
        <f t="shared" si="217"/>
        <v>2026-03</v>
      </c>
    </row>
    <row r="6926" spans="1:15" x14ac:dyDescent="0.3">
      <c r="A6926" t="s">
        <v>16289</v>
      </c>
      <c r="B6926" t="s">
        <v>16290</v>
      </c>
      <c r="C6926" t="s">
        <v>58</v>
      </c>
      <c r="D6926" t="s">
        <v>97</v>
      </c>
      <c r="E6926" t="s">
        <v>59</v>
      </c>
      <c r="F6926" t="s">
        <v>117</v>
      </c>
      <c r="G6926">
        <v>0.41</v>
      </c>
      <c r="H6926" t="s">
        <v>41</v>
      </c>
      <c r="I6926" t="s">
        <v>42</v>
      </c>
      <c r="M6926">
        <f>VLOOKUP(H6926,'Stage Order'!$A$2:$B$8,2,FALSE)</f>
        <v>2</v>
      </c>
      <c r="N6926" t="str">
        <f t="shared" si="216"/>
        <v>1. Under 1 hour</v>
      </c>
      <c r="O6926" t="str">
        <f t="shared" si="217"/>
        <v>2025-07</v>
      </c>
    </row>
    <row r="6927" spans="1:15" x14ac:dyDescent="0.3">
      <c r="A6927" t="s">
        <v>16291</v>
      </c>
      <c r="B6927" t="s">
        <v>16292</v>
      </c>
      <c r="C6927" t="s">
        <v>58</v>
      </c>
      <c r="D6927" t="s">
        <v>77</v>
      </c>
      <c r="E6927" t="s">
        <v>59</v>
      </c>
      <c r="F6927" t="s">
        <v>117</v>
      </c>
      <c r="G6927">
        <v>5.67</v>
      </c>
      <c r="H6927" t="s">
        <v>41</v>
      </c>
      <c r="I6927" t="s">
        <v>42</v>
      </c>
      <c r="M6927">
        <f>VLOOKUP(H6927,'Stage Order'!$A$2:$B$8,2,FALSE)</f>
        <v>2</v>
      </c>
      <c r="N6927" t="str">
        <f t="shared" si="216"/>
        <v>2. 1-24 hours</v>
      </c>
      <c r="O6927" t="str">
        <f t="shared" si="217"/>
        <v>2025-10</v>
      </c>
    </row>
    <row r="6928" spans="1:15" x14ac:dyDescent="0.3">
      <c r="A6928" t="s">
        <v>16293</v>
      </c>
      <c r="B6928" t="s">
        <v>16294</v>
      </c>
      <c r="C6928" t="s">
        <v>28</v>
      </c>
      <c r="D6928" t="s">
        <v>29</v>
      </c>
      <c r="E6928" t="s">
        <v>30</v>
      </c>
      <c r="F6928" t="s">
        <v>78</v>
      </c>
      <c r="G6928">
        <v>0.64</v>
      </c>
      <c r="H6928" t="s">
        <v>32</v>
      </c>
      <c r="I6928" t="s">
        <v>33</v>
      </c>
      <c r="K6928">
        <v>672.5</v>
      </c>
      <c r="L6928" t="s">
        <v>16295</v>
      </c>
      <c r="M6928">
        <f>VLOOKUP(H6928,'Stage Order'!$A$2:$B$8,2,FALSE)</f>
        <v>7</v>
      </c>
      <c r="N6928" t="str">
        <f t="shared" si="216"/>
        <v>1. Under 1 hour</v>
      </c>
      <c r="O6928" t="str">
        <f t="shared" si="217"/>
        <v>2026-05</v>
      </c>
    </row>
    <row r="6929" spans="1:15" x14ac:dyDescent="0.3">
      <c r="A6929" t="s">
        <v>16296</v>
      </c>
      <c r="B6929" t="s">
        <v>16297</v>
      </c>
      <c r="C6929" t="s">
        <v>53</v>
      </c>
      <c r="D6929" t="s">
        <v>54</v>
      </c>
      <c r="E6929" t="s">
        <v>59</v>
      </c>
      <c r="F6929" t="s">
        <v>117</v>
      </c>
      <c r="G6929">
        <v>4.2</v>
      </c>
      <c r="H6929" t="s">
        <v>32</v>
      </c>
      <c r="I6929" t="s">
        <v>33</v>
      </c>
      <c r="K6929">
        <v>589.76</v>
      </c>
      <c r="L6929" t="s">
        <v>16298</v>
      </c>
      <c r="M6929">
        <f>VLOOKUP(H6929,'Stage Order'!$A$2:$B$8,2,FALSE)</f>
        <v>7</v>
      </c>
      <c r="N6929" t="str">
        <f t="shared" si="216"/>
        <v>2. 1-24 hours</v>
      </c>
      <c r="O6929" t="str">
        <f t="shared" si="217"/>
        <v>2026-06</v>
      </c>
    </row>
    <row r="6930" spans="1:15" x14ac:dyDescent="0.3">
      <c r="A6930" t="s">
        <v>16299</v>
      </c>
      <c r="B6930" t="s">
        <v>16300</v>
      </c>
      <c r="C6930" t="s">
        <v>53</v>
      </c>
      <c r="D6930" t="s">
        <v>54</v>
      </c>
      <c r="E6930" t="s">
        <v>45</v>
      </c>
      <c r="F6930" t="s">
        <v>55</v>
      </c>
      <c r="G6930">
        <v>4.8099999999999996</v>
      </c>
      <c r="H6930" t="s">
        <v>41</v>
      </c>
      <c r="I6930" t="s">
        <v>42</v>
      </c>
      <c r="M6930">
        <f>VLOOKUP(H6930,'Stage Order'!$A$2:$B$8,2,FALSE)</f>
        <v>2</v>
      </c>
      <c r="N6930" t="str">
        <f t="shared" si="216"/>
        <v>2. 1-24 hours</v>
      </c>
      <c r="O6930" t="str">
        <f t="shared" si="217"/>
        <v>2026-01</v>
      </c>
    </row>
    <row r="6931" spans="1:15" x14ac:dyDescent="0.3">
      <c r="A6931" t="s">
        <v>16301</v>
      </c>
      <c r="B6931" t="s">
        <v>16302</v>
      </c>
      <c r="C6931" t="s">
        <v>125</v>
      </c>
      <c r="D6931" t="s">
        <v>97</v>
      </c>
      <c r="E6931" t="s">
        <v>39</v>
      </c>
      <c r="F6931" t="s">
        <v>66</v>
      </c>
      <c r="G6931">
        <v>21.16</v>
      </c>
      <c r="H6931" t="s">
        <v>61</v>
      </c>
      <c r="I6931" t="s">
        <v>42</v>
      </c>
      <c r="M6931">
        <f>VLOOKUP(H6931,'Stage Order'!$A$2:$B$8,2,FALSE)</f>
        <v>1</v>
      </c>
      <c r="N6931" t="str">
        <f t="shared" si="216"/>
        <v>2. 1-24 hours</v>
      </c>
      <c r="O6931" t="str">
        <f t="shared" si="217"/>
        <v>2025-05</v>
      </c>
    </row>
    <row r="6932" spans="1:15" x14ac:dyDescent="0.3">
      <c r="A6932" t="s">
        <v>16303</v>
      </c>
      <c r="B6932" t="s">
        <v>16304</v>
      </c>
      <c r="C6932" t="s">
        <v>76</v>
      </c>
      <c r="D6932" t="s">
        <v>54</v>
      </c>
      <c r="E6932" t="s">
        <v>59</v>
      </c>
      <c r="F6932" t="s">
        <v>137</v>
      </c>
      <c r="G6932">
        <v>5.45</v>
      </c>
      <c r="H6932" t="s">
        <v>41</v>
      </c>
      <c r="I6932" t="s">
        <v>42</v>
      </c>
      <c r="M6932">
        <f>VLOOKUP(H6932,'Stage Order'!$A$2:$B$8,2,FALSE)</f>
        <v>2</v>
      </c>
      <c r="N6932" t="str">
        <f t="shared" si="216"/>
        <v>2. 1-24 hours</v>
      </c>
      <c r="O6932" t="str">
        <f t="shared" si="217"/>
        <v>2025-10</v>
      </c>
    </row>
    <row r="6933" spans="1:15" x14ac:dyDescent="0.3">
      <c r="A6933" t="s">
        <v>16305</v>
      </c>
      <c r="B6933" t="s">
        <v>16306</v>
      </c>
      <c r="C6933" t="s">
        <v>37</v>
      </c>
      <c r="D6933" t="s">
        <v>97</v>
      </c>
      <c r="E6933" t="s">
        <v>90</v>
      </c>
      <c r="F6933" t="s">
        <v>112</v>
      </c>
      <c r="G6933">
        <v>4.6900000000000004</v>
      </c>
      <c r="H6933" t="s">
        <v>41</v>
      </c>
      <c r="I6933" t="s">
        <v>42</v>
      </c>
      <c r="M6933">
        <f>VLOOKUP(H6933,'Stage Order'!$A$2:$B$8,2,FALSE)</f>
        <v>2</v>
      </c>
      <c r="N6933" t="str">
        <f t="shared" si="216"/>
        <v>2. 1-24 hours</v>
      </c>
      <c r="O6933" t="str">
        <f t="shared" si="217"/>
        <v>2025-10</v>
      </c>
    </row>
    <row r="6934" spans="1:15" x14ac:dyDescent="0.3">
      <c r="A6934" t="s">
        <v>16307</v>
      </c>
      <c r="B6934" t="s">
        <v>16308</v>
      </c>
      <c r="C6934" t="s">
        <v>76</v>
      </c>
      <c r="D6934" t="s">
        <v>97</v>
      </c>
      <c r="E6934" t="s">
        <v>45</v>
      </c>
      <c r="F6934" t="s">
        <v>94</v>
      </c>
      <c r="G6934">
        <v>6.48</v>
      </c>
      <c r="H6934" t="s">
        <v>41</v>
      </c>
      <c r="I6934" t="s">
        <v>42</v>
      </c>
      <c r="M6934">
        <f>VLOOKUP(H6934,'Stage Order'!$A$2:$B$8,2,FALSE)</f>
        <v>2</v>
      </c>
      <c r="N6934" t="str">
        <f t="shared" si="216"/>
        <v>2. 1-24 hours</v>
      </c>
      <c r="O6934" t="str">
        <f t="shared" si="217"/>
        <v>2025-05</v>
      </c>
    </row>
    <row r="6935" spans="1:15" x14ac:dyDescent="0.3">
      <c r="A6935" t="s">
        <v>16309</v>
      </c>
      <c r="B6935" t="s">
        <v>16310</v>
      </c>
      <c r="C6935" t="s">
        <v>37</v>
      </c>
      <c r="D6935" t="s">
        <v>77</v>
      </c>
      <c r="E6935" t="s">
        <v>59</v>
      </c>
      <c r="F6935" t="s">
        <v>117</v>
      </c>
      <c r="G6935">
        <v>9.3699999999999992</v>
      </c>
      <c r="H6935" t="s">
        <v>41</v>
      </c>
      <c r="I6935" t="s">
        <v>42</v>
      </c>
      <c r="M6935">
        <f>VLOOKUP(H6935,'Stage Order'!$A$2:$B$8,2,FALSE)</f>
        <v>2</v>
      </c>
      <c r="N6935" t="str">
        <f t="shared" si="216"/>
        <v>2. 1-24 hours</v>
      </c>
      <c r="O6935" t="str">
        <f t="shared" si="217"/>
        <v>2025-09</v>
      </c>
    </row>
    <row r="6936" spans="1:15" x14ac:dyDescent="0.3">
      <c r="A6936" t="s">
        <v>16311</v>
      </c>
      <c r="B6936" t="s">
        <v>16312</v>
      </c>
      <c r="C6936" t="s">
        <v>76</v>
      </c>
      <c r="D6936" t="s">
        <v>38</v>
      </c>
      <c r="E6936" t="s">
        <v>45</v>
      </c>
      <c r="F6936" t="s">
        <v>46</v>
      </c>
      <c r="G6936">
        <v>3.85</v>
      </c>
      <c r="H6936" t="s">
        <v>41</v>
      </c>
      <c r="I6936" t="s">
        <v>42</v>
      </c>
      <c r="M6936">
        <f>VLOOKUP(H6936,'Stage Order'!$A$2:$B$8,2,FALSE)</f>
        <v>2</v>
      </c>
      <c r="N6936" t="str">
        <f t="shared" si="216"/>
        <v>2. 1-24 hours</v>
      </c>
      <c r="O6936" t="str">
        <f t="shared" si="217"/>
        <v>2025-10</v>
      </c>
    </row>
    <row r="6937" spans="1:15" x14ac:dyDescent="0.3">
      <c r="A6937" t="s">
        <v>16313</v>
      </c>
      <c r="B6937" t="s">
        <v>16314</v>
      </c>
      <c r="C6937" t="s">
        <v>58</v>
      </c>
      <c r="D6937" t="s">
        <v>54</v>
      </c>
      <c r="E6937" t="s">
        <v>59</v>
      </c>
      <c r="F6937" t="s">
        <v>117</v>
      </c>
      <c r="G6937">
        <v>1.02</v>
      </c>
      <c r="H6937" t="s">
        <v>61</v>
      </c>
      <c r="I6937" t="s">
        <v>42</v>
      </c>
      <c r="M6937">
        <f>VLOOKUP(H6937,'Stage Order'!$A$2:$B$8,2,FALSE)</f>
        <v>1</v>
      </c>
      <c r="N6937" t="str">
        <f t="shared" si="216"/>
        <v>2. 1-24 hours</v>
      </c>
      <c r="O6937" t="str">
        <f t="shared" si="217"/>
        <v>2025-11</v>
      </c>
    </row>
    <row r="6938" spans="1:15" x14ac:dyDescent="0.3">
      <c r="A6938" t="s">
        <v>16315</v>
      </c>
      <c r="B6938" t="s">
        <v>16316</v>
      </c>
      <c r="C6938" t="s">
        <v>81</v>
      </c>
      <c r="D6938" t="s">
        <v>54</v>
      </c>
      <c r="E6938" t="s">
        <v>39</v>
      </c>
      <c r="F6938" t="s">
        <v>66</v>
      </c>
      <c r="G6938">
        <v>7.19</v>
      </c>
      <c r="H6938" t="s">
        <v>41</v>
      </c>
      <c r="I6938" t="s">
        <v>42</v>
      </c>
      <c r="M6938">
        <f>VLOOKUP(H6938,'Stage Order'!$A$2:$B$8,2,FALSE)</f>
        <v>2</v>
      </c>
      <c r="N6938" t="str">
        <f t="shared" si="216"/>
        <v>2. 1-24 hours</v>
      </c>
      <c r="O6938" t="str">
        <f t="shared" si="217"/>
        <v>2025-04</v>
      </c>
    </row>
    <row r="6939" spans="1:15" x14ac:dyDescent="0.3">
      <c r="A6939" t="s">
        <v>16317</v>
      </c>
      <c r="B6939" t="s">
        <v>16318</v>
      </c>
      <c r="C6939" t="s">
        <v>125</v>
      </c>
      <c r="D6939" t="s">
        <v>29</v>
      </c>
      <c r="E6939" t="s">
        <v>59</v>
      </c>
      <c r="F6939" t="s">
        <v>117</v>
      </c>
      <c r="G6939">
        <v>11.71</v>
      </c>
      <c r="H6939" t="s">
        <v>41</v>
      </c>
      <c r="I6939" t="s">
        <v>42</v>
      </c>
      <c r="M6939">
        <f>VLOOKUP(H6939,'Stage Order'!$A$2:$B$8,2,FALSE)</f>
        <v>2</v>
      </c>
      <c r="N6939" t="str">
        <f t="shared" si="216"/>
        <v>2. 1-24 hours</v>
      </c>
      <c r="O6939" t="str">
        <f t="shared" si="217"/>
        <v>2025-12</v>
      </c>
    </row>
    <row r="6940" spans="1:15" x14ac:dyDescent="0.3">
      <c r="A6940" t="s">
        <v>16319</v>
      </c>
      <c r="B6940" t="s">
        <v>16320</v>
      </c>
      <c r="C6940" t="s">
        <v>53</v>
      </c>
      <c r="D6940" t="s">
        <v>77</v>
      </c>
      <c r="E6940" t="s">
        <v>39</v>
      </c>
      <c r="F6940" t="s">
        <v>66</v>
      </c>
      <c r="G6940">
        <v>0.86</v>
      </c>
      <c r="H6940" t="s">
        <v>41</v>
      </c>
      <c r="I6940" t="s">
        <v>42</v>
      </c>
      <c r="M6940">
        <f>VLOOKUP(H6940,'Stage Order'!$A$2:$B$8,2,FALSE)</f>
        <v>2</v>
      </c>
      <c r="N6940" t="str">
        <f t="shared" si="216"/>
        <v>1. Under 1 hour</v>
      </c>
      <c r="O6940" t="str">
        <f t="shared" si="217"/>
        <v>2025-04</v>
      </c>
    </row>
    <row r="6941" spans="1:15" x14ac:dyDescent="0.3">
      <c r="A6941" t="s">
        <v>16321</v>
      </c>
      <c r="B6941" t="s">
        <v>16322</v>
      </c>
      <c r="C6941" t="s">
        <v>125</v>
      </c>
      <c r="D6941" t="s">
        <v>77</v>
      </c>
      <c r="E6941" t="s">
        <v>30</v>
      </c>
      <c r="F6941" t="s">
        <v>82</v>
      </c>
      <c r="G6941">
        <v>4.3099999999999996</v>
      </c>
      <c r="H6941" t="s">
        <v>41</v>
      </c>
      <c r="I6941" t="s">
        <v>42</v>
      </c>
      <c r="M6941">
        <f>VLOOKUP(H6941,'Stage Order'!$A$2:$B$8,2,FALSE)</f>
        <v>2</v>
      </c>
      <c r="N6941" t="str">
        <f t="shared" si="216"/>
        <v>2. 1-24 hours</v>
      </c>
      <c r="O6941" t="str">
        <f t="shared" si="217"/>
        <v>2025-10</v>
      </c>
    </row>
    <row r="6942" spans="1:15" x14ac:dyDescent="0.3">
      <c r="A6942" t="s">
        <v>16323</v>
      </c>
      <c r="B6942" t="s">
        <v>16324</v>
      </c>
      <c r="C6942" t="s">
        <v>81</v>
      </c>
      <c r="D6942" t="s">
        <v>54</v>
      </c>
      <c r="E6942" t="s">
        <v>59</v>
      </c>
      <c r="F6942" t="s">
        <v>137</v>
      </c>
      <c r="G6942">
        <v>2.89</v>
      </c>
      <c r="H6942" t="s">
        <v>41</v>
      </c>
      <c r="I6942" t="s">
        <v>42</v>
      </c>
      <c r="M6942">
        <f>VLOOKUP(H6942,'Stage Order'!$A$2:$B$8,2,FALSE)</f>
        <v>2</v>
      </c>
      <c r="N6942" t="str">
        <f t="shared" si="216"/>
        <v>2. 1-24 hours</v>
      </c>
      <c r="O6942" t="str">
        <f t="shared" si="217"/>
        <v>2025-04</v>
      </c>
    </row>
    <row r="6943" spans="1:15" x14ac:dyDescent="0.3">
      <c r="A6943" t="s">
        <v>16325</v>
      </c>
      <c r="B6943" t="s">
        <v>16326</v>
      </c>
      <c r="C6943" t="s">
        <v>125</v>
      </c>
      <c r="D6943" t="s">
        <v>54</v>
      </c>
      <c r="E6943" t="s">
        <v>45</v>
      </c>
      <c r="F6943" t="s">
        <v>55</v>
      </c>
      <c r="G6943">
        <v>0.55000000000000004</v>
      </c>
      <c r="H6943" t="s">
        <v>41</v>
      </c>
      <c r="I6943" t="s">
        <v>42</v>
      </c>
      <c r="M6943">
        <f>VLOOKUP(H6943,'Stage Order'!$A$2:$B$8,2,FALSE)</f>
        <v>2</v>
      </c>
      <c r="N6943" t="str">
        <f t="shared" si="216"/>
        <v>1. Under 1 hour</v>
      </c>
      <c r="O6943" t="str">
        <f t="shared" si="217"/>
        <v>2025-12</v>
      </c>
    </row>
    <row r="6944" spans="1:15" x14ac:dyDescent="0.3">
      <c r="A6944" t="s">
        <v>16327</v>
      </c>
      <c r="B6944" t="s">
        <v>16328</v>
      </c>
      <c r="C6944" t="s">
        <v>125</v>
      </c>
      <c r="D6944" t="s">
        <v>38</v>
      </c>
      <c r="E6944" t="s">
        <v>39</v>
      </c>
      <c r="F6944" t="s">
        <v>40</v>
      </c>
      <c r="G6944">
        <v>5.22</v>
      </c>
      <c r="H6944" t="s">
        <v>61</v>
      </c>
      <c r="I6944" t="s">
        <v>42</v>
      </c>
      <c r="M6944">
        <f>VLOOKUP(H6944,'Stage Order'!$A$2:$B$8,2,FALSE)</f>
        <v>1</v>
      </c>
      <c r="N6944" t="str">
        <f t="shared" si="216"/>
        <v>2. 1-24 hours</v>
      </c>
      <c r="O6944" t="str">
        <f t="shared" si="217"/>
        <v>2026-02</v>
      </c>
    </row>
    <row r="6945" spans="1:15" x14ac:dyDescent="0.3">
      <c r="A6945" t="s">
        <v>16329</v>
      </c>
      <c r="B6945" t="s">
        <v>16330</v>
      </c>
      <c r="C6945" t="s">
        <v>58</v>
      </c>
      <c r="D6945" t="s">
        <v>77</v>
      </c>
      <c r="E6945" t="s">
        <v>45</v>
      </c>
      <c r="F6945" t="s">
        <v>94</v>
      </c>
      <c r="G6945">
        <v>2.68</v>
      </c>
      <c r="H6945" t="s">
        <v>41</v>
      </c>
      <c r="I6945" t="s">
        <v>42</v>
      </c>
      <c r="M6945">
        <f>VLOOKUP(H6945,'Stage Order'!$A$2:$B$8,2,FALSE)</f>
        <v>2</v>
      </c>
      <c r="N6945" t="str">
        <f t="shared" si="216"/>
        <v>2. 1-24 hours</v>
      </c>
      <c r="O6945" t="str">
        <f t="shared" si="217"/>
        <v>2025-05</v>
      </c>
    </row>
    <row r="6946" spans="1:15" x14ac:dyDescent="0.3">
      <c r="A6946" t="s">
        <v>16331</v>
      </c>
      <c r="B6946" t="s">
        <v>16332</v>
      </c>
      <c r="C6946" t="s">
        <v>28</v>
      </c>
      <c r="D6946" t="s">
        <v>97</v>
      </c>
      <c r="E6946" t="s">
        <v>39</v>
      </c>
      <c r="F6946" t="s">
        <v>66</v>
      </c>
      <c r="G6946">
        <v>5.78</v>
      </c>
      <c r="H6946" t="s">
        <v>41</v>
      </c>
      <c r="I6946" t="s">
        <v>42</v>
      </c>
      <c r="M6946">
        <f>VLOOKUP(H6946,'Stage Order'!$A$2:$B$8,2,FALSE)</f>
        <v>2</v>
      </c>
      <c r="N6946" t="str">
        <f t="shared" si="216"/>
        <v>2. 1-24 hours</v>
      </c>
      <c r="O6946" t="str">
        <f t="shared" si="217"/>
        <v>2025-10</v>
      </c>
    </row>
    <row r="6947" spans="1:15" x14ac:dyDescent="0.3">
      <c r="A6947" t="s">
        <v>16333</v>
      </c>
      <c r="B6947" t="s">
        <v>16334</v>
      </c>
      <c r="C6947" t="s">
        <v>53</v>
      </c>
      <c r="D6947" t="s">
        <v>77</v>
      </c>
      <c r="E6947" t="s">
        <v>39</v>
      </c>
      <c r="F6947" t="s">
        <v>66</v>
      </c>
      <c r="G6947">
        <v>2.64</v>
      </c>
      <c r="H6947" t="s">
        <v>41</v>
      </c>
      <c r="I6947" t="s">
        <v>42</v>
      </c>
      <c r="M6947">
        <f>VLOOKUP(H6947,'Stage Order'!$A$2:$B$8,2,FALSE)</f>
        <v>2</v>
      </c>
      <c r="N6947" t="str">
        <f t="shared" si="216"/>
        <v>2. 1-24 hours</v>
      </c>
      <c r="O6947" t="str">
        <f t="shared" si="217"/>
        <v>2025-01</v>
      </c>
    </row>
    <row r="6948" spans="1:15" x14ac:dyDescent="0.3">
      <c r="A6948" t="s">
        <v>16335</v>
      </c>
      <c r="B6948" t="s">
        <v>16336</v>
      </c>
      <c r="C6948" t="s">
        <v>58</v>
      </c>
      <c r="D6948" t="s">
        <v>54</v>
      </c>
      <c r="E6948" t="s">
        <v>39</v>
      </c>
      <c r="F6948" t="s">
        <v>106</v>
      </c>
      <c r="G6948">
        <v>1.69</v>
      </c>
      <c r="H6948" t="s">
        <v>47</v>
      </c>
      <c r="I6948" t="s">
        <v>48</v>
      </c>
      <c r="J6948" t="s">
        <v>49</v>
      </c>
      <c r="K6948">
        <v>415.26</v>
      </c>
      <c r="L6948" t="s">
        <v>16337</v>
      </c>
      <c r="M6948">
        <f>VLOOKUP(H6948,'Stage Order'!$A$2:$B$8,2,FALSE)</f>
        <v>4</v>
      </c>
      <c r="N6948" t="str">
        <f t="shared" si="216"/>
        <v>2. 1-24 hours</v>
      </c>
      <c r="O6948" t="str">
        <f t="shared" si="217"/>
        <v>2026-02</v>
      </c>
    </row>
    <row r="6949" spans="1:15" x14ac:dyDescent="0.3">
      <c r="A6949" t="s">
        <v>16338</v>
      </c>
      <c r="B6949" t="s">
        <v>16339</v>
      </c>
      <c r="C6949" t="s">
        <v>125</v>
      </c>
      <c r="D6949" t="s">
        <v>54</v>
      </c>
      <c r="E6949" t="s">
        <v>59</v>
      </c>
      <c r="F6949" t="s">
        <v>137</v>
      </c>
      <c r="G6949">
        <v>1.0900000000000001</v>
      </c>
      <c r="H6949" t="s">
        <v>41</v>
      </c>
      <c r="I6949" t="s">
        <v>42</v>
      </c>
      <c r="M6949">
        <f>VLOOKUP(H6949,'Stage Order'!$A$2:$B$8,2,FALSE)</f>
        <v>2</v>
      </c>
      <c r="N6949" t="str">
        <f t="shared" si="216"/>
        <v>2. 1-24 hours</v>
      </c>
      <c r="O6949" t="str">
        <f t="shared" si="217"/>
        <v>2026-01</v>
      </c>
    </row>
    <row r="6950" spans="1:15" x14ac:dyDescent="0.3">
      <c r="A6950" t="s">
        <v>16340</v>
      </c>
      <c r="B6950" t="s">
        <v>16341</v>
      </c>
      <c r="C6950" t="s">
        <v>81</v>
      </c>
      <c r="D6950" t="s">
        <v>97</v>
      </c>
      <c r="E6950" t="s">
        <v>90</v>
      </c>
      <c r="F6950" t="s">
        <v>112</v>
      </c>
      <c r="G6950">
        <v>2.2000000000000002</v>
      </c>
      <c r="H6950" t="s">
        <v>128</v>
      </c>
      <c r="I6950" t="s">
        <v>42</v>
      </c>
      <c r="M6950">
        <f>VLOOKUP(H6950,'Stage Order'!$A$2:$B$8,2,FALSE)</f>
        <v>3</v>
      </c>
      <c r="N6950" t="str">
        <f t="shared" si="216"/>
        <v>2. 1-24 hours</v>
      </c>
      <c r="O6950" t="str">
        <f t="shared" si="217"/>
        <v>2025-11</v>
      </c>
    </row>
    <row r="6951" spans="1:15" x14ac:dyDescent="0.3">
      <c r="A6951" t="s">
        <v>16342</v>
      </c>
      <c r="B6951" t="s">
        <v>16343</v>
      </c>
      <c r="C6951" t="s">
        <v>125</v>
      </c>
      <c r="D6951" t="s">
        <v>54</v>
      </c>
      <c r="E6951" t="s">
        <v>45</v>
      </c>
      <c r="F6951" t="s">
        <v>94</v>
      </c>
      <c r="G6951">
        <v>1.69</v>
      </c>
      <c r="H6951" t="s">
        <v>41</v>
      </c>
      <c r="I6951" t="s">
        <v>42</v>
      </c>
      <c r="M6951">
        <f>VLOOKUP(H6951,'Stage Order'!$A$2:$B$8,2,FALSE)</f>
        <v>2</v>
      </c>
      <c r="N6951" t="str">
        <f t="shared" si="216"/>
        <v>2. 1-24 hours</v>
      </c>
      <c r="O6951" t="str">
        <f t="shared" si="217"/>
        <v>2025-09</v>
      </c>
    </row>
    <row r="6952" spans="1:15" x14ac:dyDescent="0.3">
      <c r="A6952" t="s">
        <v>16344</v>
      </c>
      <c r="B6952" t="s">
        <v>16345</v>
      </c>
      <c r="C6952" t="s">
        <v>76</v>
      </c>
      <c r="D6952" t="s">
        <v>77</v>
      </c>
      <c r="E6952" t="s">
        <v>45</v>
      </c>
      <c r="F6952" t="s">
        <v>94</v>
      </c>
      <c r="G6952">
        <v>3.11</v>
      </c>
      <c r="H6952" t="s">
        <v>41</v>
      </c>
      <c r="I6952" t="s">
        <v>42</v>
      </c>
      <c r="M6952">
        <f>VLOOKUP(H6952,'Stage Order'!$A$2:$B$8,2,FALSE)</f>
        <v>2</v>
      </c>
      <c r="N6952" t="str">
        <f t="shared" si="216"/>
        <v>2. 1-24 hours</v>
      </c>
      <c r="O6952" t="str">
        <f t="shared" si="217"/>
        <v>2025-09</v>
      </c>
    </row>
    <row r="6953" spans="1:15" x14ac:dyDescent="0.3">
      <c r="A6953" t="s">
        <v>16346</v>
      </c>
      <c r="B6953" t="s">
        <v>16347</v>
      </c>
      <c r="C6953" t="s">
        <v>58</v>
      </c>
      <c r="D6953" t="s">
        <v>97</v>
      </c>
      <c r="E6953" t="s">
        <v>30</v>
      </c>
      <c r="F6953" t="s">
        <v>78</v>
      </c>
      <c r="G6953">
        <v>4.5599999999999996</v>
      </c>
      <c r="H6953" t="s">
        <v>41</v>
      </c>
      <c r="I6953" t="s">
        <v>42</v>
      </c>
      <c r="M6953">
        <f>VLOOKUP(H6953,'Stage Order'!$A$2:$B$8,2,FALSE)</f>
        <v>2</v>
      </c>
      <c r="N6953" t="str">
        <f t="shared" si="216"/>
        <v>2. 1-24 hours</v>
      </c>
      <c r="O6953" t="str">
        <f t="shared" si="217"/>
        <v>2026-03</v>
      </c>
    </row>
    <row r="6954" spans="1:15" x14ac:dyDescent="0.3">
      <c r="A6954" t="s">
        <v>16348</v>
      </c>
      <c r="B6954" t="s">
        <v>16349</v>
      </c>
      <c r="C6954" t="s">
        <v>81</v>
      </c>
      <c r="D6954" t="s">
        <v>54</v>
      </c>
      <c r="E6954" t="s">
        <v>45</v>
      </c>
      <c r="F6954" t="s">
        <v>55</v>
      </c>
      <c r="G6954">
        <v>3.05</v>
      </c>
      <c r="H6954" t="s">
        <v>61</v>
      </c>
      <c r="I6954" t="s">
        <v>42</v>
      </c>
      <c r="M6954">
        <f>VLOOKUP(H6954,'Stage Order'!$A$2:$B$8,2,FALSE)</f>
        <v>1</v>
      </c>
      <c r="N6954" t="str">
        <f t="shared" si="216"/>
        <v>2. 1-24 hours</v>
      </c>
      <c r="O6954" t="str">
        <f t="shared" si="217"/>
        <v>2026-05</v>
      </c>
    </row>
    <row r="6955" spans="1:15" x14ac:dyDescent="0.3">
      <c r="A6955" t="s">
        <v>16350</v>
      </c>
      <c r="B6955" t="s">
        <v>16351</v>
      </c>
      <c r="C6955" t="s">
        <v>28</v>
      </c>
      <c r="D6955" t="s">
        <v>54</v>
      </c>
      <c r="E6955" t="s">
        <v>30</v>
      </c>
      <c r="F6955" t="s">
        <v>82</v>
      </c>
      <c r="G6955">
        <v>5.23</v>
      </c>
      <c r="H6955" t="s">
        <v>41</v>
      </c>
      <c r="I6955" t="s">
        <v>42</v>
      </c>
      <c r="M6955">
        <f>VLOOKUP(H6955,'Stage Order'!$A$2:$B$8,2,FALSE)</f>
        <v>2</v>
      </c>
      <c r="N6955" t="str">
        <f t="shared" si="216"/>
        <v>2. 1-24 hours</v>
      </c>
      <c r="O6955" t="str">
        <f t="shared" si="217"/>
        <v>2026-06</v>
      </c>
    </row>
    <row r="6956" spans="1:15" x14ac:dyDescent="0.3">
      <c r="A6956" t="s">
        <v>16352</v>
      </c>
      <c r="B6956" t="s">
        <v>16353</v>
      </c>
      <c r="C6956" t="s">
        <v>37</v>
      </c>
      <c r="D6956" t="s">
        <v>38</v>
      </c>
      <c r="E6956" t="s">
        <v>39</v>
      </c>
      <c r="F6956" t="s">
        <v>66</v>
      </c>
      <c r="G6956">
        <v>10.029999999999999</v>
      </c>
      <c r="H6956" t="s">
        <v>41</v>
      </c>
      <c r="I6956" t="s">
        <v>42</v>
      </c>
      <c r="M6956">
        <f>VLOOKUP(H6956,'Stage Order'!$A$2:$B$8,2,FALSE)</f>
        <v>2</v>
      </c>
      <c r="N6956" t="str">
        <f t="shared" si="216"/>
        <v>2. 1-24 hours</v>
      </c>
      <c r="O6956" t="str">
        <f t="shared" si="217"/>
        <v>2026-01</v>
      </c>
    </row>
    <row r="6957" spans="1:15" x14ac:dyDescent="0.3">
      <c r="A6957" t="s">
        <v>16354</v>
      </c>
      <c r="B6957" t="s">
        <v>16355</v>
      </c>
      <c r="C6957" t="s">
        <v>125</v>
      </c>
      <c r="D6957" t="s">
        <v>77</v>
      </c>
      <c r="E6957" t="s">
        <v>59</v>
      </c>
      <c r="F6957" t="s">
        <v>137</v>
      </c>
      <c r="G6957">
        <v>0.77</v>
      </c>
      <c r="H6957" t="s">
        <v>47</v>
      </c>
      <c r="I6957" t="s">
        <v>48</v>
      </c>
      <c r="J6957" t="s">
        <v>139</v>
      </c>
      <c r="K6957">
        <v>857.96</v>
      </c>
      <c r="L6957" t="s">
        <v>16356</v>
      </c>
      <c r="M6957">
        <f>VLOOKUP(H6957,'Stage Order'!$A$2:$B$8,2,FALSE)</f>
        <v>4</v>
      </c>
      <c r="N6957" t="str">
        <f t="shared" si="216"/>
        <v>1. Under 1 hour</v>
      </c>
      <c r="O6957" t="str">
        <f t="shared" si="217"/>
        <v>2025-01</v>
      </c>
    </row>
    <row r="6958" spans="1:15" x14ac:dyDescent="0.3">
      <c r="A6958" t="s">
        <v>16357</v>
      </c>
      <c r="B6958" t="s">
        <v>16358</v>
      </c>
      <c r="C6958" t="s">
        <v>28</v>
      </c>
      <c r="D6958" t="s">
        <v>29</v>
      </c>
      <c r="E6958" t="s">
        <v>59</v>
      </c>
      <c r="F6958" t="s">
        <v>137</v>
      </c>
      <c r="G6958">
        <v>2.85</v>
      </c>
      <c r="H6958" t="s">
        <v>138</v>
      </c>
      <c r="I6958" t="s">
        <v>48</v>
      </c>
      <c r="J6958" t="s">
        <v>139</v>
      </c>
      <c r="K6958">
        <v>553.16999999999996</v>
      </c>
      <c r="L6958" t="s">
        <v>16359</v>
      </c>
      <c r="M6958">
        <f>VLOOKUP(H6958,'Stage Order'!$A$2:$B$8,2,FALSE)</f>
        <v>6</v>
      </c>
      <c r="N6958" t="str">
        <f t="shared" si="216"/>
        <v>2. 1-24 hours</v>
      </c>
      <c r="O6958" t="str">
        <f t="shared" si="217"/>
        <v>2025-03</v>
      </c>
    </row>
    <row r="6959" spans="1:15" x14ac:dyDescent="0.3">
      <c r="A6959" t="s">
        <v>16360</v>
      </c>
      <c r="B6959" t="s">
        <v>16361</v>
      </c>
      <c r="C6959" t="s">
        <v>37</v>
      </c>
      <c r="D6959" t="s">
        <v>54</v>
      </c>
      <c r="E6959" t="s">
        <v>45</v>
      </c>
      <c r="F6959" t="s">
        <v>94</v>
      </c>
      <c r="G6959">
        <v>3.12</v>
      </c>
      <c r="H6959" t="s">
        <v>146</v>
      </c>
      <c r="I6959" t="s">
        <v>48</v>
      </c>
      <c r="J6959" t="s">
        <v>113</v>
      </c>
      <c r="K6959">
        <v>483.82</v>
      </c>
      <c r="L6959" t="s">
        <v>16362</v>
      </c>
      <c r="M6959">
        <f>VLOOKUP(H6959,'Stage Order'!$A$2:$B$8,2,FALSE)</f>
        <v>5</v>
      </c>
      <c r="N6959" t="str">
        <f t="shared" si="216"/>
        <v>2. 1-24 hours</v>
      </c>
      <c r="O6959" t="str">
        <f t="shared" si="217"/>
        <v>2025-07</v>
      </c>
    </row>
    <row r="6960" spans="1:15" x14ac:dyDescent="0.3">
      <c r="A6960" t="s">
        <v>16363</v>
      </c>
      <c r="B6960" t="s">
        <v>16364</v>
      </c>
      <c r="C6960" t="s">
        <v>81</v>
      </c>
      <c r="D6960" t="s">
        <v>77</v>
      </c>
      <c r="E6960" t="s">
        <v>39</v>
      </c>
      <c r="F6960" t="s">
        <v>40</v>
      </c>
      <c r="G6960">
        <v>1.25</v>
      </c>
      <c r="H6960" t="s">
        <v>61</v>
      </c>
      <c r="I6960" t="s">
        <v>42</v>
      </c>
      <c r="M6960">
        <f>VLOOKUP(H6960,'Stage Order'!$A$2:$B$8,2,FALSE)</f>
        <v>1</v>
      </c>
      <c r="N6960" t="str">
        <f t="shared" si="216"/>
        <v>2. 1-24 hours</v>
      </c>
      <c r="O6960" t="str">
        <f t="shared" si="217"/>
        <v>2025-10</v>
      </c>
    </row>
    <row r="6961" spans="1:15" x14ac:dyDescent="0.3">
      <c r="A6961" t="s">
        <v>16365</v>
      </c>
      <c r="B6961" t="s">
        <v>16366</v>
      </c>
      <c r="C6961" t="s">
        <v>37</v>
      </c>
      <c r="D6961" t="s">
        <v>77</v>
      </c>
      <c r="E6961" t="s">
        <v>59</v>
      </c>
      <c r="F6961" t="s">
        <v>117</v>
      </c>
      <c r="G6961">
        <v>4.07</v>
      </c>
      <c r="H6961" t="s">
        <v>41</v>
      </c>
      <c r="I6961" t="s">
        <v>42</v>
      </c>
      <c r="M6961">
        <f>VLOOKUP(H6961,'Stage Order'!$A$2:$B$8,2,FALSE)</f>
        <v>2</v>
      </c>
      <c r="N6961" t="str">
        <f t="shared" si="216"/>
        <v>2. 1-24 hours</v>
      </c>
      <c r="O6961" t="str">
        <f t="shared" si="217"/>
        <v>2025-07</v>
      </c>
    </row>
    <row r="6962" spans="1:15" x14ac:dyDescent="0.3">
      <c r="A6962" t="s">
        <v>16367</v>
      </c>
      <c r="B6962" t="s">
        <v>16368</v>
      </c>
      <c r="C6962" t="s">
        <v>37</v>
      </c>
      <c r="D6962" t="s">
        <v>77</v>
      </c>
      <c r="E6962" t="s">
        <v>45</v>
      </c>
      <c r="F6962" t="s">
        <v>55</v>
      </c>
      <c r="G6962">
        <v>3.85</v>
      </c>
      <c r="H6962" t="s">
        <v>47</v>
      </c>
      <c r="I6962" t="s">
        <v>48</v>
      </c>
      <c r="J6962" t="s">
        <v>742</v>
      </c>
      <c r="K6962">
        <v>821.09</v>
      </c>
      <c r="L6962" t="s">
        <v>16369</v>
      </c>
      <c r="M6962">
        <f>VLOOKUP(H6962,'Stage Order'!$A$2:$B$8,2,FALSE)</f>
        <v>4</v>
      </c>
      <c r="N6962" t="str">
        <f t="shared" si="216"/>
        <v>2. 1-24 hours</v>
      </c>
      <c r="O6962" t="str">
        <f t="shared" si="217"/>
        <v>2025-11</v>
      </c>
    </row>
    <row r="6963" spans="1:15" x14ac:dyDescent="0.3">
      <c r="A6963" t="s">
        <v>16370</v>
      </c>
      <c r="B6963" t="s">
        <v>16371</v>
      </c>
      <c r="C6963" t="s">
        <v>37</v>
      </c>
      <c r="D6963" t="s">
        <v>77</v>
      </c>
      <c r="E6963" t="s">
        <v>39</v>
      </c>
      <c r="F6963" t="s">
        <v>66</v>
      </c>
      <c r="G6963">
        <v>2.27</v>
      </c>
      <c r="H6963" t="s">
        <v>41</v>
      </c>
      <c r="I6963" t="s">
        <v>42</v>
      </c>
      <c r="M6963">
        <f>VLOOKUP(H6963,'Stage Order'!$A$2:$B$8,2,FALSE)</f>
        <v>2</v>
      </c>
      <c r="N6963" t="str">
        <f t="shared" si="216"/>
        <v>2. 1-24 hours</v>
      </c>
      <c r="O6963" t="str">
        <f t="shared" si="217"/>
        <v>2026-06</v>
      </c>
    </row>
    <row r="6964" spans="1:15" x14ac:dyDescent="0.3">
      <c r="A6964" t="s">
        <v>16372</v>
      </c>
      <c r="B6964" t="s">
        <v>16373</v>
      </c>
      <c r="C6964" t="s">
        <v>81</v>
      </c>
      <c r="D6964" t="s">
        <v>38</v>
      </c>
      <c r="E6964" t="s">
        <v>45</v>
      </c>
      <c r="F6964" t="s">
        <v>46</v>
      </c>
      <c r="G6964">
        <v>1.24</v>
      </c>
      <c r="H6964" t="s">
        <v>41</v>
      </c>
      <c r="I6964" t="s">
        <v>42</v>
      </c>
      <c r="M6964">
        <f>VLOOKUP(H6964,'Stage Order'!$A$2:$B$8,2,FALSE)</f>
        <v>2</v>
      </c>
      <c r="N6964" t="str">
        <f t="shared" si="216"/>
        <v>2. 1-24 hours</v>
      </c>
      <c r="O6964" t="str">
        <f t="shared" si="217"/>
        <v>2026-05</v>
      </c>
    </row>
    <row r="6965" spans="1:15" x14ac:dyDescent="0.3">
      <c r="A6965" t="s">
        <v>16374</v>
      </c>
      <c r="B6965" t="s">
        <v>16375</v>
      </c>
      <c r="C6965" t="s">
        <v>76</v>
      </c>
      <c r="D6965" t="s">
        <v>77</v>
      </c>
      <c r="E6965" t="s">
        <v>45</v>
      </c>
      <c r="F6965" t="s">
        <v>55</v>
      </c>
      <c r="G6965">
        <v>6.95</v>
      </c>
      <c r="H6965" t="s">
        <v>32</v>
      </c>
      <c r="I6965" t="s">
        <v>33</v>
      </c>
      <c r="K6965">
        <v>872.38</v>
      </c>
      <c r="L6965" t="s">
        <v>16376</v>
      </c>
      <c r="M6965">
        <f>VLOOKUP(H6965,'Stage Order'!$A$2:$B$8,2,FALSE)</f>
        <v>7</v>
      </c>
      <c r="N6965" t="str">
        <f t="shared" si="216"/>
        <v>2. 1-24 hours</v>
      </c>
      <c r="O6965" t="str">
        <f t="shared" si="217"/>
        <v>2025-08</v>
      </c>
    </row>
    <row r="6966" spans="1:15" x14ac:dyDescent="0.3">
      <c r="A6966" t="s">
        <v>16377</v>
      </c>
      <c r="B6966" t="s">
        <v>16378</v>
      </c>
      <c r="C6966" t="s">
        <v>125</v>
      </c>
      <c r="D6966" t="s">
        <v>54</v>
      </c>
      <c r="E6966" t="s">
        <v>90</v>
      </c>
      <c r="F6966" t="s">
        <v>112</v>
      </c>
      <c r="G6966">
        <v>7.42</v>
      </c>
      <c r="H6966" t="s">
        <v>61</v>
      </c>
      <c r="I6966" t="s">
        <v>42</v>
      </c>
      <c r="M6966">
        <f>VLOOKUP(H6966,'Stage Order'!$A$2:$B$8,2,FALSE)</f>
        <v>1</v>
      </c>
      <c r="N6966" t="str">
        <f t="shared" si="216"/>
        <v>2. 1-24 hours</v>
      </c>
      <c r="O6966" t="str">
        <f t="shared" si="217"/>
        <v>2025-09</v>
      </c>
    </row>
    <row r="6967" spans="1:15" x14ac:dyDescent="0.3">
      <c r="A6967" t="s">
        <v>16379</v>
      </c>
      <c r="B6967" t="s">
        <v>16380</v>
      </c>
      <c r="C6967" t="s">
        <v>81</v>
      </c>
      <c r="D6967" t="s">
        <v>29</v>
      </c>
      <c r="E6967" t="s">
        <v>30</v>
      </c>
      <c r="F6967" t="s">
        <v>82</v>
      </c>
      <c r="G6967">
        <v>2.38</v>
      </c>
      <c r="H6967" t="s">
        <v>128</v>
      </c>
      <c r="I6967" t="s">
        <v>42</v>
      </c>
      <c r="M6967">
        <f>VLOOKUP(H6967,'Stage Order'!$A$2:$B$8,2,FALSE)</f>
        <v>3</v>
      </c>
      <c r="N6967" t="str">
        <f t="shared" si="216"/>
        <v>2. 1-24 hours</v>
      </c>
      <c r="O6967" t="str">
        <f t="shared" si="217"/>
        <v>2025-10</v>
      </c>
    </row>
    <row r="6968" spans="1:15" x14ac:dyDescent="0.3">
      <c r="A6968" t="s">
        <v>16381</v>
      </c>
      <c r="B6968" t="s">
        <v>16382</v>
      </c>
      <c r="C6968" t="s">
        <v>125</v>
      </c>
      <c r="D6968" t="s">
        <v>77</v>
      </c>
      <c r="E6968" t="s">
        <v>45</v>
      </c>
      <c r="F6968" t="s">
        <v>55</v>
      </c>
      <c r="G6968">
        <v>6.13</v>
      </c>
      <c r="H6968" t="s">
        <v>128</v>
      </c>
      <c r="I6968" t="s">
        <v>42</v>
      </c>
      <c r="M6968">
        <f>VLOOKUP(H6968,'Stage Order'!$A$2:$B$8,2,FALSE)</f>
        <v>3</v>
      </c>
      <c r="N6968" t="str">
        <f t="shared" si="216"/>
        <v>2. 1-24 hours</v>
      </c>
      <c r="O6968" t="str">
        <f t="shared" si="217"/>
        <v>2025-11</v>
      </c>
    </row>
    <row r="6969" spans="1:15" x14ac:dyDescent="0.3">
      <c r="A6969" t="s">
        <v>16383</v>
      </c>
      <c r="B6969" t="s">
        <v>16384</v>
      </c>
      <c r="C6969" t="s">
        <v>58</v>
      </c>
      <c r="D6969" t="s">
        <v>38</v>
      </c>
      <c r="E6969" t="s">
        <v>90</v>
      </c>
      <c r="F6969" t="s">
        <v>145</v>
      </c>
      <c r="G6969">
        <v>8.24</v>
      </c>
      <c r="H6969" t="s">
        <v>128</v>
      </c>
      <c r="I6969" t="s">
        <v>42</v>
      </c>
      <c r="M6969">
        <f>VLOOKUP(H6969,'Stage Order'!$A$2:$B$8,2,FALSE)</f>
        <v>3</v>
      </c>
      <c r="N6969" t="str">
        <f t="shared" si="216"/>
        <v>2. 1-24 hours</v>
      </c>
      <c r="O6969" t="str">
        <f t="shared" si="217"/>
        <v>2025-08</v>
      </c>
    </row>
    <row r="6970" spans="1:15" x14ac:dyDescent="0.3">
      <c r="A6970" t="s">
        <v>16385</v>
      </c>
      <c r="B6970" t="s">
        <v>16386</v>
      </c>
      <c r="C6970" t="s">
        <v>125</v>
      </c>
      <c r="D6970" t="s">
        <v>77</v>
      </c>
      <c r="E6970" t="s">
        <v>39</v>
      </c>
      <c r="F6970" t="s">
        <v>40</v>
      </c>
      <c r="G6970">
        <v>9.0399999999999991</v>
      </c>
      <c r="H6970" t="s">
        <v>41</v>
      </c>
      <c r="I6970" t="s">
        <v>42</v>
      </c>
      <c r="M6970">
        <f>VLOOKUP(H6970,'Stage Order'!$A$2:$B$8,2,FALSE)</f>
        <v>2</v>
      </c>
      <c r="N6970" t="str">
        <f t="shared" si="216"/>
        <v>2. 1-24 hours</v>
      </c>
      <c r="O6970" t="str">
        <f t="shared" si="217"/>
        <v>2025-06</v>
      </c>
    </row>
    <row r="6971" spans="1:15" x14ac:dyDescent="0.3">
      <c r="A6971" t="s">
        <v>16387</v>
      </c>
      <c r="B6971" t="s">
        <v>16388</v>
      </c>
      <c r="C6971" t="s">
        <v>53</v>
      </c>
      <c r="D6971" t="s">
        <v>38</v>
      </c>
      <c r="E6971" t="s">
        <v>30</v>
      </c>
      <c r="F6971" t="s">
        <v>31</v>
      </c>
      <c r="G6971">
        <v>4.78</v>
      </c>
      <c r="H6971" t="s">
        <v>138</v>
      </c>
      <c r="I6971" t="s">
        <v>48</v>
      </c>
      <c r="J6971" t="s">
        <v>49</v>
      </c>
      <c r="K6971">
        <v>294.70999999999998</v>
      </c>
      <c r="L6971" t="s">
        <v>16389</v>
      </c>
      <c r="M6971">
        <f>VLOOKUP(H6971,'Stage Order'!$A$2:$B$8,2,FALSE)</f>
        <v>6</v>
      </c>
      <c r="N6971" t="str">
        <f t="shared" si="216"/>
        <v>2. 1-24 hours</v>
      </c>
      <c r="O6971" t="str">
        <f t="shared" si="217"/>
        <v>2026-04</v>
      </c>
    </row>
    <row r="6972" spans="1:15" x14ac:dyDescent="0.3">
      <c r="A6972" t="s">
        <v>16390</v>
      </c>
      <c r="B6972" t="s">
        <v>16391</v>
      </c>
      <c r="C6972" t="s">
        <v>58</v>
      </c>
      <c r="D6972" t="s">
        <v>54</v>
      </c>
      <c r="E6972" t="s">
        <v>45</v>
      </c>
      <c r="F6972" t="s">
        <v>55</v>
      </c>
      <c r="G6972">
        <v>1.77</v>
      </c>
      <c r="H6972" t="s">
        <v>41</v>
      </c>
      <c r="I6972" t="s">
        <v>42</v>
      </c>
      <c r="M6972">
        <f>VLOOKUP(H6972,'Stage Order'!$A$2:$B$8,2,FALSE)</f>
        <v>2</v>
      </c>
      <c r="N6972" t="str">
        <f t="shared" si="216"/>
        <v>2. 1-24 hours</v>
      </c>
      <c r="O6972" t="str">
        <f t="shared" si="217"/>
        <v>2025-12</v>
      </c>
    </row>
    <row r="6973" spans="1:15" x14ac:dyDescent="0.3">
      <c r="A6973" t="s">
        <v>16392</v>
      </c>
      <c r="B6973" t="s">
        <v>16393</v>
      </c>
      <c r="C6973" t="s">
        <v>76</v>
      </c>
      <c r="D6973" t="s">
        <v>77</v>
      </c>
      <c r="E6973" t="s">
        <v>59</v>
      </c>
      <c r="F6973" t="s">
        <v>117</v>
      </c>
      <c r="G6973">
        <v>1.87</v>
      </c>
      <c r="H6973" t="s">
        <v>41</v>
      </c>
      <c r="I6973" t="s">
        <v>42</v>
      </c>
      <c r="M6973">
        <f>VLOOKUP(H6973,'Stage Order'!$A$2:$B$8,2,FALSE)</f>
        <v>2</v>
      </c>
      <c r="N6973" t="str">
        <f t="shared" si="216"/>
        <v>2. 1-24 hours</v>
      </c>
      <c r="O6973" t="str">
        <f t="shared" si="217"/>
        <v>2026-02</v>
      </c>
    </row>
    <row r="6974" spans="1:15" x14ac:dyDescent="0.3">
      <c r="A6974" t="s">
        <v>16394</v>
      </c>
      <c r="B6974" t="s">
        <v>16395</v>
      </c>
      <c r="C6974" t="s">
        <v>76</v>
      </c>
      <c r="D6974" t="s">
        <v>77</v>
      </c>
      <c r="E6974" t="s">
        <v>39</v>
      </c>
      <c r="F6974" t="s">
        <v>40</v>
      </c>
      <c r="G6974">
        <v>1.51</v>
      </c>
      <c r="H6974" t="s">
        <v>61</v>
      </c>
      <c r="I6974" t="s">
        <v>42</v>
      </c>
      <c r="M6974">
        <f>VLOOKUP(H6974,'Stage Order'!$A$2:$B$8,2,FALSE)</f>
        <v>1</v>
      </c>
      <c r="N6974" t="str">
        <f t="shared" si="216"/>
        <v>2. 1-24 hours</v>
      </c>
      <c r="O6974" t="str">
        <f t="shared" si="217"/>
        <v>2026-05</v>
      </c>
    </row>
    <row r="6975" spans="1:15" x14ac:dyDescent="0.3">
      <c r="A6975" t="s">
        <v>16396</v>
      </c>
      <c r="B6975" t="s">
        <v>16397</v>
      </c>
      <c r="C6975" t="s">
        <v>76</v>
      </c>
      <c r="D6975" t="s">
        <v>97</v>
      </c>
      <c r="E6975" t="s">
        <v>59</v>
      </c>
      <c r="F6975" t="s">
        <v>60</v>
      </c>
      <c r="G6975">
        <v>2.5099999999999998</v>
      </c>
      <c r="H6975" t="s">
        <v>146</v>
      </c>
      <c r="I6975" t="s">
        <v>48</v>
      </c>
      <c r="J6975" t="s">
        <v>98</v>
      </c>
      <c r="K6975">
        <v>1707.3</v>
      </c>
      <c r="L6975" t="s">
        <v>16398</v>
      </c>
      <c r="M6975">
        <f>VLOOKUP(H6975,'Stage Order'!$A$2:$B$8,2,FALSE)</f>
        <v>5</v>
      </c>
      <c r="N6975" t="str">
        <f t="shared" si="216"/>
        <v>2. 1-24 hours</v>
      </c>
      <c r="O6975" t="str">
        <f t="shared" si="217"/>
        <v>2025-06</v>
      </c>
    </row>
    <row r="6976" spans="1:15" x14ac:dyDescent="0.3">
      <c r="A6976" t="s">
        <v>16399</v>
      </c>
      <c r="B6976" t="s">
        <v>16400</v>
      </c>
      <c r="C6976" t="s">
        <v>125</v>
      </c>
      <c r="D6976" t="s">
        <v>38</v>
      </c>
      <c r="E6976" t="s">
        <v>90</v>
      </c>
      <c r="F6976" t="s">
        <v>112</v>
      </c>
      <c r="G6976">
        <v>1.82</v>
      </c>
      <c r="H6976" t="s">
        <v>61</v>
      </c>
      <c r="I6976" t="s">
        <v>42</v>
      </c>
      <c r="M6976">
        <f>VLOOKUP(H6976,'Stage Order'!$A$2:$B$8,2,FALSE)</f>
        <v>1</v>
      </c>
      <c r="N6976" t="str">
        <f t="shared" si="216"/>
        <v>2. 1-24 hours</v>
      </c>
      <c r="O6976" t="str">
        <f t="shared" si="217"/>
        <v>2025-05</v>
      </c>
    </row>
    <row r="6977" spans="1:15" x14ac:dyDescent="0.3">
      <c r="A6977" t="s">
        <v>16401</v>
      </c>
      <c r="B6977" t="s">
        <v>16402</v>
      </c>
      <c r="C6977" t="s">
        <v>81</v>
      </c>
      <c r="D6977" t="s">
        <v>54</v>
      </c>
      <c r="E6977" t="s">
        <v>90</v>
      </c>
      <c r="F6977" t="s">
        <v>145</v>
      </c>
      <c r="G6977">
        <v>2.5299999999999998</v>
      </c>
      <c r="H6977" t="s">
        <v>61</v>
      </c>
      <c r="I6977" t="s">
        <v>42</v>
      </c>
      <c r="M6977">
        <f>VLOOKUP(H6977,'Stage Order'!$A$2:$B$8,2,FALSE)</f>
        <v>1</v>
      </c>
      <c r="N6977" t="str">
        <f t="shared" si="216"/>
        <v>2. 1-24 hours</v>
      </c>
      <c r="O6977" t="str">
        <f t="shared" si="217"/>
        <v>2026-01</v>
      </c>
    </row>
    <row r="6978" spans="1:15" x14ac:dyDescent="0.3">
      <c r="A6978" t="s">
        <v>16403</v>
      </c>
      <c r="B6978" t="s">
        <v>16404</v>
      </c>
      <c r="C6978" t="s">
        <v>37</v>
      </c>
      <c r="D6978" t="s">
        <v>38</v>
      </c>
      <c r="E6978" t="s">
        <v>59</v>
      </c>
      <c r="F6978" t="s">
        <v>137</v>
      </c>
      <c r="G6978">
        <v>4.0999999999999996</v>
      </c>
      <c r="H6978" t="s">
        <v>47</v>
      </c>
      <c r="I6978" t="s">
        <v>48</v>
      </c>
      <c r="J6978" t="s">
        <v>98</v>
      </c>
      <c r="K6978">
        <v>363.65</v>
      </c>
      <c r="L6978" t="s">
        <v>16405</v>
      </c>
      <c r="M6978">
        <f>VLOOKUP(H6978,'Stage Order'!$A$2:$B$8,2,FALSE)</f>
        <v>4</v>
      </c>
      <c r="N6978" t="str">
        <f t="shared" ref="N6978:N7001" si="218">IF(G6978&lt;=1,"1. Under 1 hour",IF(G6978&lt;=24,"2. 1-24 hours",IF(G6978&lt;=72,"3. 1-3 days","4. Over 3 days")))</f>
        <v>2. 1-24 hours</v>
      </c>
      <c r="O6978" t="str">
        <f t="shared" ref="O6978:O7001" si="219">TEXT(B6978,"YYYY-MM")</f>
        <v>2026-04</v>
      </c>
    </row>
    <row r="6979" spans="1:15" x14ac:dyDescent="0.3">
      <c r="A6979" t="s">
        <v>16406</v>
      </c>
      <c r="B6979" t="s">
        <v>16407</v>
      </c>
      <c r="C6979" t="s">
        <v>81</v>
      </c>
      <c r="D6979" t="s">
        <v>97</v>
      </c>
      <c r="E6979" t="s">
        <v>39</v>
      </c>
      <c r="F6979" t="s">
        <v>66</v>
      </c>
      <c r="G6979">
        <v>3.48</v>
      </c>
      <c r="H6979" t="s">
        <v>41</v>
      </c>
      <c r="I6979" t="s">
        <v>42</v>
      </c>
      <c r="M6979">
        <f>VLOOKUP(H6979,'Stage Order'!$A$2:$B$8,2,FALSE)</f>
        <v>2</v>
      </c>
      <c r="N6979" t="str">
        <f t="shared" si="218"/>
        <v>2. 1-24 hours</v>
      </c>
      <c r="O6979" t="str">
        <f t="shared" si="219"/>
        <v>2026-03</v>
      </c>
    </row>
    <row r="6980" spans="1:15" x14ac:dyDescent="0.3">
      <c r="A6980" t="s">
        <v>16408</v>
      </c>
      <c r="B6980" t="s">
        <v>16409</v>
      </c>
      <c r="C6980" t="s">
        <v>58</v>
      </c>
      <c r="D6980" t="s">
        <v>77</v>
      </c>
      <c r="E6980" t="s">
        <v>90</v>
      </c>
      <c r="F6980" t="s">
        <v>112</v>
      </c>
      <c r="G6980">
        <v>3.75</v>
      </c>
      <c r="H6980" t="s">
        <v>41</v>
      </c>
      <c r="I6980" t="s">
        <v>42</v>
      </c>
      <c r="M6980">
        <f>VLOOKUP(H6980,'Stage Order'!$A$2:$B$8,2,FALSE)</f>
        <v>2</v>
      </c>
      <c r="N6980" t="str">
        <f t="shared" si="218"/>
        <v>2. 1-24 hours</v>
      </c>
      <c r="O6980" t="str">
        <f t="shared" si="219"/>
        <v>2026-03</v>
      </c>
    </row>
    <row r="6981" spans="1:15" x14ac:dyDescent="0.3">
      <c r="A6981" t="s">
        <v>16410</v>
      </c>
      <c r="B6981" t="s">
        <v>16411</v>
      </c>
      <c r="C6981" t="s">
        <v>28</v>
      </c>
      <c r="D6981" t="s">
        <v>77</v>
      </c>
      <c r="E6981" t="s">
        <v>59</v>
      </c>
      <c r="F6981" t="s">
        <v>137</v>
      </c>
      <c r="G6981">
        <v>3.39</v>
      </c>
      <c r="H6981" t="s">
        <v>32</v>
      </c>
      <c r="I6981" t="s">
        <v>33</v>
      </c>
      <c r="K6981">
        <v>814.11</v>
      </c>
      <c r="L6981" t="s">
        <v>16412</v>
      </c>
      <c r="M6981">
        <f>VLOOKUP(H6981,'Stage Order'!$A$2:$B$8,2,FALSE)</f>
        <v>7</v>
      </c>
      <c r="N6981" t="str">
        <f t="shared" si="218"/>
        <v>2. 1-24 hours</v>
      </c>
      <c r="O6981" t="str">
        <f t="shared" si="219"/>
        <v>2025-09</v>
      </c>
    </row>
    <row r="6982" spans="1:15" x14ac:dyDescent="0.3">
      <c r="A6982" t="s">
        <v>16413</v>
      </c>
      <c r="B6982" t="s">
        <v>16414</v>
      </c>
      <c r="C6982" t="s">
        <v>125</v>
      </c>
      <c r="D6982" t="s">
        <v>38</v>
      </c>
      <c r="E6982" t="s">
        <v>45</v>
      </c>
      <c r="F6982" t="s">
        <v>55</v>
      </c>
      <c r="G6982">
        <v>1.04</v>
      </c>
      <c r="H6982" t="s">
        <v>41</v>
      </c>
      <c r="I6982" t="s">
        <v>42</v>
      </c>
      <c r="M6982">
        <f>VLOOKUP(H6982,'Stage Order'!$A$2:$B$8,2,FALSE)</f>
        <v>2</v>
      </c>
      <c r="N6982" t="str">
        <f t="shared" si="218"/>
        <v>2. 1-24 hours</v>
      </c>
      <c r="O6982" t="str">
        <f t="shared" si="219"/>
        <v>2025-06</v>
      </c>
    </row>
    <row r="6983" spans="1:15" x14ac:dyDescent="0.3">
      <c r="A6983" t="s">
        <v>16415</v>
      </c>
      <c r="B6983" t="s">
        <v>16416</v>
      </c>
      <c r="C6983" t="s">
        <v>58</v>
      </c>
      <c r="D6983" t="s">
        <v>77</v>
      </c>
      <c r="E6983" t="s">
        <v>59</v>
      </c>
      <c r="F6983" t="s">
        <v>117</v>
      </c>
      <c r="G6983">
        <v>1.47</v>
      </c>
      <c r="H6983" t="s">
        <v>41</v>
      </c>
      <c r="I6983" t="s">
        <v>42</v>
      </c>
      <c r="M6983">
        <f>VLOOKUP(H6983,'Stage Order'!$A$2:$B$8,2,FALSE)</f>
        <v>2</v>
      </c>
      <c r="N6983" t="str">
        <f t="shared" si="218"/>
        <v>2. 1-24 hours</v>
      </c>
      <c r="O6983" t="str">
        <f t="shared" si="219"/>
        <v>2025-11</v>
      </c>
    </row>
    <row r="6984" spans="1:15" x14ac:dyDescent="0.3">
      <c r="A6984" t="s">
        <v>16417</v>
      </c>
      <c r="B6984" t="s">
        <v>16418</v>
      </c>
      <c r="C6984" t="s">
        <v>37</v>
      </c>
      <c r="D6984" t="s">
        <v>77</v>
      </c>
      <c r="E6984" t="s">
        <v>59</v>
      </c>
      <c r="F6984" t="s">
        <v>137</v>
      </c>
      <c r="G6984">
        <v>1.0900000000000001</v>
      </c>
      <c r="H6984" t="s">
        <v>41</v>
      </c>
      <c r="I6984" t="s">
        <v>42</v>
      </c>
      <c r="M6984">
        <f>VLOOKUP(H6984,'Stage Order'!$A$2:$B$8,2,FALSE)</f>
        <v>2</v>
      </c>
      <c r="N6984" t="str">
        <f t="shared" si="218"/>
        <v>2. 1-24 hours</v>
      </c>
      <c r="O6984" t="str">
        <f t="shared" si="219"/>
        <v>2026-05</v>
      </c>
    </row>
    <row r="6985" spans="1:15" x14ac:dyDescent="0.3">
      <c r="A6985" t="s">
        <v>16419</v>
      </c>
      <c r="B6985" t="s">
        <v>16420</v>
      </c>
      <c r="C6985" t="s">
        <v>53</v>
      </c>
      <c r="D6985" t="s">
        <v>29</v>
      </c>
      <c r="E6985" t="s">
        <v>90</v>
      </c>
      <c r="F6985" t="s">
        <v>91</v>
      </c>
      <c r="G6985">
        <v>1.1000000000000001</v>
      </c>
      <c r="H6985" t="s">
        <v>41</v>
      </c>
      <c r="I6985" t="s">
        <v>42</v>
      </c>
      <c r="M6985">
        <f>VLOOKUP(H6985,'Stage Order'!$A$2:$B$8,2,FALSE)</f>
        <v>2</v>
      </c>
      <c r="N6985" t="str">
        <f t="shared" si="218"/>
        <v>2. 1-24 hours</v>
      </c>
      <c r="O6985" t="str">
        <f t="shared" si="219"/>
        <v>2025-10</v>
      </c>
    </row>
    <row r="6986" spans="1:15" x14ac:dyDescent="0.3">
      <c r="A6986" t="s">
        <v>16421</v>
      </c>
      <c r="B6986" t="s">
        <v>16422</v>
      </c>
      <c r="C6986" t="s">
        <v>37</v>
      </c>
      <c r="D6986" t="s">
        <v>54</v>
      </c>
      <c r="E6986" t="s">
        <v>39</v>
      </c>
      <c r="F6986" t="s">
        <v>40</v>
      </c>
      <c r="G6986">
        <v>1.57</v>
      </c>
      <c r="H6986" t="s">
        <v>47</v>
      </c>
      <c r="I6986" t="s">
        <v>48</v>
      </c>
      <c r="J6986" t="s">
        <v>49</v>
      </c>
      <c r="K6986">
        <v>496.48</v>
      </c>
      <c r="L6986" t="s">
        <v>16423</v>
      </c>
      <c r="M6986">
        <f>VLOOKUP(H6986,'Stage Order'!$A$2:$B$8,2,FALSE)</f>
        <v>4</v>
      </c>
      <c r="N6986" t="str">
        <f t="shared" si="218"/>
        <v>2. 1-24 hours</v>
      </c>
      <c r="O6986" t="str">
        <f t="shared" si="219"/>
        <v>2025-05</v>
      </c>
    </row>
    <row r="6987" spans="1:15" x14ac:dyDescent="0.3">
      <c r="A6987" t="s">
        <v>16424</v>
      </c>
      <c r="B6987" t="s">
        <v>16425</v>
      </c>
      <c r="C6987" t="s">
        <v>53</v>
      </c>
      <c r="D6987" t="s">
        <v>97</v>
      </c>
      <c r="E6987" t="s">
        <v>39</v>
      </c>
      <c r="F6987" t="s">
        <v>66</v>
      </c>
      <c r="G6987">
        <v>2.69</v>
      </c>
      <c r="H6987" t="s">
        <v>41</v>
      </c>
      <c r="I6987" t="s">
        <v>42</v>
      </c>
      <c r="M6987">
        <f>VLOOKUP(H6987,'Stage Order'!$A$2:$B$8,2,FALSE)</f>
        <v>2</v>
      </c>
      <c r="N6987" t="str">
        <f t="shared" si="218"/>
        <v>2. 1-24 hours</v>
      </c>
      <c r="O6987" t="str">
        <f t="shared" si="219"/>
        <v>2025-03</v>
      </c>
    </row>
    <row r="6988" spans="1:15" x14ac:dyDescent="0.3">
      <c r="A6988" t="s">
        <v>16426</v>
      </c>
      <c r="B6988" t="s">
        <v>16427</v>
      </c>
      <c r="C6988" t="s">
        <v>53</v>
      </c>
      <c r="D6988" t="s">
        <v>54</v>
      </c>
      <c r="E6988" t="s">
        <v>39</v>
      </c>
      <c r="F6988" t="s">
        <v>66</v>
      </c>
      <c r="G6988">
        <v>2.71</v>
      </c>
      <c r="H6988" t="s">
        <v>138</v>
      </c>
      <c r="I6988" t="s">
        <v>48</v>
      </c>
      <c r="J6988" t="s">
        <v>98</v>
      </c>
      <c r="K6988">
        <v>496.29</v>
      </c>
      <c r="L6988" t="s">
        <v>16428</v>
      </c>
      <c r="M6988">
        <f>VLOOKUP(H6988,'Stage Order'!$A$2:$B$8,2,FALSE)</f>
        <v>6</v>
      </c>
      <c r="N6988" t="str">
        <f t="shared" si="218"/>
        <v>2. 1-24 hours</v>
      </c>
      <c r="O6988" t="str">
        <f t="shared" si="219"/>
        <v>2025-02</v>
      </c>
    </row>
    <row r="6989" spans="1:15" x14ac:dyDescent="0.3">
      <c r="A6989" t="s">
        <v>16429</v>
      </c>
      <c r="B6989" t="s">
        <v>16430</v>
      </c>
      <c r="C6989" t="s">
        <v>28</v>
      </c>
      <c r="D6989" t="s">
        <v>54</v>
      </c>
      <c r="E6989" t="s">
        <v>59</v>
      </c>
      <c r="F6989" t="s">
        <v>60</v>
      </c>
      <c r="G6989">
        <v>2.09</v>
      </c>
      <c r="H6989" t="s">
        <v>32</v>
      </c>
      <c r="I6989" t="s">
        <v>33</v>
      </c>
      <c r="K6989">
        <v>539</v>
      </c>
      <c r="L6989" t="s">
        <v>16431</v>
      </c>
      <c r="M6989">
        <f>VLOOKUP(H6989,'Stage Order'!$A$2:$B$8,2,FALSE)</f>
        <v>7</v>
      </c>
      <c r="N6989" t="str">
        <f t="shared" si="218"/>
        <v>2. 1-24 hours</v>
      </c>
      <c r="O6989" t="str">
        <f t="shared" si="219"/>
        <v>2025-07</v>
      </c>
    </row>
    <row r="6990" spans="1:15" x14ac:dyDescent="0.3">
      <c r="A6990" t="s">
        <v>16432</v>
      </c>
      <c r="B6990" t="s">
        <v>16433</v>
      </c>
      <c r="C6990" t="s">
        <v>37</v>
      </c>
      <c r="D6990" t="s">
        <v>97</v>
      </c>
      <c r="E6990" t="s">
        <v>30</v>
      </c>
      <c r="F6990" t="s">
        <v>82</v>
      </c>
      <c r="G6990">
        <v>2.1</v>
      </c>
      <c r="H6990" t="s">
        <v>146</v>
      </c>
      <c r="I6990" t="s">
        <v>48</v>
      </c>
      <c r="J6990" t="s">
        <v>113</v>
      </c>
      <c r="K6990">
        <v>1547.69</v>
      </c>
      <c r="L6990" t="s">
        <v>16434</v>
      </c>
      <c r="M6990">
        <f>VLOOKUP(H6990,'Stage Order'!$A$2:$B$8,2,FALSE)</f>
        <v>5</v>
      </c>
      <c r="N6990" t="str">
        <f t="shared" si="218"/>
        <v>2. 1-24 hours</v>
      </c>
      <c r="O6990" t="str">
        <f t="shared" si="219"/>
        <v>2026-02</v>
      </c>
    </row>
    <row r="6991" spans="1:15" x14ac:dyDescent="0.3">
      <c r="A6991" t="s">
        <v>16435</v>
      </c>
      <c r="B6991" t="s">
        <v>16436</v>
      </c>
      <c r="C6991" t="s">
        <v>37</v>
      </c>
      <c r="D6991" t="s">
        <v>77</v>
      </c>
      <c r="E6991" t="s">
        <v>39</v>
      </c>
      <c r="F6991" t="s">
        <v>40</v>
      </c>
      <c r="G6991">
        <v>1.88</v>
      </c>
      <c r="H6991" t="s">
        <v>41</v>
      </c>
      <c r="I6991" t="s">
        <v>42</v>
      </c>
      <c r="M6991">
        <f>VLOOKUP(H6991,'Stage Order'!$A$2:$B$8,2,FALSE)</f>
        <v>2</v>
      </c>
      <c r="N6991" t="str">
        <f t="shared" si="218"/>
        <v>2. 1-24 hours</v>
      </c>
      <c r="O6991" t="str">
        <f t="shared" si="219"/>
        <v>2025-10</v>
      </c>
    </row>
    <row r="6992" spans="1:15" x14ac:dyDescent="0.3">
      <c r="A6992" t="s">
        <v>16437</v>
      </c>
      <c r="B6992" t="s">
        <v>16438</v>
      </c>
      <c r="C6992" t="s">
        <v>81</v>
      </c>
      <c r="D6992" t="s">
        <v>97</v>
      </c>
      <c r="E6992" t="s">
        <v>59</v>
      </c>
      <c r="F6992" t="s">
        <v>137</v>
      </c>
      <c r="G6992">
        <v>3.79</v>
      </c>
      <c r="H6992" t="s">
        <v>41</v>
      </c>
      <c r="I6992" t="s">
        <v>42</v>
      </c>
      <c r="M6992">
        <f>VLOOKUP(H6992,'Stage Order'!$A$2:$B$8,2,FALSE)</f>
        <v>2</v>
      </c>
      <c r="N6992" t="str">
        <f t="shared" si="218"/>
        <v>2. 1-24 hours</v>
      </c>
      <c r="O6992" t="str">
        <f t="shared" si="219"/>
        <v>2026-04</v>
      </c>
    </row>
    <row r="6993" spans="1:15" x14ac:dyDescent="0.3">
      <c r="A6993" t="s">
        <v>16439</v>
      </c>
      <c r="B6993" t="s">
        <v>16440</v>
      </c>
      <c r="C6993" t="s">
        <v>53</v>
      </c>
      <c r="D6993" t="s">
        <v>77</v>
      </c>
      <c r="E6993" t="s">
        <v>39</v>
      </c>
      <c r="F6993" t="s">
        <v>66</v>
      </c>
      <c r="G6993">
        <v>0.51</v>
      </c>
      <c r="H6993" t="s">
        <v>47</v>
      </c>
      <c r="I6993" t="s">
        <v>48</v>
      </c>
      <c r="J6993" t="s">
        <v>49</v>
      </c>
      <c r="K6993">
        <v>1174.6400000000001</v>
      </c>
      <c r="L6993" t="s">
        <v>16441</v>
      </c>
      <c r="M6993">
        <f>VLOOKUP(H6993,'Stage Order'!$A$2:$B$8,2,FALSE)</f>
        <v>4</v>
      </c>
      <c r="N6993" t="str">
        <f t="shared" si="218"/>
        <v>1. Under 1 hour</v>
      </c>
      <c r="O6993" t="str">
        <f t="shared" si="219"/>
        <v>2025-07</v>
      </c>
    </row>
    <row r="6994" spans="1:15" x14ac:dyDescent="0.3">
      <c r="A6994" t="s">
        <v>16442</v>
      </c>
      <c r="B6994" t="s">
        <v>16443</v>
      </c>
      <c r="C6994" t="s">
        <v>125</v>
      </c>
      <c r="D6994" t="s">
        <v>38</v>
      </c>
      <c r="E6994" t="s">
        <v>45</v>
      </c>
      <c r="F6994" t="s">
        <v>46</v>
      </c>
      <c r="G6994">
        <v>2.62</v>
      </c>
      <c r="H6994" t="s">
        <v>41</v>
      </c>
      <c r="I6994" t="s">
        <v>42</v>
      </c>
      <c r="M6994">
        <f>VLOOKUP(H6994,'Stage Order'!$A$2:$B$8,2,FALSE)</f>
        <v>2</v>
      </c>
      <c r="N6994" t="str">
        <f t="shared" si="218"/>
        <v>2. 1-24 hours</v>
      </c>
      <c r="O6994" t="str">
        <f t="shared" si="219"/>
        <v>2026-06</v>
      </c>
    </row>
    <row r="6995" spans="1:15" x14ac:dyDescent="0.3">
      <c r="A6995" t="s">
        <v>16444</v>
      </c>
      <c r="B6995" t="s">
        <v>16445</v>
      </c>
      <c r="C6995" t="s">
        <v>58</v>
      </c>
      <c r="D6995" t="s">
        <v>54</v>
      </c>
      <c r="E6995" t="s">
        <v>90</v>
      </c>
      <c r="F6995" t="s">
        <v>145</v>
      </c>
      <c r="G6995">
        <v>1.92</v>
      </c>
      <c r="H6995" t="s">
        <v>41</v>
      </c>
      <c r="I6995" t="s">
        <v>42</v>
      </c>
      <c r="M6995">
        <f>VLOOKUP(H6995,'Stage Order'!$A$2:$B$8,2,FALSE)</f>
        <v>2</v>
      </c>
      <c r="N6995" t="str">
        <f t="shared" si="218"/>
        <v>2. 1-24 hours</v>
      </c>
      <c r="O6995" t="str">
        <f t="shared" si="219"/>
        <v>2025-01</v>
      </c>
    </row>
    <row r="6996" spans="1:15" x14ac:dyDescent="0.3">
      <c r="A6996" t="s">
        <v>16446</v>
      </c>
      <c r="B6996" t="s">
        <v>16447</v>
      </c>
      <c r="C6996" t="s">
        <v>58</v>
      </c>
      <c r="D6996" t="s">
        <v>97</v>
      </c>
      <c r="E6996" t="s">
        <v>39</v>
      </c>
      <c r="F6996" t="s">
        <v>106</v>
      </c>
      <c r="G6996">
        <v>3.66</v>
      </c>
      <c r="H6996" t="s">
        <v>41</v>
      </c>
      <c r="I6996" t="s">
        <v>42</v>
      </c>
      <c r="M6996">
        <f>VLOOKUP(H6996,'Stage Order'!$A$2:$B$8,2,FALSE)</f>
        <v>2</v>
      </c>
      <c r="N6996" t="str">
        <f t="shared" si="218"/>
        <v>2. 1-24 hours</v>
      </c>
      <c r="O6996" t="str">
        <f t="shared" si="219"/>
        <v>2026-01</v>
      </c>
    </row>
    <row r="6997" spans="1:15" x14ac:dyDescent="0.3">
      <c r="A6997" t="s">
        <v>16448</v>
      </c>
      <c r="B6997" t="s">
        <v>16449</v>
      </c>
      <c r="C6997" t="s">
        <v>53</v>
      </c>
      <c r="D6997" t="s">
        <v>54</v>
      </c>
      <c r="E6997" t="s">
        <v>90</v>
      </c>
      <c r="F6997" t="s">
        <v>112</v>
      </c>
      <c r="G6997">
        <v>4.34</v>
      </c>
      <c r="H6997" t="s">
        <v>41</v>
      </c>
      <c r="I6997" t="s">
        <v>42</v>
      </c>
      <c r="M6997">
        <f>VLOOKUP(H6997,'Stage Order'!$A$2:$B$8,2,FALSE)</f>
        <v>2</v>
      </c>
      <c r="N6997" t="str">
        <f t="shared" si="218"/>
        <v>2. 1-24 hours</v>
      </c>
      <c r="O6997" t="str">
        <f t="shared" si="219"/>
        <v>2025-12</v>
      </c>
    </row>
    <row r="6998" spans="1:15" x14ac:dyDescent="0.3">
      <c r="A6998" t="s">
        <v>16450</v>
      </c>
      <c r="B6998" t="s">
        <v>16451</v>
      </c>
      <c r="C6998" t="s">
        <v>37</v>
      </c>
      <c r="D6998" t="s">
        <v>29</v>
      </c>
      <c r="E6998" t="s">
        <v>45</v>
      </c>
      <c r="F6998" t="s">
        <v>46</v>
      </c>
      <c r="G6998">
        <v>3.09</v>
      </c>
      <c r="H6998" t="s">
        <v>146</v>
      </c>
      <c r="I6998" t="s">
        <v>48</v>
      </c>
      <c r="J6998" t="s">
        <v>98</v>
      </c>
      <c r="K6998">
        <v>553.30999999999995</v>
      </c>
      <c r="L6998" t="s">
        <v>16452</v>
      </c>
      <c r="M6998">
        <f>VLOOKUP(H6998,'Stage Order'!$A$2:$B$8,2,FALSE)</f>
        <v>5</v>
      </c>
      <c r="N6998" t="str">
        <f t="shared" si="218"/>
        <v>2. 1-24 hours</v>
      </c>
      <c r="O6998" t="str">
        <f t="shared" si="219"/>
        <v>2025-05</v>
      </c>
    </row>
    <row r="6999" spans="1:15" x14ac:dyDescent="0.3">
      <c r="A6999" t="s">
        <v>16453</v>
      </c>
      <c r="B6999" t="s">
        <v>16454</v>
      </c>
      <c r="C6999" t="s">
        <v>53</v>
      </c>
      <c r="D6999" t="s">
        <v>54</v>
      </c>
      <c r="E6999" t="s">
        <v>59</v>
      </c>
      <c r="F6999" t="s">
        <v>117</v>
      </c>
      <c r="G6999">
        <v>20.13</v>
      </c>
      <c r="H6999" t="s">
        <v>32</v>
      </c>
      <c r="I6999" t="s">
        <v>33</v>
      </c>
      <c r="K6999">
        <v>487.59</v>
      </c>
      <c r="L6999" t="s">
        <v>16455</v>
      </c>
      <c r="M6999">
        <f>VLOOKUP(H6999,'Stage Order'!$A$2:$B$8,2,FALSE)</f>
        <v>7</v>
      </c>
      <c r="N6999" t="str">
        <f t="shared" si="218"/>
        <v>2. 1-24 hours</v>
      </c>
      <c r="O6999" t="str">
        <f t="shared" si="219"/>
        <v>2025-12</v>
      </c>
    </row>
    <row r="7000" spans="1:15" x14ac:dyDescent="0.3">
      <c r="A7000" t="s">
        <v>16456</v>
      </c>
      <c r="B7000" t="s">
        <v>16457</v>
      </c>
      <c r="C7000" t="s">
        <v>58</v>
      </c>
      <c r="D7000" t="s">
        <v>29</v>
      </c>
      <c r="E7000" t="s">
        <v>39</v>
      </c>
      <c r="F7000" t="s">
        <v>40</v>
      </c>
      <c r="G7000">
        <v>16.45</v>
      </c>
      <c r="H7000" t="s">
        <v>47</v>
      </c>
      <c r="I7000" t="s">
        <v>48</v>
      </c>
      <c r="J7000" t="s">
        <v>98</v>
      </c>
      <c r="K7000">
        <v>658.94</v>
      </c>
      <c r="L7000" t="s">
        <v>16458</v>
      </c>
      <c r="M7000">
        <f>VLOOKUP(H7000,'Stage Order'!$A$2:$B$8,2,FALSE)</f>
        <v>4</v>
      </c>
      <c r="N7000" t="str">
        <f t="shared" si="218"/>
        <v>2. 1-24 hours</v>
      </c>
      <c r="O7000" t="str">
        <f t="shared" si="219"/>
        <v>2026-04</v>
      </c>
    </row>
    <row r="7001" spans="1:15" x14ac:dyDescent="0.3">
      <c r="A7001" t="s">
        <v>16459</v>
      </c>
      <c r="B7001" t="s">
        <v>16460</v>
      </c>
      <c r="C7001" t="s">
        <v>125</v>
      </c>
      <c r="D7001" t="s">
        <v>54</v>
      </c>
      <c r="E7001" t="s">
        <v>59</v>
      </c>
      <c r="F7001" t="s">
        <v>60</v>
      </c>
      <c r="G7001">
        <v>4.09</v>
      </c>
      <c r="H7001" t="s">
        <v>41</v>
      </c>
      <c r="I7001" t="s">
        <v>42</v>
      </c>
      <c r="M7001">
        <f>VLOOKUP(H7001,'Stage Order'!$A$2:$B$8,2,FALSE)</f>
        <v>2</v>
      </c>
      <c r="N7001" t="str">
        <f t="shared" si="218"/>
        <v>2. 1-24 hours</v>
      </c>
      <c r="O7001" t="str">
        <f t="shared" si="219"/>
        <v>2025-07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2" customWidth="1"/>
  </cols>
  <sheetData>
    <row r="1" spans="1:2" x14ac:dyDescent="0.3">
      <c r="A1" s="8" t="s">
        <v>16461</v>
      </c>
      <c r="B1" s="8" t="s">
        <v>23</v>
      </c>
    </row>
    <row r="2" spans="1:2" x14ac:dyDescent="0.3">
      <c r="A2" t="s">
        <v>61</v>
      </c>
      <c r="B2">
        <v>1</v>
      </c>
    </row>
    <row r="3" spans="1:2" x14ac:dyDescent="0.3">
      <c r="A3" t="s">
        <v>41</v>
      </c>
      <c r="B3">
        <v>2</v>
      </c>
    </row>
    <row r="4" spans="1:2" x14ac:dyDescent="0.3">
      <c r="A4" t="s">
        <v>128</v>
      </c>
      <c r="B4">
        <v>3</v>
      </c>
    </row>
    <row r="5" spans="1:2" x14ac:dyDescent="0.3">
      <c r="A5" t="s">
        <v>47</v>
      </c>
      <c r="B5">
        <v>4</v>
      </c>
    </row>
    <row r="6" spans="1:2" x14ac:dyDescent="0.3">
      <c r="A6" t="s">
        <v>146</v>
      </c>
      <c r="B6">
        <v>5</v>
      </c>
    </row>
    <row r="7" spans="1:2" x14ac:dyDescent="0.3">
      <c r="A7" t="s">
        <v>138</v>
      </c>
      <c r="B7">
        <v>6</v>
      </c>
    </row>
    <row r="8" spans="1:2" x14ac:dyDescent="0.3">
      <c r="A8" t="s">
        <v>32</v>
      </c>
      <c r="B8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7" customWidth="1"/>
    <col min="2" max="2" width="11" customWidth="1"/>
    <col min="3" max="3" width="24" customWidth="1"/>
    <col min="4" max="4" width="14" customWidth="1"/>
  </cols>
  <sheetData>
    <row r="1" spans="1:4" x14ac:dyDescent="0.3">
      <c r="A1" s="8" t="s">
        <v>16462</v>
      </c>
      <c r="B1" s="8" t="s">
        <v>23</v>
      </c>
      <c r="C1" s="8" t="s">
        <v>16463</v>
      </c>
      <c r="D1" s="8" t="s">
        <v>16464</v>
      </c>
    </row>
    <row r="2" spans="1:4" x14ac:dyDescent="0.3">
      <c r="A2" t="s">
        <v>61</v>
      </c>
      <c r="B2">
        <v>1</v>
      </c>
      <c r="C2">
        <f>COUNTIF(Data!$M$2:$M$7001,"&gt;="&amp;B2)</f>
        <v>7000</v>
      </c>
      <c r="D2" s="9">
        <f>ROUND(C2/COUNTA(Data!$A$2:$A$7001)*100,1)</f>
        <v>100</v>
      </c>
    </row>
    <row r="3" spans="1:4" x14ac:dyDescent="0.3">
      <c r="A3" t="s">
        <v>41</v>
      </c>
      <c r="B3">
        <v>2</v>
      </c>
      <c r="C3">
        <f>COUNTIF(Data!$M$2:$M$7001,"&gt;="&amp;B3)</f>
        <v>5783</v>
      </c>
      <c r="D3" s="9">
        <f>ROUND(C3/COUNTA(Data!$A$2:$A$7001)*100,1)</f>
        <v>82.6</v>
      </c>
    </row>
    <row r="4" spans="1:4" x14ac:dyDescent="0.3">
      <c r="A4" t="s">
        <v>128</v>
      </c>
      <c r="B4">
        <v>3</v>
      </c>
      <c r="C4">
        <f>COUNTIF(Data!$M$2:$M$7001,"&gt;="&amp;B4)</f>
        <v>2693</v>
      </c>
      <c r="D4" s="9">
        <f>ROUND(C4/COUNTA(Data!$A$2:$A$7001)*100,1)</f>
        <v>38.5</v>
      </c>
    </row>
    <row r="5" spans="1:4" x14ac:dyDescent="0.3">
      <c r="A5" t="s">
        <v>47</v>
      </c>
      <c r="B5">
        <v>4</v>
      </c>
      <c r="C5">
        <f>COUNTIF(Data!$M$2:$M$7001,"&gt;="&amp;B5)</f>
        <v>2448</v>
      </c>
      <c r="D5" s="9">
        <f>ROUND(C5/COUNTA(Data!$A$2:$A$7001)*100,1)</f>
        <v>35</v>
      </c>
    </row>
    <row r="6" spans="1:4" x14ac:dyDescent="0.3">
      <c r="A6" t="s">
        <v>146</v>
      </c>
      <c r="B6">
        <v>5</v>
      </c>
      <c r="C6">
        <f>COUNTIF(Data!$M$2:$M$7001,"&gt;="&amp;B6)</f>
        <v>1942</v>
      </c>
      <c r="D6" s="9">
        <f>ROUND(C6/COUNTA(Data!$A$2:$A$7001)*100,1)</f>
        <v>27.7</v>
      </c>
    </row>
    <row r="7" spans="1:4" x14ac:dyDescent="0.3">
      <c r="A7" t="s">
        <v>138</v>
      </c>
      <c r="B7">
        <v>6</v>
      </c>
      <c r="C7">
        <f>COUNTIF(Data!$M$2:$M$7001,"&gt;="&amp;B7)</f>
        <v>1537</v>
      </c>
      <c r="D7" s="9">
        <f>ROUND(C7/COUNTA(Data!$A$2:$A$7001)*100,1)</f>
        <v>22</v>
      </c>
    </row>
    <row r="8" spans="1:4" x14ac:dyDescent="0.3">
      <c r="A8" t="s">
        <v>32</v>
      </c>
      <c r="B8">
        <v>7</v>
      </c>
      <c r="C8">
        <f>COUNTIF(Data!$M$2:$M$7001,"&gt;="&amp;B8)</f>
        <v>935</v>
      </c>
      <c r="D8" s="9">
        <f>ROUND(C8/COUNTA(Data!$A$2:$A$7001)*100,1)</f>
        <v>13.4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3" customWidth="1"/>
    <col min="3" max="3" width="8" customWidth="1"/>
    <col min="4" max="4" width="14" customWidth="1"/>
  </cols>
  <sheetData>
    <row r="1" spans="1:4" x14ac:dyDescent="0.3">
      <c r="A1" s="8" t="s">
        <v>13</v>
      </c>
      <c r="B1" s="8" t="s">
        <v>16465</v>
      </c>
      <c r="C1" s="8" t="s">
        <v>16466</v>
      </c>
      <c r="D1" s="8" t="s">
        <v>16467</v>
      </c>
    </row>
    <row r="2" spans="1:4" x14ac:dyDescent="0.3">
      <c r="A2" t="s">
        <v>81</v>
      </c>
      <c r="B2">
        <f>COUNTIF(Data!$C$2:$C$7001,A2)</f>
        <v>724</v>
      </c>
      <c r="C2">
        <f>COUNTIFS(Data!$C$2:$C$7001,A2,Data!$I$2:$I$7001,"Won")</f>
        <v>0</v>
      </c>
      <c r="D2" s="9">
        <f t="shared" ref="D2:D8" si="0">ROUND(C2/B2*100,1)</f>
        <v>0</v>
      </c>
    </row>
    <row r="3" spans="1:4" x14ac:dyDescent="0.3">
      <c r="A3" t="s">
        <v>37</v>
      </c>
      <c r="B3">
        <f>COUNTIF(Data!$C$2:$C$7001,A3)</f>
        <v>1576</v>
      </c>
      <c r="C3">
        <f>COUNTIFS(Data!$C$2:$C$7001,A3,Data!$I$2:$I$7001,"Won")</f>
        <v>195</v>
      </c>
      <c r="D3" s="9">
        <f t="shared" si="0"/>
        <v>12.4</v>
      </c>
    </row>
    <row r="4" spans="1:4" x14ac:dyDescent="0.3">
      <c r="A4" t="s">
        <v>58</v>
      </c>
      <c r="B4">
        <f>COUNTIF(Data!$C$2:$C$7001,A4)</f>
        <v>1368</v>
      </c>
      <c r="C4">
        <f>COUNTIFS(Data!$C$2:$C$7001,A4,Data!$I$2:$I$7001,"Won")</f>
        <v>90</v>
      </c>
      <c r="D4" s="9">
        <f t="shared" si="0"/>
        <v>6.6</v>
      </c>
    </row>
    <row r="5" spans="1:4" x14ac:dyDescent="0.3">
      <c r="A5" t="s">
        <v>76</v>
      </c>
      <c r="B5">
        <f>COUNTIF(Data!$C$2:$C$7001,A5)</f>
        <v>531</v>
      </c>
      <c r="C5">
        <f>COUNTIFS(Data!$C$2:$C$7001,A5,Data!$I$2:$I$7001,"Won")</f>
        <v>90</v>
      </c>
      <c r="D5" s="9">
        <f t="shared" si="0"/>
        <v>16.899999999999999</v>
      </c>
    </row>
    <row r="6" spans="1:4" x14ac:dyDescent="0.3">
      <c r="A6" t="s">
        <v>53</v>
      </c>
      <c r="B6">
        <f>COUNTIF(Data!$C$2:$C$7001,A6)</f>
        <v>990</v>
      </c>
      <c r="C6">
        <f>COUNTIFS(Data!$C$2:$C$7001,A6,Data!$I$2:$I$7001,"Won")</f>
        <v>335</v>
      </c>
      <c r="D6" s="9">
        <f t="shared" si="0"/>
        <v>33.799999999999997</v>
      </c>
    </row>
    <row r="7" spans="1:4" x14ac:dyDescent="0.3">
      <c r="A7" t="s">
        <v>125</v>
      </c>
      <c r="B7">
        <f>COUNTIF(Data!$C$2:$C$7001,A7)</f>
        <v>1086</v>
      </c>
      <c r="C7">
        <f>COUNTIFS(Data!$C$2:$C$7001,A7,Data!$I$2:$I$7001,"Won")</f>
        <v>36</v>
      </c>
      <c r="D7" s="9">
        <f t="shared" si="0"/>
        <v>3.3</v>
      </c>
    </row>
    <row r="8" spans="1:4" x14ac:dyDescent="0.3">
      <c r="A8" t="s">
        <v>28</v>
      </c>
      <c r="B8">
        <f>COUNTIF(Data!$C$2:$C$7001,A8)</f>
        <v>725</v>
      </c>
      <c r="C8">
        <f>COUNTIFS(Data!$C$2:$C$7001,A8,Data!$I$2:$I$7001,"Won")</f>
        <v>189</v>
      </c>
      <c r="D8" s="9">
        <f t="shared" si="0"/>
        <v>26.1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3" customWidth="1"/>
    <col min="3" max="3" width="8" customWidth="1"/>
    <col min="4" max="4" width="14" customWidth="1"/>
  </cols>
  <sheetData>
    <row r="1" spans="1:4" x14ac:dyDescent="0.3">
      <c r="A1" s="8" t="s">
        <v>24</v>
      </c>
      <c r="B1" s="8" t="s">
        <v>16465</v>
      </c>
      <c r="C1" s="8" t="s">
        <v>16466</v>
      </c>
      <c r="D1" s="8" t="s">
        <v>16467</v>
      </c>
    </row>
    <row r="2" spans="1:4" x14ac:dyDescent="0.3">
      <c r="A2" t="s">
        <v>16468</v>
      </c>
      <c r="B2">
        <f>COUNTIF(Data!$N$2:$N$7001,A2)</f>
        <v>769</v>
      </c>
      <c r="C2">
        <f>COUNTIFS(Data!$N$2:$N$7001,A2,Data!$I$2:$I$7001,"Won")</f>
        <v>175</v>
      </c>
      <c r="D2" s="9">
        <f>ROUND(C2/B2*100,1)</f>
        <v>22.8</v>
      </c>
    </row>
    <row r="3" spans="1:4" x14ac:dyDescent="0.3">
      <c r="A3" t="s">
        <v>16469</v>
      </c>
      <c r="B3">
        <f>COUNTIF(Data!$N$2:$N$7001,A3)</f>
        <v>6164</v>
      </c>
      <c r="C3">
        <f>COUNTIFS(Data!$N$2:$N$7001,A3,Data!$I$2:$I$7001,"Won")</f>
        <v>756</v>
      </c>
      <c r="D3" s="9">
        <f>ROUND(C3/B3*100,1)</f>
        <v>12.3</v>
      </c>
    </row>
    <row r="4" spans="1:4" x14ac:dyDescent="0.3">
      <c r="A4" t="s">
        <v>16470</v>
      </c>
      <c r="B4">
        <f>COUNTIF(Data!$N$2:$N$7001,A4)</f>
        <v>66</v>
      </c>
      <c r="C4">
        <f>COUNTIFS(Data!$N$2:$N$7001,A4,Data!$I$2:$I$7001,"Won")</f>
        <v>4</v>
      </c>
      <c r="D4" s="9">
        <f>ROUND(C4/B4*100,1)</f>
        <v>6.1</v>
      </c>
    </row>
    <row r="5" spans="1:4" x14ac:dyDescent="0.3">
      <c r="A5" t="s">
        <v>16471</v>
      </c>
      <c r="B5">
        <f>COUNTIF(Data!$N$2:$N$7001,A5)</f>
        <v>1</v>
      </c>
      <c r="C5">
        <f>COUNTIFS(Data!$N$2:$N$7001,A5,Data!$I$2:$I$7001,"Won")</f>
        <v>0</v>
      </c>
      <c r="D5" s="9">
        <f>ROUND(C5/B5*100,1)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2" customWidth="1"/>
    <col min="3" max="3" width="18" customWidth="1"/>
    <col min="4" max="4" width="16" customWidth="1"/>
  </cols>
  <sheetData>
    <row r="1" spans="1:4" x14ac:dyDescent="0.3">
      <c r="A1" s="8" t="s">
        <v>20</v>
      </c>
      <c r="B1" s="8" t="s">
        <v>16472</v>
      </c>
      <c r="C1" s="8" t="s">
        <v>16473</v>
      </c>
      <c r="D1" s="8" t="s">
        <v>16474</v>
      </c>
    </row>
    <row r="2" spans="1:4" x14ac:dyDescent="0.3">
      <c r="A2" t="s">
        <v>113</v>
      </c>
      <c r="B2">
        <f>COUNTIFS(Data!$I$2:$I$7001,"Lost",Data!$J$2:$J$7001,A2)</f>
        <v>309</v>
      </c>
      <c r="C2" s="10">
        <f>ROUND(SUMIFS(Data!$K$2:$K$7001,Data!$I$2:$I$7001,"Lost",Data!$J$2:$J$7001,A2),2)</f>
        <v>228129.69</v>
      </c>
      <c r="D2" s="10">
        <f>ROUND(AVERAGEIFS(Data!$K$2:$K$7001,Data!$I$2:$I$7001,"Lost",Data!$J$2:$J$7001,A2),2)</f>
        <v>738.28</v>
      </c>
    </row>
    <row r="3" spans="1:4" x14ac:dyDescent="0.3">
      <c r="A3" t="s">
        <v>742</v>
      </c>
      <c r="B3">
        <f>COUNTIFS(Data!$I$2:$I$7001,"Lost",Data!$J$2:$J$7001,A3)</f>
        <v>141</v>
      </c>
      <c r="C3" s="10">
        <f>ROUND(SUMIFS(Data!$K$2:$K$7001,Data!$I$2:$I$7001,"Lost",Data!$J$2:$J$7001,A3),2)</f>
        <v>103722.29</v>
      </c>
      <c r="D3" s="10">
        <f>ROUND(AVERAGEIFS(Data!$K$2:$K$7001,Data!$I$2:$I$7001,"Lost",Data!$J$2:$J$7001,A3),2)</f>
        <v>735.62</v>
      </c>
    </row>
    <row r="4" spans="1:4" x14ac:dyDescent="0.3">
      <c r="A4" t="s">
        <v>98</v>
      </c>
      <c r="B4">
        <f>COUNTIFS(Data!$I$2:$I$7001,"Lost",Data!$J$2:$J$7001,A4)</f>
        <v>329</v>
      </c>
      <c r="C4" s="10">
        <f>ROUND(SUMIFS(Data!$K$2:$K$7001,Data!$I$2:$I$7001,"Lost",Data!$J$2:$J$7001,A4),2)</f>
        <v>244275.96</v>
      </c>
      <c r="D4" s="10">
        <f>ROUND(AVERAGEIFS(Data!$K$2:$K$7001,Data!$I$2:$I$7001,"Lost",Data!$J$2:$J$7001,A4),2)</f>
        <v>742.48</v>
      </c>
    </row>
    <row r="5" spans="1:4" x14ac:dyDescent="0.3">
      <c r="A5" t="s">
        <v>139</v>
      </c>
      <c r="B5">
        <f>COUNTIFS(Data!$I$2:$I$7001,"Lost",Data!$J$2:$J$7001,A5)</f>
        <v>475</v>
      </c>
      <c r="C5" s="10">
        <f>ROUND(SUMIFS(Data!$K$2:$K$7001,Data!$I$2:$I$7001,"Lost",Data!$J$2:$J$7001,A5),2)</f>
        <v>363258.99</v>
      </c>
      <c r="D5" s="10">
        <f>ROUND(AVERAGEIFS(Data!$K$2:$K$7001,Data!$I$2:$I$7001,"Lost",Data!$J$2:$J$7001,A5),2)</f>
        <v>764.76</v>
      </c>
    </row>
    <row r="6" spans="1:4" x14ac:dyDescent="0.3">
      <c r="A6" t="s">
        <v>49</v>
      </c>
      <c r="B6">
        <f>COUNTIFS(Data!$I$2:$I$7001,"Lost",Data!$J$2:$J$7001,A6)</f>
        <v>259</v>
      </c>
      <c r="C6" s="10">
        <f>ROUND(SUMIFS(Data!$K$2:$K$7001,Data!$I$2:$I$7001,"Lost",Data!$J$2:$J$7001,A6),2)</f>
        <v>188559.5</v>
      </c>
      <c r="D6" s="10">
        <f>ROUND(AVERAGEIFS(Data!$K$2:$K$7001,Data!$I$2:$I$7001,"Lost",Data!$J$2:$J$7001,A6),2)</f>
        <v>728.03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3" customWidth="1"/>
    <col min="3" max="3" width="8" customWidth="1"/>
    <col min="4" max="4" width="14" customWidth="1"/>
    <col min="5" max="5" width="16" customWidth="1"/>
  </cols>
  <sheetData>
    <row r="1" spans="1:5" x14ac:dyDescent="0.3">
      <c r="A1" s="8" t="s">
        <v>16</v>
      </c>
      <c r="B1" s="8" t="s">
        <v>16465</v>
      </c>
      <c r="C1" s="8" t="s">
        <v>16466</v>
      </c>
      <c r="D1" s="8" t="s">
        <v>16467</v>
      </c>
      <c r="E1" s="8" t="s">
        <v>16475</v>
      </c>
    </row>
    <row r="2" spans="1:5" x14ac:dyDescent="0.3">
      <c r="A2" t="s">
        <v>40</v>
      </c>
      <c r="B2">
        <f>COUNTIF(Data!$F$2:$F$7001,A2)</f>
        <v>546</v>
      </c>
      <c r="C2">
        <f>COUNTIFS(Data!$F$2:$F$7001,A2,Data!$I$2:$I$7001,"Won")</f>
        <v>82</v>
      </c>
      <c r="D2" s="9">
        <f t="shared" ref="D2:D16" si="0">ROUND(C2/B2*100,1)</f>
        <v>15</v>
      </c>
      <c r="E2" s="10">
        <f>ROUND(SUMIFS(Data!$K$2:$K$7001,Data!$F$2:$F$7001,A2,Data!$I$2:$I$7001,"Won"),2)</f>
        <v>63751.89</v>
      </c>
    </row>
    <row r="3" spans="1:5" x14ac:dyDescent="0.3">
      <c r="A3" t="s">
        <v>94</v>
      </c>
      <c r="B3">
        <f>COUNTIF(Data!$F$2:$F$7001,A3)</f>
        <v>650</v>
      </c>
      <c r="C3">
        <f>COUNTIFS(Data!$F$2:$F$7001,A3,Data!$I$2:$I$7001,"Won")</f>
        <v>109</v>
      </c>
      <c r="D3" s="9">
        <f t="shared" si="0"/>
        <v>16.8</v>
      </c>
      <c r="E3" s="10">
        <f>ROUND(SUMIFS(Data!$K$2:$K$7001,Data!$F$2:$F$7001,A3,Data!$I$2:$I$7001,"Won"),2)</f>
        <v>84315.7</v>
      </c>
    </row>
    <row r="4" spans="1:5" x14ac:dyDescent="0.3">
      <c r="A4" t="s">
        <v>137</v>
      </c>
      <c r="B4">
        <f>COUNTIF(Data!$F$2:$F$7001,A4)</f>
        <v>531</v>
      </c>
      <c r="C4">
        <f>COUNTIFS(Data!$F$2:$F$7001,A4,Data!$I$2:$I$7001,"Won")</f>
        <v>44</v>
      </c>
      <c r="D4" s="9">
        <f t="shared" si="0"/>
        <v>8.3000000000000007</v>
      </c>
      <c r="E4" s="10">
        <f>ROUND(SUMIFS(Data!$K$2:$K$7001,Data!$F$2:$F$7001,A4,Data!$I$2:$I$7001,"Won"),2)</f>
        <v>31693.360000000001</v>
      </c>
    </row>
    <row r="5" spans="1:5" x14ac:dyDescent="0.3">
      <c r="A5" t="s">
        <v>91</v>
      </c>
      <c r="B5">
        <f>COUNTIF(Data!$F$2:$F$7001,A5)</f>
        <v>397</v>
      </c>
      <c r="C5">
        <f>COUNTIFS(Data!$F$2:$F$7001,A5,Data!$I$2:$I$7001,"Won")</f>
        <v>20</v>
      </c>
      <c r="D5" s="9">
        <f t="shared" si="0"/>
        <v>5</v>
      </c>
      <c r="E5" s="10">
        <f>ROUND(SUMIFS(Data!$K$2:$K$7001,Data!$F$2:$F$7001,A5,Data!$I$2:$I$7001,"Won"),2)</f>
        <v>15566.6</v>
      </c>
    </row>
    <row r="6" spans="1:5" x14ac:dyDescent="0.3">
      <c r="A6" t="s">
        <v>78</v>
      </c>
      <c r="B6">
        <f>COUNTIF(Data!$F$2:$F$7001,A6)</f>
        <v>271</v>
      </c>
      <c r="C6">
        <f>COUNTIFS(Data!$F$2:$F$7001,A6,Data!$I$2:$I$7001,"Won")</f>
        <v>14</v>
      </c>
      <c r="D6" s="9">
        <f t="shared" si="0"/>
        <v>5.2</v>
      </c>
      <c r="E6" s="10">
        <f>ROUND(SUMIFS(Data!$K$2:$K$7001,Data!$F$2:$F$7001,A6,Data!$I$2:$I$7001,"Won"),2)</f>
        <v>11067.99</v>
      </c>
    </row>
    <row r="7" spans="1:5" x14ac:dyDescent="0.3">
      <c r="A7" t="s">
        <v>66</v>
      </c>
      <c r="B7">
        <f>COUNTIF(Data!$F$2:$F$7001,A7)</f>
        <v>536</v>
      </c>
      <c r="C7">
        <f>COUNTIFS(Data!$F$2:$F$7001,A7,Data!$I$2:$I$7001,"Won")</f>
        <v>26</v>
      </c>
      <c r="D7" s="9">
        <f t="shared" si="0"/>
        <v>4.9000000000000004</v>
      </c>
      <c r="E7" s="10">
        <f>ROUND(SUMIFS(Data!$K$2:$K$7001,Data!$F$2:$F$7001,A7,Data!$I$2:$I$7001,"Won"),2)</f>
        <v>20979.72</v>
      </c>
    </row>
    <row r="8" spans="1:5" x14ac:dyDescent="0.3">
      <c r="A8" t="s">
        <v>55</v>
      </c>
      <c r="B8">
        <f>COUNTIF(Data!$F$2:$F$7001,A8)</f>
        <v>700</v>
      </c>
      <c r="C8">
        <f>COUNTIFS(Data!$F$2:$F$7001,A8,Data!$I$2:$I$7001,"Won")</f>
        <v>88</v>
      </c>
      <c r="D8" s="9">
        <f t="shared" si="0"/>
        <v>12.6</v>
      </c>
      <c r="E8" s="10">
        <f>ROUND(SUMIFS(Data!$K$2:$K$7001,Data!$F$2:$F$7001,A8,Data!$I$2:$I$7001,"Won"),2)</f>
        <v>63252.54</v>
      </c>
    </row>
    <row r="9" spans="1:5" x14ac:dyDescent="0.3">
      <c r="A9" t="s">
        <v>117</v>
      </c>
      <c r="B9">
        <f>COUNTIF(Data!$F$2:$F$7001,A9)</f>
        <v>473</v>
      </c>
      <c r="C9">
        <f>COUNTIFS(Data!$F$2:$F$7001,A9,Data!$I$2:$I$7001,"Won")</f>
        <v>138</v>
      </c>
      <c r="D9" s="9">
        <f t="shared" si="0"/>
        <v>29.2</v>
      </c>
      <c r="E9" s="10">
        <f>ROUND(SUMIFS(Data!$K$2:$K$7001,Data!$F$2:$F$7001,A9,Data!$I$2:$I$7001,"Won"),2)</f>
        <v>103895.15</v>
      </c>
    </row>
    <row r="10" spans="1:5" x14ac:dyDescent="0.3">
      <c r="A10" t="s">
        <v>112</v>
      </c>
      <c r="B10">
        <f>COUNTIF(Data!$F$2:$F$7001,A10)</f>
        <v>354</v>
      </c>
      <c r="C10">
        <f>COUNTIFS(Data!$F$2:$F$7001,A10,Data!$I$2:$I$7001,"Won")</f>
        <v>39</v>
      </c>
      <c r="D10" s="9">
        <f t="shared" si="0"/>
        <v>11</v>
      </c>
      <c r="E10" s="10">
        <f>ROUND(SUMIFS(Data!$K$2:$K$7001,Data!$F$2:$F$7001,A10,Data!$I$2:$I$7001,"Won"),2)</f>
        <v>27524.5</v>
      </c>
    </row>
    <row r="11" spans="1:5" x14ac:dyDescent="0.3">
      <c r="A11" t="s">
        <v>82</v>
      </c>
      <c r="B11">
        <f>COUNTIF(Data!$F$2:$F$7001,A11)</f>
        <v>228</v>
      </c>
      <c r="C11">
        <f>COUNTIFS(Data!$F$2:$F$7001,A11,Data!$I$2:$I$7001,"Won")</f>
        <v>17</v>
      </c>
      <c r="D11" s="9">
        <f t="shared" si="0"/>
        <v>7.5</v>
      </c>
      <c r="E11" s="10">
        <f>ROUND(SUMIFS(Data!$K$2:$K$7001,Data!$F$2:$F$7001,A11,Data!$I$2:$I$7001,"Won"),2)</f>
        <v>10910.2</v>
      </c>
    </row>
    <row r="12" spans="1:5" x14ac:dyDescent="0.3">
      <c r="A12" t="s">
        <v>106</v>
      </c>
      <c r="B12">
        <f>COUNTIF(Data!$F$2:$F$7001,A12)</f>
        <v>572</v>
      </c>
      <c r="C12">
        <f>COUNTIFS(Data!$F$2:$F$7001,A12,Data!$I$2:$I$7001,"Won")</f>
        <v>123</v>
      </c>
      <c r="D12" s="9">
        <f t="shared" si="0"/>
        <v>21.5</v>
      </c>
      <c r="E12" s="10">
        <f>ROUND(SUMIFS(Data!$K$2:$K$7001,Data!$F$2:$F$7001,A12,Data!$I$2:$I$7001,"Won"),2)</f>
        <v>88006.56</v>
      </c>
    </row>
    <row r="13" spans="1:5" x14ac:dyDescent="0.3">
      <c r="A13" t="s">
        <v>46</v>
      </c>
      <c r="B13">
        <f>COUNTIF(Data!$F$2:$F$7001,A13)</f>
        <v>622</v>
      </c>
      <c r="C13">
        <f>COUNTIFS(Data!$F$2:$F$7001,A13,Data!$I$2:$I$7001,"Won")</f>
        <v>121</v>
      </c>
      <c r="D13" s="9">
        <f t="shared" si="0"/>
        <v>19.5</v>
      </c>
      <c r="E13" s="10">
        <f>ROUND(SUMIFS(Data!$K$2:$K$7001,Data!$F$2:$F$7001,A13,Data!$I$2:$I$7001,"Won"),2)</f>
        <v>86949.75</v>
      </c>
    </row>
    <row r="14" spans="1:5" x14ac:dyDescent="0.3">
      <c r="A14" t="s">
        <v>60</v>
      </c>
      <c r="B14">
        <f>COUNTIF(Data!$F$2:$F$7001,A14)</f>
        <v>500</v>
      </c>
      <c r="C14">
        <f>COUNTIFS(Data!$F$2:$F$7001,A14,Data!$I$2:$I$7001,"Won")</f>
        <v>71</v>
      </c>
      <c r="D14" s="9">
        <f t="shared" si="0"/>
        <v>14.2</v>
      </c>
      <c r="E14" s="10">
        <f>ROUND(SUMIFS(Data!$K$2:$K$7001,Data!$F$2:$F$7001,A14,Data!$I$2:$I$7001,"Won"),2)</f>
        <v>51925.24</v>
      </c>
    </row>
    <row r="15" spans="1:5" x14ac:dyDescent="0.3">
      <c r="A15" t="s">
        <v>145</v>
      </c>
      <c r="B15">
        <f>COUNTIF(Data!$F$2:$F$7001,A15)</f>
        <v>384</v>
      </c>
      <c r="C15">
        <f>COUNTIFS(Data!$F$2:$F$7001,A15,Data!$I$2:$I$7001,"Won")</f>
        <v>14</v>
      </c>
      <c r="D15" s="9">
        <f t="shared" si="0"/>
        <v>3.6</v>
      </c>
      <c r="E15" s="10">
        <f>ROUND(SUMIFS(Data!$K$2:$K$7001,Data!$F$2:$F$7001,A15,Data!$I$2:$I$7001,"Won"),2)</f>
        <v>8054.17</v>
      </c>
    </row>
    <row r="16" spans="1:5" x14ac:dyDescent="0.3">
      <c r="A16" t="s">
        <v>31</v>
      </c>
      <c r="B16">
        <f>COUNTIF(Data!$F$2:$F$7001,A16)</f>
        <v>236</v>
      </c>
      <c r="C16">
        <f>COUNTIFS(Data!$F$2:$F$7001,A16,Data!$I$2:$I$7001,"Won")</f>
        <v>29</v>
      </c>
      <c r="D16" s="9">
        <f t="shared" si="0"/>
        <v>12.3</v>
      </c>
      <c r="E16" s="10">
        <f>ROUND(SUMIFS(Data!$K$2:$K$7001,Data!$F$2:$F$7001,A16,Data!$I$2:$I$7001,"Won"),2)</f>
        <v>21784.58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0" customWidth="1"/>
    <col min="3" max="3" width="14" customWidth="1"/>
  </cols>
  <sheetData>
    <row r="1" spans="1:3" x14ac:dyDescent="0.3">
      <c r="A1" s="8" t="s">
        <v>16476</v>
      </c>
      <c r="B1" s="8" t="s">
        <v>16477</v>
      </c>
      <c r="C1" s="8" t="s">
        <v>16467</v>
      </c>
    </row>
    <row r="2" spans="1:3" x14ac:dyDescent="0.3">
      <c r="A2" t="s">
        <v>16478</v>
      </c>
      <c r="B2">
        <f>COUNTIF(Data!$O$2:$O$7001,A2)</f>
        <v>391</v>
      </c>
      <c r="C2" s="9">
        <f>ROUND(COUNTIFS(Data!$O$2:$O$7001,A2,Data!$I$2:$I$7001,"Won")/B2*100,1)</f>
        <v>12.8</v>
      </c>
    </row>
    <row r="3" spans="1:3" x14ac:dyDescent="0.3">
      <c r="A3" t="s">
        <v>16479</v>
      </c>
      <c r="B3">
        <f>COUNTIF(Data!$O$2:$O$7001,A3)</f>
        <v>332</v>
      </c>
      <c r="C3" s="9">
        <f>ROUND(COUNTIFS(Data!$O$2:$O$7001,A3,Data!$I$2:$I$7001,"Won")/B3*100,1)</f>
        <v>13.3</v>
      </c>
    </row>
    <row r="4" spans="1:3" x14ac:dyDescent="0.3">
      <c r="A4" t="s">
        <v>16480</v>
      </c>
      <c r="B4">
        <f>COUNTIF(Data!$O$2:$O$7001,A4)</f>
        <v>379</v>
      </c>
      <c r="C4" s="9">
        <f>ROUND(COUNTIFS(Data!$O$2:$O$7001,A4,Data!$I$2:$I$7001,"Won")/B4*100,1)</f>
        <v>9.8000000000000007</v>
      </c>
    </row>
    <row r="5" spans="1:3" x14ac:dyDescent="0.3">
      <c r="A5" t="s">
        <v>16481</v>
      </c>
      <c r="B5">
        <f>COUNTIF(Data!$O$2:$O$7001,A5)</f>
        <v>369</v>
      </c>
      <c r="C5" s="9">
        <f>ROUND(COUNTIFS(Data!$O$2:$O$7001,A5,Data!$I$2:$I$7001,"Won")/B5*100,1)</f>
        <v>12.7</v>
      </c>
    </row>
    <row r="6" spans="1:3" x14ac:dyDescent="0.3">
      <c r="A6" t="s">
        <v>16482</v>
      </c>
      <c r="B6">
        <f>COUNTIF(Data!$O$2:$O$7001,A6)</f>
        <v>399</v>
      </c>
      <c r="C6" s="9">
        <f>ROUND(COUNTIFS(Data!$O$2:$O$7001,A6,Data!$I$2:$I$7001,"Won")/B6*100,1)</f>
        <v>13.8</v>
      </c>
    </row>
    <row r="7" spans="1:3" x14ac:dyDescent="0.3">
      <c r="A7" t="s">
        <v>16483</v>
      </c>
      <c r="B7">
        <f>COUNTIF(Data!$O$2:$O$7001,A7)</f>
        <v>400</v>
      </c>
      <c r="C7" s="9">
        <f>ROUND(COUNTIFS(Data!$O$2:$O$7001,A7,Data!$I$2:$I$7001,"Won")/B7*100,1)</f>
        <v>11</v>
      </c>
    </row>
    <row r="8" spans="1:3" x14ac:dyDescent="0.3">
      <c r="A8" t="s">
        <v>16484</v>
      </c>
      <c r="B8">
        <f>COUNTIF(Data!$O$2:$O$7001,A8)</f>
        <v>421</v>
      </c>
      <c r="C8" s="9">
        <f>ROUND(COUNTIFS(Data!$O$2:$O$7001,A8,Data!$I$2:$I$7001,"Won")/B8*100,1)</f>
        <v>11.9</v>
      </c>
    </row>
    <row r="9" spans="1:3" x14ac:dyDescent="0.3">
      <c r="A9" t="s">
        <v>16485</v>
      </c>
      <c r="B9">
        <f>COUNTIF(Data!$O$2:$O$7001,A9)</f>
        <v>418</v>
      </c>
      <c r="C9" s="9">
        <f>ROUND(COUNTIFS(Data!$O$2:$O$7001,A9,Data!$I$2:$I$7001,"Won")/B9*100,1)</f>
        <v>15.3</v>
      </c>
    </row>
    <row r="10" spans="1:3" x14ac:dyDescent="0.3">
      <c r="A10" t="s">
        <v>16486</v>
      </c>
      <c r="B10">
        <f>COUNTIF(Data!$O$2:$O$7001,A10)</f>
        <v>380</v>
      </c>
      <c r="C10" s="9">
        <f>ROUND(COUNTIFS(Data!$O$2:$O$7001,A10,Data!$I$2:$I$7001,"Won")/B10*100,1)</f>
        <v>14.2</v>
      </c>
    </row>
    <row r="11" spans="1:3" x14ac:dyDescent="0.3">
      <c r="A11" t="s">
        <v>16487</v>
      </c>
      <c r="B11">
        <f>COUNTIF(Data!$O$2:$O$7001,A11)</f>
        <v>418</v>
      </c>
      <c r="C11" s="9">
        <f>ROUND(COUNTIFS(Data!$O$2:$O$7001,A11,Data!$I$2:$I$7001,"Won")/B11*100,1)</f>
        <v>15.3</v>
      </c>
    </row>
    <row r="12" spans="1:3" x14ac:dyDescent="0.3">
      <c r="A12" t="s">
        <v>16488</v>
      </c>
      <c r="B12">
        <f>COUNTIF(Data!$O$2:$O$7001,A12)</f>
        <v>405</v>
      </c>
      <c r="C12" s="9">
        <f>ROUND(COUNTIFS(Data!$O$2:$O$7001,A12,Data!$I$2:$I$7001,"Won")/B12*100,1)</f>
        <v>17.8</v>
      </c>
    </row>
    <row r="13" spans="1:3" x14ac:dyDescent="0.3">
      <c r="A13" t="s">
        <v>16489</v>
      </c>
      <c r="B13">
        <f>COUNTIF(Data!$O$2:$O$7001,A13)</f>
        <v>403</v>
      </c>
      <c r="C13" s="9">
        <f>ROUND(COUNTIFS(Data!$O$2:$O$7001,A13,Data!$I$2:$I$7001,"Won")/B13*100,1)</f>
        <v>14.1</v>
      </c>
    </row>
    <row r="14" spans="1:3" x14ac:dyDescent="0.3">
      <c r="A14" t="s">
        <v>16490</v>
      </c>
      <c r="B14">
        <f>COUNTIF(Data!$O$2:$O$7001,A14)</f>
        <v>411</v>
      </c>
      <c r="C14" s="9">
        <f>ROUND(COUNTIFS(Data!$O$2:$O$7001,A14,Data!$I$2:$I$7001,"Won")/B14*100,1)</f>
        <v>14.1</v>
      </c>
    </row>
    <row r="15" spans="1:3" x14ac:dyDescent="0.3">
      <c r="A15" t="s">
        <v>16491</v>
      </c>
      <c r="B15">
        <f>COUNTIF(Data!$O$2:$O$7001,A15)</f>
        <v>350</v>
      </c>
      <c r="C15" s="9">
        <f>ROUND(COUNTIFS(Data!$O$2:$O$7001,A15,Data!$I$2:$I$7001,"Won")/B15*100,1)</f>
        <v>14</v>
      </c>
    </row>
    <row r="16" spans="1:3" x14ac:dyDescent="0.3">
      <c r="A16" t="s">
        <v>16492</v>
      </c>
      <c r="B16">
        <f>COUNTIF(Data!$O$2:$O$7001,A16)</f>
        <v>388</v>
      </c>
      <c r="C16" s="9">
        <f>ROUND(COUNTIFS(Data!$O$2:$O$7001,A16,Data!$I$2:$I$7001,"Won")/B16*100,1)</f>
        <v>14.7</v>
      </c>
    </row>
    <row r="17" spans="1:3" x14ac:dyDescent="0.3">
      <c r="A17" t="s">
        <v>16493</v>
      </c>
      <c r="B17">
        <f>COUNTIF(Data!$O$2:$O$7001,A17)</f>
        <v>382</v>
      </c>
      <c r="C17" s="9">
        <f>ROUND(COUNTIFS(Data!$O$2:$O$7001,A17,Data!$I$2:$I$7001,"Won")/B17*100,1)</f>
        <v>11.8</v>
      </c>
    </row>
    <row r="18" spans="1:3" x14ac:dyDescent="0.3">
      <c r="A18" t="s">
        <v>16494</v>
      </c>
      <c r="B18">
        <f>COUNTIF(Data!$O$2:$O$7001,A18)</f>
        <v>395</v>
      </c>
      <c r="C18" s="9">
        <f>ROUND(COUNTIFS(Data!$O$2:$O$7001,A18,Data!$I$2:$I$7001,"Won")/B18*100,1)</f>
        <v>10.6</v>
      </c>
    </row>
    <row r="19" spans="1:3" x14ac:dyDescent="0.3">
      <c r="A19" t="s">
        <v>16495</v>
      </c>
      <c r="B19">
        <f>COUNTIF(Data!$O$2:$O$7001,A19)</f>
        <v>359</v>
      </c>
      <c r="C19" s="9">
        <f>ROUND(COUNTIFS(Data!$O$2:$O$7001,A19,Data!$I$2:$I$7001,"Won")/B19*100,1)</f>
        <v>12.8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Data</vt:lpstr>
      <vt:lpstr>Stage Order</vt:lpstr>
      <vt:lpstr>Funnel</vt:lpstr>
      <vt:lpstr>Win Rate by Source</vt:lpstr>
      <vt:lpstr>Speed to Lead</vt:lpstr>
      <vt:lpstr>Lost Value by Reason</vt:lpstr>
      <vt:lpstr>Rep Leaderboard</vt:lpstr>
      <vt:lpstr>Monthly 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rudranshu singh</cp:lastModifiedBy>
  <dcterms:created xsi:type="dcterms:W3CDTF">2026-09-13T10:37:25Z</dcterms:created>
  <dcterms:modified xsi:type="dcterms:W3CDTF">2026-09-16T12:44:55Z</dcterms:modified>
</cp:coreProperties>
</file>